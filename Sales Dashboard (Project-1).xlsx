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C:\Users\Hello\Documents\EXCEL PROJECT\"/>
    </mc:Choice>
  </mc:AlternateContent>
  <xr:revisionPtr revIDLastSave="0" documentId="13_ncr:1_{60CB1F9A-E2BE-4ED7-8BA1-26B490583665}" xr6:coauthVersionLast="47" xr6:coauthVersionMax="47" xr10:uidLastSave="{00000000-0000-0000-0000-000000000000}"/>
  <bookViews>
    <workbookView xWindow="-108" yWindow="-108" windowWidth="23256" windowHeight="12456" firstSheet="1" activeTab="1" xr2:uid="{B3FB0276-1B4C-4860-833D-385414AA7680}"/>
  </bookViews>
  <sheets>
    <sheet name="data 1" sheetId="9" state="hidden" r:id="rId1"/>
    <sheet name="Dashboard" sheetId="17" r:id="rId2"/>
    <sheet name="KPI" sheetId="18" r:id="rId3"/>
    <sheet name="MAIN DATA" sheetId="1" r:id="rId4"/>
  </sheets>
  <definedNames>
    <definedName name="_xlnm._FilterDatabase" localSheetId="0" hidden="1">'data 1'!$G$4:$J$14</definedName>
    <definedName name="_xlnm._FilterDatabase" localSheetId="3" hidden="1">'MAIN DATA'!$A$1:$M$331</definedName>
    <definedName name="_xlchart.v1.11" hidden="1">KPI!$U$11:$U$20</definedName>
    <definedName name="_xlchart.v1.12" hidden="1">KPI!$V$10</definedName>
    <definedName name="_xlchart.v1.13" hidden="1">KPI!$V$11:$V$20</definedName>
    <definedName name="_xlchart.v1.4" hidden="1">KPI!$U$11:$U$20</definedName>
    <definedName name="_xlchart.v1.5" hidden="1">KPI!$V$10</definedName>
    <definedName name="_xlchart.v1.6" hidden="1">KPI!$V$11:$V$20</definedName>
    <definedName name="_xlchart.v5.0" hidden="1">KPI!$L$2</definedName>
    <definedName name="_xlchart.v5.1" hidden="1">KPI!$L$3:$L$22</definedName>
    <definedName name="_xlchart.v5.10" hidden="1">KPI!$M$3:$M$22</definedName>
    <definedName name="_xlchart.v5.2" hidden="1">KPI!$M$2</definedName>
    <definedName name="_xlchart.v5.3" hidden="1">KPI!$M$3:$M$22</definedName>
    <definedName name="_xlchart.v5.7" hidden="1">KPI!$L$2</definedName>
    <definedName name="_xlchart.v5.8" hidden="1">KPI!$L$3:$L$22</definedName>
    <definedName name="_xlchart.v5.9" hidden="1">KPI!$M$2</definedName>
    <definedName name="NativeTimeline_Date">#N/A</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M6" i="9"/>
  <c r="M2" i="1"/>
  <c r="O2"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2" i="1"/>
  <c r="V12" i="18"/>
  <c r="V15" i="18"/>
  <c r="V16" i="18"/>
  <c r="V13" i="18"/>
  <c r="V14" i="18"/>
  <c r="V20" i="18"/>
  <c r="V17" i="18"/>
  <c r="V18" i="18"/>
  <c r="V19" i="18"/>
  <c r="V11" i="18"/>
  <c r="M4" i="18"/>
  <c r="M22" i="18"/>
  <c r="M14" i="18"/>
  <c r="M9" i="18"/>
  <c r="C12" i="18"/>
  <c r="M16" i="18"/>
  <c r="M13" i="18"/>
  <c r="M11" i="18"/>
  <c r="M12" i="18"/>
  <c r="M5" i="18"/>
  <c r="C27" i="18"/>
  <c r="C20" i="18"/>
  <c r="M17" i="18"/>
  <c r="M10" i="18"/>
  <c r="M18" i="18"/>
  <c r="M19" i="18"/>
  <c r="M20" i="18"/>
  <c r="M6" i="18"/>
  <c r="M3" i="18"/>
  <c r="M7" i="18"/>
  <c r="M15" i="18"/>
  <c r="M21" i="18"/>
  <c r="M8" i="18"/>
</calcChain>
</file>

<file path=xl/sharedStrings.xml><?xml version="1.0" encoding="utf-8"?>
<sst xmlns="http://schemas.openxmlformats.org/spreadsheetml/2006/main" count="2491" uniqueCount="457">
  <si>
    <t>S No</t>
  </si>
  <si>
    <t>Name</t>
  </si>
  <si>
    <t>Category</t>
  </si>
  <si>
    <t>Product Name</t>
  </si>
  <si>
    <t>Region</t>
  </si>
  <si>
    <t>City</t>
  </si>
  <si>
    <t>State</t>
  </si>
  <si>
    <t>Gender</t>
  </si>
  <si>
    <t>Quantity</t>
  </si>
  <si>
    <t>Rate</t>
  </si>
  <si>
    <t>Amount</t>
  </si>
  <si>
    <t>Bharat Innovations</t>
  </si>
  <si>
    <t>Electronic</t>
  </si>
  <si>
    <t>Speaker</t>
  </si>
  <si>
    <t>North</t>
  </si>
  <si>
    <t>Delhi</t>
  </si>
  <si>
    <t>Male</t>
  </si>
  <si>
    <t>Green Leaf Enterprises</t>
  </si>
  <si>
    <t>Earbuds</t>
  </si>
  <si>
    <t>West</t>
  </si>
  <si>
    <t>Mumbai</t>
  </si>
  <si>
    <t>Maharashtra</t>
  </si>
  <si>
    <t>Urban Pulse Technologies</t>
  </si>
  <si>
    <t>East</t>
  </si>
  <si>
    <t>Kolkata</t>
  </si>
  <si>
    <t>West Bengal</t>
  </si>
  <si>
    <t>Mystic India Exports</t>
  </si>
  <si>
    <t>South</t>
  </si>
  <si>
    <t>Chennai</t>
  </si>
  <si>
    <t>Tamil Nadu</t>
  </si>
  <si>
    <t>Golden Horizon Ventures</t>
  </si>
  <si>
    <t xml:space="preserve">Fashion </t>
  </si>
  <si>
    <t>Women dress</t>
  </si>
  <si>
    <t>Bengaluru</t>
  </si>
  <si>
    <t>Karnataka</t>
  </si>
  <si>
    <t>Eternal Traditions</t>
  </si>
  <si>
    <t>Hyderabad</t>
  </si>
  <si>
    <t>Telangana</t>
  </si>
  <si>
    <t>Apex Solutions</t>
  </si>
  <si>
    <t>Ahmedabad</t>
  </si>
  <si>
    <t>Gujarat</t>
  </si>
  <si>
    <t>Harmony Foods</t>
  </si>
  <si>
    <t>Pune</t>
  </si>
  <si>
    <t>Pure Essence Skincare</t>
  </si>
  <si>
    <t>Jaipur</t>
  </si>
  <si>
    <t>Rajasthan</t>
  </si>
  <si>
    <t>Female</t>
  </si>
  <si>
    <t>Zenith Construction Co.</t>
  </si>
  <si>
    <t>Surat</t>
  </si>
  <si>
    <t>Radiant Health Systems</t>
  </si>
  <si>
    <t>Lucknow</t>
  </si>
  <si>
    <t>Uttar Pradesh</t>
  </si>
  <si>
    <t>Divine Creations</t>
  </si>
  <si>
    <t>Kanpur</t>
  </si>
  <si>
    <t>Metro Tech Solutions</t>
  </si>
  <si>
    <t>Nagpur</t>
  </si>
  <si>
    <t>True Path Logistics</t>
  </si>
  <si>
    <t>Central</t>
  </si>
  <si>
    <t>Indore</t>
  </si>
  <si>
    <t>Madhya Pradesh</t>
  </si>
  <si>
    <t>Sacred Roots Apparel</t>
  </si>
  <si>
    <t>Male dress</t>
  </si>
  <si>
    <t>Thane</t>
  </si>
  <si>
    <t>Quantum Finance Services</t>
  </si>
  <si>
    <t>North (Union Territory)</t>
  </si>
  <si>
    <t>Chandigarh</t>
  </si>
  <si>
    <t>Brilliant Minds Academy</t>
  </si>
  <si>
    <t>Bhopal</t>
  </si>
  <si>
    <t>Visionary Holdings</t>
  </si>
  <si>
    <t>Visakhapatnam</t>
  </si>
  <si>
    <t>Andhra Pradesh</t>
  </si>
  <si>
    <t>Stellar Design Studio</t>
  </si>
  <si>
    <t>Patna</t>
  </si>
  <si>
    <t>Bihar</t>
  </si>
  <si>
    <t>Classic Cuisines</t>
  </si>
  <si>
    <t>Vadodara</t>
  </si>
  <si>
    <t>Bold Ventures</t>
  </si>
  <si>
    <t>Agra</t>
  </si>
  <si>
    <t>Prestige Automobiles</t>
  </si>
  <si>
    <t>TV</t>
  </si>
  <si>
    <t>Meerut</t>
  </si>
  <si>
    <t>Elite Marketing Solutions</t>
  </si>
  <si>
    <t>Coimbatore</t>
  </si>
  <si>
    <t>Natural Bliss Beverages</t>
  </si>
  <si>
    <t>Madurai</t>
  </si>
  <si>
    <t>Crystal Clear Solutions</t>
  </si>
  <si>
    <t>Jodhpur</t>
  </si>
  <si>
    <t>Modern Trends Fashion</t>
  </si>
  <si>
    <t>Varanasi</t>
  </si>
  <si>
    <t>Heritage Crafts</t>
  </si>
  <si>
    <t>Ranchi</t>
  </si>
  <si>
    <t>Jharkhand</t>
  </si>
  <si>
    <t>Future Insights Analytics</t>
  </si>
  <si>
    <t>Kochi</t>
  </si>
  <si>
    <t>Kerala</t>
  </si>
  <si>
    <t>Emerald Estate Developers</t>
  </si>
  <si>
    <t>Aurangabad</t>
  </si>
  <si>
    <t>Starlight Media Group</t>
  </si>
  <si>
    <t>Shimla</t>
  </si>
  <si>
    <t>Himachal Pradesh</t>
  </si>
  <si>
    <t>Supreme Electronics</t>
  </si>
  <si>
    <t>Dehradun</t>
  </si>
  <si>
    <t>Uttarakhand</t>
  </si>
  <si>
    <t>Optimum Wellness</t>
  </si>
  <si>
    <t>Northeast</t>
  </si>
  <si>
    <t>Guwahati</t>
  </si>
  <si>
    <t>Assam</t>
  </si>
  <si>
    <t>Zenith Books Publishing</t>
  </si>
  <si>
    <t>Amritsar</t>
  </si>
  <si>
    <t>Punjab</t>
  </si>
  <si>
    <t>Pinnacle Innovations</t>
  </si>
  <si>
    <t>Raipur</t>
  </si>
  <si>
    <t>Chhattisgarh</t>
  </si>
  <si>
    <t>Apex Travel Services</t>
  </si>
  <si>
    <t>Durgapur</t>
  </si>
  <si>
    <t>Golden Era Realty</t>
  </si>
  <si>
    <t>Radiant Jewelry</t>
  </si>
  <si>
    <t>Laptop</t>
  </si>
  <si>
    <t>Gwalior</t>
  </si>
  <si>
    <t>Infinity Ventures</t>
  </si>
  <si>
    <t>Jamshedpur</t>
  </si>
  <si>
    <t>Royal Taste Foods</t>
  </si>
  <si>
    <t>Siliguri</t>
  </si>
  <si>
    <t>Harmony Homes</t>
  </si>
  <si>
    <t>Mangalore</t>
  </si>
  <si>
    <t>Urban Edge Consulting</t>
  </si>
  <si>
    <t>Prime Tech Innovations</t>
  </si>
  <si>
    <t>Legacy Designs</t>
  </si>
  <si>
    <t>Virtue Enterprises</t>
  </si>
  <si>
    <t>Radiant Health Club</t>
  </si>
  <si>
    <t>Bright Horizon Ventures</t>
  </si>
  <si>
    <t>Modern Lifestyle Products</t>
  </si>
  <si>
    <t>Nexus Trading Co.</t>
  </si>
  <si>
    <t>Radiance Spa</t>
  </si>
  <si>
    <t>Saree</t>
  </si>
  <si>
    <t>Absolute Solutions</t>
  </si>
  <si>
    <t>Verve Fitness Studio</t>
  </si>
  <si>
    <t>Sparkle Cleaners</t>
  </si>
  <si>
    <t>Global Reach Logistics</t>
  </si>
  <si>
    <t>Noble Path Finance</t>
  </si>
  <si>
    <t>Dynamic Events Management</t>
  </si>
  <si>
    <t>Crystal Waters Resort</t>
  </si>
  <si>
    <t>Excellence Tutors</t>
  </si>
  <si>
    <t>Horizon Builders</t>
  </si>
  <si>
    <t>Synergy Tech Solutions</t>
  </si>
  <si>
    <t>Classic Heritage Crafts</t>
  </si>
  <si>
    <t>Prime Focus Media</t>
  </si>
  <si>
    <t>Suit</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</si>
  <si>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</si>
  <si>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</si>
  <si>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</si>
  <si>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</si>
  <si>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</si>
  <si>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</si>
  <si>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</si>
  <si>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</si>
  <si>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</si>
  <si>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</si>
  <si>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Horizon Wellness</t>
  </si>
  <si>
    <t>Decor</t>
  </si>
  <si>
    <t>Car accessories</t>
  </si>
  <si>
    <t>True Value Electronics</t>
  </si>
  <si>
    <t>Harmony Homes Realty</t>
  </si>
  <si>
    <t>Stellar Advertising</t>
  </si>
  <si>
    <t>Radiant Enterprise Solutions</t>
  </si>
  <si>
    <t>Modern Trends Retail</t>
  </si>
  <si>
    <t>Global Spectrum Consulting</t>
  </si>
  <si>
    <t>Elite Essence Products</t>
  </si>
  <si>
    <t>Dynamic Creations</t>
  </si>
  <si>
    <t>Quantum Design Studio</t>
  </si>
  <si>
    <t>Infinite Solutions</t>
  </si>
  <si>
    <t>Apex Construction</t>
  </si>
  <si>
    <t>Legacy Innovations</t>
  </si>
  <si>
    <t>Pure Harmony Foods</t>
  </si>
  <si>
    <t>Zenith Security Systems</t>
  </si>
  <si>
    <t>Crystal Clear Beverages</t>
  </si>
  <si>
    <t>Metro Line Tech</t>
  </si>
  <si>
    <t>Urban Pulse Consulting</t>
  </si>
  <si>
    <t>Radiant Vision Studios</t>
  </si>
  <si>
    <t>Home décor</t>
  </si>
  <si>
    <t>Noble Travel Services</t>
  </si>
  <si>
    <t>Bright Future Academy</t>
  </si>
  <si>
    <t>Synergy Solutions Group</t>
  </si>
  <si>
    <t>Visionary Health Systems</t>
  </si>
  <si>
    <t>Apex Retailers</t>
  </si>
  <si>
    <t>Prestige Property Developers</t>
  </si>
  <si>
    <t>Classic Trends Fashion</t>
  </si>
  <si>
    <t>Harmony Ventures</t>
  </si>
  <si>
    <t>Stellar Realty</t>
  </si>
  <si>
    <t>Future Path Technologies</t>
  </si>
  <si>
    <t>Elite Edge Services</t>
  </si>
  <si>
    <t>Radiance Health and Wellness</t>
  </si>
  <si>
    <t>Legacy Auto Works</t>
  </si>
  <si>
    <t>Prime Essence Creations</t>
  </si>
  <si>
    <t>Quantum Ventures</t>
  </si>
  <si>
    <t>Horizon Tech Solutions</t>
  </si>
  <si>
    <t>Urban Legends Apparel</t>
  </si>
  <si>
    <t>Pure Bliss Beverages</t>
  </si>
  <si>
    <t>Noble Heights Builders</t>
  </si>
  <si>
    <t>Radiant Foods</t>
  </si>
  <si>
    <t>Zenith Financial Services</t>
  </si>
  <si>
    <t>Apex Travel Ventures</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</si>
  <si>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</si>
  <si>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</si>
  <si>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</si>
  <si>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</si>
  <si>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</si>
  <si>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</si>
  <si>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</si>
  <si>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</si>
  <si>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</si>
  <si>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</si>
  <si>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</si>
  <si>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</si>
  <si>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Apex Wellness Solutions</t>
  </si>
  <si>
    <t>Royal Crest Foods</t>
  </si>
  <si>
    <t>Zenith Travels</t>
  </si>
  <si>
    <t>Modern Harmony Products</t>
  </si>
  <si>
    <t>Horizon Builders &amp; Developers</t>
  </si>
  <si>
    <t>Radiance Tech Solutions</t>
  </si>
  <si>
    <t>Legacy Apparel</t>
  </si>
  <si>
    <t>Pinnacle Education Group</t>
  </si>
  <si>
    <t>Noble Innovations</t>
  </si>
  <si>
    <t>Crystal Clear Realty</t>
  </si>
  <si>
    <t>Future Vision Realty</t>
  </si>
  <si>
    <t>Urban Pulse Media</t>
  </si>
  <si>
    <t>True Essence Health</t>
  </si>
  <si>
    <t>Apex Enterprise Solutions</t>
  </si>
  <si>
    <t>Radiant Vision Realty</t>
  </si>
  <si>
    <t>Harmony Consulting Group</t>
  </si>
  <si>
    <t>Zenith Tech Ventures</t>
  </si>
  <si>
    <t>Stellar Health Services</t>
  </si>
  <si>
    <t>Pure Path Foods</t>
  </si>
  <si>
    <t>Prestige Solutions</t>
  </si>
  <si>
    <t>Bright Horizon Realty</t>
  </si>
  <si>
    <t>Quantum Media Group</t>
  </si>
  <si>
    <t>Legacy Builders</t>
  </si>
  <si>
    <t>Apex Spa &amp; Wellness</t>
  </si>
  <si>
    <t>Radiant Travel Services</t>
  </si>
  <si>
    <t>Modern Trends Consulting</t>
  </si>
  <si>
    <t>Global Horizon Ventures</t>
  </si>
  <si>
    <t>Elite Enterprises</t>
  </si>
  <si>
    <t>Urban Wave Solutions</t>
  </si>
  <si>
    <t>Pinnacle Health Innovations</t>
  </si>
  <si>
    <t>Horizon Fashion</t>
  </si>
  <si>
    <t>Crystal Essence Beverages</t>
  </si>
  <si>
    <t>Dynamic Pathways</t>
  </si>
  <si>
    <t>Visionary Realty Solutions</t>
  </si>
  <si>
    <t>Radiance Apparel</t>
  </si>
  <si>
    <t>Zenith Design Group</t>
  </si>
  <si>
    <t>Apex Publishing House</t>
  </si>
  <si>
    <t>True Value Consulting</t>
  </si>
  <si>
    <t>Future Path Ventures</t>
  </si>
  <si>
    <t>Stellar Tech Services</t>
  </si>
  <si>
    <t>Legacy Travel Agency</t>
  </si>
  <si>
    <t>Harmony Innovations</t>
  </si>
  <si>
    <t>Pure Essence Solutions</t>
  </si>
  <si>
    <t>Elite Media Group</t>
  </si>
  <si>
    <t>Radiant Construction</t>
  </si>
  <si>
    <t>Horizon Tech Ventures</t>
  </si>
  <si>
    <t>Crystal Health Solutions</t>
  </si>
  <si>
    <t>Modern Horizons Consulting</t>
  </si>
  <si>
    <t>Apex Realty Services</t>
  </si>
  <si>
    <t>Zenith Educational Group</t>
  </si>
  <si>
    <t>True Path Ventures</t>
  </si>
  <si>
    <t>Radiance Media</t>
  </si>
  <si>
    <t>Legacy Health Systems</t>
  </si>
  <si>
    <t>Urban Focus Products</t>
  </si>
  <si>
    <t>Elite Edge Consulting</t>
  </si>
  <si>
    <t>Stellar Travel Solutions</t>
  </si>
  <si>
    <t>Harmony Tech Ventures</t>
  </si>
  <si>
    <t>Pure Harmony Solutions</t>
  </si>
  <si>
    <t>Radiant Fitness Studio</t>
  </si>
  <si>
    <t>Zenith Finance Co.</t>
  </si>
  <si>
    <t>Apex Events Management</t>
  </si>
  <si>
    <t>Visionary Innovations</t>
  </si>
  <si>
    <t>Horizon Design Studio</t>
  </si>
  <si>
    <t>Modern Spectrum Solutions</t>
  </si>
  <si>
    <t>Legacy Tech Products</t>
  </si>
  <si>
    <t>Pinnacle Wellness Services</t>
  </si>
  <si>
    <t>Urban Insight Consulting</t>
  </si>
  <si>
    <t>Crystal Horizons</t>
  </si>
  <si>
    <t>Radiant Apparel</t>
  </si>
  <si>
    <t>True Value Products</t>
  </si>
  <si>
    <t>Apex Creative Solutions</t>
  </si>
  <si>
    <t>Zenith Health Products</t>
  </si>
  <si>
    <t>Stellar Media Group</t>
  </si>
  <si>
    <t>Harmony Finance Co.</t>
  </si>
  <si>
    <t>Pure Vision Ventures</t>
  </si>
  <si>
    <t>Radiance Solutions Group</t>
  </si>
  <si>
    <t>Legacy Travel Services</t>
  </si>
  <si>
    <t>Elite Spectrum Media</t>
  </si>
  <si>
    <t>Modern Edge Solutions</t>
  </si>
  <si>
    <t>Pinnacle Design Studio</t>
  </si>
  <si>
    <t>Horizon Health Solutions</t>
  </si>
  <si>
    <t>Crystal Clear Consulting</t>
  </si>
  <si>
    <t>Apex Marketing Solutions</t>
  </si>
  <si>
    <t>Zenith Innovations</t>
  </si>
  <si>
    <t>Stellar Wellness Products</t>
  </si>
  <si>
    <t>Radiant Consulting Group</t>
  </si>
  <si>
    <t>Harmony Ventures Co.</t>
  </si>
  <si>
    <t>Urban Path Technologies</t>
  </si>
  <si>
    <t>True Essence Innovations</t>
  </si>
  <si>
    <t>Pinnacle Media Group</t>
  </si>
  <si>
    <t>Legacy Design Co.</t>
  </si>
  <si>
    <t>Apex Health Products</t>
  </si>
  <si>
    <t>Zenith Travel Ventures</t>
  </si>
  <si>
    <t>Pure Path Consulting</t>
  </si>
  <si>
    <t>Radiance Solutions Co.</t>
  </si>
  <si>
    <t>Modern Vision Ventures</t>
  </si>
  <si>
    <t>Elite Travel Services</t>
  </si>
  <si>
    <t>Horizon Creative Solutions</t>
  </si>
  <si>
    <t>Crystal Innovations Group</t>
  </si>
  <si>
    <t>Pinnacle Fitness Studio</t>
  </si>
  <si>
    <t>Stellar Travel Agency</t>
  </si>
  <si>
    <t>Harmony Educational Group</t>
  </si>
  <si>
    <t>Urban Spectrum Solutions</t>
  </si>
  <si>
    <t>Radiant Design Studio</t>
  </si>
  <si>
    <t>Zenith Health Innovations</t>
  </si>
  <si>
    <t>Apex Realty Ventures</t>
  </si>
  <si>
    <t>Legacy Wellness Solutions</t>
  </si>
  <si>
    <t>True Value Ventures</t>
  </si>
  <si>
    <t>Horizon Media Solutions</t>
  </si>
  <si>
    <t>Crystal Clear Designs</t>
  </si>
  <si>
    <t>Pinnacle Innovations Co.</t>
  </si>
  <si>
    <t>Modern Pathways</t>
  </si>
  <si>
    <t>Stellar Finance Co.</t>
  </si>
  <si>
    <t>Radiant Spectrum Group</t>
  </si>
  <si>
    <t>Harmony Design Ventures</t>
  </si>
  <si>
    <t>Elite Edge Products</t>
  </si>
  <si>
    <t>Zenith Consulting Co.</t>
  </si>
  <si>
    <t>Apex Wellness Products</t>
  </si>
  <si>
    <t>Urban Vision Solutions</t>
  </si>
  <si>
    <t>Pure Harmony Innovations</t>
  </si>
  <si>
    <t>Legacy Media Group</t>
  </si>
  <si>
    <t>Pinnacle Travel Solutions</t>
  </si>
  <si>
    <t>Horizon Tech Innovations</t>
  </si>
  <si>
    <t>Crystal Spectrum Consulting</t>
  </si>
  <si>
    <t>Stellar Creative Co.</t>
  </si>
  <si>
    <t>Radiance Media Ventures</t>
  </si>
  <si>
    <t>Harmony Health Solutions</t>
  </si>
  <si>
    <t>Zenith Edge Services</t>
  </si>
  <si>
    <t>Modern Vision Solutions</t>
  </si>
  <si>
    <t>True Path Consulting</t>
  </si>
  <si>
    <t>Legacy Finance Group</t>
  </si>
  <si>
    <t>Pinnacle Design Ventures</t>
  </si>
  <si>
    <t>Stellar Innovations Co.</t>
  </si>
  <si>
    <t>Radiant Educational Solutions</t>
  </si>
  <si>
    <t>Harmony Marketing Co.</t>
  </si>
  <si>
    <t>Urban Tech Innovations</t>
  </si>
  <si>
    <t>Crystal Wellness Group</t>
  </si>
  <si>
    <t>Zenith Creative Solutions</t>
  </si>
  <si>
    <t>Apex Media Co.</t>
  </si>
  <si>
    <t>Pure Vision Solutions</t>
  </si>
  <si>
    <t>Legacy Health Ventures</t>
  </si>
  <si>
    <t>Pinnacle Spectrum Co.</t>
  </si>
  <si>
    <t>Stellar Travel Products</t>
  </si>
  <si>
    <t>Radiance Finance Services</t>
  </si>
  <si>
    <t>Harmony Edge Solutions</t>
  </si>
  <si>
    <t>Modern Travel Agency</t>
  </si>
  <si>
    <t>Crystal Path Consulting</t>
  </si>
  <si>
    <t>Zenith Educational Services</t>
  </si>
  <si>
    <t>Apex Innovations Co.</t>
  </si>
  <si>
    <t>Pure Harmony Health</t>
  </si>
  <si>
    <t>Legacy Travel Ventures</t>
  </si>
  <si>
    <t>Pinnacle Media Solutions</t>
  </si>
  <si>
    <t>Stellar Design Group</t>
  </si>
  <si>
    <t>Radiant Tech Solutions</t>
  </si>
  <si>
    <t>Horizon Ventures Co.</t>
  </si>
  <si>
    <t>Elite Creative Solutions</t>
  </si>
  <si>
    <t>Zenith Wellness Services</t>
  </si>
  <si>
    <t>Apex Travel Innovations</t>
  </si>
  <si>
    <t>Modern Health Products</t>
  </si>
  <si>
    <t>Harmony Finance Group</t>
  </si>
  <si>
    <t>Pure Vision Consulting</t>
  </si>
  <si>
    <t>Legacy Spectrum Co.</t>
  </si>
  <si>
    <t>Pinnacle Design Solutions</t>
  </si>
  <si>
    <t>Stellar Media Services</t>
  </si>
  <si>
    <t>Radiant Innovations Group</t>
  </si>
  <si>
    <t>Horizon Path Ventures</t>
  </si>
  <si>
    <t>Zenith Tech Co.</t>
  </si>
  <si>
    <t>Apex Finance Ventures</t>
  </si>
  <si>
    <t>Legacy Travel Co.</t>
  </si>
  <si>
    <t>Pinnacle Innovations Group</t>
  </si>
  <si>
    <t>Radiance Design Co.</t>
  </si>
  <si>
    <t>Zenith Path Solutions</t>
  </si>
  <si>
    <t>Apex Educational Group</t>
  </si>
  <si>
    <t>Modern Wellness Co.</t>
  </si>
  <si>
    <t>Pure Spectrum Innovations</t>
  </si>
  <si>
    <t>Legacy Media Solutions</t>
  </si>
  <si>
    <t>Pinnacle Travel Co.</t>
  </si>
  <si>
    <t>Stellar Consulting Services</t>
  </si>
  <si>
    <t>Radiant Ventures</t>
  </si>
  <si>
    <t>Harmony Tech Co.</t>
  </si>
  <si>
    <t>Zenith Creative Ventures</t>
  </si>
  <si>
    <t>Apex Health Services</t>
  </si>
  <si>
    <t>Pure Vision Media</t>
  </si>
  <si>
    <t>Legacy Innovations Group</t>
  </si>
  <si>
    <t>Pinnacle Consulting Co.</t>
  </si>
  <si>
    <t>Stellar Finance Group</t>
  </si>
  <si>
    <t>Radiant Solutions Co.</t>
  </si>
  <si>
    <t>Harmony Ventures Group</t>
  </si>
  <si>
    <t>Zenith Wellness Co.</t>
  </si>
  <si>
    <t>Apex Design Services</t>
  </si>
  <si>
    <t>Modern Travel Solutions</t>
  </si>
  <si>
    <t>Pure Health Ventures</t>
  </si>
  <si>
    <t>Legacy Spectrum Group</t>
  </si>
  <si>
    <t>Pinnacle Media Ventures</t>
  </si>
  <si>
    <t>Stellar Innovations Group</t>
  </si>
  <si>
    <t>Radiant Educational Co.</t>
  </si>
  <si>
    <t>Harmony Edge Ventures</t>
  </si>
  <si>
    <t>Zenith Tech Solutions</t>
  </si>
  <si>
    <t>Apex Finance Group</t>
  </si>
  <si>
    <t>Pure Harmony Media</t>
  </si>
  <si>
    <t>Legacy Health Co.</t>
  </si>
  <si>
    <t>Date</t>
  </si>
  <si>
    <t>Month</t>
  </si>
  <si>
    <t>May</t>
  </si>
  <si>
    <t>PRODUCT NAME</t>
  </si>
  <si>
    <t>SALESMAN NAME</t>
  </si>
  <si>
    <t>CITY</t>
  </si>
  <si>
    <t>sales</t>
  </si>
  <si>
    <t>ASUS LAPTOP</t>
  </si>
  <si>
    <t>ANKIT</t>
  </si>
  <si>
    <t>NARNAUL</t>
  </si>
  <si>
    <t>SUMIT</t>
  </si>
  <si>
    <t>DELHI</t>
  </si>
  <si>
    <t>JATIN</t>
  </si>
  <si>
    <t>MUMBAI</t>
  </si>
  <si>
    <t>DELL LAPTOP</t>
  </si>
  <si>
    <t>ANU</t>
  </si>
  <si>
    <t>PANIPAT</t>
  </si>
  <si>
    <t>MANISH</t>
  </si>
  <si>
    <t>ATELI</t>
  </si>
  <si>
    <t>RAHUL</t>
  </si>
  <si>
    <t>REWARI</t>
  </si>
  <si>
    <t>SUMAN</t>
  </si>
  <si>
    <t>NEW DELHI</t>
  </si>
  <si>
    <t>ZEBRONICS LAPTOP</t>
  </si>
  <si>
    <t>RENU</t>
  </si>
  <si>
    <t>DINESH</t>
  </si>
  <si>
    <t>SURENDER</t>
  </si>
  <si>
    <t>Grand Total</t>
  </si>
  <si>
    <t>Sum of Amount</t>
  </si>
  <si>
    <t xml:space="preserve"> </t>
  </si>
  <si>
    <t>purchase</t>
  </si>
  <si>
    <t>profit</t>
  </si>
  <si>
    <t>Sum of purchase</t>
  </si>
  <si>
    <t>Sum of profit</t>
  </si>
  <si>
    <t>Row Labels</t>
  </si>
  <si>
    <t/>
  </si>
  <si>
    <t>April</t>
  </si>
  <si>
    <t>June</t>
  </si>
  <si>
    <t>July</t>
  </si>
  <si>
    <t>August</t>
  </si>
  <si>
    <t>September</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</si>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</sst>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_ * #,##0_ ;_ * \-#,##0_ ;_ * &quot;-&quot;??_ ;_ @_ "/>
  </numFmts>
  <fonts count="7" x14ac:knownFonts="1">
    <font>
      <sz val="11"/>
      <color theme="1"/>
      <name val="Calibri"/>
      <family val="2"/>
      <scheme val="minor"/>
    </font>
    <font>
      <b/>
      <sz val="11"/>
      <color theme="0"/>
      <name val="Calibri"/>
      <family val="2"/>
      <scheme val="minor"/>
    </font>
    <font>
      <b/>
      <sz val="11"/>
      <color theme="1"/>
      <name val="Calibri"/>
      <family val="2"/>
      <scheme val="minor"/>
    </font>
    <font>
      <b/>
      <sz val="16"/>
      <color theme="0"/>
      <name val="Calibri"/>
      <family val="2"/>
      <scheme val="minor"/>
    </font>
    <font>
      <sz val="8"/>
      <name val="Calibri"/>
      <family val="2"/>
      <scheme val="minor"/>
    </font>
    <font>
      <sz val="11"/>
      <color theme="1"/>
      <name val="Calibri"/>
      <family val="2"/>
      <scheme val="minor"/>
    </font>
    <font>
      <shadow/>
      <sz val="11"/>
      <color rgb="FF000000"/>
      <name val="Calibri"/>
      <family val="2"/>
      <scheme val="minor"/>
    </font>
  </fonts>
  <fills count="7">
    <fill>
      <patternFill patternType="none"/>
    </fill>
    <fill>
      <patternFill patternType="gray125"/>
    </fill>
    <fill>
      <patternFill patternType="solid">
        <fgColor rgb="FFFF0000"/>
        <bgColor indexed="64"/>
      </patternFill>
    </fill>
    <fill>
      <patternFill patternType="solid">
        <fgColor theme="4" tint="-0.499984740745262"/>
        <bgColor indexed="64"/>
      </patternFill>
    </fill>
    <fill>
      <patternFill patternType="solid">
        <fgColor rgb="FFF8FBCD"/>
        <bgColor indexed="64"/>
      </patternFill>
    </fill>
    <fill>
      <patternFill patternType="solid">
        <fgColor theme="4" tint="0.79998168889431442"/>
        <bgColor theme="4" tint="0.79998168889431442"/>
      </patternFill>
    </fill>
    <fill>
      <patternFill patternType="solid">
        <fgColor theme="5" tint="0.79998168889431442"/>
        <bgColor theme="5" tint="0.79998168889431442"/>
      </patternFill>
    </fill>
  </fills>
  <borders count="20">
    <border>
      <left/>
      <right/>
      <top/>
      <bottom/>
      <diagonal/>
    </border>
    <border>
      <left style="medium">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style="medium">
        <color indexed="64"/>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medium">
        <color indexed="64"/>
      </right>
      <top style="double">
        <color indexed="64"/>
      </top>
      <bottom style="medium">
        <color indexed="64"/>
      </bottom>
      <diagonal/>
    </border>
    <border>
      <left/>
      <right style="double">
        <color indexed="64"/>
      </right>
      <top style="medium">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style="double">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thin">
        <color theme="5" tint="0.39997558519241921"/>
      </bottom>
      <diagonal/>
    </border>
  </borders>
  <cellStyleXfs count="2">
    <xf numFmtId="0" fontId="0" fillId="0" borderId="0"/>
    <xf numFmtId="164" fontId="5" fillId="0" borderId="0" applyFont="0" applyFill="0" applyBorder="0" applyAlignment="0" applyProtection="0"/>
  </cellStyleXfs>
  <cellXfs count="31">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2" borderId="10" xfId="0" applyFont="1" applyFill="1" applyBorder="1" applyAlignment="1">
      <alignment horizontal="center" vertical="center"/>
    </xf>
    <xf numFmtId="0" fontId="2" fillId="0" borderId="11" xfId="0" applyFont="1" applyBorder="1" applyAlignment="1">
      <alignment horizontal="center" vertical="center"/>
    </xf>
    <xf numFmtId="14" fontId="2" fillId="0" borderId="11" xfId="0" applyNumberFormat="1" applyFont="1" applyBorder="1" applyAlignment="1">
      <alignment horizontal="center" vertical="center"/>
    </xf>
    <xf numFmtId="14" fontId="0" fillId="0" borderId="0" xfId="0" applyNumberFormat="1"/>
    <xf numFmtId="14" fontId="3" fillId="2" borderId="10" xfId="0" applyNumberFormat="1" applyFont="1" applyFill="1" applyBorder="1" applyAlignment="1">
      <alignment horizontal="center" vertical="center"/>
    </xf>
    <xf numFmtId="14" fontId="2" fillId="0" borderId="12" xfId="0" applyNumberFormat="1" applyFont="1" applyBorder="1" applyAlignment="1">
      <alignment horizontal="center" vertical="center"/>
    </xf>
    <xf numFmtId="0" fontId="1" fillId="3" borderId="13" xfId="0" applyFont="1" applyFill="1" applyBorder="1" applyAlignment="1">
      <alignment horizontal="center" vertical="center"/>
    </xf>
    <xf numFmtId="0" fontId="1" fillId="3" borderId="16"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165" fontId="2" fillId="4" borderId="15" xfId="1" applyNumberFormat="1" applyFont="1" applyFill="1" applyBorder="1" applyAlignment="1">
      <alignment horizontal="center" vertical="center"/>
    </xf>
    <xf numFmtId="0" fontId="0" fillId="0" borderId="0" xfId="0" pivotButton="1"/>
    <xf numFmtId="10" fontId="0" fillId="0" borderId="0" xfId="0" applyNumberFormat="1"/>
    <xf numFmtId="0" fontId="0" fillId="0" borderId="0" xfId="0" applyAlignment="1">
      <alignment horizontal="left"/>
    </xf>
    <xf numFmtId="0" fontId="2" fillId="5" borderId="17" xfId="0" applyFont="1" applyFill="1" applyBorder="1"/>
    <xf numFmtId="0" fontId="2" fillId="6" borderId="19" xfId="0" applyFont="1" applyFill="1" applyBorder="1"/>
    <xf numFmtId="0" fontId="6" fillId="0" borderId="0" xfId="0" applyFont="1"/>
    <xf numFmtId="0" fontId="0" fillId="0" borderId="0" xfId="0" applyAlignment="1">
      <alignment horizontal="left" indent="1"/>
    </xf>
    <xf numFmtId="0" fontId="2" fillId="0" borderId="17" xfId="0" applyFont="1" applyBorder="1" applyAlignment="1">
      <alignment horizontal="left"/>
    </xf>
    <xf numFmtId="0" fontId="2" fillId="5" borderId="18" xfId="0" applyFont="1" applyFill="1" applyBorder="1" applyAlignment="1">
      <alignment horizontal="left"/>
    </xf>
    <xf numFmtId="0" fontId="0" fillId="0" borderId="0" xfId="0" applyNumberFormat="1"/>
  </cellXfs>
  <cellStyles count="2">
    <cellStyle name="Comma" xfId="1" builtinId="3"/>
    <cellStyle name="Normal" xfId="0" builtinId="0"/>
  </cellStyles>
  <dxfs count="0"/>
  <tableStyles count="1" defaultTableStyle="TableStyleMedium2" defaultPivotStyle="PivotStyleLight16">
    <tableStyle name="Invisible" pivot="0" table="0" count="0" xr9:uid="{B2DB6C95-2150-49B7-830C-7FAD1A6EFDB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 board project 1).xlsx]KPI!PivotTable1</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2336570735513958"/>
          <c:y val="3.4308435832637288E-3"/>
          <c:w val="0.85991439397911518"/>
          <c:h val="0.98500984312959072"/>
        </c:manualLayout>
      </c:layout>
      <c:pieChart>
        <c:varyColors val="1"/>
        <c:ser>
          <c:idx val="0"/>
          <c:order val="0"/>
          <c:tx>
            <c:strRef>
              <c:f>KPI!$B$9</c:f>
              <c:strCache>
                <c:ptCount val="1"/>
                <c:pt idx="0">
                  <c:v>Total</c:v>
                </c:pt>
              </c:strCache>
            </c:strRef>
          </c:tx>
          <c:explosion val="6"/>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4BA-4A5C-AC1C-178BDC2DA7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4BA-4A5C-AC1C-178BDC2DA7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4BA-4A5C-AC1C-178BDC2DA7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KPI!$A$10:$A$13</c:f>
              <c:strCache>
                <c:ptCount val="3"/>
                <c:pt idx="0">
                  <c:v>Decor</c:v>
                </c:pt>
                <c:pt idx="1">
                  <c:v>Electronic</c:v>
                </c:pt>
                <c:pt idx="2">
                  <c:v>Fashion </c:v>
                </c:pt>
              </c:strCache>
            </c:strRef>
          </c:cat>
          <c:val>
            <c:numRef>
              <c:f>KPI!$B$10:$B$13</c:f>
              <c:numCache>
                <c:formatCode>General</c:formatCode>
                <c:ptCount val="3"/>
                <c:pt idx="0">
                  <c:v>310551690</c:v>
                </c:pt>
                <c:pt idx="1">
                  <c:v>403171673</c:v>
                </c:pt>
                <c:pt idx="2">
                  <c:v>672585490</c:v>
                </c:pt>
              </c:numCache>
            </c:numRef>
          </c:val>
          <c:extLst>
            <c:ext xmlns:c16="http://schemas.microsoft.com/office/drawing/2014/chart" uri="{C3380CC4-5D6E-409C-BE32-E72D297353CC}">
              <c16:uniqueId val="{00000006-24BA-4A5C-AC1C-178BDC2DA73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 board project 1).xlsx]KPI!purchae</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7678298363039281E-2"/>
          <c:y val="0"/>
          <c:w val="0.89020518412674543"/>
          <c:h val="1"/>
        </c:manualLayout>
      </c:layout>
      <c:pieChart>
        <c:varyColors val="1"/>
        <c:ser>
          <c:idx val="0"/>
          <c:order val="0"/>
          <c:tx>
            <c:strRef>
              <c:f>KPI!$B$17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16D-4E1E-AFBE-EE325051C8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16D-4E1E-AFBE-EE325051C8B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16D-4E1E-AFBE-EE325051C8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KPI!$A$18:$A$21</c:f>
              <c:strCache>
                <c:ptCount val="3"/>
                <c:pt idx="0">
                  <c:v>Decor</c:v>
                </c:pt>
                <c:pt idx="1">
                  <c:v>Electronic</c:v>
                </c:pt>
                <c:pt idx="2">
                  <c:v>Fashion </c:v>
                </c:pt>
              </c:strCache>
            </c:strRef>
          </c:cat>
          <c:val>
            <c:numRef>
              <c:f>KPI!$B$18:$B$21</c:f>
              <c:numCache>
                <c:formatCode>General</c:formatCode>
                <c:ptCount val="3"/>
                <c:pt idx="0">
                  <c:v>309443050</c:v>
                </c:pt>
                <c:pt idx="1">
                  <c:v>401551953</c:v>
                </c:pt>
                <c:pt idx="2">
                  <c:v>670273213</c:v>
                </c:pt>
              </c:numCache>
            </c:numRef>
          </c:val>
          <c:extLst>
            <c:ext xmlns:c16="http://schemas.microsoft.com/office/drawing/2014/chart" uri="{C3380CC4-5D6E-409C-BE32-E72D297353CC}">
              <c16:uniqueId val="{00000006-316D-4E1E-AFBE-EE325051C8B3}"/>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 board project 1).xlsx]KPI!profit </c:name>
    <c:fmtId val="1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9.5901528985878268E-2"/>
          <c:y val="8.1969567993190037E-2"/>
          <c:w val="0.89398882070334595"/>
          <c:h val="1"/>
        </c:manualLayout>
      </c:layout>
      <c:pieChart>
        <c:varyColors val="1"/>
        <c:ser>
          <c:idx val="0"/>
          <c:order val="0"/>
          <c:tx>
            <c:strRef>
              <c:f>KPI!$B$24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83A-4A9F-AF69-5A9084820AC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83A-4A9F-AF69-5A9084820AC4}"/>
              </c:ext>
            </c:extLst>
          </c:dPt>
          <c:dPt>
            <c:idx val="2"/>
            <c:bubble3D val="0"/>
            <c:explosion val="12"/>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83A-4A9F-AF69-5A9084820AC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KPI!$A$25:$A$28</c:f>
              <c:strCache>
                <c:ptCount val="3"/>
                <c:pt idx="0">
                  <c:v>Decor</c:v>
                </c:pt>
                <c:pt idx="1">
                  <c:v>Electronic</c:v>
                </c:pt>
                <c:pt idx="2">
                  <c:v>Fashion </c:v>
                </c:pt>
              </c:strCache>
            </c:strRef>
          </c:cat>
          <c:val>
            <c:numRef>
              <c:f>KPI!$B$25:$B$28</c:f>
              <c:numCache>
                <c:formatCode>General</c:formatCode>
                <c:ptCount val="3"/>
                <c:pt idx="0">
                  <c:v>1108640</c:v>
                </c:pt>
                <c:pt idx="1">
                  <c:v>1619720</c:v>
                </c:pt>
                <c:pt idx="2">
                  <c:v>2312277</c:v>
                </c:pt>
              </c:numCache>
            </c:numRef>
          </c:val>
          <c:extLst>
            <c:ext xmlns:c16="http://schemas.microsoft.com/office/drawing/2014/chart" uri="{C3380CC4-5D6E-409C-BE32-E72D297353CC}">
              <c16:uniqueId val="{00000006-B83A-4A9F-AF69-5A9084820AC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[Excel(dash board project 1).xlsx]KPI!product wise</c:name>
    <c:fmtId val="26"/>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381452318461"/>
          <c:y val="7.407407407407407E-2"/>
          <c:w val="0.72865748031496058"/>
          <c:h val="0.67430993000874895"/>
        </c:manualLayout>
      </c:layout>
      <c:barChart>
        <c:barDir val="col"/>
        <c:grouping val="clustered"/>
        <c:varyColors val="0"/>
        <c:ser>
          <c:idx val="0"/>
          <c:order val="0"/>
          <c:tx>
            <c:strRef>
              <c:f>KPI!$E$2</c:f>
              <c:strCache>
                <c:ptCount val="1"/>
                <c:pt idx="0">
                  <c:v>Sum of Amount</c:v>
                </c:pt>
              </c:strCache>
            </c:strRef>
          </c:tx>
          <c:spPr>
            <a:solidFill>
              <a:schemeClr val="accent6">
                <a:tint val="77000"/>
              </a:schemeClr>
            </a:solidFill>
            <a:ln>
              <a:noFill/>
            </a:ln>
            <a:effectLst/>
          </c:spPr>
          <c:invertIfNegative val="0"/>
          <c:cat>
            <c:strRef>
              <c:f>KPI!$D$3:$D$13</c:f>
              <c:strCache>
                <c:ptCount val="10"/>
                <c:pt idx="0">
                  <c:v>Car accessories</c:v>
                </c:pt>
                <c:pt idx="1">
                  <c:v>Earbuds</c:v>
                </c:pt>
                <c:pt idx="2">
                  <c:v>Home décor</c:v>
                </c:pt>
                <c:pt idx="3">
                  <c:v>Laptop</c:v>
                </c:pt>
                <c:pt idx="4">
                  <c:v>Male dress</c:v>
                </c:pt>
                <c:pt idx="5">
                  <c:v>Saree</c:v>
                </c:pt>
                <c:pt idx="6">
                  <c:v>Speaker</c:v>
                </c:pt>
                <c:pt idx="7">
                  <c:v>Suit</c:v>
                </c:pt>
                <c:pt idx="8">
                  <c:v>TV</c:v>
                </c:pt>
                <c:pt idx="9">
                  <c:v>Women dress</c:v>
                </c:pt>
              </c:strCache>
            </c:strRef>
          </c:cat>
          <c:val>
            <c:numRef>
              <c:f>KPI!$E$3:$E$13</c:f>
              <c:numCache>
                <c:formatCode>General</c:formatCode>
                <c:ptCount val="10"/>
                <c:pt idx="0">
                  <c:v>85986430</c:v>
                </c:pt>
                <c:pt idx="1">
                  <c:v>22303158</c:v>
                </c:pt>
                <c:pt idx="2">
                  <c:v>224565260</c:v>
                </c:pt>
                <c:pt idx="3">
                  <c:v>229998228</c:v>
                </c:pt>
                <c:pt idx="4">
                  <c:v>55830333</c:v>
                </c:pt>
                <c:pt idx="5">
                  <c:v>341914931</c:v>
                </c:pt>
                <c:pt idx="6">
                  <c:v>48617975</c:v>
                </c:pt>
                <c:pt idx="7">
                  <c:v>237881153</c:v>
                </c:pt>
                <c:pt idx="8">
                  <c:v>102252312</c:v>
                </c:pt>
                <c:pt idx="9">
                  <c:v>36959073</c:v>
                </c:pt>
              </c:numCache>
            </c:numRef>
          </c:val>
          <c:extLst>
            <c:ext xmlns:c16="http://schemas.microsoft.com/office/drawing/2014/chart" uri="{C3380CC4-5D6E-409C-BE32-E72D297353CC}">
              <c16:uniqueId val="{00000000-2E90-40FB-A1F8-50E93E8348CB}"/>
            </c:ext>
          </c:extLst>
        </c:ser>
        <c:dLbls>
          <c:showLegendKey val="0"/>
          <c:showVal val="0"/>
          <c:showCatName val="0"/>
          <c:showSerName val="0"/>
          <c:showPercent val="0"/>
          <c:showBubbleSize val="0"/>
        </c:dLbls>
        <c:gapWidth val="269"/>
        <c:axId val="779044624"/>
        <c:axId val="779050864"/>
      </c:barChart>
      <c:lineChart>
        <c:grouping val="stacked"/>
        <c:varyColors val="0"/>
        <c:ser>
          <c:idx val="1"/>
          <c:order val="1"/>
          <c:tx>
            <c:strRef>
              <c:f>KPI!$F$2</c:f>
              <c:strCache>
                <c:ptCount val="1"/>
                <c:pt idx="0">
                  <c:v>Sum of profit</c:v>
                </c:pt>
              </c:strCache>
            </c:strRef>
          </c:tx>
          <c:spPr>
            <a:ln w="38100" cap="rnd">
              <a:solidFill>
                <a:schemeClr val="accent6">
                  <a:shade val="76000"/>
                </a:schemeClr>
              </a:solidFill>
              <a:round/>
            </a:ln>
            <a:effectLst/>
          </c:spPr>
          <c:marker>
            <c:symbol val="circle"/>
            <c:size val="8"/>
            <c:spPr>
              <a:solidFill>
                <a:schemeClr val="accent6">
                  <a:shade val="76000"/>
                </a:schemeClr>
              </a:solidFill>
              <a:ln>
                <a:noFill/>
              </a:ln>
              <a:effectLst/>
            </c:spPr>
          </c:marker>
          <c:cat>
            <c:strRef>
              <c:f>KPI!$D$3:$D$13</c:f>
              <c:strCache>
                <c:ptCount val="10"/>
                <c:pt idx="0">
                  <c:v>Car accessories</c:v>
                </c:pt>
                <c:pt idx="1">
                  <c:v>Earbuds</c:v>
                </c:pt>
                <c:pt idx="2">
                  <c:v>Home décor</c:v>
                </c:pt>
                <c:pt idx="3">
                  <c:v>Laptop</c:v>
                </c:pt>
                <c:pt idx="4">
                  <c:v>Male dress</c:v>
                </c:pt>
                <c:pt idx="5">
                  <c:v>Saree</c:v>
                </c:pt>
                <c:pt idx="6">
                  <c:v>Speaker</c:v>
                </c:pt>
                <c:pt idx="7">
                  <c:v>Suit</c:v>
                </c:pt>
                <c:pt idx="8">
                  <c:v>TV</c:v>
                </c:pt>
                <c:pt idx="9">
                  <c:v>Women dress</c:v>
                </c:pt>
              </c:strCache>
            </c:strRef>
          </c:cat>
          <c:val>
            <c:numRef>
              <c:f>KPI!$F$3:$F$13</c:f>
              <c:numCache>
                <c:formatCode>0.00%</c:formatCode>
                <c:ptCount val="10"/>
                <c:pt idx="0">
                  <c:v>6.3058895135674323E-2</c:v>
                </c:pt>
                <c:pt idx="1">
                  <c:v>2.0496417417084387E-2</c:v>
                </c:pt>
                <c:pt idx="2">
                  <c:v>0.15688156080273188</c:v>
                </c:pt>
                <c:pt idx="3">
                  <c:v>0.16863067108383326</c:v>
                </c:pt>
                <c:pt idx="4">
                  <c:v>4.6093975820913111E-2</c:v>
                </c:pt>
                <c:pt idx="5">
                  <c:v>0.21752806242544345</c:v>
                </c:pt>
                <c:pt idx="6">
                  <c:v>4.1619144564466755E-2</c:v>
                </c:pt>
                <c:pt idx="7">
                  <c:v>0.16918556126933956</c:v>
                </c:pt>
                <c:pt idx="8">
                  <c:v>9.0586169962248816E-2</c:v>
                </c:pt>
                <c:pt idx="9">
                  <c:v>2.5919541518264456E-2</c:v>
                </c:pt>
              </c:numCache>
            </c:numRef>
          </c:val>
          <c:smooth val="0"/>
          <c:extLst>
            <c:ext xmlns:c16="http://schemas.microsoft.com/office/drawing/2014/chart" uri="{C3380CC4-5D6E-409C-BE32-E72D297353CC}">
              <c16:uniqueId val="{00000001-2E90-40FB-A1F8-50E93E8348CB}"/>
            </c:ext>
          </c:extLst>
        </c:ser>
        <c:dLbls>
          <c:showLegendKey val="0"/>
          <c:showVal val="0"/>
          <c:showCatName val="0"/>
          <c:showSerName val="0"/>
          <c:showPercent val="0"/>
          <c:showBubbleSize val="0"/>
        </c:dLbls>
        <c:marker val="1"/>
        <c:smooth val="0"/>
        <c:axId val="759432784"/>
        <c:axId val="759426544"/>
      </c:lineChart>
      <c:catAx>
        <c:axId val="75943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59426544"/>
        <c:crosses val="autoZero"/>
        <c:auto val="1"/>
        <c:lblAlgn val="ctr"/>
        <c:lblOffset val="100"/>
        <c:noMultiLvlLbl val="0"/>
      </c:catAx>
      <c:valAx>
        <c:axId val="7594265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2784"/>
        <c:crosses val="autoZero"/>
        <c:crossBetween val="between"/>
      </c:valAx>
      <c:valAx>
        <c:axId val="7790508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44624"/>
        <c:crosses val="max"/>
        <c:crossBetween val="between"/>
      </c:valAx>
      <c:catAx>
        <c:axId val="779044624"/>
        <c:scaling>
          <c:orientation val="minMax"/>
        </c:scaling>
        <c:delete val="1"/>
        <c:axPos val="b"/>
        <c:numFmt formatCode="General" sourceLinked="1"/>
        <c:majorTickMark val="out"/>
        <c:minorTickMark val="none"/>
        <c:tickLblPos val="nextTo"/>
        <c:crossAx val="7790508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 board project 1).xlsx]KPI!PivotTable1</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5.220552990004091E-2"/>
          <c:y val="7.5647108115017125E-2"/>
          <c:w val="0.89092885953118606"/>
          <c:h val="0.92435289188498293"/>
        </c:manualLayout>
      </c:layout>
      <c:pieChart>
        <c:varyColors val="1"/>
        <c:ser>
          <c:idx val="0"/>
          <c:order val="0"/>
          <c:tx>
            <c:strRef>
              <c:f>KPI!$B$9</c:f>
              <c:strCache>
                <c:ptCount val="1"/>
                <c:pt idx="0">
                  <c:v>Total</c:v>
                </c:pt>
              </c:strCache>
            </c:strRef>
          </c:tx>
          <c:explosion val="6"/>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30-4E44-BBCE-C4EC20F7C22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30-4E44-BBCE-C4EC20F7C22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E48-4786-A9B6-86BA4DF007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KPI!$A$10:$A$13</c:f>
              <c:strCache>
                <c:ptCount val="3"/>
                <c:pt idx="0">
                  <c:v>Decor</c:v>
                </c:pt>
                <c:pt idx="1">
                  <c:v>Electronic</c:v>
                </c:pt>
                <c:pt idx="2">
                  <c:v>Fashion </c:v>
                </c:pt>
              </c:strCache>
            </c:strRef>
          </c:cat>
          <c:val>
            <c:numRef>
              <c:f>KPI!$B$10:$B$13</c:f>
              <c:numCache>
                <c:formatCode>General</c:formatCode>
                <c:ptCount val="3"/>
                <c:pt idx="0">
                  <c:v>310551690</c:v>
                </c:pt>
                <c:pt idx="1">
                  <c:v>403171673</c:v>
                </c:pt>
                <c:pt idx="2">
                  <c:v>672585490</c:v>
                </c:pt>
              </c:numCache>
            </c:numRef>
          </c:val>
          <c:extLst>
            <c:ext xmlns:c16="http://schemas.microsoft.com/office/drawing/2014/chart" uri="{C3380CC4-5D6E-409C-BE32-E72D297353CC}">
              <c16:uniqueId val="{00000000-D131-41C8-B098-7E3B90F1754A}"/>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 board project 1).xlsx]KPI!purchae</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9719109573588021E-2"/>
          <c:y val="8.9408474937818869E-3"/>
          <c:w val="0.8564807851395051"/>
          <c:h val="0.96211615076099288"/>
        </c:manualLayout>
      </c:layout>
      <c:pieChart>
        <c:varyColors val="1"/>
        <c:ser>
          <c:idx val="0"/>
          <c:order val="0"/>
          <c:tx>
            <c:strRef>
              <c:f>KPI!$B$17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2E5-472C-BD36-9F29395D9F5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E5-472C-BD36-9F29395D9F5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9C3-4EDC-8F50-F55DA970C3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KPI!$A$18:$A$21</c:f>
              <c:strCache>
                <c:ptCount val="3"/>
                <c:pt idx="0">
                  <c:v>Decor</c:v>
                </c:pt>
                <c:pt idx="1">
                  <c:v>Electronic</c:v>
                </c:pt>
                <c:pt idx="2">
                  <c:v>Fashion </c:v>
                </c:pt>
              </c:strCache>
            </c:strRef>
          </c:cat>
          <c:val>
            <c:numRef>
              <c:f>KPI!$B$18:$B$21</c:f>
              <c:numCache>
                <c:formatCode>General</c:formatCode>
                <c:ptCount val="3"/>
                <c:pt idx="0">
                  <c:v>309443050</c:v>
                </c:pt>
                <c:pt idx="1">
                  <c:v>401551953</c:v>
                </c:pt>
                <c:pt idx="2">
                  <c:v>670273213</c:v>
                </c:pt>
              </c:numCache>
            </c:numRef>
          </c:val>
          <c:extLst>
            <c:ext xmlns:c16="http://schemas.microsoft.com/office/drawing/2014/chart" uri="{C3380CC4-5D6E-409C-BE32-E72D297353CC}">
              <c16:uniqueId val="{00000002-F706-418C-BDC7-166CC08CA76F}"/>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 board project 1).xlsx]KPI!profit </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4.460811212186809E-2"/>
          <c:y val="3.5757618070900089E-2"/>
          <c:w val="0.86202160346219225"/>
          <c:h val="0.96424203916106754"/>
        </c:manualLayout>
      </c:layout>
      <c:pieChart>
        <c:varyColors val="1"/>
        <c:ser>
          <c:idx val="0"/>
          <c:order val="0"/>
          <c:tx>
            <c:strRef>
              <c:f>KPI!$B$24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A71-4D53-A1C4-27E11F6328A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A71-4D53-A1C4-27E11F6328A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1E-4048-A45D-7F88D4C205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KPI!$A$25:$A$28</c:f>
              <c:strCache>
                <c:ptCount val="3"/>
                <c:pt idx="0">
                  <c:v>Decor</c:v>
                </c:pt>
                <c:pt idx="1">
                  <c:v>Electronic</c:v>
                </c:pt>
                <c:pt idx="2">
                  <c:v>Fashion </c:v>
                </c:pt>
              </c:strCache>
            </c:strRef>
          </c:cat>
          <c:val>
            <c:numRef>
              <c:f>KPI!$B$25:$B$28</c:f>
              <c:numCache>
                <c:formatCode>General</c:formatCode>
                <c:ptCount val="3"/>
                <c:pt idx="0">
                  <c:v>1108640</c:v>
                </c:pt>
                <c:pt idx="1">
                  <c:v>1619720</c:v>
                </c:pt>
                <c:pt idx="2">
                  <c:v>2312277</c:v>
                </c:pt>
              </c:numCache>
            </c:numRef>
          </c:val>
          <c:extLst>
            <c:ext xmlns:c16="http://schemas.microsoft.com/office/drawing/2014/chart" uri="{C3380CC4-5D6E-409C-BE32-E72D297353CC}">
              <c16:uniqueId val="{00000000-D599-477A-ABFE-3D762CAFD1B1}"/>
            </c:ext>
          </c:extLst>
        </c:ser>
        <c:dLbls>
          <c:dLblPos val="inEnd"/>
          <c:showLegendKey val="0"/>
          <c:showVal val="0"/>
          <c:showCatName val="0"/>
          <c:showSerName val="0"/>
          <c:showPercent val="1"/>
          <c:showBubbleSize val="0"/>
          <c:showLeaderLines val="1"/>
        </c:dLbls>
        <c:firstSliceAng val="0"/>
      </c:pieChart>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[Excel(dash board project 1).xlsx]KPI!product wise</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8381452318461"/>
          <c:y val="7.407407407407407E-2"/>
          <c:w val="0.72865748031496058"/>
          <c:h val="0.67430993000874895"/>
        </c:manualLayout>
      </c:layout>
      <c:barChart>
        <c:barDir val="col"/>
        <c:grouping val="clustered"/>
        <c:varyColors val="0"/>
        <c:ser>
          <c:idx val="0"/>
          <c:order val="0"/>
          <c:tx>
            <c:strRef>
              <c:f>KPI!$E$2</c:f>
              <c:strCache>
                <c:ptCount val="1"/>
                <c:pt idx="0">
                  <c:v>Sum of Amount</c:v>
                </c:pt>
              </c:strCache>
            </c:strRef>
          </c:tx>
          <c:spPr>
            <a:solidFill>
              <a:schemeClr val="accent6">
                <a:tint val="77000"/>
              </a:schemeClr>
            </a:solidFill>
            <a:ln>
              <a:noFill/>
            </a:ln>
            <a:effectLst/>
          </c:spPr>
          <c:invertIfNegative val="0"/>
          <c:cat>
            <c:strRef>
              <c:f>KPI!$D$3:$D$13</c:f>
              <c:strCache>
                <c:ptCount val="10"/>
                <c:pt idx="0">
                  <c:v>Car accessories</c:v>
                </c:pt>
                <c:pt idx="1">
                  <c:v>Earbuds</c:v>
                </c:pt>
                <c:pt idx="2">
                  <c:v>Home décor</c:v>
                </c:pt>
                <c:pt idx="3">
                  <c:v>Laptop</c:v>
                </c:pt>
                <c:pt idx="4">
                  <c:v>Male dress</c:v>
                </c:pt>
                <c:pt idx="5">
                  <c:v>Saree</c:v>
                </c:pt>
                <c:pt idx="6">
                  <c:v>Speaker</c:v>
                </c:pt>
                <c:pt idx="7">
                  <c:v>Suit</c:v>
                </c:pt>
                <c:pt idx="8">
                  <c:v>TV</c:v>
                </c:pt>
                <c:pt idx="9">
                  <c:v>Women dress</c:v>
                </c:pt>
              </c:strCache>
            </c:strRef>
          </c:cat>
          <c:val>
            <c:numRef>
              <c:f>KPI!$E$3:$E$13</c:f>
              <c:numCache>
                <c:formatCode>General</c:formatCode>
                <c:ptCount val="10"/>
                <c:pt idx="0">
                  <c:v>85986430</c:v>
                </c:pt>
                <c:pt idx="1">
                  <c:v>22303158</c:v>
                </c:pt>
                <c:pt idx="2">
                  <c:v>224565260</c:v>
                </c:pt>
                <c:pt idx="3">
                  <c:v>229998228</c:v>
                </c:pt>
                <c:pt idx="4">
                  <c:v>55830333</c:v>
                </c:pt>
                <c:pt idx="5">
                  <c:v>341914931</c:v>
                </c:pt>
                <c:pt idx="6">
                  <c:v>48617975</c:v>
                </c:pt>
                <c:pt idx="7">
                  <c:v>237881153</c:v>
                </c:pt>
                <c:pt idx="8">
                  <c:v>102252312</c:v>
                </c:pt>
                <c:pt idx="9">
                  <c:v>36959073</c:v>
                </c:pt>
              </c:numCache>
            </c:numRef>
          </c:val>
          <c:extLst>
            <c:ext xmlns:c16="http://schemas.microsoft.com/office/drawing/2014/chart" uri="{C3380CC4-5D6E-409C-BE32-E72D297353CC}">
              <c16:uniqueId val="{00000000-BF67-44CC-9C6D-F85C8D278A7D}"/>
            </c:ext>
          </c:extLst>
        </c:ser>
        <c:dLbls>
          <c:showLegendKey val="0"/>
          <c:showVal val="0"/>
          <c:showCatName val="0"/>
          <c:showSerName val="0"/>
          <c:showPercent val="0"/>
          <c:showBubbleSize val="0"/>
        </c:dLbls>
        <c:gapWidth val="269"/>
        <c:axId val="779044624"/>
        <c:axId val="779050864"/>
      </c:barChart>
      <c:lineChart>
        <c:grouping val="stacked"/>
        <c:varyColors val="0"/>
        <c:ser>
          <c:idx val="1"/>
          <c:order val="1"/>
          <c:tx>
            <c:strRef>
              <c:f>KPI!$F$2</c:f>
              <c:strCache>
                <c:ptCount val="1"/>
                <c:pt idx="0">
                  <c:v>Sum of profit</c:v>
                </c:pt>
              </c:strCache>
            </c:strRef>
          </c:tx>
          <c:spPr>
            <a:ln w="38100" cap="rnd">
              <a:solidFill>
                <a:schemeClr val="accent6">
                  <a:shade val="76000"/>
                </a:schemeClr>
              </a:solidFill>
              <a:round/>
            </a:ln>
            <a:effectLst/>
          </c:spPr>
          <c:marker>
            <c:symbol val="circle"/>
            <c:size val="8"/>
            <c:spPr>
              <a:solidFill>
                <a:schemeClr val="accent6">
                  <a:shade val="76000"/>
                </a:schemeClr>
              </a:solidFill>
              <a:ln>
                <a:noFill/>
              </a:ln>
              <a:effectLst/>
            </c:spPr>
          </c:marker>
          <c:cat>
            <c:strRef>
              <c:f>KPI!$D$3:$D$13</c:f>
              <c:strCache>
                <c:ptCount val="10"/>
                <c:pt idx="0">
                  <c:v>Car accessories</c:v>
                </c:pt>
                <c:pt idx="1">
                  <c:v>Earbuds</c:v>
                </c:pt>
                <c:pt idx="2">
                  <c:v>Home décor</c:v>
                </c:pt>
                <c:pt idx="3">
                  <c:v>Laptop</c:v>
                </c:pt>
                <c:pt idx="4">
                  <c:v>Male dress</c:v>
                </c:pt>
                <c:pt idx="5">
                  <c:v>Saree</c:v>
                </c:pt>
                <c:pt idx="6">
                  <c:v>Speaker</c:v>
                </c:pt>
                <c:pt idx="7">
                  <c:v>Suit</c:v>
                </c:pt>
                <c:pt idx="8">
                  <c:v>TV</c:v>
                </c:pt>
                <c:pt idx="9">
                  <c:v>Women dress</c:v>
                </c:pt>
              </c:strCache>
            </c:strRef>
          </c:cat>
          <c:val>
            <c:numRef>
              <c:f>KPI!$F$3:$F$13</c:f>
              <c:numCache>
                <c:formatCode>0.00%</c:formatCode>
                <c:ptCount val="10"/>
                <c:pt idx="0">
                  <c:v>6.3058895135674323E-2</c:v>
                </c:pt>
                <c:pt idx="1">
                  <c:v>2.0496417417084387E-2</c:v>
                </c:pt>
                <c:pt idx="2">
                  <c:v>0.15688156080273188</c:v>
                </c:pt>
                <c:pt idx="3">
                  <c:v>0.16863067108383326</c:v>
                </c:pt>
                <c:pt idx="4">
                  <c:v>4.6093975820913111E-2</c:v>
                </c:pt>
                <c:pt idx="5">
                  <c:v>0.21752806242544345</c:v>
                </c:pt>
                <c:pt idx="6">
                  <c:v>4.1619144564466755E-2</c:v>
                </c:pt>
                <c:pt idx="7">
                  <c:v>0.16918556126933956</c:v>
                </c:pt>
                <c:pt idx="8">
                  <c:v>9.0586169962248816E-2</c:v>
                </c:pt>
                <c:pt idx="9">
                  <c:v>2.5919541518264456E-2</c:v>
                </c:pt>
              </c:numCache>
            </c:numRef>
          </c:val>
          <c:smooth val="0"/>
          <c:extLst>
            <c:ext xmlns:c16="http://schemas.microsoft.com/office/drawing/2014/chart" uri="{C3380CC4-5D6E-409C-BE32-E72D297353CC}">
              <c16:uniqueId val="{00000001-BF67-44CC-9C6D-F85C8D278A7D}"/>
            </c:ext>
          </c:extLst>
        </c:ser>
        <c:dLbls>
          <c:showLegendKey val="0"/>
          <c:showVal val="0"/>
          <c:showCatName val="0"/>
          <c:showSerName val="0"/>
          <c:showPercent val="0"/>
          <c:showBubbleSize val="0"/>
        </c:dLbls>
        <c:marker val="1"/>
        <c:smooth val="0"/>
        <c:axId val="759432784"/>
        <c:axId val="759426544"/>
      </c:lineChart>
      <c:catAx>
        <c:axId val="759432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59426544"/>
        <c:crosses val="autoZero"/>
        <c:auto val="1"/>
        <c:lblAlgn val="ctr"/>
        <c:lblOffset val="100"/>
        <c:noMultiLvlLbl val="0"/>
      </c:catAx>
      <c:valAx>
        <c:axId val="7594265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432784"/>
        <c:crosses val="autoZero"/>
        <c:crossBetween val="between"/>
      </c:valAx>
      <c:valAx>
        <c:axId val="7790508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44624"/>
        <c:crosses val="max"/>
        <c:crossBetween val="between"/>
      </c:valAx>
      <c:catAx>
        <c:axId val="779044624"/>
        <c:scaling>
          <c:orientation val="minMax"/>
        </c:scaling>
        <c:delete val="1"/>
        <c:axPos val="b"/>
        <c:numFmt formatCode="General" sourceLinked="1"/>
        <c:majorTickMark val="out"/>
        <c:minorTickMark val="none"/>
        <c:tickLblPos val="nextTo"/>
        <c:crossAx val="7790508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7840B941-2B30-4AE2-959E-F323E587A499}">
          <cx:tx>
            <cx:txData>
              <cx:f>_xlchart.v5.2</cx:f>
              <cx:v>Sum of Amount</cx:v>
            </cx:txData>
          </cx:tx>
          <cx:dataId val="0"/>
          <cx:layoutPr>
            <cx:geography cultureLanguage="en-US" cultureRegion="US" attribution="Powered by Bing">
              <cx:geoCache provider="{E9337A44-BEBE-4D9F-B70C-5C5E7DAFC167}">
                <cx:binary>1H1Zc922svVfcfn5o4J5OHVyq8K9tyjJ85A4zgtLtmUSnEkQnH79bXlISciW5YPjW/XZL6mIm2Cz
G6u70b0A/vv98q/31dXl8GCpq8b+6/3y68N8HLt//fKLfZ9f1Zf2pDbvh9a2H8eT9239S/vxo3l/
9cuH4XI2TfYLQZj98j6/HMar5eH//BtGy67ax+37y9G0zQt3Nawvr6yrRvuNa0cvPbj8UJtmb+w4
mPcj/vXhmakv4UHVg+fD5Ycrmz98cNWMZlxfr93Vrw9v/frhg1/8Mf/x/AcViDi6D3AvxSeaUC6E
IujTP/zwQdU22ZfLUp4QKgimQn2+LL4++ullDbf/J4J9Euvyw4fhylp4w0//PTbCrdeBHzx/+OB9
65rxWp0ZaPbXh+fNB3P58IGx7e7zhV17/S7nTz+9/C+3DfE///b+AOrw/nLDVr7u7rv0D1P91nzI
h8sfbyjMTyTnHCuN9Od/tw2lT7TgDHPNPl+ltw31/WIdN5N/v2ek334uI+3y/HIcjc0uhx+IJYJP
CACJaX4US4qcIIaJ5Ijcts33SnPcMrfv9uyye/1zgcfay/qrcv5750bECeWMKg2oOYIZTU4UmAMA
RY9j5j5pjhvkt8+3eZb47dVPZYnXl7WpHjy9/OB+nDkwPkFYYISUuu271AlDEhHE5deHfY4u3yfE
cSvcvNczxWuIEz9RRIkNpBhfFfMDQMFPhNSKY06PRXwFl5EWgmnPS90rxnE7fLnNM0H88qcywS6/
hJTjx0YLik4k0eCflDhmBylOpEIcSy4/Oyf2dQp8xsb3iXTcJjfv9QyzO/upDLO/qnLzVTE/ABvq
RDBKNRLHbSJPMOZMAng+28TLhu+V5rg5vtzmWWL/+KeyROKKy+Fy/IG2ICdCE4ElO5pNSXzCtUQC
DHLUFt8hz3Fr/H2jZ4/k4qeyxwUEjfLabf1Ai9ATwQUmWn3Jl26HcYgcXDBMifiSbXke67skOm6T
G7d6Vrn4ufzVo8uhuRwvS1i9/qgVPGYnEiNG2B04EScY4j1E++NJ7ndJdNwqN271rPLot58KK4+u
hsvqR5oEnTCmlZQSIHCzmiIg0VUEQPIlvHgp1v1y3GGIL/L7Vvi5IsiTyw/5+n9QOSH0hFMFiRT/
UsPCt42iTohSWlD6Jah7lZPvF+u4cfz7PSM9+bkqJ08uIa5c2nwcfiRe9AmDmomisBb/9M+zELgw
pDQlX0pbmn/1np9T4e+U6S7z3Hgh3zY/V3B57pri8t1X3fz32TCsUBQjkF8RWJffdGP8BDyYQhp9
WZp4iLlfjuOm+HqfZ4Xn8U8VTF5eFpd2hMzrxxkC6lhcMcqIPr4soWAnSIIVk5/h49njuyQ6bpIb
t3pWeflzpcOvr6rLJrtsfqTXkicQUASH6uJteOgThMAYmn/xV3D5c7L3par1PaIcN8eNt/DM8Tr5
qUDy+zhC2+2Hd7MAKJ+6WRiKjEcCiUKwQhGUk68LGA8o3y3Vcet4t3sW+v3nCvSfXubyB68gIaLA
+hBBl0R8XrT/AzlQBKawwPx81Q/03ynTN6zz9YV82zz6qdDz5sqOD+Ir8GfVV9fy30d7SJPVdQMR
ydvRXskTLYnQ7Mv60TfKdwpz3Ci3bvaM8ub/77h/vINwc1V/6xf/YV+eEGhdEQ7tki8x3UuJ9QkV
VDDJjle/vnTI75bmuDm+3HZL8P/jdvvdrfi/aQt7qJgcPvEdbnTjv3310+sBG8O79VbR5dZbfsXR
+YdfH2IMceFvFsX1ELfi9y3d/v37K0j6fn2oJaTGWFLOKRNQdhH64YMZ0PrrQ6FOsIa6MdT0NdQA
EAWDNu0w5sDBgMIZwpDbSWhWasavL9nWXV+CJoBA8EcliYScW0NT5uurPW+rNWubv/Xw5f8fNK5+
3ppmtL8+hOpD9/lX12JGBMN8kddtH/j7+8uXwGGBH+H/Z9MlbUujxVmO95o/sxPkdn+//3ePSzS8
7M1xNTGTsNUiDyPPqzzetnV9kxOxfOZpfKZp/AfDQ7C4OXwho3Kdl0Ye8qEfhpez2FD2Olu29uO3
xYeq/RG1EA1+7+b4ut5K5cpUHDThdnvR4VqjOKcFxzFiqCYxo/2Ynn77YcdtAJn87YdZgUQxZ404
LJYqGitEsyFuV6H++vb410L/08bk2kvffBmpe9QVehUHhzv2BOOZ1a9mVCDxeFVjsySR3MQQ12vf
vfz2A+96oeu/35hUnULdJK8fOFVaLhdt7lK3Y9bl5vDtB1zPomNvBKC8+QBlthmNjvLDXFo5X4iV
pmTXlZbkj3mZF+QJdqUrd73tm1XGqGK4P0VNPg1n334+vobHMQHIbQE6WduS25UfXJZN/U4RlUiK
P3Yl7ecy7rN5qmO3yuhxO2e4PDjStqqJo0yRGipzIQADx3BTBVW21lPFZ1CBInxHh/aj5LO55/3u
MqDnFVpA6qzWkR/W1co/Ubu2cTq54lmQ6MrzDZUqjLB04IeSGnOFgGT3uIlM6XZhw3u+oY1m3vU5
54dqlNMfeO5ZvKSbDPM8yvMMQzUXXUd6fhjbaNsOaImmYS+6tpWB4nvegCwZVmtVgDdomSt2qxAL
i/seoLQP04/nDkixRk1ruyhp2lWK59ZASe+Pehyjj2Hje+i3Cjk0L1wlW4vrw5qxaIgXU9rhHgVd
y3kEe8oDv25LVjmypkkbqa0+nQfcTYdqXrHZ9yZnOvAxHsQpa1M1d5FMxtGR8awRbYMOW4Or5dCZ
cV7CoKY8HPft1Kd0qVXSkXJ7XQ5r/qyRQr/+ti3u0pUH5LlcFJ4h7UhItJhDZQdJH2dsbfs3JVfl
co+q7nAX0gN0rrKuVLJTyVCx9TyqN/RMZ3ioIIsPcHXSB3RqVgTKEYmTPVliVCzsrdja7p5gcpf0
HqLdJFugWwiRTBVYYKyy+sBcJLtA6T08O0ObtVoLlTA7lWCDVS1RbNFqtsAHeHgudcR7vYD2Na77
5rzDvJkPQyG3+XmY/j1AS7JSi6NFJNrm5g+prH2+mKxf75H/WhFH8Cw9PNd6mnnhMpnUle3Tl7Ku
e/cH7TeNLsYo1/IF5LpUnIe9C7kdNuU6AMUD2GZJR9lozsaNLjrOy3pGYXiWHp4Xs/ZiJINMSpt1
7NzWZFJx4dhwX2y+nvXH1OVBes2KDNUzzKc+XbthX2RUyud1tE3iIhvTujwsGVmbP6ta0b9ck83N
PZq7K+e5Xr/cyjiWLJXtNoPfrVTVXeSRTSVk9qWGtE6Nc8HGuBmLbdqZXHT1ablsmdwLNtP21YRG
4cIULDxvsKYikqqM0qSWkdtTM8tEyYreMxnxtZ2OqFd43oBP42J60uuEom1oDxtOp/HA022rzjpN
5foss3X7sYvYXJ+xTTX86UIpaZ4QqVTxpyoJ5/eIcodfEp7jUE3Bu3Y2LOlkaulObPqqW5a5D3Pa
wnMb1UAFXpdCJkPUzUk2YlbFGVXZhyCgCc9pODwIVRQZS7JuUW85hNKnFkV1mM8Wns/oadYUUSR1
witYyewcVvUWOzOs9p5ZdgfKhOcnrOlXTpZBJeM6p+RcsWFA75YOA+JykqM2bozr6phsosved/Vm
SaBZPP9B56aCSTSIRKi0dnHXE1vHq2NRYLgQnv/Y2Fb2Tgzy4HqOD2Kdsv0m2mgfZHbuOQmRatQU
/bIl1mVjsjWyiMXQFff4oDsgwT3sA4E4jxYIDUlBTL0jIy726dqSsEl1TTm+6eBg1dMqbNotIbBu
jFGO3zQZuy9rvUt0D81YdA1bqmxLMrmOT9zaIMgF+hwXYfOGe3DOCzd2dFi3JEprfU6mpdynVLEk
zKwemmk38W4sYfQxJWw3U2ljW2MTKLuHZtWQTU0SzBqNJN+V1E2xKCUL86Pcg3KBogHNqd2SHpvq
1Oom202cbaff1sy1fo/EC+7htUl5vm04mpM54lew7CynUzaWXZOMsxSBb+BBlk5yaooynRMKwH2p
x7Y4YNaWYctx5kF2bCAVmjcxJy3j4lxp7vbF2gS6G+ZBFo91laqtcElmK/bIVLV80i1VoOgeYiFQ
p2WJ6Zj0bZHi3cCJ3cl8KfMwb8Y80PI0s2W0QZmna8xyUY7Z+NilaRUGKuZBFuqj0YRdMZ4OLpvt
KzojVT3jgxJ52LxhHmpLbKY+m8gCKaHbdmXH3656be6Z+Hc4NOaBlhdRyZRKp0Nf5Tim1pG419oF
iu6BlnYFI2mhJtB89HYgkN81ekkDzephtuy2IYqs+CI6Iz2J+SRCRffRylXqVI6ng56haEyuR7fB
iqEeWks0dWllYfSl0PnOqdLFQpAiTO3UQ2vOuGphNw6MzshVb1h1mpkssLJFPbSWsNVWmQwG15ur
k0rqAVZeYgnLDaiH1WWkMq3WcjrwMZ3jBU8kxl06hoUo6mG1zjvStBS5QzNtTTzn5soVGw7UuodT
uw1j1+azO9RlzmLB+NtosiRwcA+nKOUDXfNoPMgeNXu7mEvrNhs4OLmdMvVWLwVkwu5QCJ3HojBV
7AYiA0f3cCppEWUm0iC6dviJhfbI81RmVViLino4XRwjDYORkw3DRu94a5Tg+2iMlA2bM8SDKukX
Xbsum5KV1c0QR7TjSTeT8f23M487HDDxsIpNSoZ2qSGypra60IXFe1sW6yFsdA+sbkg7mq3cJaOm
f+GCvLCMvggb2keqXYt6XaMxMXn0FNzj25XIwFoh8XCqjaklbuSYFHOu9i7nr9sybQMN6uG0KW00
aOVcEpnR7KpCPpakR2GTnXg4hbbw3NlFRYemWj6YFb8hvAZuSkABlXgoVWbOIojXawLD2jHeiM1F
vFqahble4uF0yrjLSzaMCXB30J9sBD8QW7PhsEyDeEB1fUVQlbYuqdth27eLfJebLg1TO/ZAmirT
y8kMLuHrsO7qugPRy/s6r3dA9JoNeHNFqRvBTBfVYwLdfv1E2Qw/qaK0exNkVuxBlIxkHOCYCJiO
eZrHtJ7/lMqEmRR7GN1Yq4s0L10y8InGWC1vq149D5Pbwyib2TIbCmNHhX3N3PqEM/skbGgPoe2c
ptlIs/GA0ijaRUX62GwosD5wTQW5aU2Mu05uEYkOsEv2Wb3Kt2pYqzDXgj2IRjnk6UMLOqny5kWb
tadpnYd58k+VzhvdeNbNK12ggH9ot+lsmMkjxsMi6KdK8Y2Ru5WPou1gbSfq7LFql6QZ0rA2K/Jg
aapxyZ0Dobv6921yu0L+ETRDkAfJShdDt5VgRJaX74ZFv1CbCPNTyMOj66dyWWcxJqst8OttHUlS
OGr3YYJ7iKRNujSF0WNiI6ASkKY806n+M2xsD5FlZSyHnWTRgRvIbiMkLpmmgYENeZiEid33FYKQ
nBuxxNyyaK+1nMKAgzxQKjvJkfEpOvTi1dDuFVSxw3TiITLP8p71+TomTgGZY6a2i3EvXocN7kXM
Gfpd69qk9oDz7myuoLff02IMnClevBycQ2VUweCq4s+p694btg5BWoFtUbd9IFDUVtQrbQ9DTZ9z
GHtxU+jYHjTxbCSlC4ayMaHosVNZcdGzRQRpBfuUrtyyqYJ8FiYK30S8oeL3SuRBCRbw9W5rZdGO
zaUG5C90HYsdYqlo9wQyIBPkWoAtePsB3VyzFHo1Y5Kx7jKapzfQfPg9ZCpi7cFzohQNgoJenMv4
vneliSmcjRKUR2DtwXPIJwn16AUEX5bnrkUXy9SHIRRfn0pxMx4XtURM5tQmqqRPKiAcHmDfJQnU
uIdQlw3AuXTTmKCuesGialcMeVCSgrWPTx41a0ZrmxDCyW6u8bDDrPgYZE6fXLVCR8GqerTAZhBv
M7tcGMlfhQ3t4XMZxrRUJBqSFVdzXLWyP23qIoyGgX1iVcvnRk/AFUqghbTtm619Kqm9j2NwPZn/
WaXHygOo64gtczwPSQtcmyq2bogeRRNaX4ZpxoPnHFHwisyBRaf1g4UMbrHqXdjQHjxHCDx5J1qb
lCJ7uXTdOarrsHnoE6mmVJWiqNiQbFOfH6Y5I/uoat6Hye2B02wstcNS2kTn3a5k69Na3Zd2Xmv1
mDE9aM4R1IOnTg5JXk/cxYMUxZNedEs8F8StuzD5PZDyslmasuVDUhn6V5WzN1FXvg4a2qdLLcB4
rIRMB8D/ZM8mO+AYTyysVYd9tlRGcm4GSkBwht/UU9TELOr+CJPcy3Dzpe/KAeU24cSw+bBRt7K4
UVVe7sMe4OGU5VmmnKpgSi7RC1OT16YPW4vDnu/b0aIyvIcFMwydrvrFiMyzlIqgNhQcS+INrda0
7qd1SGhakyRSZHyBs9kEMX1hB8Ht0YmcEJ8MzMQUbWu8Dn1CWSA7DUsPpvWSRuNi8yFppg7FaJKn
/ZyFVYexz4UaB+Yc06BycI+PppU8qvgSiCEPnnrOKlf02ZDINGtiua2P9GDC+mYQ529rXMMsQQsp
hwS303OK+8cDGsPk9tlLg4HuhJijPrFCvTF4eFGVfdAiDk72uC11urC6zLpiSARoJtZAQo/7tVZh
/tBnI4206KOi1T30bfJ+N5DyhYt0WArqU5EQgnVWw1GfZIbWRTxDoeLgUCQCFePBsyg0sNKKFXCj
13qnnBAvK4O2QIt68JwKLlLg2vXJpgeyw5Y9hUga1j3HPg3JRY1q+dLCdGk1QyX42rW0eaz0VAbV
cGBT2e1ZA1xgpLOlAd1n+Sx3DRTPkjRlfVgfAU43uT3+WjqnhjrtEhXZst9Nc1d/dFrOgYtGn3CE
a4LYrKMuGfLV7utMFDFoiJ8GxSOfcCTlsig0oS5xlSA7JIDEDmdKBvpHn3A0VsDAs7TpEstkNsZ4
I+VluS5NFodJ70XTxQximBfQTZsXbWzG+velwmExz+cbVaSd60g60HujurPVIns6V21+Fia5B9mJ
TnTtqrlLipRvb1CbZmdw9lpXBirGwywFP8nJCmbVTdrbU+kUZTFPW9EHPsALq9CMK9umm0Dz1M7n
w6B+z/sqrDaPfcqRLGsCHOOhSyQbX5nMvpjL8VWY3j20Zuk606rK+kQ2+q+mnXGcM3Yft/baeEfy
dp9o1EPJXEWu7hI6FOovCU2FM1fWU9iU8YlGI4qWdaO8TQCpOhZAfYmjNZKHIMUwL7gOawQ9+gpG
59PqYo67i7K5j8Ukr7V7TDEeTnuzAL1OkTaZRJmlMXSLC3A20izlLqt1Vp7V3Tq/crWtzqmlkUjG
PO/5a9jiJvvncNiEHV5pWYuzEvqS7VlRNkzEsjJQjM+WXqE53ljRD7/PPYncDq19U162eR71OwGJ
JdljDrX2g+zc4vYVhirZTkCXejl3faSKhMglZ+dpW8zrDiOoJvwZAbN3PcW0sHJP5QJjzpUZt9Os
17mF3XZkc6c1Icu2t1NNm78WyVj6fGQiKt5ZzPs+URvRUzIs8L77btz4oUATV7tGElzuxCozd5bh
NtOPhWpgXxjqN/KKKD3HExHDeWfssCWo1Wo9netqYvtpYBk/THJmUMKu8ontsqqrW8hntV53ajBU
xnVrBvxobtJCn1cUjyzZQNvzjtNyOt+2qH46NBNie4amaYuLdEi3VxUuWhmWhfhsr3phTpSOtong
eQtVnygmGdVh/sZnelGWrpBIVl2Si/oqZeWrVJpAuT1fOUEnZqkIyM1dmlhdXaQchxUHmecl+QTM
FAwVpAT2Dy9xGuky1hVuA3XiZTYDyqgooWmXZKQo4qXsP4piCEv6mOcnC9jeOjUStYlbXfcUdoOZ
s5aOdZgr8zleuTDINUTYJBtK9phB/grMfze+DXJlPsdrqLNpmrqpTUqVuT8G1W9QzG/UGKZ2n+XV
N2aEbSK6TTQUlWNOisf5loXtNINvD9zOJhFAGE7N7dpkbbu03rdoLpKlRyZwlePTvHBj8BZRmJEi
q/lyILZxWywjXvb7MOV7ic1Y93Ma5WObQKPq49yxCx7ZsB0dmHpI7dw8TP0q2yRHGnhko5VLtaO6
IB/DZPfgOvF+o5MjXVL1elOxbHsKPXZFSBgXA18fdnCzoD93TYXRkkGCAJ/XiJ2ci4MxJjBB8Ple
nZzTYssghEOPZtgBo0zsumhGSZByfLLXjGCrNDdNC7tqq+pC0ImPsegHEcbvxz7byxZNBkSmFtxw
4+RF3lD0F6xp17BS8PWpbjc1L5e632oL+SqUspbzlKUukWiUYZOeeKgltHLaXEenwtTZzs59Frux
rsMcjk/5wgNe3ALr5CRaG3qVA9v8aqtdHcb8xMRDLCe0KfKi7BIu5BSdl7rBO5TOM7+nd3jHvjrs
E79gb2uaiko1yVZhOrzuSjO1u1Q2pNvPto1ew4azp1Gkq2IPWVypd5mGxehpHnHeBlrfAzZsChbI
FZB/zmufq11UFxmcB5E3XXUaBg4P2ALRDdYs154pHXH6qDYZ7Dtb+3VEu7AHePF4Q26A7bWkSeAo
T1PGy1zMLC5KNgUmWD5NTNitHhoCD1gdAdry5t4Ae/99kPA+S6wa63XUbmuSbmjsbsnox23koYJ7
yM76DVtbyjqB3Pa0IuUFITasBOBzxOooQtkMJ4gkI5vsrowYtBrm7WWYUrxy/ZhXQ4bnqUlSN6iD
y0kW19wEhkrsgXqW8DGhBiyamGGJ3tXFTN8PEYSbMNm9QGwL1rSswXUCudZTOW2Pqj675yyXawGP
LBV9nli2QJ9RDG2T2IXkF7gaVAwfRprDgphPFZtLYdRU0jqhpWqzuFCqv8ila/IwmPqEMaaXlooG
1YnkTbHrtTorGV7D4oBPGRu6JstSbZpEs3x+bIea7eRYTC++bdPreXdE8T5vTM/lOs0Y4nu1sR5S
fmQzfagQbtuDgFVdE5Zj+RwytYpUCZq1CXJ07OKcj8U1tJBuw2Ix8mJxHRnbT9rA3OTklRvRywyn
YdMeeZCFkyxGhQaQHaprfG8GKOVvDjeB5vUg28BkjEpgBR6wHNKX0xp1r5qch+1mwj6NrDINdojY
6toHqxddTXkyGq4Cle4F2A6qCyitmwqa4VCVaHv1ImKZCVSMF1zdOjarW00FDAE4wmkHmw/7t1ul
2ylwfC+2woE0adqNQ5Vsg3wHtaMntczffBtUx70ZfL3sdtrJJgTdatghCJtW27SIe+umq5n2YUdv
wMGrt4c3sHxr8vRa7Z1KoeBo1XktuAua7sgnlLWkcMs2gPBplkPZCZMuhiNVwiIUfHbntuxabHLl
FupveB7xum8M8BF2RdMUU1DxBfmUMjXNaQeZbZXgXKx7lSH0vIX9fC/DLOuhdRUGKlxzH+0znC3t
RYEwekpIx9090n9akf/TH8N3um7rB77VQhYhHEwd4Xj9rMe4cWemnPrhFBZijpzC5/CE3fe8WtrH
0QqrgsedLPr6LXzRkJ06QbZzyaKVx3pLHZyusEZl+axu+EJ2dd+vZrdlebq9a9PVuNOmg5i7c7xY
3tOasUdTV4wXq8mnU5q6GYaAMzDyGNWGba9zDPtbXpTX51S8bozq7B4WbGyDq8O8yxEwP58WXR5t
e/i1NU8oSdspKJFEPiEOeI09ud6QfMhSXDyddKkfE0OysACLtOdo2qjkLVRHy4Qs6EqQ/oXG2fOw
6eL5GFhrrnUk5jKhG/BsK8LOSWvvO0jjGjJHpopPiXMuqrPNLmXSd3BWx/lgt2re6xVYD/sZVgjZ
udCiyoOqa5++Z3ZzJY17DV9CmXiZRF0kDqycq9Otq7Lfg/Tkk+TyNXWwRqRlMrUs30fp9mYsyH16
uo7Tx/TkuRyMMuPKwZWJqJx5Baxq9kzl2XK5FDi6p7J51yOu/35jxwBKtcxI15cHu9BS7POxH3oT
TwMU28/NDDva7llU32Vyz/0APSFzk6iyA3zNtCxPHV8wsMOi6mDqTZEdMLrDqkrwoYLbb5TlUDtJ
hwqU1pAIiG7iDTiiwACmvLwhggNHoBDQlAmGdtxI59OR4nsc9F2W8MAsKXA5N9iDuy+zXo7nurL8
tFUa+v4imyoUxC5AysM1h7GFMTKCYzrgIEHY6579qXsZtrUVPjlwW/d21b0x61AkUvLxFDjXKk5z
HLZYQT6RbjJQiqQO54lhip1201rvlTZB67hPByvfAoLocFXJKt3jyVyglMasFWE6lx6MV4oq244w
9LaxQ6r709qQoPUhHEp7W+ErnLpmrC7TfWnII8mjR70Iq+Ihn0MHtEJQkjDpvivm/qKwdkwiTl8F
uU2fQpdymU8rjWCy48weum5g8aordho2uodSpMsh5SgyiTS2ewSs1zd9toYdDot8Dl0mZBZNxJmk
Wkl16vTYnKG+CqOiwpc2bxs0Whfop9SDSUxR9PsuV48jOdhDkF58Gt1SoN5Z2ur9WDOznBIy/94N
ZRlWVEQ+lS5v9dhXrNH7ZuqfllWbFEMbFsR9Kt2aL0tWZ5BIVaMzceMatNsqfo/nvWPR4zPpJmDn
b7DDD0BkpzYG1tiuE3CicJjOPYRucEiPncbOwK6let01Wdf2cTo0OoyQhvxjvXS9wp6LkmvYaNVu
JFZVOjxql9KE7YNE/sFeTjRpI3uq9/W8Qc/2BbAA7tHMp9rekfTG59IxscFWjCbLE7xGdHqETM1h
g1EGB4e+hpOS2sRwvdFY9lPNDwKqa/OuH0s+wXGcnVhPe6dRf9g6nJHLWnIyJamiRgZV4OHThbdx
uEQ9hnM3xuvl0jBm54Yi5Q65LW2zD5sXHtAbY0ahcC73y5ALcFBr4ZpdDp/0o2FrD5+HN4yl26a0
cwfX5t2hVmzed5oFVZqRT8ODlI3TjtbugK/P/Zp5Dzu1mQziV3/60vDNUNzJidl0hMEnB2c3V5b1
cVuRMI4f4l40ZrmD3fCucQdS4G5HS1zEUJF4F2RVn4TXlgo+Q0PT8TCRvI5VFMEGroWhsLjGvSQ6
A64pYhEdDy0wa+K2HLKnlaTjH2Gye4kzm7uOYtGPh0hD14OVW3YwKw9UDLmNJzPMuIVG7HiAMyrJ
86ZeyncCbTIsDfIJeBvP5350kz00jah2cHI1nAjD0rBTTxD3oFrpkW5UcXswchlOeTrC+eJRGdZj
Rz4Jj86EblU52gOd6xwYV+Nr2F693ONj7whtPgfPzT0cmSVXe1gl3uISlcNOloG5ik/B46UTEe1B
61sNx7XM4/oRDXnYXkLkn/QVbV3dpxV1hwx2z+z1nOc78MdhzXvkc7822AaRmgkSK9mRd7amr+qc
hG2vRj71K6+hpNx2zB0MGlC8dCQ9pCnQ6L6N0juWif4pXxUue1K2VJ2KtOLT89zVpj5dBamGUzZ0
EAW//Zi7Jo6H13SiKcPF/3L2ZU2S4mi2f2Ws3ukrNi1jU202gHu4e6yZGbm+YLkVIBAISSDEr7/H
q/vOTMd0dV0Lq3qJjAjCHUfS953vLHgTCGiKqjXJm3LcltcxwUj24nTVbc2co7h604xdxUEDK8UU
frzupb9Yrr3EdgA+oznoTYeyU7OsrKpfd/C9ZIIJnRGn8twc1n5Zj6rlSQED4/11J99LJlhQKaW7
8ebg2n04xrZ/v8cyf91H+pIHtrcq2ydgPQfNW1aqYZMlKKmvo/2Tl0SwkQXmGK/1IVKRKeWuxyLV
4XXOTeQlDazOssHEkupD5+a23HM1lBw2+dWrnpj0ugj+Bwi2xAGQs2n4Ucpxf96J3j5IMv6Zb/0f
LKWXLLA69T5eQFY+5CaGHuVacGgkOb5uh09fLFQk3ACuDkIcswjQ+Rp9n4bx+XW35cUq7eMkrpGf
wY7w+aqHYt3BTnTtZl/FYyUv6V/xMKXTTow45lqNIODKjbZ3NB5G/rq1+pIBpi1fUMVrcRQ2LqRI
LgN5ZSX2kvwFI67ZhQSXVhmOvysfYnwdIZG8ZH4hDKKrWzaL4361Pup9nJVZy/3rHpeXzC9Jhtbt
YcoquHCdRqOfCH2dmyB5SftC3YQySamsoqA/yDG6y8buzauexP9F+YKNUGvSMasSuqj4JtMDdNet
V8v7113/Rek76niWwzKxYzbFGyzUM5tdrlK9P/MTZNhI/kmn+9Lvq4t6nXFf06PSkT25el3Vg2Wk
aQ7QqbL63Kjdt/dur/+8uf5bYtQ/+6Mvli8LST2uch7Qtm5+3Mp46IZEH/oeq244tvXWD8U8KcTV
FGM642zfZDAjO0+Dpq06orGWvSqGvV/Dua1DVH9NUw/a3UhAae2LVIbd+wJFjp7vehpzfb/a2sf0
vEUZm/vC7EMTdQVJRZc2hXFMoxCaKD66Ihfz1HzVplVLXGQ969Q53XvYPVcBDT1rqjCv3pR9SOX2
DhZyfu2KvEfED2y+Q7fZsYjFEtGsEAHW8P0p1j2F9b0CZulUAV3BsOAFWjaN73Wi0MhIJvlvSiv8
s1nmbK0o6L5pseAO9eW6+qS72cOyIXWpJ6kdv04AbdlSbCYmsS9yTpv289hlvfiumgVBPxBy7pNR
Bdy+ZPh0Jemd9K7CVowwjbKl952N+4pBOFkfdoxskkOU1Jsta44nTZQr9SFXVbLuObmN+UrFscuX
XUEXNk/hhJSAsWRUr/RekqXjFelSn5YtozOqMK54xRUMcIttbug8gr8pp7apnEC/z0ogJFsz4ZXN
o2EFEs4ZdCNrd1NnDGUj9hKqlgs+rantCsNR2RUijgZVLWpMvsxO0cqHfWPfl24P6VGbKe8fdpNw
+qGdE8YeUlen6d1et3xpqmGHRiU7Cr/EcETYKVuGeyg0OD4v3XUaL64hu2iWI4GrMaoxRaa9PwWa
bv7bzFU3NeW0Agw+MyiQxHO8sc2GchgzJIk1PLraQA7LMPoIKpYdpC046LBlXQ4Bn+U0nZMcQFpy
pv3I26KnvTjSvh3LiW5eGaApIbLrtbJc7S1ZbH/wBnvUA52aRT5vW9KMHI/DlCxHmeZ2K6emzRK4
xLZhqNDXtPwzd+k43YptR+PX5mTZTOG1A5hfCJ6zBBWUc2maliJPU/km7rmhRxis9NvtmPgYqDZx
8FbbMWZ2awPtFgmWOjA5KUzWyLB8S4YImhmzsky/Y7mKedXWNpff0PvwAYtGZdNaWZlP9qFfSEOf
Qc+a1VEGBpmQmMiUX/Y8Svq7uPX9/qMbh2mBYsZEU/YwY9G2h1G3ITlrFcv5YxspThJsb31D84Kp
TOgH4lwff8tkXfNQ1I1QzY3365pfiOmy6ZP0NOQlPO8J1OiNRy47rJ1zOnyvnW/6pujnnn/LUzrr
j1CX722J6RLOLug8pnAPVp/l+OUpyr5P0qz7WSU6hOd+J3Fc6hYr6bvM8Jifmj7ZH5wgzZEkM5eP
3CyMHgjvdPt27tttf/IQeCQRJtHwDeDV1YmYnq134/hbj8lNeyvpnIabaZJDfTMnIja3y4yszFJe
s5o/c4rA8h+x7+sHSMijC8ZI+3dIW1Qhfd5UDQyComrrdu4vyJBY9xPMg9JPg+gyUekBSsc3LLTD
+BA3dRef/dQt4RDNrdxOIhhCbxjdevKR0Lqv37azaHSpg4vgiSiJsBDRKIogv3W3ubm3ZHfknGqq
h/cI7qinxyUXrD2Stp9Y5Ta5Yu/0OTftEfzp2NzPYqXfB3gCjGUNyNA/thsx2EraafMHmk/ONBXB
tGq97SUMjo91s2jIayK2Ns8ttyI7K601LVwdGfqtbYXUZTPa3smCj3FNEHSUpdvZDsq6yvmERJWz
YxIX47B7/Tl1Aq+gykkTw85ww6voosaaQm6RHQ/j1ZKngKHd3j/MHsK0Q66N/5KQ4Cni1RpERZaI
gqD3KJeanzWWMCvl0CaqpMrn08cwI58RBkdKwfKsSPt9787eQSX7HJBPZ+qinR3bsN/v2k9TIR2O
aV8A8V7td7+saf4BERwGB0IPtxrxdsBVrh+kdos55IJi0nkYfaLyAtrPMb8ZRCz6w7o26RCKJnZ8
v/WbbYBabIixEidSB9SIULK17dkiZS0qdtN10Tua9yap2owuUWXJGouKhX2XHwzZU3la3e7FzaKm
qK5mn9ThLkVYzhOJrezeATlKQl90w+DEEa7xjbuIHh3MQwAkxo9Z3+G8c3Wdz+B5Z+12pxoi+3La
TezKTBsWQbdgbN15qOd2G791pFcQY4yZc0/dRlhymjAylg8TnO66uVhDhgAd+IoXszciPsepsO4x
t3M0fk26jQ93dEgtnrGxVUP7Ix34jidBwbLNHqaGd+sR72yTh1z1mX1P+7WtL7bpZHqGiJYO94tJ
EPB1wHY00Aq5TGn9c4dVMjzNbSvzk526pgG3GQosPCMcPkqXVrqgT1qqFJzhBBxicrAaqYfF6sKY
vMPf5B/WuHXblwGm8dCki6SdsnKG/WJTRtif6nKr9fZOJtSlJy40tC75OIKsqlbDozLoxSFSzkx+
g4BkZXGJgQJvn/By8/xx86HpTtGYZJgcdXUfLc9K7dN4AXW33VEVjfv2HaeGHXt4pBISv7lOalJS
pu3M9vudiExZ7MR7qM9c4qOH0SxFutmdx4Y8PyL9wpozca1wp81RkV9P7q2FJ0CD22ht4QRWOYFf
XbMvTTl3PoQ3qdgGUSA1jdMjyxT2t6JPvTSPxMV8/robqzNZDG7d8nPIUrI9ZHj620/SboigwZtM
p/qxBxzm3/IeN/GyJ9Js1ZguuTvh/I90g5ubqPXgd8Z8g+LJTTs+TNOsx9X3kXrP4uDU04p7tl5m
CVroo1y7tisz2U7206ZZkn9WCQtcFXAII6PGnUqH5scIz1TyBNf6THydMir6L/Mw9wn6KxgipqWS
iWQnxZwNqN9awulUzNEScBQOG44PVHuwjKVRvrLKwqRhCuDosegbXOVDVhIc6vK8L3P/zBY834ee
+IGW3bYDc1VszD7mCXgRZRp4LUv0ohlDIuLElptkYDldi3Qjan7Q7dxCchzDvvOohRym+1RpHw0F
hQLrq5xmtx3zuMvWx3gkBv67mLOK54yPvj2uA5JynuakTT9xi5SXymY1oADeRY4+hFHX7EiM9Mkj
5k/p+Hbomd1vYznOEzbMDGsDtHgQ1fhNDxNVc1+rQeit5FnWPAUwX6Jyo51a39rdzxBEQ/ea+BI2
hnVfMhF3+rG3wJiKVjXDfEgDdLXDERK1+MDrdBwrQ+oEn0TXDvF9tuhrkiu11+KHg1rZNqXga55U
aplJvBT9voWPkg9wTSp2BdXis4a4Lf3QWDrdmXFBxVW2jYzKWMIVLpTY3deCeZq6j8kC24NTQ73G
ec82gjI9hYBXuyKkWeTOHV4CebNMo2NlktO56kO7jDf9hqX+OSfGr8eE9UOMZBIDy7M461JepQPo
wYVN4/0ocBh5V5i8lvZhAXVKjKWiig13va3DIw/XANTd7Omt5bwnB44Emw3HKEqOyuwZtn0/rFFz
7umYu+dlqOP17WiWuMSMZE6+hKH2a1n7NjuhXENqZg8VzQSkvTCbbE+t0zDWyKCrxmGblvvuhC4m
hCHRyhmSnBrUAx+9YultAyslVVAhZ1u2cUIbeLbqpJimTNIL9034kUH9I+8TLB11s0u7i/s5SswT
8bB4RQuUuruG8mRH7RRn5mmNNGi7bmMlhYz8HvMciLURXprCjRwy5PtgePJ+8lFz6BNJ+0Kpzd2u
/SAeGw8H/arHY1zm2+LLpK27U5Zl4m6hTbg08TZ8Cc0q34l0MGVH6JshN+p9LsUoioZoC9rJMvT9
XGykE94WDardcAyIqgsnuibNBxpv+uJk4KLC40xLtS/7dhyNzC8B9MXsvY84e9cMPoUte+JGFp1q
xVY/FDWeXA6ZfGjJj87Vwb3Pc0pDsXZq46ByxqsPVXf1AzgPYdthm8JNHDSSdefZJuhjunSSVUPX
OLqscQY1NmSlnlxMG9fiwUabdccVOn/yYadDQksRstXdLpnOmy+oXNV8yF0SJSfd6S67k9s6IOy1
Gdeh8LE2/EO6DJo8zumS6gNsGsIISwJL2/MUrWL4HLXIEpZlHrq8q4iVrSuWvEMpKtzCutIMqFF8
UadRmg5FyMPSfd94ns536zat+zeEUnmUQ63jOZ7uAWsr14WEYEge4KJTJzeGD518s8Xo/Q/TmKXq
6Bj2nQodTcPO85V+d5iZStJHiGpkfgv+bBpXsdhycY4hm9p+60DGVo+LdVyTMohmbS92timhBQxF
OMaju0yG8AatMUvQBYOyud9aO1jsC+3IfHyvFZbkux7Nqv/c5704ZxNGZKlVnn2ObdpHXxQGrGiT
tylH4iJA6LbE04FiqaiXFbu7NctWraox/COFpt994B57+ydrZ5HIKmdzhPOqHvNofUf9LremiJKE
pYVztVGlqNMhebA738JvGeT+ww/TQc124BKxhW/D0G4ChgP5ZJ6Q8Zz322Fc4e56I7oomZ4oVhl2
RJKamWN7ajcGsLAdIWs+yZS0/pT2bU9Ule0GJUAxUEob2MBP6D9Q8cm5DKu+1iKIcXH+jXTGNP5G
9E1vPgw2mtbjJCMnztaKJccntgtvqjkZtvVLL3JokWjbC/vF+X5ej7ohKipFv8S33dzUtJwxCHd3
QcqswUfCOogBLVD20uh1RlE6U9jJfFj2THAIpOf6bmqS+cbXG387p0lwqA7yfdePYRiGwiAbtIAo
rFlS5ItxOR2D53koG8SpLuc9tWjQWrGwwjo/Rbpwi/P2DYs9a39bEW3CD3tPSFtRfz1Xi8YiY+K0
U5V/CwjK62SRTpGoL4hjzmhW2mGXEerRQKKbbccTfIMTP2YXh81efhV711Y447P6cUqsOXTRvC+Y
qUZ1dEZ9m7qSAEe0RcTdXJewV0rfp6sD/2z1baPPor2eGLhbLoa76zR1JU4krT7kgPDJUbbt6Cod
5Z0/rBuEDGj6IujrdtbG3QOXnqBh7kL/AB74ch7qjo5YkfVymQiAjnuRNC45L7UbvnAUK/5h7L29
uJmNQ1vxELYyz7FxAIpp6i+wvZBd1SjsnZ00/b1zBAXcDh8Sfx4Yb0u9B+SSQP1BTh0z6XA/u9QO
96Ze7O2i9SS/Jmbj/WHivXlG05keVJRCM4LXQ/k57AyBZMOW+Q85zEh+moQS5JLDfqPDQ4w6oxg8
U8cUqdNLOaO8n0qOweaKaDy+Ad3FvmnLeTZbOSzoGFHYaLGVULyEpohbPLxz6JOh1CDKgKILf5Hk
fhKjA7ziol2oC/Nr3n7a/Drvd3u2BfkeNh9Tcqdot3S2dOmqu9uJg0YDC7VtqxBsPi2Ijs4eE0QY
VuvENgndeI2o3hHnPHsTtyma19qiNSooou8uu6yjDfTCedirHiPHvClqBxHR93pENMc56VE6FzW0
+fzn5ABC4MxCzY9ovo1g4rw7bG/3EReTe4fhRGLuPGTfw6PxiIx8yBa48ZScG+0fFWZH37J9jGBz
0+Su/dhODbRFvdN6AG1KZc8qEa4rkNbaFr5HpAQ6ZkTnYe9b9ce2Q48IRM4ee7uEuMAesdVdsQO5
y6ue0bYdboNnaDMLyHHiLyiwx7Sc0Iiuj0E3u39D9ByxT76ex+VxWTvRXXgrGtUd1FL33Xlt2i1u
sd8m+W+9RzX5pQ+NR4G9Cw1T4X6a9/fAWRW4QisacrUVG85yc9qk9VjZyfwhSdv0CEg8voUWHQcJ
z+EIXYyeLuw91oMfDqJ1LYxSeDxud54vY//ZKzSwhTHA2O7jKKHjT+TGi77qp9okz1Gyq/UhEHQl
D/WEQKw3HABU8nvbvTxom6bjb/loBTttcTOQMsvgK3yHg6zBYd1seeKrmrKN6xKRQmBJlnsMrsC7
FSYw5EJhaENu8WCx/rLQNNNIOCPbeC804KiC6tTDFlq35ifJ0659SPZ6BP2iJv14gj93lDxBHsbo
VCLsZveAucegj4ip8+YIQo9WJcDjfPk2emUj5MDtjp+jAV3jJzKoGaU7RX1XxUZoCc0d6kz1sAAm
6UvQyJ1dClhOxMktoUmOGjp30XjqME5ev/kkCIt3RWt345uO+8rkWveHIU35XCUI3nBIgzcqtEcU
vYO4rTO4TIFjNlxTkBAKNVWy7cR2qR34xyXo8I3IKwjOiYV9dK0wtsPEZ2oudN3SHVuz09kJ++SE
oeSMI6wA3BT3BXRxu6xmNS7DMduWeP7JurwfIpRIceZSxHrCqwHh9GqAbKXHIMDZclU4DrMyGoy4
oYlOwnbuY57yD7DGVe7u+sxtGm+8y2RWynhLp8ecdcP2McK7EVHRxi6dluPVtBd198r3NXtYro3C
bR1N/YYzBrRA+OiEumkeg4otajKzpJSs6MnQmrMSkHKOopxYJcbvXcCWDQpTYIr8NG6N5uMCD0/U
hVjmgM0RyjGZixXTwh/zVq4NTkQu9x99C9D1i5R+6o9Zk42Rx93V6YjIWWq6NxmqGhwNiWBZftTY
2uefrc5yzwsHJ+zw4Fm28OcYMESHlAvAnO6bgGtl/0FHyxQ9TQ1w7TfrtR6HMDvwISnZOsO+Feog
bYZzqwDv4yHJdHo0DPUdPSAubplvIXRqcl/ugMonFPSdYR2rQA5z/NZrAOZ3KCI4veuXLLPvxkH2
5sKa1E/naEH+9BdMXWpS0nGj0C5MKlqKgSU+upsITHjeRItduk/Rjvi1UqAAGA9hUdw8dNaBz69y
wtbnfQBzq+TEAsvu0mGEk4ZpIvedU6vr59TbtkxG2LjLdb9EO1KKDfqlqR3OXjdpKFBmSIAVbHPL
KUyjSE8GYKK/GXq6kw8AT/L80vUYeJSaKMw5D5BNEsOvZ/iOFv4KHETH2STJUqZUyajAmrun2oYM
I5UcLgBHEoNBOh+7KAasTUcg2aEYkCTFizBvOq9My/Ls5LZF7CedbREZ4VyV+EUAumgQCTUtIpZ3
eWys/ZBbmEf/ZE22qDsCCJAdh7xdxDvvgUBXQ8NlAxEWeDdP3TgO9LZuhrF/5zluzG1IeG8vZEFy
yP2K15oguDns+ZNcmGoumzSif496tqvXkiw0dHMlJ66AzmWwoupIuWAx66iExQENusK4g3Fx7MF6
ujq1ss8waiM2LoWAz586KCDedjkz5Q1urGNSm6fN4KZhNIQnAdnNCRPhXYrbDg2JyNt+fw+QuN6O
K1byUew7u0OvQKPbJKoFJluUwKQruU4reHJDJKX6ppdszu/2YYLANE7C5D77bhHQ5vcLHBKODnm8
oS1iT3OGUU4CbgmZLV9Liv7NflFrxpOnCepymxyvjpYxWrctR4Y1N7tYZSmU930VlLkGZzlLH3JT
Z+M5g2DRn+ZRL2nVrEGPd4mFHQeQIIKx0hQMW44dsMq4iGwcR0eMYlxXDbwRqK71bDUraKq69OvG
EJZ9W++N3N5CeZ45QIxtbfYf6ZinzTfdT2Q4kxSKrjMBuDXfQxxt3PMA5932/TTm2XYXZ5ENv4U5
l/ouhCaywDG2hJeoYACOA0ZbACF31oLTNLvsfiHK+tIF5COeDV6CrJY9SfoSFGCK0WCWXVmEKz8K
EDgfhhUBqO+J7xt7b9wejxeGdC/UBXiHNSjdwgUEYFuWyW9AM6K0kjmPtIUnJQqx0o542tUB2HsP
cAAb6bWb8dd6RERmTcsQRbHBYuGzAStc59c7KDS68qYgJhePlq1DBFV1x7ofy/V8/MEWqMQhmc2b
8zwJlCIE+93wLjUmcVh7Ta5mV2huIR5FJ408HNaSjlRpkkdgEaTNXD8kLXP+iG0Ulm/rMHbrTyc3
vd1NO1P5RxQDNNsKOcvlEgLbt4+cKb0+4tRu0pNFuVIoeHrMBTJPmismqLcVZy7mNE8ojgW72BaE
6gfgwQq6Xri87+jg5x7NeY58vix3X6HPm3kB/UTiDxvVPcAJM7dvMQ2Om2pdkT37VoLAhXMRUQKw
qBMrr8UHpiFQ1OVIANuvN2Nt5skVHWRNWTFxjEvTEiM+s/xEv9wAo0JfStxXNGV7FxXUYWAsixy7
rANUMkwgtRfw4ta+OW5QwSEDZdwy2n6GkDQsplg8sjrmG4WWo5Oln2GT7C/oh7c8rkzaYmL9OmbQ
y6QrGrJRTaMdDkR8ktkzXV/H5H3pXpIP6QpsGNdNu7ccrU+Xv5Kv/9K7ZII1nKg7xo44rAg6VrGS
e4s9889yuP/AHYe8DLlC35040F9QfkdYBXM7de5W+WiC4Zo1Gt1tskp4kDMxJ0+bBU5UIjs0IuUU
bWg9/jVf48rV/ifUhpdGJw3w4K2LDDtOiE4cKuTbb/dgKs0lqibMOgD88z+RNf8BcyN+Id8wsw02
S1N6hPp4Zu9cmOql0g2qTUhV0ZCVBFrzAbXhFsY/kWT+AV/spRWKBBkFe3qSHylHAICDx8VhBrD1
J2/oj67+guqiER9mWStyjKnVt97EHzzX9Z9wU//o2i+4aCiWZ6WbOj8GZAwUrQnnbhnSV178BZ3F
xbEbp4XmRwBeB0xtuqKOAXP86wfqj175C85ova2dy0VHjw2JLE7WtUb7jTP4VVd/aYSS9DoFFQH3
BQ0bjECdQKTdPr371xf/gyf0pQ8KNbHyepN4XFomkh927JQvCQ0JQkx4onShF1A/T1BU5PpVWWDQ
Af4jX7LljWcwiMiPyF7MP2azsQ8yBkjzr9/Q72vrn6zul44oTIaUrqHJjoqLFnCXGIMHkov/fobY
0Q8Z6l/8y5jFI73ptHyWe/cc40nLT7XtlhYdQ9MeEAX3Y1tT5MQWjqEw+tur+z/ft39vfk5Pf3sd
9q//ga+/TzqYrmndiy//+jwp/P8f19/5r5/5x9/4683P6eGr+mlf/tA//A6u+/e/W311X//hiwOq
YxfeLD9NePvTLoP7/fp4hdef/P/95r/9/P0qz0H//PWXrz9UN1ZoPUz33f3y92+df/z6SxJfGfz/
FV95/QN//+71Hfz6y39a+1X971/4+dW6X38R9C8kThPBSZpRysRVW+h/Xr/DxV9YLnBtmmUkS37/
zoh4xRZ/kf1FUJYj+onil9HMYn+30/L7t7K/xInIBadoKvOUxfEv/++d/8Nn89+f1b+Ni3qautHZ
X3+hv9sw/fezxDNB4AeSx8gkQmeJv/ViH59alBsthl+nut1BICBb1MaHJa5TCd/aBdIrPu3DEwf1
skVvkPKxXJvgGLAuiTKxdWzFNAeNnKn2ycXHkZM9B2shX6YT/Hbr7mYKWYTZtFkPSRxn1wcVQ4No
ZN0ly0FhKhqkaJSZWLszHQG056N9yroxeQNuKn1okoB5SxKNd1siurNt6u1+SbJ3PNO2xB0MN0TH
ppqmxN3D5PeI2rWSGeyxcppemFIlvIKXCszxHb4ZK8LoHPZ00FKnIwv9XmX9khxSlE7lNIv7uoni
hzWyzQ34Ol/GuOvQcw28kuiWy51YcZzy9IcWSV56sCxG1WOYqTt06Dbfi2Wrw1nqyb3ZhfCXviPt
DzHTtRwQZXoZY/cVBsT8BGWrOcpF45gEfeSed/Rnjcn8g5u3H1Bf5EeyhaHIZPRAZ1ZMcv8m5vYc
NSm0qfXHbU5voSW9y5isXFguKouRTUvGFlhC9D2buD/WW/pjGK5O7RMM5ilIc0OYysSnz41oV3AA
5X7Ie8iXVQPeyBzLj5g+bgfH2CcqyZ00MTooBkM/8Ay7ZZsPopnBq1ui9Ta+znOSOb4oNYWb0GU3
W0S7AovzqTcaA17M9dUha1SC6WL2LWCyXClDyZs9pcljWJAhNQCz+KJsokIBYk7zPakpqCxywxWW
NLoZY599N2aJboZl5o9KNew23Wj4zQgHbBjT0rlAy7ff9lr5O9P2jyTW3W+Z8RNIkRicxU2EObMF
PyXvBvdDAxmG8Wf0FqXDpYeVYxk3Meide2RSIL2+PoWBP4FfJCpP97e8nd4AdbqJsI8/7arz53wd
OgA4SI8sSF8nT2Kd5qrLw/cBFitHHg1fVLqs95bRc5QMO4Hvs+3fMoaRCdOzvN0IZjMz5UdYtfrD
eMXGYLgWbl3PHgGu529dY218xximPxgdjPFcjSA6gy8A7Gk5wnFo6QB9IRYX0dIDXN/lijdbDRpG
doWki/AlXTo1HLK9VuSm7zAcLaNIJm8N52IoJNK71gqY0dhXAxARwAAgLYBoT9BtHCwDng71fdvR
ksVTzaoaA2KoTyRmsgUyHVoQNxuzNndR1il3WmKhXdkmvQVy0iMx9mPUS/CAsJ65Awz+f9k7k+W4
kTTdPhHS4O4AHNgCMTKCMylR3MBIUcI8z3j6e0KZ1ZVS3qrsMutNm/UuZSkxGBEA3P0bzs/kpNwH
NuwGcnTL8Qb9q18OkLHb5RQ2cT7t3NnOhR+Vbes+Alq0q2Nm50aF5JesHq+bsgEzOwTIIJJGyuzf
MPyhOXhutMXgq4ogGjHE9jEiBnaz3UzOtpdmEjOGlHnYH5Uc4yKoBHMnNiTtqtgv4Zy8mrBlPpcT
d4zXp+Fdi1+3bMjUEAtyljmuDqGccpOTlVGUgZPOQ+HbVc6UObx6PiydITaP1nbg13jOUpM7pHe5
FZKVdGVaFo9dGvXf0MjJjyfxNKG0pYnI7pwqLdLdOliluy36sYtu4qzk27eWOt5H4yz7rQyzNmdb
ghWxQQGo030xxFocnabt869NawzJztOkCQOJE9D51ijWt9LDf23mIX7wytUEJO7wgkOdbXpRjLzR
GhTeET5qa/vNiNVSrVcOvuMr1Lz4uvSs/m1iy0jyhDlJ1wNnhdKnGZQei9lZ31wbJ50hhD5DJJ7S
Xj8RQHpxy3TedGWzfHHtqdmRSc7vVYqRMSQRm8Oy7B8travdOHbuF7y8ljG/vbW+CnP9QMkPETaG
8hNBO7q25cbo0pFQMl61w89tOeaawiZ1jF9TnPsWsN/eM0I+UUYVEYiLOEX5uWs0t0ubi60Rz1Bf
IwIMclPprJ22ErFsOvHU/jQSK+WIRzjukal7uXogWTeGu1xrdzMPnXPqGKWeooH05vxg5wmaXW41
nN7NPIsfcy3iD8PJUbOnpKBG47ZW8gTEsB9fo2rt26uVJO66i8ekc/wmQp1KsuWQTfP7HKchzhDX
svDdyPECGdXrToRdGrRzN971/ZLcWkYZBaOa52tXDfcLouoxjJ303kUd22E8ls/GauozCNX5yyXR
dF/D04M6Q43lCRbQcr/gGud3o1dV7yX5QKYSrNMxHAvMkIl01ptDCvPe6LzW17L3bue+IEvTi9R9
j6Q7fM6TDHhCW9qJQzsL/yYIe+V+d/O1OdfLMH0P43EagsSrdP7UGQ26mzbIK0mFUbTV2Iz598R1
2ihIjdi8yXBEHqpKOJ8556Z7pGmpd4jVTn4WZTPzVCBna5Re+1RFTQ1PlyziN6nd6vuojellauRQ
bxoyLhvHLrCoRdoz05FQU3PLsVldR/jQxXVOR+DJSFVTnMsax/FAhNZy4OUYY7r1zNh90VVEgDvt
vHmf1mElrxyRWR8VQtW9k0n3yazK/AztG4uJyYD6mcqU/boOrCDJwlOVwO8SvTijYd5LDCGyCks+
owSqceNK7RzCyVNbEdniFEeyP46WzEY/sqJyYw8ToVCN4J/t3LYtmmAlrYXR5K3d8xwL4yYsCcj5
c9Q1g+9E+dpewzXkuL9GRUlWhRGTi9+ahHwGc11oJOR9dYW8BRVsVaqz79t0zF+KLuKiq6JIjdti
HEO1keCJ0iuvxEM6uuHQh0dEKaM9mJbJ+tdErlPeE3gylltm/sTy3iBfvfhzlfbjziAw5ZI20qjA
dcxb30xTHmFPGtmk/MQV2QTO3bOjc1IazhKM5TTeCxkm0ZVVk8s/T2m6Ig0yysYN6q568CpScdiN
xjI8hE1i15+wPYO5IPGX5thU0lPmtsy45UmPegFNiPE608LdT33jPYVz4dyjVE9RUIQ89525IZVo
rerg2e68qeGCHVjPilvawMXB1Z27H604puEwVvmGwdzruQstoPAlAydOCdmNJqjzpp64IMaWRApN
ADxHIIODMm+6ZUoAPoYPJjd80HZJuO0dkzmLeT2+uAJDpEiT6Dntmj7IsCSYNFY70ZNlR3FEkJPV
YTWq+bgublOf2wrzmxlnJMgOzsyZj8Bcb6sgTGOrv5MyN2/dTjPx04jVszX1MzOpEmMKyeFnPJYL
8iRMlUjT4miQYnteIOzwNaNdRltvGYbHWaVTfRSLm13Fco0+WOZ4WIbtZM8+eQIVHZgOFW4F54+3
WhTeabHM/I6J6HeNFvOeI5/wSdmRoChX+1y1tYu5YJ+a1VbbUvZPkZNkwk/K8DQZ9vrGgpE+Rlrm
H/VQj/sma0SDNWlkR9G3IVFj2isfJJfZglU23ZzcnA75WLBA1XOsQeombSq2Zge1rlHaHLBzWAj2
lxxxeG3HvcdsqIn44TTP6y0Z2hZsxVJ9xWv52jdGpoJeJIUXgJew8dRU7sEcygsmIvzpcPbHGejP
Z56fpYy/nngu2tmfSo1qBpJSVUjIVpUjOVNwaK9KxOqn//xlXEt5DvYKw1x/LcePK929kDDfkW78
VPppFMGRXRrr78r3FzTkzwe4y/cr0NqQHG3Ocz+/HeEZsnc9cIUr7Ia39LLCO/3KiSDCBYyD2ciS
b/mI0uFbfSHdv/kwf/Tifn15hh1rkjqa0+2vbzOh7GDUreqPVpvUu/iyEZBu4eysy+ZgnLr83m1U
Qw7AWr5kSzVvInYTo+k9rewurB/bDMTz/LLxKAmRM07xbtY0WByFuXZl4gD/CI0xRtCYkvy2I6WU
+ZVeQ78m49LSmPqbivHP0unl8uAkbGqO7Bh70vkLwUNZsaYsUh9XjBdIn1kS1f5YJZO5HZzRY42P
clf9jej41xdVpkPdW7jsTB39q7LThmFkjcSpeNFoPSut2Ev3X0DUMhR3ad7+/ZX5c0P+8g55MQHD
FG1B83SSP18xkadkmbtFf5ywGCjfyo85M3aFOfd/867+eqcpLkvbpvGDyKF+xXLIohNQfZIStbOQ
/a0l6pCFsxT28DeK8A9d++erUEHJ5BTJNlECRrncJH+6p6MM899e7fzYW8I5xQNbinCY4+iM+qGG
DR6WZL4rbhStlXjqbrNpUNadK+yAhSj+ILLP7q8WI4WDdgjXAxOE2R+2P/aK//7D/8tnIoTk0vIQ
dvhY7F+b7BGBqr6t3OSYxbGpj7U79HdzNXNY+o9fh/lutm17FyVJ/Tos22niromiIT6WlGaHTasl
QIEoZOLDj9f5n5b7rpOvbdVV3/tf9b6fJML/RaKg5i5yLrbXv9YF9xU35u8K40VG/K9/8bswqK3f
0PxsUwjqNj8Jg1r95tiUrzQjHEzJLcTV/IcwKOzfaIY4nic0TynlXDrzfwiDwvrNxRETYHQswZPY
df8jYfCnVUVbl1+MlBAPC4ZFCJaWn28oSX6utPNp2rJuUYCd4nUXpj0tfRFXPmMX5r9BAP78TPrH
6/GCtm1xc/xKYMsj1WUOG4otFWNsYyv6Pq6UtZCQ/o74In/05//5sPjxWrYLg1HyxOAW/NUYwCqR
SsUxx0ZhXuaW2XYdcJYTx1SSycvCaLweaC/tczy6TdS03oeTM161K+fsWHhENyhuZOKKJldtXLIK
VuZnXtR+tvIU+hDnI/uGqK24umC6EcFWOww6oUOHZhiUUr9Y81njhFffDHKcvuNm4olQDDtzpZNG
nHqrNe9oJHccmJI13PSptr71TlxtO3dKx8Dt8uH7gE77jf0bRn7JalGF+XqHseiQZ2yWaN+MQxqg
d433qbMCPzQ9czww9zsjXBF7/CoDGYDPMJnWxJdxs2o/iXId+bQEtEVOztD7elUcyQhiMX0NmSma
/Y4WR+UrPbbfCcqQA+qco464HgSzdraGLs/l4jxxuMzqTZaq8GqNjPWU0EW9YzDXeY6RO6zQHIMo
qV+MIk5J/cj7lGzjvrT1eZkxsBMqTn5Ttw3jgIz2TLcQvM0w0FlAjfBz4RFlZapb6SfkobfCmLMr
Y+leEroGPoPLyHs0SeU72nBp5+ibvkxTPH7qHHEG00rM/dY2vO0Ylss+i+S9aHGcpPFArXpDyLfz
yfrHe5d91iYvvCNa5xhgUvHybZv6poi+l2ni+faQ8h/xgtY1VYeOAlsw5uyAq7gzN47Fi0unMDej
a95PA7mUoboMXC2jt0gCJWc+Dn396H1CHPBFh8JMGmzPBuMechV8az7RTF1WMCt+5OweBWRCPohT
nUVGLJ4iZ0A/E+GbVDTbrzqQnboPVUZNtxAfqUOqNjNpBQ0904nS76Z0sm0Wti82f2CS+g2F3O+Z
l5yJZF5FdSaCbCQUMcbNY9Q6oCyx+ZbxFIfZvlfGmekWybbmsBW486Wu0YRNE51TZU0mSnvY3Ta9
fZMY1QuV+ppWCwkMNeUn05u/OUOdbrKZ5m9GzdMnLUxTJfJKGliTR6SD8SerS24k8ZoUbde9kUsc
3ahwfqfr+3mOpANkZyKRorIkcEID+F1EpFyDOGSMnF8ZXRhITTU+43AyO9EpCjOG1rXyJTM93gB6
DBhfjvNT8h7a1gW90BODVzpg7pdv1dVI7ZqXZoagQamxHzdEx6aAL/aeY7EXhNW0+Eaed8R4uVHh
C61PPcVpP+z002TyTktdnEeK575l1u+ok9X2/xbX/5bjZtkXTPq/XlpvP4DY/LS6yt//ye9rq6t/
s8iTWxbCmas8SmT/ZbqJ3zDbTMsWJicW6FnYcf8w3eRvrAY/9kvsxBEc/2m6Cc2yKxkJbNHsuGxp
vf9kbdU/IIk/rUCuzUafCKliXCt78V924MnoNGQKGURZ51VjcN/aecn9YZjXsW5xaDVe0wBReesV
dlxsZV5w8ztlvgvzuaHNzDE7pNAXbkaV0NAK62jwpewBM7jhpNu9LOlTz1TRtE/AfN5Gfe+KoEwm
TrqQIV5WYjWbQVY5/MY8PhSI+IeB0NB27Ib4wA1e3iYWM1tRkvrR27BZGdqgyNDWfew8OPLSatvy
KN3cOiVzEnr+UMN7YTkzrmlr0qUCqJaw1Hmz8S0k90RedhLee+K1bmCak3td2WlyRTLSpJaTrdWZ
3pDzuTNdOW+FGV9qyzU+gt8m7UjAWEFUGNMy/UTN+cu0msl10iZPZO3WwI6K8Uh9on27lHNOliSQ
Fba98+isVn5tJqncz3h6W4aUklJfyvjIQA7yxqN57A0aFlFVrluPjw6FL40Do6FajZ82PTBECQnI
c69dokMnqhUJFZbsA1nX9genSh5C106Ppajzra3H5XVeK+cc26tJuN80Smh7iDwYMK5SV9nFdQs6
GAssN7QTZ7iNtnsyelZCZCnMFT/PhWj8ep7SAgyCdp9FtJp31GTmB3LLuXd0yRcxszSlWpspMvS+
W8jurdLx1BynsRpOThTJ1jdBwtyS+0SGLugFXWT2VNdkeWmpXiwyxu0ZRImxwOrIu+vGSNJD67Xl
7koyXVfdjGAd1jmYVzN0G44McNSSnWNRipBTlt4QC5U3yWikrwar/i7sJlbvFE2MtzTmD8TC3eca
Q5TmmTtTWizG215woPZbb0SCtGiI9b5k/t+jKxj27BNjlJ8He3I+VTi5U1BPrbjH/3ZuIROMxYbQ
ZnUYbJ0f2HpNrDADBkePn/PeEHG775JYbZURR802TZYlOk+8pXE3MJxzay95Gwal4yQPHIFcUqyZ
eSAMOO8Km1p9EGZjdWhqXV0DT+h30fgo22QIbDqa2og/VVPDksownRv6RM1RdDr9MutmuKOPNQa2
FTfkYcrbfhY3alnEJmPIxj2jTdU1A+j5yIB0BGRQmmsvtxlUREOEnvuA27Sf2pbS+sJyhLdEM3bF
WErbNTDq2d5Yhjl902n4paeveE4bVV5PjTcfoxrdlf6cbg4EhK1ztTCtolw7l/UaHtUtIGqj9Uu2
NqeBCFi4g7OR6KBlEO59meTdJ5G1cR/Mca6vO0+0L7Mkw0eVoCb5jybvnOyaM/MR7A3B3xKCSrI1
R+UurxbjItRj5zbTprPL6iP3psqJLuVcpz67XPvYDaIZEvHZoAwyH+OUwAGC1+g220pZmflVOWHo
ncuKLOPGXlTCVwFUAMtCu8VVYvDjA1OMy3PsmgJRvS8+CzlbxRUZumafmFmWBvQGh3SHogl/gUc0
rR9tD/nnJJmn/eC1hh3wsP8E2mI6C9V3N8xLLBH6ESdwEh1NszKfzQ+tGefWzSE9JkkOf4yNcDfi
CDrgc1Z1C+RoeS+7UHyhFJQHuu3tw3xp14V1He3ctK+fpkSKLshJOdCnwjqqPqKxr+5Xywm/paR5
D5ke1g+GmY9IrCY/WGDJRNtc0ULag2m3uyeS5Ba8GZTsiKp25c4PCxW5cau7bqb23vBXj1FK1bEv
23DaJilJcAzKGZp5MTBG+LosoDMe2ZMMBTukZBp8kUXrE3FkWfgK7RlIO1W2eNO5NFv2bMCjy7HB
y65nuzJYXiL4NSImD0G9nTwpnsl+8ao1YHgTX2Ue3eZdkZ9bF6PHsOYZJ8eKViAUXIDF1NX0XlI6
boPnTPtlnotrOoPTMzPPonNfec6FEyXr16Hl7QRgtBvkdSoamKkD8YXIMNx1R69TebD2mHRyyCLa
LkGYFMtX02pS6rHZ4r3HjQGFpE4TxNNaxzS1Ftr2VED0quTWLJZlCazEthZONFX+0GndyS3HFR2f
QkfFycYZhshjBaMAdIt11Z7AiNJbgMBn0R2Q1nSdWxUtSdvhLsBoOlVLnhym0HM930jnOaARlvvm
FPcPeh56/LnWfGv69cEatat8iCbDozln5NUJbhsm57RWs6MsR44Rcs2ctzZazJxm8ux8bgd78ALL
qdPoQAVmjLdD46yO38UE4nlmp/QGl2n5FtFne7ZFPz32XtRnGwh2/aOj2M4SL4XFYUjrQXSN9RmP
r0DuL62rzsYctVNYJ9O0XK/A4udgcOLJd+3svHrrley5Yf1O5OtHkdPPZsGxFooTa8dBNYnpGXFW
8Bxso6Zol13XTka5t3JLfWfjtAAKMNxiuVeRGT/bMfFcfrrpnjJRONGefrJ6TueU5x2iZl9fEe3u
2y1OWH9rwDwKfZDw3uc694qDKFM6FZllNupgG2IMg9AIw3njxOzXKHS3mb2BI80XjZiXFrfdPMb9
1h27/EsTZuZtSx11ocSLChu041Kyh/DmemPqfPhCo4gesFyNTRWFJKqjyO4eu9Uy3lxXETuxh04n
2wEHje1HQZkszuUlFZtbDOQp2uYqjA2zO1DCBJWRxUP3rctjU5GRmSJGNbiepQ8V46suWCSlYzC3
DS3C2Ix5YEPrNrog7YvpGiBATcCj7J3Jxy+sP1CYbQAG5YirFzeqDqyp+QoJOT/UHLq/Dta4goGZ
Q2AdFLXtLmBlWreIpik7h9SMvkCpbc+c3MbPRoI/7OPjpdejqJ5dCLaSVnUSia1mqsSpaLt0mxZj
OmziovwgcRaylHHuW0vk9LbJ+M7HwRlu5qzGU47NovdD+k88U1KSQjk6xLJjhnlzlyYAOnz8dwP7
SKUxuJKmGb4kl5ErNOY9IXYE1aeXJS5k7mdwG6Ot4VrRybCIRwALi78RCVLc0nTgK/ov1SoCoupc
esDqmw0+et3wVB466TeddYmeKIfjLoWDYByG8NPYtFSEVdzuW6eXfk1vBQTMsm7XJd6zIT3A670c
KKFS7nCba3SEFXpUNmOeKneq/KkoLYwozSMwKbLu85QAt0F4nQPWfZ4nGVflVeSq8NAzfv1cjdH0
BFhqglrFrGYlrPkL0a08D7rWbN6jtnCpxsax+joX8BjDcctBc/0Sh863MQkvhAIzIkcqR6x/Jk9E
tNlc6GFD5VT7MARE72dJvO4XWhTQkfrWfBEWq9FnmGZGQWhK2XdqJJmN45C2W9XmeXPA9yAoM3mD
bHjQltl7HdmM7LqQ4QlYV4hQjhsblGEqrz60LBeMU6NpMid5/VB5yfQpxG707SmX077DhB2MuDyN
UseUNnqki4PRFZzH27JUBY1gb3pys7zET2n4pZXOineih+2LTDLL3hRjZnxrLaNg1ykdfvbstvc8
gUyJb63qhoug6u7MevLOFiKJsaHi7t2RjGkfTQEiaB86WU77YymbV9BDHPy7Oi3Fhg0agRJ3rr8O
kebu0D1pnRM3HhvDpIyrN88ZuidbjOo8WEreFbPonqn+ZfVW1dTNfBU5C+tsBIprTAxvb8lqPnD1
wCspqFp/WP3ikb9fE49yKTUpHrUaAGvaTiA+zEWV4ybtegbcM97tkOeFRT+/09GL1NAUFi4VWpTk
50y/Z2h6H7BlE28e+JMrQfv+epJFdSmsXrZgY8/o8LwAr8vmQDEmhT1h56/e0p0ZsNUinNA1gpok
Q9Pbx6VVIOlN6Vs6TfoaDE5K+mduyi2fmVkFo5vMwdiLOAPZVNLWgWX6qXPS8cTNagVw/4xgrJW4
EiqZfVdlgFHIImx5qpabWBtSbLA6KJgIJ1UQC9YFSzvKvY8IRhBfeuxk7zNDws5tbXvS13SuC3/s
WvGuhqTewP+JgFllclcvnBsnq6y3lZxPbQivqVkzYhcqzm9VupZ3lXZSGYAcgT7RwQXzaYYfpxZz
lzpR8+blJilG0tCvSRav73PeFDktnyW6Xrwyfa9lVW7WOY8ewVdmL5IM2yOaFuc/zRpyM9Z1OO2l
KLs+cLTss4Aby6QaZpIt6GH0niS3xXYuJlrZpnGYKPIEZfkIdSuXfsz7vvcIGhC5Q8PbDNrTpyUq
8yIY5j7/1MUqPswrm4tN6+SQHdqyiz8cVbNZrEKXgj7DaC8Ri2hnF2V8iph9e+eIMD7mfAFPHtnA
R54XzTlSvA12RhRcR2qePvIW2/t1GZ+oQl45fKEhx68vOuVpO3tW9NjAHPqT/PH/MbV/DrmjaRMf
Vp6tnR95XudX/dxVfLCq7tc9zYX0vp7W/oaGn9isJeiChPFJe8rTf4cF/tl6vryoNhXer0saWTON
Dsnmz66bTAQYR53Ne9gG+ZldRn8XhVO1QXaMn+q1pUi3LBca3dR8+/dv92e/9PdXRjYRJsaz9jzr
F9O7tu1Jg2Vb941bEyd2tTWSbqFt2C6g0gg9hOXH/0lx/x0pTjgcRvCh+O7/tRz33NNIe8vit8un
+k/H60//9g9dTvzGvsN1+YnQRn6X2H4Pw2uN+AbTCTuMG/IyrukPVU6J30BoKrZpQAkFPhlX/j+i
8O5vWvI/SR4oDneXf/WfROF/DCj6syrHBXxx49ioIndwTfFL/PlyhgpJCQjTbx+lcLT3OofYEhA2
NfZeqO23DmbNvVhQpZo6M4MoW2HHmhmI+Z2yAPFMtp7OtGcTBHUTLk5K4TqunxmXzdyfcQ0002g2
sdPkR93X43ucDP3RTBOFL9TDgw28tVSpP7r2ejSWws0CVycm+UWhdmXfrLdS0c7MG6s/pOXAb+EM
YGyIAM9bM5vguNXtN6K6C+J2RtXRKxJvA9XPBWQ5JOcIjWC7XJAfbMshHgFd2JIHSbZdn7onDpte
4MUriRyRGvs4Vd5HWjicvxhgYsJbDy1y/IP5qNckuc1qpwGKIvWmUHOmyZVMVLMF4E2Yjh1dHibC
ByDRKnaZsn3LkUIhU0Q50Va3sQo/GpeMAZPWCF/EHtz7Kaf17DR1dTeS63+npt3coBqcrdV57T3z
mlFeJNmt/EBC7jyO+sTZ+z42cLhsa7jTzHk1+OY2MM/6nWJC1OpELTIGofJdRZgzDyKjqK9rd576
TZyFzlPPc/SHXhWaG2El97JKTz8gM7ULpRlaD1Vel0Vrd7EBAGN4LSyAEr30zVDGAouqDV+9FARd
urr1HejBoQpWaThPOXPvr9p06Q6zg5g7Q9doArNXlHPdPiNf7Ins6BSzPoyc+A95NIzPoBqdCxLG
hik8ryOsR0OcTe0ax0qS6e/AygbAf0jucKVx6C4n/XnKHQlIFSEWpBqcLodPZBtaRfKROEDyTa7K
gxdXF0fKjkuKHHb5ShzQ4RwMcS8XZvre1tWXHrfvi+cxbUQXZfYA1xCXc9FIcQnV15piAanJRp9B
QEebRjisk918DiuoACOV3l3bKOPgUTFmsKwl77WRmxdmVVGBY8i4ou1LTlyEw41bxtk1MBjW9TyT
EJd1Ic7L2gK5s0WqP/XgmWTQAZg9khdZHqEfzUeUBnEnRT5YjLqoxzdlAyENMxA9au3S/Zit/etU
hNM5BA9wuCxVTwjIRozUXE23ykjb15zeNLQ9xIomAP5nNzfgYvLZDxn52m6w0Tuf/ruxhTGIVhXS
+DsYPetZucJQDkrbme5GxykoVhktR2iDr6LJZh1vu0jik0Jjqk4kOTEruxHmTMpECyMx3VseF+gq
jJ5LbtKYFquLFn039Wt/HlnA72YxsvWW1FcevbUSV1bWd71vwWT/yqjUCNghvqcvRSp3Y9swXmWm
NOIroY1TEWbNQIRyqgQvWqa3ckUgDMc1u+PgPmz7cC63fS7yDdSC+QDjUDf73pjqe7dGGGahrM9x
Ad5nrPs59CkAqB0sJXodTBZNzjIN5U5XiwM3t5tP9NXjvalkfy7Z3F/DxSxe7Tpn4FUPXF/RKn2u
Q6vyArtW4ZNoC/ku5MqhB8USsblpH20iuxuAghSvcnGZOye4t5apgGEEMO3eHcR8v7Ca99xwbR/U
ntYg85yt0P3BaMz2oKsxPmd2aB68zB6vem00d8LxirsEM+dTwyjWT6ZrVt8mBa2Gs1QlD+HqGo96
GeTt2En7E5Vv1EGBfHrqp7TzE2gGJ9v0uKRLhciRhe6mElP9ya5QH9Fg209JPCRcFBjo4CzydavE
4uxSzKG9TDOItB0jt6D+QyiyCOhyZJAR8fci3MWxy2mCM+hyrLJSneHkcO4rHHvver27Fai8DM5K
iRq0g/dSXpq6gN6Gh8Zrwzv+GB7rftIvyYTBC1Qs3vWybG6k0w03DAkt3xdNTMASsniVQ+K9em5R
3KGHJAy6NZLNvGaSq93pSQm3ykGl0PLYMml4CxuZIfM2KaerbMmHq3q0ms00uO3RWkVxVzdzFaRZ
8lVi0sK46K4A2PCMZ1Urwuq1VitS+DLoh6jBBSnA1TEpI3pCpRi/lZ05bZxWzfuenCNhak6sYuss
a6GhPcR17LfWNIHsVWjGfatqphsbfbBatFDaAc517rbckaYsD3hCLoaA7VvqpV3aKxsh+xos8aGI
cPx1El3PRtseeFRvxUIUt0iL5gB1gLEgraDVOeccVNq2TxZfmLbKrzKUYKhTLuzzOB1KainxMO+y
PgWIMqSX90Lce9tyfqCU274SmePJDO6eOUaTAiqzmvb02HbrskFaXbeymexd6UGpVEZrF+hJlQdC
qF6YIgYJ3V9mNO30Qa8Xn7kYOBF3rGeAJrJD6Mn6vXGX4mqu+XhKrvmnwiwUV2xtXcddzfmvCmuE
SOohYpJ47+sKfnBe92B68xcxhx8ZixZO4Bukt+6ADgwIvDQOfQUszQKgalfhkbphFcwAVR46phBd
WWllPlpQvtGtkDRvSekuuC+ujZ1txyYTCcpZgD9MCF2AN/4+h61zJWTVfuL+aM7arYeDYlIfy8xQ
fRS0CQ6urGGhyXp9a2M786ks3YWZaPGv0GeisQgf+QIKPlNSoIQnW/fNhee2tbomBhI9pxv+IuCN
bhb72lyru1yV5rlLkuJlGkENjVDSzMA0xhEqkky7g3QAr/FwMr3v8MXIVhuGt5uyzGpoMLSA/iJ3
SrbCLR2LwbYJeTfCFA8aHmayBYM6Hsp5HswAJLPDBG6vrB7YXyTlNQh+I94YkH6pCPFz4yP0k9Xd
IAumQC5gJ19NXpvfU5BIvhU8cWDMWQ4KEX6A3ykneVZFgeDGdjcgwSOeLsSL3SzLtefPWh2KME5o
fUnt02Uwt8ozqey4MjngpsjtoKf6gYMRRQfkF4prvGB3bKu52gzzyAEUZdkHJCcCABURQfVp/piS
ef6Ocv3RJXb7qvPxzalHmJG2FVVgOSLnMKwDZDudJEFZqemskZLYrJrjCUGelmS46EB39KOmnOWp
Mwd1pRr3Sa5Tcepw97ZyMECIcwzexJ1G/Ku7aAO+rdzFcHxOzHSfMPNCY08ywnjsiajuJ1s4gSVL
59oBoPQBYE/tuEejfYliz9cwFE+JXTnXiXKjO5RXUunr2O+MtBCBE+cOeXMETjhSqJWphA1lWz1K
0f9j7rx2I1fWK/wqfgEeMFWRvHQ32c0OUrfiaOaG0CTmTBbD0/vjHBvePrZh+MYw9s0GJklqsuoP
a33LJOz6DItOHXoHcljH3u27kak5AFES3cu0GwOUN2y3OKIwBGYCVmqK8a2IrCButRgfG5OM/eTC
+EzYEYlgLSxomLnS8EKmkxMkkZ4ccDdFMdXVpCHsqu2Lg8E9MLrZDnFCGS/R4LGMb3TxMJJSEIrF
zo/5MhnvgMxqsmpwzeZSTae0iOo79DagJqNkAsSQVEs/RNoNYUswxDNN9ODPZhrfcLYSPeCs9jsX
XcH717l0B6k0A3tC5Z8apRs6YOQ4WprqN8Y590H2onhTeVUe5VDpQbtxrVeGcicSkO0Di0L9VKnG
wMsaeVw1S4W+Zs0tsKLQ0np9eBJ6f6BO1a+5s2bkBHRfsKj77WQnj6zCv1Y4CZij1eLNYs/EVLHr
/LSmaWmk0+8bU5/PDeL9AAcA47/Zhk04IpbBdliyeODBkAVOhmJ61nMhX3V7FfjYhojvAJVbF/XR
/6AUNDfz9V8U75tL+T/2adtw4C9iX83FqjbhhQjniQWNZonch1fqnHFgpAdTZKDKCEZ4g8A5v7o4
nz8WVzU3M1nji7uY7VeI4VlgKwr8nSbM+Ahuv3mdLW896EKD2OvkKbZVT7tXqjMTXtrUzCloq1Lf
ezalhBaZ6QfDEU2jqKnQhqETPDbKsQO7yi8uROQfMVEKvgXY46ZlRR9igmU12RsnbWhEELWe8WGO
o3MZDDHss9arfYevfV/lQjzasGihQlkdY9fWXU/gpZxvVOrxkShP9GLZ9FkrcR+H8cWmQtktOdZO
zzMXX6zJ8qTG6hql+XpNVe5QgeMBQLfWeTFdaZLIQzF3MID0uBM/zaFFo7EJkrncS4rCQGlG/WU1
YZ76+JqRcTApVNfIcQg6aal2d1AL5VNd9+r2d0zmzHHwsCS5+UuMevqziVblN7bmBNOQmM9EWizs
0liUr6zk9IC8CXmxh1ELhckys8/Wmh2MS6BGsNT6/Ev180efrO0Bl0p6sLG6HZh5FwcV0zvJRjBU
7db0ISIEQAGR67Chj2BCkdeBaLeNNb2tecUNnVTmOaJ/vZPBEqFHA2LxzIvunWZvnk5mbavTqlNh
G+nS/24wpsSEuE7zawJ5X9uP1AvT3oV36OxdQ6vhQ1Fnqz8ld/Gn/Da3SpxbmKIcV28f8IM0Dzq9
/J91YXKztkre+lPUu1t9j2+DSl/PvJnzgfofXvBw9baeIN+6g2LrE8ZCmfYO8pl767PJODS117+W
W4PR/ek1JJUZh9HWglh/upFxa0zKrUUp/3Qr0da4TFiidyWCtr0LpRZQNtCtABBLv/P+tDzun/bH
cLqqCQGDwt/upHHGJ+oFi91kfOA5D66XN9me/ZXz2VS6SaJHhnO+UsPdnokwX9ylXznE6LfWdn0h
olr6hdY8a2aaho3GD8zSmvqZBBt7X+OG3SPQnLVdTSl8JrGgvbB1T3Z2Fw3IULOx2YPNMOKdy+cA
dVs3vpitEPsR3czdcyfnveUzWHb61jICo2I996ePRLKUPyQ5Y86tybTRee6xbNJ5yj9dqLc1pI1h
5cd2a1LHrV0dDQC4LR1ss7Wy6dbUllt7yxe5Nbq0vN3W/BZbGyy3htjdWmMBFfJrZbdfUcaQzbk1
0OPWSq9bUw0hrjriGqfTht68hMnWfsPFT3+yB6InL7b2vNwadbW17MPWvM9bG09eLx09vhkEKlub
v24Nf8YhXUYb/BZfIKTmP5MBwI7qbdzGBWIbHADL8vy/zOr+i9mxsc1p//Pgi9qQtYbJrhC13F8P
VK/r4wVGqnssd87L+mF9tJ/aR/s8PfZP6JWqm1b83Zzwf2Ya+H8ICTHENnP/70ek/1z9TLrPf7p3
nz9/9cl/mJL++ZP/OiC1/+ZIUk2EJ7B0YR9j7PqvA1LJr9C0SAPIBsyQTZ34b6YA72+GZPz577PT
f7MEmH+TpuV5yKUENjTwOv+L+eg/cK2YufNPUOcaHtN+LD3yH8ajsi80ZYzZcOjGeOpfktF1X1eH
uaMvEH3cbCdxe58LhONbn+sDeZBZUAx46P/yY/svnlaeyH98Xvky2Dngf0B4yGj4z1f6lwJAF0qm
2uKZQW3AVMzdZYRs6kWwaEvzdcxT7zpLuVsB79C9En1Rj6FbeBrt9yyoy+v0oBkohes8YZyRkN9T
QVVm00dEDxv/SNwZwESn1exNfwF9+phkyCRYgqM4t4EYPiU96Lu0NSvaYOKUtFaj6J/jgulPl08+
pgOWkgidEQiM0wcuD4eVlRRVkLkLi0imecvOMwnYQkWfLzsyQoxTF8n5syaNY8+G7xFFFNAUmYFT
WPvB+iRDrnigo2XZDP5jxFGst5dZDogMl/k75eX6E3mXePV4CJjUWgxKYD/jIshZ7WdJjiY+nurv
g+P2J+YF3Q2REA6G2jCRXzDolDAB7rG0IqTo7KhZR56LuglhiaH4gaP/ttheAXzCJrgSZ5/8MMYI
p6bUzbdk8jTEqrl1yior2q3KMq9tEmsHfot+nPE9+PWUdGGP7+Maa9Z0YsQNjW4pUBzGC/7vdryQ
CcQVmNpx0ExtEzCiBms4Mp85LM5ExTTYC0NAObyKVm98L60t34lbDPvVJD6c1Y2CjhkWq3NdD5ve
WvnW2jvVB3oRqU0PMQrX13GatS+sotQhQ1QYmrat77raTIO25rqz1k79bMvMDWSZV092SWb6LpLa
+DAxYDinsWX7BqN+IuMekP4BtdAubktBFcNAOSjduTlIJbin8tjYo1A9mmWFEVx0gEByZEu5Refd
93Ijby5FKBPNr6I13/dQFnvZ3+F8SHgMKPGdkSx1YrrS0MLo7DdDR3BHng8fKZCJI6tQhs1x/GcZ
rX13mMygkamWx1KAvPAmnqeUx+pgb7FeDW7o7f/kz7jDfosIK6a808xqx6Z4eYhttBBFUhtP+mwZ
dxTA801vtHXfQn71p5WYRYi3NxJ6wPiX43ps4mF4Kgohj0Vhr0/2EMHyX5n0lhZEYwWy8J4vaXVj
0RMHlpmKgDANSe1oMnxKwCzAXmVZzP4jrEnVfi/ovPk0nZZIpZxILq/8bbFLDIzJK1/JZQORC63S
5++oKctaGaqZSNmZvv5Ui8E9VlUMv6dCu0Z54WAg1zwv6GLd3c8E4/hdjNSwG+BH5kix5qPDhA87
gduJA3erwrMuJe8azqNt7AeVvyqXMswAZp2XxIm4gGd5IzfJelYz6LCqf5ybdT3CgBGogu3lmFH+
+7aSxkPsJjePQybAUnXTx3JfJCiJYr0aL4ol/Y+l7pLfZTyPe6+A/Gd4a3RdiHK4rY7VfsSc+iFh
DPLcMfh4qCZ7OK2VEgcNY+Wt58vet4Den2NSEj7Nxk3PMkOaOEzj+KOzi/aZk9kF215338yWvYhB
WwhwV5Kb3UCqrbYRgcxPro0tn4e/3UXOOC5Hsbbl5JN0Ao2nb9rxECX5dBC95zaPFTusyif8NXsY
Ie36CQOkA5pOJiW1yxwfx2qCpaVzBkYmukXs7KisYWdYkwQ3E72ThhLdKIRQFZrCq1HxIDxtdx6Q
RPJzDHd8IsOA1tHU++69b5FN5UYU3+TQlWcuP/UQWaRwcKYtx34Zq/O0lMnXxmCTtnfjjvc6UUzZ
6Nryw9pMYDVMgiGsa9Lk4uyA57dRiHi/FrLv4lNTVW0wjUN1dgnJ+bBTIonWrCYsSg1sjyt43MfK
dggbQvvX/E4R/TZBtHbDbzSauD/UOnyUBCuGjaxvVaJ9aeepDytNR4qKvGWHNBvIA3odlkWL9Bhu
6qv9tXBy6e1kEtcfdtkVpEQt/AP65JyiKXW3jqs6JTCIgBj8iUAciPW+E1enjCNbDXs+MVFR3rUp
iX76JRGHjc9GVtovcVNb82FotOaz51X4jCKzeofYrj2g2cX3HdVc0Ewx+NdKb53emozYOy6pyH6P
lfrIS0+7IKOYo4tuw/aQbDnlXgwQgv+epii35x9otPX890hFxj4gpdNF/jYWUzxvikH3NDmgHZ6G
vq9PhHakLyN7ipfEQPyFfKo1xaMqvfZ3XPa0fUnqyC/wQKwfCwKN0wAuFngUrSBILveXVzoMoyJT
z0INQ+41yuw52Wnt1L6YiZAP1cxPNc9RMCijtXd2r7XymS1e+7W0Zftsc1q/LGXbshXV1CFmMwM/
m1gbiUzYnR+sNbJCW6Qx8lpql8mOHMpr2opNekmvZUSANFT+rAFrvZDRBGGHFEBWqkxj95mnt/qX
2uvSr5PIRiKtmxTha1nEgxWA8RDfpE5jfMtgnNfBkFZrBknC1YPC0DrUP+z7nozKwjFpaPFTMonp
o+ga483SJusFXFp59owe+qHFoCAqtPitkh4rMPKt6WMUfwW11pSBWe8UFvl0ImLQHC6Gg3yYKk17
EotZH5Fe9/tqWmtY6rN5cJWmLdBnIvXWzWguseLRuu9klc+PS44PO1hJdmDwnCgoHXGJYCozptGf
4vgU9fX8Hf3Q5KP8TL7EOLgfHCsu91qS4B8pbWsPxMjck6cZmiUpDJo3u6ekhOcwDqSeda3XY7Mj
C4RazD3OM4l2HKoElPb7PMKJcmlIR2AFXEyjGTqAvKZzX2fJmXIGHxcbr+SVskG+EnGX0Jw23O9H
L3OMOyLiFf2Y5FHAZ4HckuHvM3/qILIlPXaQg8jQFJWPh9S5ICBagqRe4tKv+q7/aCK5so8XC7Ex
5nCAuBRzHVmkzrWCxhR7AhPNNb6pdRGHweYZtZPOvUqCDJkvYxFM7V1j/0r009xVH7B6PiPhgNbK
z6bz0anJgmumIuD7s9Z/p76sDwx22HtV84JuM1naOya6LLCIiYDChZLhcQOwsxiC000Ge+4dXTha
fpx7xTHDqRZiupVHoRNwCslRtY9Ex6E5FeA8jLFsgjnSjeXez7pZn+t6FQ/sw0i8F4nW7ZRVZJc0
9/JXNUZM9UGeHyGbFqeM+Mw7IyALlHpTL78UYx5nH9dT9sUdQG1UGusXnyg7x9pneJ+xWhhWXQZ1
uZlyZtY8WbQTCk8o4yeCSd1+TvdZyvxjj8YxDsU82SeSJpqDRIB3rZxRf8zYPprUt/n7XCeWecaa
oflMN5wo9KKoLcKM0cLVZQTUEGQoQr5leGbK0EJlKeP72MfW3Z7Mnrq6X/QXTpuExK4E5LifYDvy
ofmw6orUOY+9a5dDWYPXFVD0NMc4qjCDCNyM5lhon+tEX31UctDObpZ9MhPwyD3a1JDLaha/xsqJ
bzmnIrf/gEyQETDdw7hEi49guXpwipTqTVP6e6On3p0Lrr3U+mRfPE+DEG+TlGrPjPrJCYp+g+Mq
ghz2wm0WqUkB7TCKrifi9+a00d41uXKGLDPa573HgAWGYNkHTiHa53WSGBvnwbQeO3SCgJjW+VOQ
3Pm0cIofzRgeTQnamSgRDEZj0SPKhMIoY731HfTG3Jwxkmux4qIwpseooyhIJ+ti8QkF2ZI7gUKN
RvQvs0rJRcOEv82CMo0chnhF8m6M3SMmYrTu6DmPRW32uH5pbq6diPMLKXkOB4lZjCEhQhRucWKe
dBsxhg3VbW8X1aWoizdplr+0yL0NykXujYYRUlmuH9KkmqAUsQTtsn5fI9fHbDustwLZ+Q84X+Ot
pvraMVCMrwl8sRDK73R2jO/5xCZkGOwDC1mowvMSYphK6KXWyV+SpTwYXEjE+sULjmIyFkMiXhaG
shN2XPSw4pywzu6q+JKvqXxg32BcKpfcIyzKU75fG9H4haHIn5vLn6iqSaPt1fTa8DKRShLXe+ku
zV6HA+IDvs2f4oWKNupi++IOo/1kM7I/K71RAVZd0i81l0Rh3vbLuGzxnFbdGZSgFdqPsRB7BzZW
oM1d4ddiDiMymRDspWc3H44kNrGzZ92OEwSI237Cf+9TdaRn0jWAiJkZAkwwM/4iuZvIdKnH06aj
OGSwscBRiW6z6HU2OL85tNM2bHGonlZbuXvGVbDxJVvPaC05/5Tio46aWtsjcCF7i0Ak0Fat96GL
xj6SM2d86dCE7b02Ls7NvI6+oRkxGCNBiunkqXBVmfkNHa71BTdGgyFCZqchStV7XkX1yaoagItq
FM/52uaclQL9j111ybVDeYyKoF0DnaLth2EYtNBGg+zJHuqfVtIKxtHDdQac2JcRiwQ9+q7P3H3W
AncpZyqYamydR1IFGCXv0Bv3obYUzmk2R+9hkpP3Qv7h4FdxmwEBpIBVTmUFvUV+sHCa6wZYJCSw
9qUOdRLygu/o5TN7pZw6oeo+8VjaPmvGaG/T4p96ywyJBtHOupWWAWzKgSjeoT87Xv4sSDYRbB03
K+RjbX5pdcikBPKtlnswB/k1T6ZbNelGSEjvi+tlB0RIz4QRhGxLt2uJdXHEantPafili72PsvSI
vU4/OwYb+wILpc92F7Y8KMLQGwj945qprnY+mTzHXX3yXFYNmENJ67TXi+wSAJHCxSWXu0d7ycFh
EuMSRnqVnqahiI+WGl90Czi0u7CyMAsavJXskpyHo5YnHdl3CCMo/2GZWU3ah4NfEeeN9LORM5Ld
cJjUaJTFUOhHspCjQ5070WUu2IJrJHuEHlw8kqXazLmmsRnt3NnxV8IaTl2RF8fUORljcjEAg64W
qXQkA4m3pnGGq2471lua2eRydmrwAmEyOD3mZQkPOo8Wd9y7GVDUtU+bd23yCh+x83RYJRPtkoSh
S1Lr6qVxynsu9F22CH4/0SakFZyHsv1Vzfhgy3xBZR+7OukjLvHNULBafHkHRkzNKXMJUW2Rsflm
3mGfMcnDQuuKZY3vjyjAMR+wb8z2B5vR9qTI7rnDjxIHMAYGqH5v12MgCFQ76wephv1oRYj9jfrD
Qv/1rAhxpMOZveWpBFpj7lxNdodBkIAxpRU2hUnnR8++aU9aoBdMGrnAGALFFfsCu8FGssJdIvfK
FuAhTnXkYcYvUpuTXb86Z897mfUc3KR1X9LiVA7pd7K0fi1xBwRCb2oKcbOdi52QcRv2RlcfuDa1
/SSK2c9MjW2MVk6PY85iY+doacjNBVlPhIiiMBgof9Jd4pbx7bhuzQvlsNMfol+sFh61SoDyctbN
xXNhFbPuqLUOrVJfR3OKu/1sWfmp5Tp46Qx9wdCffB0tc913tfaOX1ncwIcMn5qwmpBf31U5ZYtD
A3FiecygPEm0l9mzHmqrBY4263unbuS1NTHmZsL84ACPd1Jvxbtlleh1Ern47mK8l2ij/Yz15X5F
N0MNve8a9OL18GvUMZooruad5wCpzZG97NDk/M5Rx8gkPZWgE5KpfG0JIN3lEADSVuGG4gJH/dIw
v7eORbV8gLuzeXu0PEinCKFbYRdkd8WyPxR2+pBFqHA8Y7hPXUGpR/TTPenxRhF1sXdm1OdGoVMv
GkyM4L6MZAymB0h35MqmZsEoz7Af51n2vluglcq7LPJFJQOz1wMJZg41vaHQiYGG1C/NxKIlqauX
MWNJoKpz5PVemKIRkqs3d34/siIYa6N8jdt6/iAW7YwCLt8VNBy7splDNKiodZrUrIICMt4pJTnq
oOWS/aSRmGHeG+rerir+FqPswKhofdLyvyIm2E93EyuJ0f50mHPhhaT9Myh9TwmTIei26orekoYa
KzYcY8cNbbPI6E3GGy5tlnVj3bxbRkaKeLaM8S7VXMCKDZwXAJuECzZLczUdJma0DfgynVW+kKCc
wv5Y54caAyWzTFO2JykxOXXaTDabN181xIustzLMPZYeHxtIhYFjOmwe28ZK35SY7UeeM8QNy3WR
UX/NInuFrKwz9ToREOkG/Nn+o+9tUtvoFPGs6ovPv+n8aNaoD4kQfPGi7KU06+To1FlzJH0rf9cq
Jt+t6O4j6oVdluooxoir9UkCBKDLPU+drDSGrzYOS0w5UseMvVInLKuDzUTX2uq0NlBJ2mn6Kmp4
gAun+Emmsf1Q6GZOOE2iMSIGf9nuGN9QLU+z5V6duBEEczmycXyR8fvAOSo/wbJOkSJ+Ooy6iKBa
zHsFx/Yp6+MWa/I2D/d0h7wxEn5z04y/5Cv2wN4l7rmy5NwEfZqRC6dFPWnP0TJnx4ngp29dRprZ
kFviUFNpUlDlo1/a3MjpStjvrnMaEz/psJC6izkBTrCSy4VwSe2dON6V7SitR9BryGNAVRmYDt08
R8Rcl9l17inJHIwRoZoM/TI7ccXTWZUgdedFOo/Qj1Lyj/o25I9YgW6mw5Ve3nxP8VNDJJTt7z5p
KB0ju79OHQ1TpVkQPCsR3zRZW8c2YVnZ9hUFkCHRXMWYh0tfNaW46mrwO4o/ZM+oNTKmFFevE+YL
mLL4XCym+crBX91GfKRHFbcDvruubRH/laDsAC+YAiE26cU0/w1Xn7PuF7vFTivakUlYvZjJpys5
L4gvmfI303AfRvKvGWZO1T1ra4lUzf4VQZj6rlu44H0TK9rPqEjLV8qQrzCQsdnk3RMOuVfTy+E3
bwOvcZ3CYSUtLqd2vhAjyOOKs3cP61PBWl+rz0akTuiSkL0nbEIPVI2DNGY86MfAzu/6iHeTPcKA
ZYmQQRi+AA4iBBt7E4T0rqxJDUmz5tHNLaJ329k5DsnwphYAFLrZfUkNDJPEkxJmbAr5SIBh+kwU
T/vNjjfRrR450xGUug0tyLaSXSNobOLoFeIn7ILNXhqNaNbd8TKnGVxsOWfnxXR+p5T/OysrBz9n
BMVJMENjUqPrvcJ+5DLpV0wz42BUV7lG99FZ7zKW3lNCJvPeUEVzqAfzR5W4PIwCZCwGvQhj4JaP
nC3apwKKEEQ1SsnBcLF3JgSlCtcm+rSgCPMsHFlAR7PTrEwj3EyDWWOeU6qmtwwI8CNW7zYkzzc+
j7OLagFHQEDx/jSkUtvNLKZwaw9Xg0K9dwd1tFamkoHCWXvK+0pDXjMTkA29NmnwGFc5wA67I84n
0SRuJNLEFuiwW3405Evrpq2tfjUc+BFuJLKz4cIdNPLcYzIkc1bH87NhdrycHRIiZ5qMMxDYF2Jd
7AvUxRedl2iHXPHQKccLsDe91kX2uAyrvk8kMbEz2n9jt+aGgypkXAEhVN1wMKlwOAsZjdrB4CnO
5Ama7cXD7ZYwBejY4C9TzLxaciAbXte8LZ4mf9bwGHytBuZKYQGB1hP9qeYxRObegNxe1rw5NByL
D0PSQ9te1/W8DBKUhjcU8JSyNxHLJ9ln8BBIS5eZcSnQlCNXdY626CkFF+vJoy66IMTdd1Ao0rJ7
X8bsQ6iaQWvfoMqpEdblT1GvEh/Vh/fSAVnYmxpWcEuvu0uLRslXsUzeBYHRIQZ1Spq5rwH8uX68
Go7fJo0dIHHUjuVAEvT4NLNreoinJDtnvGufJUGZ0b7AL3i1ByK0WfvzBsSVuBojbPIdVgbyt5vh
HJNE5s9GdzIk5+nOFmt6JKibajClWthlzsJ1UhYRuXDAzxg5yupotaXHxwjD411vE2Drzkiol4uC
9bvBrIH3B7vBlb80O5N5+ja4jKgKzTzUnG8P3oLNfa+haP+x5hRm3IfTUzqtCkhElYPGhV64yc8g
JkWlRcKaId7nqlD7mRl7Aqgi6W+cC33Ld20X3+TsqR9Ea9HXMTTwFEuhPBfrpd9QXkxv7fFdDH16
U9q8iVyRYdfsmKbkMSI1cNmtQ0qZWTSW91oYsj8lc71yXOGZ+DrpjngbEwORROEwpyLAFL8fRgBU
qqzeiluMSZAcpGIGIYGQHmG546Y2NmnTSd/GYupOrKMo4zBfpAc6ajt0RnQkO1k3sKgcs1R7L5/U
R+ZUP5LSwkW9DD9oyzWg+ynR2Xpr/igo+Fi4rQys8PUzEulH/OvKHFJOipr//LGp+odF1gklpS4+
qiznXeKX9f5Bs2T/nZBmSBq9GdWHZlTiZ0ZBfliVLWEvx2gbC0arY4eQUyh2wp2chkOTFuJplJvI
GaU0D0qLK/MwJtIKNS3q2D8lhKy7rH2YdEFf7y2U1LEYsfrMRDcaGTrRuXuWs80akhR3UMo22qQs
yoqHQZPzC5O15NDCw19X5embIX3zc+fATnj9MkCWjsTv5xiR+F7X7aACu9Dbc68V5Zs5eIZvMpUN
nbmwbsWk5f3ewf7MKhoajNWiy1G2sdetGAl3N6cHNorHduIBjlf3s0qIAHfbKLvz4LfBqnnjqTZr
86ar5NPrN7FQSk27Gyf11W7Idutt6Cy5vd7HRJEI1ZTggnRSkwFTL7BnytVvl48m9fNeb3dYKR/Z
COKrHVvjLW5aH7dQR+S1u75XKtH9Oa67AN3Q5M+zQQ5J0Z0J3KPrcNYupAtMDr2lRc8jsldeKvlt
joZkCbIKg4fuqe4hwwMRzIzAnlFMEgWRkcQHWQzAYQLC/WmqpvQwzNr8NRqMX8XK0CHHSXsjsaB8
r1LujjpHAoQpMX0aAYMflZAYSjuvTdIdWxS57rM18i4pY0m6DpAZr8moD8+OycInMMsUFEdJYMFF
eAslQezahh9b3MkCuR7ogvllXnIjTMWojvbs0aCRFscG8UQgJatTSznBdlM7NB4kQiCCbxAE7Bqj
1d/nsUGgOW6UnUEV22LW8MFnqIDgdZyoMVUKbMGjWzcgaiAJHkqAF9DTzG/s36LLhuO5IqBFV9/S
0CxpuSFhOGpVlhXBwu7vocDN8sXR1qCM9emAd20J+2Fwwrxpukuzbnm/Y68/J5OpjiwZGHMOzdQw
u1nIP0P8FL0kaibVhdeSv5WloNNWNkx2z7jzU4UOIUlGeMAxJPZs1yo8WivcUlx07nqt1tn5vSwV
zjy2L/SAbN3m89SRWu3aK08Ps9TXeLXHmzU2dy1e/Ypp3kM7D/JkF07mkWcg6ktcxQzjWh3doM9a
ZTwQK5bjvat/EyVhVLtJslJxamv8WSAdOAxIikMrLvj36r4xjwaFwsXW57Aol+Ezx1RlBOQ3Tw68
hyp95/P9hsQ0O84MEbi62KvvYoRr7EkiX2b9h25nyTGxUzj3k5GIbmczpmO4w/5O923bIkB1hXAR
TLlkpdgZ6rKsUFQ2NeLXYbGWO+YyZgStk+2GhMagQyDoVKLvd40UXDbszKn/2yVJnwfCGRkXZ711
s2JO6KHW7+waDunE81uK5c0oRP5zhb7zSmCA85MNnHcVo3FOx8xCgt0hc8XuP8FigJxfEGMA5Q/f
wwImpwUUUFU4CjND8/Xcar5NHlEfuzlSuYkFTDIKpmb4wQyUzsNsrVts6kDH9Tmr+eDKG4v/+VQn
FfSyfrb1C0YZXu1sYMGETSuoBu1r1M3dN48EXwnkQOkXps/cNioT2Y+IYSVtgj3JozUZWYhmx+MD
GtsvDIa+wlr4Ps1ewTUuuzfLJCs2bQWqV67T9MOg//wyLDprnVHXl3DqqNPpNXq6KUDwuUvP4sde
qoI8n6snLBvrPqpceRvK0glM3E/hWuX4OZn0DVgj49o+VNDm13jaZdFEJzpooAOs/Z8GJ2cscVid
7omNl7Hr0pr89Szu59DVIKGvieYetXY2n2pbV1cMdNZ54Dx6RuSh7Vcm/T5F+3wvRGyj/Bvij2So
rLc2xwlfkhXCeVDoiDk0Wx37cZuPa3lnPGbmxNxJB1vBwosE5amDJJMKxEROzE2QVguDdpViODQm
iMcE2171scBRX5mIfKpVmo1fu0QMyVZWAcj935mRDv5QR6QY9Blyhi7HFWVaxqvDbH+f6gZcHk7T
gP1uedUK8y5UtR56WYudKVbnkYTZmn5/nr8rdPhkJLuT+wShZIL4KVbvUUf5/syS1nsxNXu+s8CW
300XYoW2SPZqla7OWecsBEvHBWGhdeJia2HLuFjDR88cOsdK1K0P0BDQTo9pd+QqRe9CVjNUmPIZ
8V5+nam5wgyDrm9P7jvyYfhIeIA2gfecvbXode6TmkHr66Odvc/tyo4AVBHiplQ1ezxQDxiPKkTa
EULocnFOfZIfkQwnZ1GmjCMj1z1nCLibKC/90ULJX9VLdWKWofZr2pS8EfN0NhqEM2vWMd/sHAdG
irvoH6REoPrAav9Fk9az20VvkG2me9KRMYEdgFxzJJo+6uTEL+fsKWFPmKKGCm3X4f3xvOWyZA2T
12KuHvNadfuqy08W5ewTOVvMDWiirh7egBx4ubQeGserQ+Z+P9y+ebX15RLHLIxcTZyrtmRpo7vx
GGYQBj9wgRGqBQr1KGy7fDNGtPG7gZ30qcqqs1HL8cJMAE2ILbD5GaS5Fzk/KJdQvR1tMlaZjkW1
zvKh3450ULItAeaHuI2z0NT+hb0z240kObP0qzTmerxgbr43phuY2BeSEWRwzRsHmUz6vpuvTz+f
R5WkyuqWoAJ6LqYxgFRCosRMZtDdlvOf850IW0fRYtsRFWmfRCEADO0oxZyGpbebMoN7lmkgeozk
hzU7R7FhJimOrex+lLWO1tMEVNtFPdJeyijyjnXLopLCGA/4CagM94LhcQZzEED1+53XutMDFst0
PUU+kpSn5w8Vh4uHXo0Sl3RWvo1pF4f0qg/dccgEhB8C1F/2YMCkaZJhEU5cSlGk/SrhzaemhPGS
9wKZacQvX6AahIUGkFcmawtn8D7u6TcC5ifv9ciO7oy8QSifwrReer2hzmgD4fe0Z568iMqcWCtC
JHYHAOaj3Ziv9HAMrGdTg2o4WMd2grO2HJMhxbcVMU+wTO975Xsmlex68B2RkDMEjETm0lV8H3EJ
z7gItNbBVa+zFPQifFxZ8CCFesOOL59RN6I3/GnTCW2D2Izna+up9uIfoWbqD+NgMznwi/TRj/1w
zViA632ujQvDK52LJXRBbqKysO/b4UNHOU6wLMEKHlQYJ1+FbnSXnO2VwczonyoPRzfeCfo7MhWb
ay32/UObGQbhR/YaLs+5OJML69+QWexbRlbpes5fJzzyZnNiYmBespYLOEbw5JIU2kfc1O7Grtk/
YUwdwmBoGOdY9SmoBv3dIqmw5uaMAyMvlGBPjODYljQJEaOX+yaJtQXyTPdASTUHQNm39SrNnXIz
1QgZZexBIfSk/iVj1z/i0AEYU2otjUaj34Znm8PBhmGcf8gK3sO+JloJa3gcuDqjFjCNkg990fgP
secV6wAjwGPuRxd2V848Fndptl9jV2eOwywtTI5Nkg5Pdh9Ou3EupzO1FAO45Fi74oycvHhxOSJG
a3742pkOmpuXxj2yA/o2OHvmQhqglo0DFJwI11yiUEY2jnSmd43KjKXHlXNJKzzbFbO+C2qY2lmW
M7v7Zu29FG3zhblmpOYvsC4T5efwMdt0yc+NrLmMvEOZULHVMaJf8qpSJmTSokmiEAovc1UIUdjy
Ih5LJtjZcEdb6H026QpnHEHV1vPdDW4yzpxBRLkbo5tL01HrEHSNtRNmJblVuXpvcakc3S9iDBY7
xZQ/JSGfwcyc3ESpXeyLrvfv6ritTwCH6ULR+f6DCaPgInFMl49c/8GCo912/tioNR1MLvVvacoa
9D/xisVxLNORzqbe0gmbFj+sqvDXg+Wnb6kaYTEDtoqeQHyT8MJ9de5yP/5GF0N3ZxkMXdBpMcMS
HEtZkeL8/upm/q92wv8/BMY3PAnO9u8b4RdR+F7/3v/+6xf85n93fzGEYVmE2MTVAE8U4Vf/u2v8
wuUb7BKOdsuw2LH/6n+XsEOkYLwzt1ja0vZwpv/mgJdA9m3bdj1DsLA7+p+zwLv2H53nUgAiYSxt
gqmHtGP9AdxbEcJucKka29LXzcc4MKdVO4b5YUCShVA7tNuuyt7CJBsQ3Fz3LaKD8oahQsuLwz/M
bY5h8DYszOQlDsMIl+Vk3+pe7vh7qptDxomyDtkOatt+IZbJmZVItX3jgzgEgaEYGSTeaG8Dhm4v
Hp7br6lw1Es4IZ4TmpbqBPl8OLN/pwuvEdoSPmWyYZInyfh08qFt+uoIhaE4jOBMywWjoX3QcUhf
6VKbDx+TNI+lauJjnHoGUXnXzB/pipzEnoYN7Shi/iCoG3HHpcymFTO0Mv+JWikqxy3NOtpe0X2j
k5nrbKy5ULsrZ4xmWph48q2xR+4zAn5vo2Cqh0+JIS6VWPLTm3spcEpmxaFuBmhLVLbfTTKuzUVM
8PRGZLFjIhh5nLIKh4ogZJT6npBR4iGLR0CeIAZuuszJb3PXpJxLIHElhEitjG2enswvNDXtwcc/
T4I68vv3Urcyli6N6woGl7G6C4fZlF8JNys3vmNy5whCzB5Ev8e9zTaO+MRIjwE35x8MKfAzW4eg
k9UAAdFB9TIVEcYm45q5k62FTDsYX6GaHa92yDgEf7NZ72INeMOi8ESLQVkJfrph65EtnFyujQ0b
J5f83FmPSpTkXnW22UI4m84w6s9RpVHEp+G32xa/x3e47f2brjr7wDUgONLXV9xjVJFPwLrqW9j4
scX6LBxtY5Ui1tYDc0KGmyZ3j6UT29aBE/a4Q7jy2P1JzZNtYJRgFUBX6Ul1bghU9QdLKbo7rdI5
GrHWr3UbwyMKd/qYgUi5mMIM+10hGaRFk4aDC9YhabHYQrUQ+BhPJebICMCGq26t2jVurIqBq9A1
OeIexr3SNkQNF3nPR0oMDTlK1zxOLkFLDVnidZBGiJlkYgK2Uudw/hPTfAMLZh/ppEt3wI4lH1Oh
e3eccgqxsJwcs27ZEYRf5o0LLCfxqKlDK2RWvdF9Gi0WLnjJfYOHkXOMDS80Grv6QSsYV7pjTKQ4
0lZWWX0rMd0SKSmyFcqZ9gzlYUDhKQ5iaLWN0xKfJQt8UmDXBqI8m8xDsPVr84XI9zprZbMpCods
+uSE8PDcHimh+o4jtLrL7PpS1eWXF8Guh9m/Tj0YEyVltmoy+1OGRd7Bg7PUY7tDCrOZyJCzPfkW
9hAIaNymN72USU76kUx/RGiLaz0YrEFAhqA1luNebVfLXhiIuGYWYtKaVAakl8I8XsPuifLH/Fab
w4817r5tShqzvVfgeel+MNLandnVsEMDbXC/tZgjuPtDtEA5VkH4HZldiBWrCYbAQkzKO7gTjJut
0fLhMFhJtYEC4J5vki/Cj1EYBIF5E/pWw4qn6pCzj5N8RkbeEsaLtc2ccOGxUMNWzwD0i84UYBor
fa/XzNS6Hu9iFmAiXwST7z85fLTLFlvZoi8tCvfwodQrfDbIFCJFYsxj1W5GyuluuTiLiwts45ur
V9ghJBjxYyYl3iTHT86+dP2NiIvoq2SUr5gjWOiVkxLjpueAvSZ80w+4d50ZDdC1byXa6a5KQP7N
0epoN/oRBWVFEuDtaxx5W9vCho4LaRDHVP1K1t7icRiZaPt9sMnKQq1TM+8uItXrVy1tk4OTUQW2
kjEDj6alhIzPvzkD/KTowuAY/REg13Pm9nZTYB05yo43iuTmay2DhsvaQNA/0S5t2SWEbtzkYQS9
e7IbASRKS7KtC9TxXOU3ZaT29AWO5JlINpGz6p6ocCZTj2FeLmNC9XsmNdqdaMC7HA2eplNf1ukN
M2t6RpLWA03Tp2++56k3R0uS5ypqi1s+5uQeaLv5TWFRSDDTiIEpNjaAUxAyYw+7EdKnDKYG8xA+
6R576bLB9ILza8qnVe8DVzG99ggxAhDr1FkVlNjpWGtgDzne8qOb+iTdpFM2XfxJQVTEX5q8uPj7
12M5qBMAV+MA/w2AbptO5RIyYvxZgW3d4zrjh5RpVnRJzYCnbP6z4SEYZwU+fUMOaNxJvbS/6304
bm0/YOljBjMuyb7nLWSkQQ1spLl24yDszHP3dIvxaou+WW3gttgbZlv9Q+g1VrBQWlBsXddN9h6A
xS11HeUy8v30Rcvb6QkfsbyZDCb5Cx0X7KE0UU+WeWjo+0AYn/hZk5XQ++TDCt0qWU8YC54AA6XQ
Qzl65Cuvqp2boXTjW+k2I8wJ1lb8Xu9QfyIeY1Ds+PqDE1Awg9nq5AeIEr2XfOtZT+l+AaKprYEd
FvcckXW176toeiwkhzdAeVl7EE1tk7tIuqch1j8BsRTTNvIbDYmImYDjNcEPp1XBJreRnBajRMgc
GxMvg9l7A2dsQz6jyPSP3Dz6d39wIhZd8unQDRJBY68TW+WTM8bpj9SgaLE16GrMQjheZab0tzCW
0t7VwM1PqqIXeWARHYg+c+tj8jmhwL16fkCjRrPj1XKPFQa6dSZxGgGa3OWVfhETP+cxLvrDWPl3
DGarhYgx/bltP6FNlKO8JATdSf56kXUc8ti+dCg3oHpaSRGIp4juxRw6kAWbjzLO7jC08oMaZb2X
pWZtK6J60GkJvazSKE5XOcDbe9DCDec9wdYKvXpDQUP/RMdwutFx5C3dXK/PqWMOT0kJiNhOPGsB
UtVGkEgZNBaW9ogrbj2YY0Tlp4R71ljZXY1pi6LEKH7Rx1Huuzpr13WXl595HSeYMJqcVuQu3w1O
7r3aRjaefN0uPrtGDht0nT5e9LY9XuiphQuPfroBS7EzgTXfhEVLgIZel29e3kzHAbXmCzSNvix9
61TKOjpmWPEPxI/1jzGnTZOhnguGY+ga5vdjp0VHaDOByUkyGb58X/Q3E1MAMEOZZt9hVmEhQXn5
gDUk8a41Lv0rGkSQrI/O9sg5Sg98b+MoHatB7JS3JAa5A0Y5Hdy+SXtuM3xm9kRIsazuSHsrzGBl
sxp1jeOAAhGLVza5wXuRLMa2v+HQGa1iLzdPBOUxNpYs64XQTObMCZ7Z6GZU4Qfds5+l7p2wiDWb
rFAU2ptB5DwUZYmPCxKKvgErfmRNzCjMYJrxmFWsq4tiHPJoKfo25hjhVdPRsVW/IbGnPbhQYsVb
X06uc+j8hhCZXXr87IvU/OKQVbRb5s76M5tUtQUwp/9wrD6oDlNWcfar3cT7xMwAMXmq2Y0as8NL
lFrOypza6VY02i30ZOuBw+R4iD2kJ0M02HLqyOM0N9u7XOpIaacPQPAtekbcj2miB7us4X6czwWZ
vYqPhlXad6wIdBtVQXZjB7KrIfYY0SteQuNGZgTwl5wzp7sajkTCpb9y3lJO1hdqieob3ler5eyl
xk1djd19AtsafKnDvN7UdPST0s4nufY54a7QZHRIe7jPLxNpSJycZMPemDlnNxR44TXA4mndGbCv
VnDfkZs4rGYzidUuzthNLHvZZA1Q/MbqIxJfVR0ADZpEoWH2LMMXkYRU9JYlvQihMLVD4HDEIL8I
TCvN7jrBqG2lmuxWdrZz7wbChJvjGMxmY4xDn+4Y6R9B2brkIRLnjblzu6cEnZEKU1EcsbDykhAt
n5YDzOoAJ2lDHSijLpieEffq3cdmpCIBBkI9rgfXYT6vCndjVtbWI5qxYuiMkK6hCS7H2K+3rFrv
CB6KLG9bYA43w23qYscfIrUNZXCGY/BV6V2w8/NC2w+xTwgGzVqU4RxIupuK3lt0dpmt4B+qi+hr
jQEJ/ELfSqn1Er5Bv0Cy1eYrBkrxjg9iWvbFJi84G/KdYPbPvwRGs1UUaHCSBnLMCQdursjJIiLv
vPKK8MWre2x7YfCoQqbysP2fNI4dC66DWEVideJ2nhNOcG8N2VSrDKOvEeER4zLyQVEw5LUYPo3l
LicvYm8QwTdVyGOAM2RhNbVcqdaxV1NfQeEvQrV3EvDlgHA7bKf+tILpb5BewhiboA2uoo4kmU17
BACiejNTRkQ6vFNRjWUx3ClGqKvCzE8TKvO5N7JibYdiIn87mVv4ch66vQcSux9rY8G9yTjEeRM8
+CUdvKaP8BtUXbuuRNsyBotmZawkPzwR7+RQqo3ddtAtghS+pftLN01GA324dcnbpqq+sXGXRCQq
+HzdmqxZMmjEQw34UdBM/OdWl+1rE+eMXGA6cmGJFe60AVhiuZpk192nIs7CtR2U3jNM+eGdCaV/
bOypt3a1D0isT6zXoC8J5inN8khoTlxw8JXr0YNdBgMeDsOYduUghgUbh3gJ8ia9KEHpx0IDsCG2
WpI2B8eBhrTo3KaeYwLli2mqi0En+FYo91HBlDiywAAAiUp3B2r5nQSvsUBxt9dqiJe4dDys16L7
Icc2lJxOhXsXtIa7446VK165Mn2DZm3P6h+9WEXtd994s6Ilnc5RBaI/3Gb2YG+Hka3aIv+2lyGc
pniSw065qARAPHRvHcm6PNKmg8Awz4mfQVumbwVs6G1kqzZfZ07jPLkcXEzmAtmMYyRK9Wv16H+1
rvbfrpaS3iqACTMP+e8rcKsfaRj9XoH72xf9qsIB4zWASaOxuTZq3FVr+yuFwtUpNYaazQvmSpde
yN8oFNKlf9KhGsvWIYnQHfk7Fc6ldGsGUQgb8YzfUf4ZEMUs5/2EK+GCSfulSZOrYSLDuX+AP0e5
VZKLkTTD1POaRlJUPbYg/F/DTnUnY+gfW63WHnJDYXom1lRSlMF42Cp1xF6rj9M3cjLdOyPJaO8n
XrtGYrPw0Xj0qJhKoTlH1v1gUwDLb4/ZPu7LcxBl6Y/Ytj960vSI59AkKu5B7AlmcS693n9kt2PE
iS7/YqCi4JjmaoTUwazTT5LzWJCGoSGJISBpl8EAW2nEtoC0QJNxEHot0B1VXIrCex00EO8MZguW
c8L9tqb1W7wQWDukjFZNg8mjHasL8MBwHTaMvoxSeQ8lRc+rtlXVxcxMbd0Q6l6D6SBzUJMUj+AW
bZXw+hc5DtYOK1P65THYIFoQhB+unQG8RTv/gJHYPBJ0zcgh+mwzps0uaXYUU67ibEDtx+GsfyNa
gnEHVXMtOJnf9Mw1SZxOLW6khsv8N4NDSwmE26LXqjI78UbEEvuFX3JahfVDhLDurFtLMcvnnJG4
z66WNsew0rGzGC4eabj5Rdsv/q9I7f9dlwSk7L+/JCxndHcUvNc/k2l+XUz4yt/WBZtXXPDq4W5y
Z+L2T3Qa3ZWCyxgrgPF7frf4xfHQ3flhQ2zy3LmK7zdx3hC/zEgZD5ndRfYWtDr/GT4Nf/jPywKB
HTzsFhqULUxT/qGyFm+dA1Ez5lrPTO4pwyD6WjnE1rjTcKiLvXp4U5r4mGmVP9zayL/xKvMYkzdp
12bTF2unw1nmWJr3iu+mOHQZ2APdjdJPC1Dzy/9/GP8pnDyDYZ2BzD96GP933ebv38P39D+lJf31
N/j1mfScGX4kjHkwwwPAvvOXiZFn/uKxP8BLAur+c40yexXRe55faEbCdjCI/PWhlDbly8K1PNeQ
jm1g0/ozDyVgk5+fSma5bJaWjXVLwlV19D88lVzIyhG8KkG4KML00BLEOTkNHWcrw29nx9TQpvEu
g1zbLpxyvn5Ebt5WK4r95J5WnXhtY/veTyE06ltdJEO76IaIfzYkiN7wlXi4eF36ANe0swQHwvHE
2q1ainWNChzcFRbulJ2Gr+6NbHyYrwo9ouaFXoiAhB2ABnct+Rs8N31gbnTl9BziCKmIsScZwfzn
o5zGJIFZaJIh1YpcoYXIwGWeTMnFvQcQao6O1fihJCK03FVDTG1PNnUGoh7ZizMptM5fmEjq2XK0
eB9zZtX3ChaNT6Uq1MQZacjpvdKqJloYbia+wkgU07oKsIvjidPMhzz0zRQKfxa8kiuTLaqbP9Iq
p6lzSTp61QxZPicFy55gVW1272HcDHsgVhkTo9KO3hjoNBzETRf2aSHE/dDbNYwdae91HXnLIG9n
L3CuSnRcnc1c2XJ8ZQ92FXYoiUQsRRHtpOsAVzGmOrGp+Ikza12Slr+Vmd7f9gM9ywaR+m01mdF0
R2K01S+yLgxsX+ZYBRvTKw3vpVN5tR9pZ9fR/gWK4ATDpqJGDcodLmrK4aN91TSWOLnz55Jg4zRo
A41T8FqPDSMdjHxzF7Fvl+WrbBghNGM3f1jhvlXh7OFCT+O3MY90woMpSlwkI30YmO5kTtjpp8Bx
A5DVDoxDTKAV1TKU3JgA8h7IX3zFYwW7Cs7ekrODvy80FGmQq5AvKp22x3nF7EZ/ugNfSnOnAasZ
EZcjU6KPmFktAu+c6XtzZXitc+moLexLTafYR/O9A8p3tjZj/9LELj2/afciif4uEzu/IVxEi5Nn
fepZtge7ue+HIN9C8su2XFrkEgEvWkMizm/pq8wPNo/NA30n2t4GlruMDZOPrqoA2JmM9bxibqir
boBQmaS3qeeefLQMHTs3HlMdbDudLfB5HH6qZvhpQkfYMujMXiIE7bvOSKxd25HOCDy4g5rHPJYU
E3gAt3TWRtoWD05tFnd1PsDCwie/nmDPc6YLhf8UpMMlUfgyR9qY9uhW9P44Tn0o7XDuOS78lTMY
tI8W8Uehx8alKlDHsKR2S4fU7Mb2UQpNJmIcRLnqdjC2Il21t1VqT0B7QkHLJRnXR860566st92A
DrpoLRysdRyqkx+mzdKaRkVeMCKtm3GJs+S2A4IfjN2DKXRsgY6GNaf80bbAmnpdLSz4MoDaqDfK
gT+cFPyDVyI91Ijxbxb4+/JXFtmSxch4NDuef4x3C+a+n6kebvU2987aNIkf9ZwvqYvyWNoOB+me
Qi7hQYjFNPfl5OrYUshE1k3jJ1+S1NCYIGhEoIPFlDICw8FZbxnQAk+PlLOZxoKcXsgdPKeJEMM0
GLfecbDCj9b0qvF9b+LYn9YhDYxbCq37WxcI6WyD7y+JVVxsyFQHwskOBpi022Biddbw8E2g7ng6
6yZqIMwjtZPLmYgyJa25GjMOxqHuM3vsqDbFrSsNsTRBAFBTVREoEL4cn6NYFYvR8MlJQMlc24RU
1l5oWd9VVX+VFTgrhrvVYbB9YxOCsYIKYEZLmmCzM4ZvexGohll8aiQfBVSijWA2zF++pyLd5La/
SjvhMtn0WQk5qzRUmFbuS08nwGeZdH3064n4+/CvwY/i/Cvh8V/yNjsXUa6af/sff0T6uZh/XJwR
dEHqJq6Gq93hdyA9LcZz14+Fsyd5Lmm+VgF6m1EEdwyIzH5pdQN9So7t0E/RGgTPQMDv+4yG7uXv
9vf/7Bsx/lDow3fiEHG15tsj/2P88U5Xt341ZPh69mNtb+OOq0joGf10X3am15xctHX7TOubY6wZ
C/UPHTytmjRZrPAgd7JYh2b33A8SN16Hhs/QLeZYQBemlVXvNg5UcwU4yHqplEzPHu1At5NtpK8u
5D6e53klz8BhfJD0znMsbWH1wnujbQaljIvseu17HVJynLRu8MTAo3VwPQXRq4oMWh60zrwF7s3T
5Hbihc7MmsxMONxXhR27K7Zw2KqTSI5mqOqVMRYEcrh1nXqiJ0vF7ewBcW88asNg3LYpcB12+nRj
DOmrNApxr0gkOj0dVnLe7Zx532McyRbYYWxnj6WlK1yzVyMiX/dLcuLsnQ6Gma/yuqNKs3I+Hdcm
uG7hdZzIPr0A460qIoaC6EA6UKI44E6RqyBwo13U4kfzqMaKlhSiKaSqOoENBRPMiNbgW3vy0RR0
frfymviT6NxT3Fca9fZUpO38AeeLaipP0iHHyzEvQ/Z7NEHGtehS3oNOfgqssd2XA4WVms8Hn0wj
1IfYm/NcUR5862iFhvE1hCT3gZ7d2qk7I7+SaeuHgwrXjJyzS1wQ7wVbpL5z17QvtBF0CHN9tKqJ
d25lRZEwmmodYVAxtI+07FpjjQALoCXM7Q+vVMad5OZ7N9Ic81YR46Q2J2nh4pVeKKeLbTXJGzPh
8t1yJtGuoOYbwwtDJj4ki+rmOzUNPT2+JnZavqQqXxH57PyTMDqzzdBqgy9ltCAI//FrIq+nxd+R
Wl3hCAdhRlrS9EwuXPMd6HcvbIuRszPCod3j5tZvS43UXNFH6Kc1ChqAandfuTUGPbKWWNzq4uRi
a7shkQUAkqqM4WCroGIZnkCkuy3szpnO1D+QXiGXZbLBvtZZx/07iAyEBFiJUM5RI4IR6rftDCdS
bKc+7Zt51qh3N7qbIX83xuB/p8zY2NhRaROpr5J76cE3qQY7PkA0vZRGeMqlf/bSQb8JfCZeLCIb
XQQX3nHjTmTTbUWL+NLWsMFvnAgO94KFnoxPXbn2LsS+3y2UrUAV6LHYdaWTngm9ibNR6J25Lkwr
eNQdYnVBF3trKHsaaQCj6Fm0cSbesbhUZxdr0abBOaXQgEqtxz1heN3aGtLkQPKSEpdWpwZumdll
/um0TbX2Ehf7eGqps/S65hmDv78qDCbjJPxS5rNDh4E+dfy3kOPo22DNlRR9VtQbHNvhNsoq8hhE
hxwOu5DHYmdkdOlavHL0CNj8/Wr6HMYs7j4zJuz0YLTC37bEKJmwNd4Yr0JZk2x3WgovbUDW937n
hR+Zbvpb5dBu4IPSehgSmWw9sDqELqzukMZuvyRdpN+xJ008lW5/l8KdPiZeqDEHhFXBb6eWuubm
D8yJXckBoayeBKSjpQoMd9FB7kYMKrtwY9PFuSS21wHhrNQbyZfoUQsb+VwhCoMWgaG9LLqKpYnW
8ns4pfAdQYQdLVYpqAGOWhccUtd9EDpnJ9Tjp5zhFqto6M3BEj6ZQ0SvV7rO8J/ckFAWW9sJBe+1
Fxtg74qL5/XlpktNfUERBjvRFDbmva3VNC/SGUjoqhY0XcVGrtwzw11KLcr59qFfLyK6GpiX+NcL
ipjvKjXHAQIE5XyF8ZuU64wXjXGytnNaa67XHY+Lj7xegRo8iBtoFs5zer0i5VLTrEURgeVcRKze
2PLtpHwLio7KYMO09eBuKpHW1/M+9mm2/QCMdJBMF9R8TYtxsLbMbADW4yhRBplBTMewUQDy99hS
95WsFEm3ChY7o42paBfKi5N4F7s2ca5xwmm9qqnbOxoQRiK8KPNhYJjPBYmlv1ZkVlzY7I9YUF6j
en5BJJxuhvKHyp8oBYWOz7S6aOfvutlYXNGPA6REkvmFtSuTsXn/xwvVHxRalingxci8IFRRfA1z
vhT/bpkSHOkSI+Vc4QUWjfEnwuw3ZXd//UP+lMT/z4l1j0XGf/7XT9Tof//5l82vv+bctHpX7z/9
grBRpMb79kc9Pvxo2lT9RaSa/5//7L/8lx//lDrCGQiwkqDx4B9pdeG7UlHzH9S6v33xb2ZaE9ld
mML6D9KIK36RnLU82xFce9D3+QH9RcY3f9Gx3iLYCbzhHMr+1renO7/gFUH647jIlzqO8WekEVTA
n6UR9EPLQabzpCvprvTmisGfnhI/7hL+O2wcswjlZtApDe0bjt1LukEnia5Nz9e6TnRql7vAH2Oo
F2U7rSCtDdq8HZjL3rPlTT4Xb9IyjE+/nes4Lao1Lslc0cmoL9wHQ3HluYdHTPdEV2uLWs9mSLy1
M1d9NnPpZ4fsHC7JVbvhSnH24SBjp6z4c1eon+ZYG/QcJk4obWASvT/e25houBRPF+ZnM5uKPCAJ
BSynnGjIH9XH0IX/PLg4IjdjwUhy6Q8BVywnHZHzc9lXd1ExwlHFwCQuvhWlr8YwBBeCtEAMhYw/
qmtJ6rUvdcQe9UHXkPVtCE3wlaqt33vuNMu5Tg4GCK2rtZHayyLWubgjiOTnoWnSUzlXtVJZmyxy
OTC0VeVazyhai4xasvumwdKc617RjPQP99oBmxctd33lRjgv5pLY3oZAh0w0V8cW8CnltU82duZu
2ejaM4vZIF9h9uvphMUPKeZC2jgO5IHkKV0KSWEu1Vxci0b0DBqYLltHDlECHIr2xPTadjsNFN+G
5lxaYqDW3bZzMW40V+SKa1tufW3OBWJJ7YCYC3UnT8foaQHmZSZJ38rSu7bv2jmrJ4RpdBQ51/Mq
t/cOg5eXb1AIaJDNrk2+9hBh7DJwmi9rEAavdJqBY8GnFe6MBh6EPjKwJnDV0xCcBFiu55065zzh
1x5hJ4/ll6xm+1leW4aJK+PGm6uHHTwcxGHmQmJ57SZGduSGyImnwQtmyDPbrXnj2zA9gLUU75jA
aDmm06XyjirgUVyCtCi/VyQz3xrK+0hkXZuSvbguv+kQGpgiA5tNtrRe1xfdMbwzIzLNX01l793E
cwFzFlYc68GG6XIJmLO+Bw0yPMO1YdeiWVf70ZYE1FbYUTApMqr/IN+Hg20Y+fdYw/rH5toGHahr
M/S1Jbq/NkZ3c3m0ioGSXvukNTUgOoZ9/+zZfflgqWLaG3BOeW+Taue4cy+1WWJcXRAMFKsKXaiC
NCKTj4CXa/5SWi0X5rXnWlw7r83OdvedFdlnIHPQuqQ592MHFdk4znkGRHIqc2cBcESe5IxERTUs
r4VrVCLAGVf3OlFiN9hNTYinnF5uP5XTWx9QFOYXBKt643vRzRUrgt6ID/IviArciYe3oYsx086w
0UBr+kc2aPrx5mLwxDLlgbAxPlprLkgJCNKtq3FoXqbGAcsdNMoE9kzZODCr4gC2A8HDmMvI87HM
uSrjLwYR4u9o/d7yfU/rYq4x77ikLjgO19t2LjnHY+o/e3BluHsbjjebxuylprfM7RBxSpy8tAuu
wmt3OiFnoS+zHsTJWvqJCe0irKIfNGiETziNw6NIdMi1lTIws2qm7F81XhR9U0mD3vakqtq37Nrm
Hmhzs3tybXmfMqs6o1BndL9fe+CzCXCprpVqoRi1kJGdK+Ora3v8OBfJK1iur41w/CUomM/k2jef
16zTXZrax9DDwbPmZkE3/eRxrlQyvp1cSXO9Fw7diznX2QMEC9/0DoLwIp/r7lsJ3JgH1nc1NMps
7smqgC81OdiGIFPfRTUjIdycmQxbiZUsgzitPk0tgA+u1S3Zplz1/S2ga6jonhWM1qrRYyCTmP1o
OjT7uKBWDsKdgxswDbFSxoFu4LDxmh+jOXcZ9VQVFVPJLmN22a7O6urg23DMMz4pQTgPogdRtBRK
I4prE+6KTMkNHhMldlhaPXC0gRFEXAZsvKxJi0jI316YzYpHs/piOuoeBL6Zld40TUsb5MDi5MFH
g1iUAXOjoGqV9lVFXKQRoGY9171XZS2fRwcK8cKuEgK6YSGfvLqrXkFQuUBMUwyfQDs0dOsyME6l
cvOTLT3nqWKkyscd2zw+TkPedjMScc9WTdTd4hIHUIAQFjwj3YtsNRSO/iUqobtHvkP84nZnzdXZ
7ui+KXIbBRuUbG55b61s55uSeGzd0/PE2lTfwHiO78gIUoDrAlQZfIDNy0GD97JIiaWFyxT0yEZj
zn4Tj77zMsaiB/40ZKckhlmRyooISl9EZ6DpBEomXYeOBOodEkH13AYieSpB9Kz0EQu2cIxHanPN
M2E1uWqBd+4qKxOPFeaxHzALKbOUgWxXpVEY+5igCnDLyPQfMxFw+yiixwK34NkvRqxVY443r8Pi
dNZiqS8Dsyzo1BwJNSzY76ZwTXfW/2HvzHbkRtIl/SrnBVjg5qTzZi5ij8jILTJTudwQmUqJzt25
L08/H6ur56hU1erTdzPAAI1Go1qq2Ein+29mnxU46/na1HryE4DFYSbxV8U6c/Q7Ak24G0nDiV1P
1y6IonJgchj4R05Q6tDTj/k1UxZVu2ChyeJ2pboFdd6cc0qicMx58Vvc1q/Iixj3u2Dch3FXMGbL
4/ewm1yi10N6kf7AAJzY+kH0qthVxoAvR0pwW8VQyQ0GHkANdtPY9bVPOuCNlPGcraRlj3JrYhKk
XaE23WMWYW5dN1SKHDsVt4/VPJSQy2t1HaQmvYk4mLjnooRUS5kaa7NxnT2uP8J+sFUeBY+WexKJ
TrSmqw77rEqlh/V/aN5n1Alyvg4NAKwI6tiXoQLs0NsPpgt/weoCijFp//DPZtR7D44Ag7zGz2bt
mR5gwZWjvGEsFrVXRbPQ9AIyCXTI+dm7noLwtUN0urS+FXyvq8zxeSqzlViXSguineTfGQRMtaHX
IuqK7C4ead5aCeZlPL/zITzUTQuzuXXLiRiVCFaccfRdqhlSABD3K3SmxnLePcgp3qZNIvWFsKGq
d0MgS+MGaKS6cqNk3mBTDMO9oyDMrZO4m4YjTdBNeWinxHumSs5+KvK4p+YOOBh1eNbtQI9ttW5F
Q+6hM1gePMDCe0xO7SsMrvK+niIDzmfUxaeuMqsrT6Xcq5BvEkiPznQmvDEguICBuGcDOzCjC3r1
oqwWbmE29Is5PVXOo5mM1TORXH0XUEq0Hb16vpGdh67DY8sdN6JiGr+q63gGSJ/7n6ULJhhghD3d
GH1YnIIFO1wDC+zXNbiCLYYs7+s8y9baSMSqd8BfUDuavDC2CIf9BwHKRO5IhHXEtFUAJHke7vu0
tbp/fMrK9QGRgEB7DXr/0UlaoM9Y3565OZmQVnGh7+SQL1PT/Akz2CVTOUOOLGrOAV5+7tkQp0jq
9viDqbGIaIzSQFwdmx8eG0rwrKFMUTmghyjFdwJkY+Xb0vmSUO97DqyyvARl6V16RjfXHF6yM/me
7MVYMFprD4XzazrNao8bfMHEeL64GaXXY8zJ8KrIeDKnUwmhcTqkgdUTLy1sZBLAYdOhJar4Ncwi
pInChOhXGAOby0j7uoSPIYOboormA92c8pthNd63KAppJuyTFA48jC1ZbzyaM+HC9E5s7+0yiJ/6
oLF3SH3Jy2wYxNFhqTo7xtkBzzbVf7EY1Fz8yc6IBnbz3Rw77Tdn6TGZamCiK754ejaGKLxAPm4+
RriM1z5qziN4qyurAhtOUUfvvasyxjo0uFI5WzMM/IDx8YRyPNvOLe2Uw8YE907QndobfudMYH3C
tZ+mh65LlnlB1SxWHjB9q6yzxYsZWRXdZVVLT7AZU4Vcmab+6hpVe2CMHV+X0I/u43yonmvy7Z9N
JYJDVqTWl56Q8bwepzE6QhejTtbCMU5dCErD0Qjc2TimRWUeoD0xoqqdyVqJSbVvikNythrrtjvD
N4XmnXqylYBVm+TMkSA+ePVgL27JCjR0yMjPosbnIibAxkTqCq03js7nClwSKOw1ihc/HTGwE42d
mI97BiNwiMDv3tFpNB/oO1i+YKdLYK43yUGKArzXABbjEnFlHgaAXR+ynPM3HwMCPkngDtmGgL3x
YHZ1d5cT63lOx2o6Av0GllfxwF8LJ5zX2moE/09vssUw7PKqMSFclkEEFT92VBmuy6xM3vMyq9UB
HlV0a5c5HyFNNbI4Yb3kvqMSpWZg5HC75ITNs+TOWJwEK1p8YWjNQlxFitgIwphhPiYiDC6Q3uat
K4lyrrOpAx2XVD0bkrJ3mlODlZfKn9l1p1XUeBp8D+PgHnSNwdFUJctDOc7xrLYNPw3beDMHLtGL
oT61PJHeYzpovXVBUIRcF0ZEXOjoaO5GtW3Yr2yBc3jGkg5ArPFg7dWJT2bDTL3tCLKbgDreN/qI
589cEqWZxzGnwQjr9tL4o2q5BnQXH/FaN9/GKIV5W6esJAYxgvvK8s0n2u44U7QS3h7RtAmemrTI
hHeWc85R/A62SVCiT/3mWJDKrRBW8/GLix+aGBkVMkcDJ8Ib/Le4WirTs2vCcJV9dHDmR89+N7Zs
AP2Bedt/Pqf6+wkUQt3XUk819P72f/3PRln/DwXBGSwtVlSmPv96lrV5z9+L/8J79l+buPsbSyp/
+Q/rmf1bYDGWottCeMiWS9naH5ZU8zdsp540EQ6JMZoBBrN/zrLwnjk4eCSGI9uycfv8t83H/I2b
hqmTIDTwuz3oP5llBctA8wddxl1GbFxIFv9BloF+8edRlq7pK3ELy6ViLP6OJf7Gr8Vee8FjEjJi
MhPMHpM/kl4KH8Fj3+vZI8ka7bvgTS0dprSDXIVq/pJ23l7HYmcZxjY5Q4k5tQM7ap+q57C/VoP5
hcPcPiWWpWexT+b6YGo2RSFwNxzXdLl0UDEG/i7hvyypD26VHVPPufdqcSM8Zz9U7r0bWjeQtmwv
+hgjxdkg2MqseqBY92Eewy1FnWtXgQ/PTYDBH3P2MBGtTPJ5L8h1+u5w7Wt57MiZWNq9Kdzxi3Zc
IGTFHbaqrZ6mPdysVVK31HmEjzMTtY0M3Ud454d6SG7z0EXSUFS6NKI+zIRywSEB1Iz8g6Mb+P2i
5w4NHnl2viQuXxkhj70TekfElC1q01dkJkDB+dmFSfbDlfd3IvTyI/3lR1wENuRni6uGC+nHeSRT
EJtSGMPdYiXZRKDdOYyeo6G6FdN069ek1RVlBunsbw0AZT2/zK/fgPtzsS3WRQ+OgUm/ERZu2h3/
/Abiiu0n2gg1cuwJtY7PsqvBzTIr6SeBUqpsABipt+/CmYPS/KUvYlLVlqC9GJbLyl99g4dUQ0ev
vXWfOjGkaXofqDY5j1l96KqU3ZOMSKAsjd5zg7tBgEGlYBwxFW5Us5JDth2cAFcaTcBlGQLXCZyr
asRvRB8W6kZj0+ETwgkc5/uOkjO47Naae+/Zqeyr0B+vobVfFZWqTmWlo6v/fCH9n62S//JP/UkC
+L9j5r/IuPzQ/3qNvH4HmPHe4A54/3GF/OPv/THqN38LMObifA2ENE1/8eX/sTzSASkw3TPllxAy
EGT+e3m0fzMRG7BBspMOWDv5S39Ycy3xG6viohBgW0TC4V74p+rxx53El/cLnwkO/z/fWx5llq5v
gbAiUsBC/dOlbXeTpNbEGIEbaLunogO0GUFDZmazcr9HaRt06zbn1twAI51rbOI9k1crQqkKDPD0
UMgSNoAFXWgvOXb+4KbvzOVPFFySTuVZJkhq5+jDkssBa4Uj3SY0ixPLp4BZ3wv2TM8GqavowZzc
obynvDFrNnESQ1Ijc8QyVBdeaG/cbKD/OlHMYFbt7KUQs/oGMHaQ2zlsNzsnUoj9B2cD9a/RHftY
67uVlICDqXUN1hWh6WOVVsbFTpVhQ2+c+3xDqZcr9Crm4HoLbm4447vIiUhlZsMHqIcTnAUhNzUU
8PCGWSE+JxpKTIYAqf2S0ErEodmAPYCXzCbbO4Qed2is4JPNY+0mZwz64ICw7lPtbqdjRNV730CB
hrKlHl1p5N6urlsAg1hjkECHPomTW5q5TJjYo/3kVfCvDdOZot1S2ZAdDBkN6akedQc9gW0iXEbW
K00AOMgYaibSvbeJdU5rzVl/ZQiwZC2WPmL5kX3rZ015tmqp7kcr0q+NZXwVdbsUY40pCmQaoJCQ
AWvobe88uQrcLH7m30aRYh/Vd6EwZHkUmaaNdy6ymeeZGbmXlFYInKNROIRrL+vcYEXVksM+b5ph
DgwMhBdHJFDHa7dlpSY4SMibQOfsGoeavBV9JvMAOgMuNs1y9UjHhohj+j3lYIu7YhwtXC0S+PlZ
MgZLV31ASx9bZujkog0YtTZTnAaU3aSkSdIxJ56Kq73DPlAMxYGZS9tu4ClgRIpmOH2btl+OFORo
43DHJKPPjiaONkqpcsBSW+VrzyaZqkccncqgBml0MNpymn3KKbRYe1Fdf4KQssYTVx1hejMPMfj2
ddtytrdKOu1Rvo9RhuS+YlQ612vTkLgROPJ6JzACzodmvDcylOpkvlVj1NCXTQJ0Wk91VJ6cgUka
w6w6PeORUfd1zIisSL0nppMQ7tqwMo5RZ6mTHAbfXDVWrp9lkVgXo1PN24yP7QpE+aGnjIxxJy9t
P4R1L9SqBF1sP8Z15HsrvMq0e3emnh7iwmHLT/r/uhfM6nE6lMq6BfLHGG4sU3vY2gWpjwPjoPw6
wKnfHka3pALFTPoc0z6gNUrA6DgCvD9p0PwBsyD6I9xHQJewrU07J/8tMSi2QBsBNLttocRGY1vB
8TMZkXXVAX4YV02Uu9e1trD7DXRWZAt4PH5rgxKghT9RrIGQjyPMIj4uN2WlcGpKM/xizFm4n32c
pvlYFp+ZJlLKkS3eRaE7PjOhydcVnlafKrY6hyEXcd/ooGlvo5KJA+C88qrAhvjY0MGjOKllrAVZ
MJ5i13XuapwyYEADB3N4T99WAWuTslkmafmBEZH7ZOVpc9WA4X4TeL2C7dy2FEKlY8z423dUH+6D
qRpwK0TqY8TzNWFykjYZGtOC511l1WOMfx6+kM+QhVYOwrbUVDsrmvC87FMLBUCXWZCDQgljt7Oi
4mvVo5bgvHDGaK944uhNnlKv6TOC2rokrW5URaKVcTDnOdhv2fCghziscVtNI4fBDKkOXkpeWSfP
DvWJkGvWkRrEPc+029R00uGZoHsp5FpdC7Nqnvtk8m8LnHzrwI+NN6LjfvEkk8YwoXZzo6w4FZqb
EL+C2Pg8BuXX3JgcYD6zsxf1wOWpnueYeEfbZQgQdplsgazWu4Da0I1qwL2xhBNGxf3OSxIKrw6M
/ED+NEjTLPsofadqQnd+LMeODa3l6nkL3ji80JBkPjK84xv1MIT020JYuKGy5XSO/YSDemfaHNql
LyAkuWCLmCuGZX/Aidel1+4yB4BCNoJ7XqYD2o6BhczL3CCM6dCwJMscoPIRJ25DO0q5sUTFlUhf
wDKEiILhKZjoWWe9sgBWN3zz8XbWrnefjYvtLoOIW60ZIDP0oE+RN2IvsxDaiQ0eALNPTZECCVet
FdUh9jH+fbIS5LFH1thNA6pCl9EL1m8gqss8piMYcBzHUseMBYKgWTCNdbhrl5FOAWTxE1p49Vws
Ax+jbylMGQFLfE0ZEqMhYjsUPB86GmN4iTZf98s4CemcyVIjYN1Ahl4mTuT+bbpU5PIlFJShmEOa
J3cEyCc2CLXjvEvom8AclsnWtMy4SlNjKvfSkfYIdxmHkdx1SE+D1r4BCxlfnGV4hpU1OKVTFDg7
cxmuJRjiYNnIrumvUxgdj/3vM7nh9/lclNaUN4wcmb75gzsdcieybsJBUa5R/j7mKyF9QEOFm1xu
ZO/LlRWPik7TKaGCzO0SHdxNv88Rof8qQOF18OqJSdxTrnNVOQk6uN/mly4P4iuQs63ahIUV0xGA
zTeMeuOQxNkiZo4fiQbNHmvWTMpQU+dN1LnM1pE9y+c27pzvjSZAodyxfE+N2cJzVcF9MUdc4qwx
NImQK3kAudKtYcwmuJXrHDDsaMcX0HX+yap8Ewu4s5xnwOFvMg6GK6KQETJbSLyxm6MAS1qFL8CH
AkWgPpxPRjVTNW1GtndxM6zab4ygo7PXp9TzlaAKgWN2TNUDkFhKDw5cPd70PqFNUC4aBJ0hKhqu
IAlF7tqEh76FQzr5y+nYv+kro/6Kqyv6hN+r0OanR8Piwbqy4anFVCFRVRSPmiIu5VGGgBFlKYdi
LaK1xyFsfXSL1vuoDIq794AIbOPUJ8nRcieMnxjewMoy9RZpbD1mHmBiYcHGunEYgn0njVYM7A1S
O6doVtHCppKB9mZhU8Rs013A8M4aSusAn238iOwo+ORUT61ZGQ5FvPdKq/yshGPW90Now2+0E3KN
JxeJqT3HRI0YDUdBB367D/Un0Oievlt3yf6EJq2PPJ1T0FeZVebBCaG9fwA3NlOlkhr5A01m6Fbl
iB/94tTVpW90Wp5EXfULcXOY7iffKYCmzeoaYxsuXTFxflNj3e5rxSOrzdocB4GL1XNtVyG3CRvx
9i6mC+mYy0ieioSOpxDu6C3ZOQhPeUvirSV9tA5LnW2xyUc8y9mDfNauMz6Jwlfbzh/sjV9GNrvo
Un4xjGI5+k2mhJ5CZrZ4n4o20HsW2uBxwt3w2fUV5OjIrYvbLmjQ8DhHks6YKKtgiM1c3i79bJ3R
sfdM9ML64rFXu2laEe2DDO11U+a1R+IjZ4a/NRfkzDhpVEwn1e5XHpD49qBSADmWwOrasHm36ypU
AEsyykEjO9XfNTL3M+Vii48jUGiAIuzYcBjxVHypoi56HOCMa/ZuNNJxFhcPA1VIeOfw8Nov80B5
CfSPbPgK5RJ+luGyGtMmNLInf7fG2VszVnxIUpuiJLQJBKZROMGpIt7okaG3+vmM8JZOO+JcXYLB
p3dsKrkNP0GP7+iitjVIACB4MVqIybNErU3MTdEurrqF+EYPGZhX2T421NaIdYyg+RBTRgC7yeVR
rqZUX2r43xeu/fkwM81HxmeWgUF57rq7mOqENXxjfWVmoDNtZlJkmd1vLkzFZq0LsAkMWRNxbJJm
Us95RR0KXBBNTWiu6yV165iYip2qu3OHcWPkGD5GYiLbylPjiUlwucWf06z7pn9LO2zHOwhu1KdR
7FwHi9de3FRj0F4GI5z3EWHlF813eyzILlO1QwFtecAoY3ibNHfjeGuSiUnXiD7Gq2q9zjglABuo
BnBy/2lwes/cFIlrUb9V9+VXM5MMg0IetDfItRzOSp+OSp7ewfgQ06WZQUoL0FQGMb8C6hvebN4F
7XWDwjMh+b7pXWfAtHedenwjqg3WJLZS9xZ5wXxkg8sKm9Bqu5vgvJ5CAIXf8rCadt7kZ8faCueY
GqjSvebQIMNTRUvMRwJGf7NUPosNm4zZR78OOsrH0nF8g5+Abm+TKsNsZdNRmgFFBDJPkTQ8PAdX
FjezVSGSpf0Ht693hgLL+FlZxMzYdhQwQ+BM6E2vst0ArgX4Egy4W9tkM0QWD4PvCY9Q6O04EZvO
JoqNhFMVxxuPmU6MU8aF6i9aHmDrue04v0IEwuUE2dWjQcYLvOmpDhvLPTBOo5swbgo8cFUtjr3q
rNd8LOSmUQzoUs0yj2gELF1MHmsNIfVtXRB8z4WMoHwB7yjW04h1ZEWarnlDEwID5vdi71m1+lLH
kgFgNGmV7qiu8O7nGl7diRrj0Nw0QeiFKxhcHpO9MUAyG6KEDSU1p/ZaqGK8lVoGah21cfAZM7V7
cJroiT6heiEd061dFnRu5Hr2dwTUzT3kKXmaGkzi0oWUqWlbvfP7ytzo2vNqsjQwYbdT3DWXOsQw
hCvGnzZxETdfk1ZRehrYQVsf/BbTH0f29lO3c3/L7IvIGI0NPgJzuQhs9jiZ7247mJuM3+G7S7PF
pVc84NmNemeXHPJ9oiOXhvJwuC4Bm0GxEe0qE0gB6yrvD6nrfW06NjypF/krWtiGK2hkD7Fdmfsm
ydjx9p7zjA/hk8tt5DsmZdd58WfWx/mxCR2AMTGU7jxhhwwt+sYFBX/KRcMb6kuUVh7DOwwG0Rt7
ihzffzx5D276bmIJBXgYCjb6hbOJqZ/YWm4pkOBM/RDqFklYwg5n4dyUZePsCYr6n5TnWni9a/eI
WRLyvQTq42G/2OgRm1OS185DbVnTlT9L8yOo3eLK6+3hvas1ZUeQ0PNdAGyfvoS09KjVpmHm69x5
hPuRB6t1Ewp5alOQjavK5rMzVTWqd4HcN21nrxLnqXPqQzmyp2eO7eN908NBhxPH/V6nd4N0phtP
uHCgxZBN52Hs2RXKoZ2/TQmcZwZGBR4BN5ePk/C882QDcPEayo7UmMk18UpzY7OT/wa5kNRqW/3+
MHmhxbqjK6kU3XWDIL/DwFjSqYUYHO6BPkeH1pr2VQZ3pmjVSDuHZviRerp9YrtbMaCYaMFGY+bM
MZIhrxqRfpeOCo6iLufLMCXzKyAe7wIfvgM3T1h1XdkuwOXC7CxG4CyXTG72JE2Ogx3pvaJL4bZL
XYsPRA/V2qZFh82Okbs7UiYh3rRWnPuM82nnu9XLUJtXPnlMhAfhi0sWuO0B3P0IpAbZbzRVLtdp
kb5grAA9b+b033Z1fTM4g0X4cLJ3Wizjs2bYQCW31uxoxB3VrN5WQNI7aRMumjN1B2f0byTbPCCz
vns1CdtiIxXMG1s4sBiBPXFG7uMz5HpjS3LB33mkpLC5IB2wUCVbbhn5XBiVJjJa06yE3g+8yIoe
QWgH/T42+/HR88YGzBkkL5wQnbiVpFcJ0SXedD1kIElZcSeSHkW2mwi2nOY50jaks0S3W6ZpxylU
zauRSPNReFVLZVc1N0/05bDbi1LnmayyuffzFHmwpBFLe/z+WD1b/BAgmU7ouGxDBnp5eyEE+xzK
lj4AM757Bh9kLC3mBe2cfwOgG+5ZH8oL7pqB7VBo3NByILduODzjmuxpTMyLDaqvLlFRRI9FF7ZI
mfk3WlDui02mx5gSKI43q3AQMU6+ujj6Zi2/ma1zZ4Rsu5uR2pXOD6c7OlIWPbWd1hbyNUJBz/zI
KPeK+gzysDOzqamcvS+enYtX8bupR/EkwYdwRYxD76kKoIMY0mx8ExJa+SCc5TzRdWF+H+rO4DwQ
iLuOCisosXN7o40pHa5VrxV7akPhd8u+ViSU6OR2qLFg6z19p32NAtZGkP7u+2pbmzl+ehO7kNtN
xa6XdDqvpqkBjjrOIrLZDvs0AaRJPA+QmIbu3nRyZ6JRxOKh9//V1/9RlMCnPdB2GMP/a2Fh3yUI
C+2PosL/+Vt/qK4kCHyPoLgnHMc2f6cb/ENW8ORvFtoptmgLCQG6wg+qq/ubT0LNISIA8eAf4YJ/
4rjN3yycyWxJXZtwG3LEfyIrLHrcj3qdyStguMBCjDQMDvknDhBKWe81GUjFVkD5Wc2wmp+V7Y03
P3wpf6MLLtLEn18GzxDEIS/wPZvP9dPLNOh1CR143tYDLf3WM+7cQX2IKO1p034P36Hf//oFrb+Q
TIhYeGQjUHLMAPHlJ7EkyGeSZ2lIwZM1opTq3MzUujMUCkTBMXCTYxV8kHQ0H9pQXrqBnDXLYz6/
FYzY9mYVJCfsFw5H/97ewuVJTiQbhus8muezNab6+t+835/iPq7J++UnJ76Lgumb/k/CKV7LdBpG
yNVpWOafA4Vda/DV/HcaFHTyUgbPIMv3iNzJ8rOGHPxJneLwZYroUhVdif5DQOKpKEe69EaamH79
9uy/Xie8vQUeD7kKX79ctKkf0kh+UDFyZGi97ZCsr+PZou83FiXl382gaE4ZfVBLli6vstYZt6Zh
8oCPmAjznuVBja7/bE9RfjuN6sqy9NFUxv0YARBfhT3+Yuy5ffrKPFPuqSKFAIoK8NFFVrrPp0pf
fv1ZXGwOf7kYIQ+C3nIcF9/DT5kZyZJptp0DeaLL1JlkAruYcbSjzailog2LLoOlBldsjbIZPgtv
oA4zy4uACEgOB2r0AuO+G8f21UM04pBMr2aOL+5lhEMAdeLar2ObXusYIEFmRNQ0df0RX7Da1lHy
qkWFcSkUL+xnnZvWAGdbTLdgF/uDnrz8mNaZd8Ojrjq7HAE5ACmC7cCXrXCncuZPYAz9LUrgUog7
OAziTfUpPRiQK6vj1MozGnQzHascdVmNiOuYA8Ns2wADUs5j8vLr7/L3G/enG5uwtnAddEnL8byf
bjM2x00qmkmQEXDy29JMi12ZDOZZ2nLvO9Z3IxnG226K4Tzko1T5oauz4TtFvPWHq6v2uooGNBeb
FosjtsBsw0Nt8FZF4Vtr0In6jjYY2oNBR5C90fn0GXSDBbQ5pF8zG40Xy0mjM06QiOinpmhiiszx
LNMu2bWdZ/6bC4eV9S8XDnfm8kiQrgOH5qd7VEsT8/FyEzRp1d9Eub0kJylbOmrMNHfULAW7ymI+
H1rZfF+TpbhyNKkeBBBJTffsyifBuPwbuFrz669/h79ZX+WyhNj8Ap4pvWV1+eH2zKIp7zMxiO2A
uX/t1OV31U9Ht6X31R/7069f7G++BgL39iKV40lnSf/zi5Ez8wY5tWLLfsR/MaH3LndxcvvrV/mb
BfFPr/LTXZrJJPYahyJrTBjxN7NEEZ26wtArhKlp9+vX+psVgUwez2ieqBIT0k9fH5dkojWoUXQJ
x75yjHz+5OTEQbR2zIs9Niy7RTnAZ0fvLe6CIqw3v34Df/OVQgRzA1+y/hNL//krNQYSxAx/YIj4
GFjxGFEDR+fXr1/F/os5RlpsHISQLOG2Kf3FvfPDZWKz5Ep6T+miEfVFN/ZSGzXtk7i/H0l/BvEt
h9o18L/PxX3Zqcy4pawJl+Jcyk3iDBNTmg7MvnIpSgCAvqcKDfbJeGlsJozppDAvxdRmmJ06ahKG
y9h1rkl9VN9gHv8bp8/P1wd2MXzYPCsJUi77KufPn2XmJFHRTedvKx47hPWJb6PdRJvZoz/q19/b
X742PEXLgw8aL/YPkEd/fik1h3bmd0aw9TMvOoUTSGyySv1VVHNocuiTOPBVB//mRdkK/nxXMzxl
vWG7xMqK7PPzzzVw/lu4SCG5oIG0SMrsMKIIKAjH4cXBWYxAPDYXI4qPdTS8+kGR7Pxhst+JDnIg
MhUnWNLxvvRXuL/uGq3NDYvbwnzUe7R5as/C+DW0m9eytzgrksMCxN6smpz8YpVxXvQHCFBp7+IG
acy7JajG8IValHiiN8gQnJxiczJ3DPfEtSxDGoVq86xtI9v5sB0I7tuwaHR+31XUsuDz1txAF6I1
2Cd40rnyATxQdzt77yiFn4U5N7cFYSpA4SJ6aeAm3RpVYu8GCtg34ZwwQqokzpTGT/aMiaigzKss
ecW+YG3GLi4In45N/2lnQb13lcswLG8d93WMbXz3Zv6odX9Xy33H54xJL30NmRJsOTzStWpEGJMF
U79ViwqzE9i8EJEDtC0AOMgadX7jVmRdLKA0UK+TqkWHcXnm1p39DYCUvKbYsNnFFiVwSJI4LLDB
h9t5gKe3CXlKvQEhH7bMCMcCNX2tM+8BHixNypWTR6uio0N4PVdquqod5d6Hqid3FE/b0TG3AelI
Wh7nvZ0BB/HAdHI4RSJuJzv4Pg3whYfuseq7bwm7yy+xTVsNDej5NpD9M2nGU5Nz/m/ofLgO7coC
PJA45A5qJvaTLnP+XRmuvGAOVoFT3efB/GWMwD9jAXYPBKhqrNoR3u9UYlq2DOCg9TjTNTFn4q7t
Zf4JF7257WpJ6CpU0XfYEMGeqonmANdS3zeZtF6KSmfPQ+zsqT0oAV0lo7wry1zfA+TtYHJCWhfw
iaqJMsF+esqiub13wql7IoKPH8ioUbdUqPe6NNIbQ1dkFEfgpCkbrZsuYeCQmLa5sarc55U9Taey
0W3TYcRsB7f/3QjplcbeQhc5cUD0Kiz3M23p96rLPurenz6S5RMOpjD24HrvMMvs5/IRsyxjb8hf
SHzXoeE3eyJRwxHaVPk1DC31WOJJZYzTxWzAJamPKrVOhp/Nm7at2s0ckCUqx0jc+xU9zynhyw1G
Dos28Lr4Lk1IGlBvphOyAVWeQn5jPPRamCQNMIuUgN1qOx6fSZWUoOgHWB4T2phyEHS6Rs1HOeAQ
7+roudbNM/DUjjJTYdUfWWm1XyKZeoc8qPJ9ACxnqxGIwe0PzZlYHhCEoPYOCVVyuxqX0lYQGVhb
pld8QXMyrmPe1QYsP384LS6ssDBI8mo4Wjjo0RuKaG/7w5nO8G+OiK5IokEiTwKvYPDmjCR8FH/A
iNRDPwZy24+9sUsdKW9DxLitVRoMoLvpo5GivGT14N3CedEEa+m0oKW5P2a5uJu16dx3Kuc3AQpe
YD0YupNrNQM3Vat2KgCf0+G1GO1Sn/1kMfvTPbqKJpWgVc3qqSUXwD/T85VpVnzAsmrA5rE6CreZ
eEBUaJuWSt6brujOfSSGm3gOs3sxlcN1S3R2a2i8tyojy+DGr5XKmx2uE+AuBtWerUlhSh/0mxFx
5wZKO7qCMWKgG5JuNcgqwSWETQxfQnXHeBFobsjRzts5ufvFCSs8bE6UgDcCI2j56S0Bp+5CMP8K
/WTdYccib/4I7bbgE+v03jFHhGHoh58muI6L7hN2+hJP1j5pbJ9qyLlINmPt3da2524Kja5cjc6D
BV5KFK5N9JRMge93e8xB3Tao7Y+ir66UJTbkyD6KGEk1Lnp3P+Cm2teG+VCmGtli7K8L0YfnoaOX
aiUoFXhhSmdtdDUU4VvE8axfqTD3qYqZWk7Xc33Vom6v7RxGUJNGNzAa5bq1B2utBgTntV8ylzOq
uqPQPShgnzFAZpiJVl0O4YltR7kvkyS9Kh2jvzMsdLElP0j/Ahw64TXlxfWqe5VaTCqhsr/Hbl2+
z7WZ7q3Qpx2LyiqEWDc+46BxXnjX5bbpUkEAKIZ5iCdnrzxNs7ZlJKdKmmAiGYpeaps8ncp1cOgJ
vmLATjgOZhO6TVTmR2bVMUu/qAiyp+Z1NugOCweLdxLX97X1PVXMEVYexQCPsiW71VgQ5WxG6Bcv
SuUVJTDLRN9PrkyX8LWbteFzge/rpctSdCw7sy7jknmjqpZnoQI24tZt/EZ7B5kXt6l2fSX9Fx2Z
5jFW9CYlTsTjVlFE46VqM6ZOdMdkp2W42pVnCovFVds34hw6ndiqsDcfbZqj7jGTOce6GeQZfDOs
4SCJrvtc8r+aoL+hAvlT5xX12sRA1zEC14FLdFt1zYfMhdoVGfvFlV8vq0ugFBCETLPvn33vf1N3
JsuRK2l2fiG5DJNj2PQiEHMwgjOT5AaWSTIxz4MD/vT6cLutJZWppbU2ZXarinkzgoD7P5zzneWE
y3FnC7B84700UgyMbgXWCMQ5SiMfOg5rcDTevndFWVo/DTqVrGLa8p0wahmStvu2RI7c1gShUxkM
00GqiQ3ooIfsYDgBgbyOW65rDZczzOn2jifYtxiM+T1CoJ6FnByDwrQIYB2hvzq1NuGT6FIdxAFt
vdVOyYMfDfgbt3PlOieitwk18Y1fPurGB5+f34yzEI9VkBVXnbbfbo+qkKGxTQVcdPiKu/GGPvLo
9c7fyu/O0LPiBwBc7nZepnwbqyQ7ESWOrslLIW+yoN8wjrr2cbMDtBFSqEX7LipVw4BgSXaTIFND
mcEIHJANHC2mC0WxSM09aVJussFl3N2gKUVvXueZT2U5GFdrUM2ZmO75Os9z/92TyETmcJskL6ri
LyMMR/7YsxF8+Sn5eXmaZjsr4edMXODbzq06E4FiY+zx8NkTFEJ7+W0FvXdXTv0iyKqqq10XeNVT
U3nVKWmz6acgeGqEBiQaLFE+gcgsaJuNZ6bmKzlvmMESCGTbWnJfT4x/WKC5kXFwVMOOwx/b6MVp
zJFffkHMXK/K+LC0NpHJfdS6zQZ5jN4gGC3eahnM78hoC2hHOAjR0iRJFO2y0U4INamz4JYnOcjB
XKitTTNEamwk5EfccgV5TVR8uNboHQIpyFLNsaZvlCqDa1C0AGAzg4QX6pnM3k0rvQ2opdD3M6Zb
Sqaub+6bJemv2ZQ9oaD643jZr7F0RoLrF+vcwdXCvqffR02iQ08ASbgkObJ/W8MLKNfws/W6MRCu
UN12ul1HRPO2Qjq5bQp/vGPLSzwKEad7z85INxUe1IuujGaWwmofIZ7LyiIgSA04IUo2Vq/9UmUX
wZr1rZr1ZYy+teM9+cp6YY/422yTEwgTRIv9ewIp6FjGonxsV8Bhb1ReiFDbuysmPx+2RZ2W29ow
cRfWYNhvpdF0W+gDGi6uYCPmFRZ1Era8ayC74Vn0eb41a5+AQqexxltepaxbe1fK37NCOB3yVxgf
2kjGj6gsn6O5tFH0VNXHrA0NkFKRv8poSf1MWTQ869Jb8as1xuqm8fBGL7G/IUp9+R5HH/5ZyfIi
dtZFdWU3B95kH4NvVxM/kqnjZJjEn9QD5Euktju3jqGaAFG0q7x5hH+HlcIM4LNNfdqcPMTCb0aH
Lo5eZYKDkcayQU+l6VkNEETQa9z0Lz9T7QoIus22XYTLxep2iRNq3YtzrvxsR/3fo7JGe4UWc8l3
nRWUd5OTAKhK3drbE2vDohSjIkeuU9uhmUIyrIhhfRYzRmZy2jr/FbJ9TfypZ1wYUdQsfq2Al3sM
DiKGneZE+hF/dzgFMB6gwej9bA/Gb95ha7fY+Kvz0dcPYjLG3ewFKP9m9IAnm5iNq5FgCd8YSD6u
RYIWoKP42MkkJ2TELGqsK366TW3HvJSx/wruEoVzX//RY5wewPAlz+hB6mctbdgxDVuktOQ47cvA
fQwCy/hMEBE+jbllXS3PiDb8kfHXehR+lnGdPI+qbKF0mTkhMhkEiiYTwaunh+HFy9GPbsch/eJg
KW5kwc6vykCztE3Z2+1N9DafAABaPkOSHxP4xncFfsybqeP2cerm+kw8l31q4nG4EVW+SgSt+Ffa
jBFJStDA4AJYF+X6ZCpRsP1C82frTQdtAk0cTp5dO8HkX0UObMi8CTIqZvx7JoPTW+4wGZzFUp5r
IHMBaYWqfzT6xGOcorvlSNR8cHGLwf1RZmu1G51V6aPNo/rY+tlSJRuhLOskPfrjpKCbPLI6hF1Q
pcRsE2JVHZNKZb/6vuw+2swxTCQ8LA42dasNyP6xyl5HU2JJ9xeWv6UgM9mDZLQaMEoDBhB6G+Ea
CAVQLxwnVN4bYZsNbWDSPXBNZvvO1gXctbKNw2TxlzdhVtUr8IeCzZ4vsWrpiOawGm65Nz96ke/x
8E/5eGz4CGLT+E31l3903FA5CBN35AAjaw5Ey65jjn2J1InEKXKPqUIiK3fCllCwV3MwGZgaJH4R
LZS2X0UTkQ+uJ+venKBgbwQFzy0iUO63TKLso5Ki6naRSeJAWAM2RS6aJMOhaG2KXaGXsb3UcEA2
XbwQFV8zQm86CFOKiIUDl/pymIEzHHMbj8RbGUX9X+jAgKEsJofV2XKQq4U0BlJdgiVF2K8jE2FJ
seSd2lJJC3FvSHfwLyZZPWvWmXwfy7k8EillPxXaDlBFpe2yKacajzMVflbztsvG39FnKgLSVMtR
oPWI/ilPg2RfVhA7hxp1IXRKv9ktfbdYd4z3IqwD5MLvXL/ONIoIZPwz0oprbgf9azrhhsdG4m5U
SxpDL/z5r24CtJL03uqsRV3+kWazpgMWXJELNyzaUjXhrfVK/QsxU/8XLbh7NbQU33z09mOMVA+E
B+nImauQY4DfjVPtlrH0uxv6oOXW1+4qtxt1sZ/kZNwxDYs5zye4OtvJLlIyaOrmPoXDcKth4X7S
WtIuehAu/mRZlzNd5+D+1Zp+gPvPVheEOj7pQUrArA6Ui72kRTFdkK33zkqJ9woeH41eWj9XU+Tf
RZ2M8z2+gD8F1gxb9dBgBoflCfNMKLP6nOfgFgAfQLitYGI+IVItXmaswHvbwL/WJL55T5gqfrys
GztvQ4pqv18qPZyWsrV2DdrogWC6uvtFmgd7eK6vtziPAYb7fuICLFNmf+50lv/GGmHulKqHI69q
TKLdaD5geBTgW4Dwgm+0RCTCYR4isGHzEvVb6SXckvOkryTM0hjQDf+xZOufmK7GF2uaf3pz+ul6
8WrQAmzQZpsn2yTL1we6sHcURygepfGta+L47AcNkCh07z+TV4Kq0XW63JhscTOUFNaYJywPf5ED
wrDpUrLFcRL89OSagJ/xkCBbUvVf678CWSR6XlzmiZMgObMmA7z2lNLaY9ElUdywFwg25oSLNOLD
wVuhBddvsuuQp+Ra/UlR+eXhhB3sfo68hykZ5HXgDJZ8rGibDpDLEPvb42Uirf3UKQcifrt8GPwp
aK+EdLY0JvnBHZYZREDsz9tu0Z/+yBwOGWm5RsT66n7VzL33fPQzOSwEeQUkHbPjqndMl+y3VZDo
iKTVmyxa5E2YM5nmFdozGD/+lhD0a4Kq/hK43RRGQ9t8LwVAR9KExSFq6HXFnDWh3aqBENcKggpZ
9bwHwkRaSUkLVprLSqEO5Uoecms+wOcQh9royUDs4BBs4tFqbr0lAEA7nXeqPSsmaDyJzefG79wv
RhlZsFUwUoxQZPNJm/1TGXXJg2kxFwxEX9ADjvY1ijDNZTyHi7vUMXSYejnyG4fsjryepasP4nxM
oJZNwbsStveWaNdFIN81Ye5rk9FsiZ+Iu/c8Zq599afR3fqUK++T6WaXEqxMSHHQ7Kx5WqG/bY1N
JVDXWfmQ3gZDLDDfErZ1Ff3Vo7fQFTsTHIrOC9KvuIPg1xSYQmzJGi1P4+q1BF/2EsejfhLAm97Y
19e0RGlUrkqR1t6R6FbDAMAnsUXj7b/5IsWi0xTW87BUICyWlOQuZ2hOpu57gv9sH3xJl0GqyAmk
dioelcDBnHVQ1JIHrmni/FLPQP+byyjZBokTU24tqFfToIX1I2QW7INaUdqj8BxObKEJNlh6/MX7
PvXGp8H0DWhvpBVzmvotqHVk9THeDCUe02LJbi0m2bPflgS+1cjJYXm6d7Bo2qOCWrjHxZBtYcfT
A/WFu4Xg0YCqgTpR2vYr1JBN1Vmfae3+DsjKQV0Img5KLwoaNyG2bFth4x0WqDgjRlxwHcZTU0ti
DCvbP5eLKq5pn79U0FQ3ZjElRM1Z5rPXOc4LqJzoROip3kE8eI4snAIYw9QT0YwGtAuZ32ZuUsDh
1ZoTND5FQsfPri7BIg6du7dKpswMdO0rFHDyDRG2ofStqw3LkI/RR11mxIU4oIo+TUXnHUYCz7BM
Dn8HupVvoD4hZP45HNHShjPsbWzvDbixpjwZVg1Eravyg5f0zIYiAvZ4wu14p1G2vwzjuNfsY20S
qU8rVnRnLP2X05doKBXKdX8cOglAYvUiCk7SivkT0W/GuK9xobWbZrBIs5D3rWxpxYa8AW8jYdbg
LUK+NLBabnZYLy8+vlDdiF2QgftPBVw0kgdGX8SHUczmCVU7/28ftepodGHdu3eWHo6iob+rh9i5
dG1yz+y3ZndQHuoke6yFNP4gyVYcTbTDlipnxvnTcmEA9poHxJyBrwpZPIRWmjLsm8YG6kR6iRE4
00vMxbc9RGmY290nCrY73Lxg8eO0Jk/KtGIsNg3QDukJiTKPFkjL9ORZaAw3ddCWzWao2GRRengX
KWaSADQNMhpEkGY2Ek/fhOISre2ENIP5s0KrfimnnIiGGumoPc578Hb91vDifEJYKv/UZeU8u21c
jbs4sZJuA7rE3WN7GY7FshBOTVeRnKWABXIg+lJ+dBP8gt8R/wWvZ9e49L2B+WI72Fg7hZNsky/T
Lue9bUJ66Z32/SXYs6BglNER3h4JJ3puGxtz0BjUgBR96xRIRM0+qbmttAijrCalluPkaQhZXsSt
6KEV33QAcbMXkeqMlaOJvvJ3nEYcxKa0vdDAvRdd3JT+JIxzl7T0AKLuYxB70j6xzkZruozsR1jQ
ZneFJL9kVW6HCsDCBqUz4LuY+9A1WCFwngb4C/MufcrUlD+PcKXikHOjOtgZPPWNiirMj27qeh9N
VYy/l9qS3yQD5CR/BGO5UXDbkKoDLLGQsu61HqzQbxdzOAJsqUJkxEwj0niiWyQFUzz6ontnUNzt
MiCfrDAH7+y5khk+eQhE/hEurYuba9TQoJr23s6sU182vxOjgITpqnvJ/R7X1b0NVaLPBvHsmJg2
kIBX8aOkILnyxCUfUZu1dMSI0PvYgD5FCLCcR7TaVnPEuZKyXVrI/MuCA5i3zymenmQ7vztEoKJl
xuq/zbTdnmayEGM/Hg5O1dW3AOJG6HY86GXKsDGW1iqyMccn7u6KGzJnSoYdu8TNXdKpDsKZ4Vrp
qfzRYOdCnCfEV3gJloHE3gxeRM/kTAYqE5etFI5K9RyQQPMaj43GAG0zpC5ke8sQMIA8u/a2iHbm
7Jlb008YUvR1FKHlpZHZoUprtyjvNZwye/hMzQzAUecu80UPvRFjdcszCt+UtXA7cOmWY8yRl4Q+
84Ili4PjYuCygGtsA33Ny/pmFJV8bsmjpNBifpoa5OqSXfyB2NU8LBMnLrPV+ZpiAIU0NOv3xaNr
K0NWWUw2XB6We7cr35Uy7UeI/FG87wd7+WyMFAYT1fHVCQb3fWkxlbDOlJTWuZYAXpfAuM6FMNqN
5/E1oAcT2aHs4+jeZjT0RW9KF6Kz6JZOccWggu+Pb1IknrmLpFm80sKRIdd1h3wh4qU0jYsTCPYF
/ZS/lkN77MZG7WWp3oa+bPkG41cWyIfG9L1jwS5pN+quD41l6ZKt7CQz7kzc2zErRc6V9HXA3oNi
pKEzmXjQNoVrdH8rnd6aFvm8ky4Hz+q2lSqI9swVVzaD/FD7KRP4pNkllj0R5eMTuOJYTbwPltKi
x0cN425xNfyxRgsVLsY7dSzpP9+NKmC26jrtysBtvwk/xVo3WzwgCstiuimBpz0XaFXnsDWH/JgT
gsdwTXt3ZOmUr9bskqM5MqwLQswRmr+XBxawcuPHpM1vg0fWTz81Kbk10LcLqyyOcxfgDeiMEYKs
Uyr9pOe0OiI8U/3WwnRL3I5BqDQUXdYJJNG/Z5yKX9rszLBCXPPsNtHEnHhu0ovUDkeY9KaHIWdt
NuGT3XFuiEuRWg0tU1s7p87CChK6UuU3RR1zJnln5YP3BECAIpkRjOui5mUfwDyQBMxXHgprfMt7
jR3V1/4udafuoHwzo6yzTq7XcA3icDzIngqKiNbButLB1ZsExzVONLCbjyRP91kqfmoSUMPOG8Vd
vla8SlvpE3o9nHSAvMK6LLKHTGv3yKtkP+DG1G9OYhGyEggAs5NG9isxPVi6x8qR1wTuZhnnVmXl
d+icVnjwRO0ctVgfWn4/E7XcfuSUPrh2zt6/7tbNWBuZvwrGDeeILdC2AY1GFq3tPiFRTglOruUX
0EUv2jDV4/LIcdFD5SI6IFF4X4uE+ABmSCSyYIOHACiGd8zu8tnk+XxMGpNHKbYBczm6fpJItTak
IbvwQ21y6zlkGVBNzslojZxpSr6kWz+X5XNaNvlhhFvxq40462rDZqGvKpRtm8XI+MQlHvkpLCqT
zRK6/J7g7+TLQUf7IYm3v18sUnZZJyLiR6i4qTNbhj5y99Ay8O7AxqvDrLKXSyJ8rhz48vx2VN36
v4USH5W//MSTZ19lYD/wQDGtZ5oUQhfMHhJhluN2zLq1c3CScr4FmtU1wbmqHw81hydG4K6fjjzW
LeWjzchUlX5ywpMZv3qtQbITF9FkbOugWGaycT0PyYAO7qrJjI7SK7svK1Ybm5l75NnDfSvK5VQZ
sxfmucA2MihAPptkSKPHmGHRM09X+iuvGvNdWTbhyV4f72Ih431UR/rereoibL2R/jIiv2o7FKbx
jupyeM21xWDKJ/sDR5bpn5IOoiKysfgniLW/bSKDxB1XL89t0DZ3FfSwPbdFQTxF15+r2YC3pDHP
s34x/+mSx3C2q/YiMrovKy6Ks1xi/HtDQIQ2d4gd6sJf9r0z6RuDloGktVz8zjH6vNk9hXZFk3Ts
iT1gDuslhxlkCDFp7q6w5vFbYBs8pQqUHEBCRXgE1M87kqTnB57IgpLa6T5Ia86+7IB4mC6J9bPn
WRMIEfqdZruwPkbBsGVqDMkj4z9zpiQvC8CzER985c+hMQ39szmX/c0BpyBvhl9N52ExieuVQo1Y
MgLiAFJI0oPOjYfFTnw6Sbc0j4GZFLvGHdComA1TPQgKLxGGxBsuBAoR02NoU1iK95lXr4l7lpi+
Ll6TrkRCIpBQ6b6+ilq8epUAQdgVL2Uj2qd6dCL4hXO6VrU1nOc0fTNEN90v4Bxe7DmfnsharrdZ
9qgYte4tjMnveH/6B2na87sgi3EHt3G82HXq41eJxneOlXc3L+zrItb6QJX5DZS4dYHQYhyKOCkf
cIABUJdT/j2Rwb5vFVFPXTmltCoGpwMCqyO9YRqHbWMNSYj8Q54Kr28PE9yPjzJucYkMi7a+Ssia
7C0aOKEFdfIlS2W8raCNHVsCwLa9+09CxGiFLWT0A720z9EUN6eycZn7rAY42xvPDczbMHFN810G
Rc1Zy9+qBHNZmo8MW9MLNj+yUHgr+VO9eV83Rg5Po7AfGq/td2UQmFuA2v5lNBlpZNVfxbzGnbkz
CqLJD5TRwWp1dkj8ysjMisidPrYuU2PgTR9+knyjUvrxmbaGMVvsNDL3M3kgICjc7NC09U/u4owM
XGCaKU65ck18z8HKAoa8i7v4Tnn12wzAyocIAVWQxZAwF9x4cbLjlQ1H09lOqWeeiql5xk13RDEU
esaUHJesKkKp8PyT/kUVqGYWWf7IuKfsDfy34qiN9lzYznHMljunZfq9mC4bIf7IY+/P2d4ZYvTI
jU5pJiFNfnrA8fYC/OzV99L82WL/9SIrOsZap4zCy9o8/DddG9SNrO53JNzHv0WSOFdaYGOvCQU6
VH3av/6jmFvRT/8zFuvf8UX/Sd/7l3/8t5f/Y2IEf8J//sS//f9E4gMmhmvhv3aCHNPyvw7c/Pcf
/g9DSPDfDcIxkWAGFvaE/xXDJ/+7DIA8mQhrHdMLVkDff2D4bHtNmzAR4OPXsCx0vv/JmSIC1vbw
bAe2a0rvn//pX7hS/zfOlGX/q+oQxSGuEviApErYOBL+VSSKgqlRoEIPBA1U7HZ6Wph+TaFrxNJ+
OYNNT2UkwZtqpX9whcI+6kTD1lNZdLLcFqUKopRjPkEGAm5zD7yhPDiEYH0WXe7tcVU1Fu1Y3n7R
JcCuxqcNdGGJb4K26AmvqtjXYwVY1cR/+Y3WltVB0ntPjZAgQxIDG3tU1KWz4chJ9pMo90swXnHO
FxcU0uZ2VO5wanV8cl3OV055Y582wb0xgitp0EC8u3EbfOeC4R8F4BKheonGvV2hnCVLoZi/Y5DX
nyOm9zPRGcwM3HmA0VYnR4S7y2GxjOrQzy1dnlVcmRj493YRqd0CPxuZnmGycRzX/YBjEAPW6weF
XIMpyZwgX7Td5UAUBosFHaXN66Tr+idtU/fKINBGmDK+6N4IwC33/oPtMUneWHJK+VZrIvX8tGZc
wbYczSuevEX/E3x08BcqDcDo+Xs/LsbZZih8rnLrC+0Bij9EAeBfOXhTz++fC4rXk41qG3G9NuQm
zr30T+LN4pcVxf6lTXvnLvb76E8zTwAj5l6KvxNH9rVc/Om9zqzyyi+cz8kWaBPhWo6l4dyUBPq0
Rdpchwsa/l1k+H9nJyeDw00A9xbTVJ7bvClWAMUX8zMEj9QL4z61rSjkgXf4okRF5raV7QsdBdvE
H433KW4zhgdFewwkd2Ez5uaVlVN/hP7SbiHsTQc/tmATxTTzE3c+0ARlZ8xvoje/Y44E7KV8cYxi
2Ew9l/egE/sDFgK9ocX+Y3K88j4F5OGFcLYUiDIwIB1jp60X9TuVe9aWaqTbIYP5sfhKInRSjbyZ
5pSdxtbf8EtH6joY5Z2qdfAtGyd+nSeTgYeyy7dltoqzj7kcpQZwXhJqg/bOn3B7KLyfj31rGxXl
oYDHUjtduXHoGb97p78PnE6EMIeaPTkT1k3bS7nPlDvfMNtCREL3QAamERSv+DutdjtjntwLsq+2
QQa+TXTV+KkpxC8Cy8HTWDbehXhbf78oo9vYc/bdOj2AJnq2ZvG8t7wh+jwv0cJ0zDlkR2CWkuRu
zVFavSL9CW4Jn24IJeEpMJAVbs02yeLbUBvxg6255ciisBPeMs3EvlId5msbDpyMDIqfJWNNVcrq
y9d5H9AViPYoZOfsWQz6O/YHD8Sdf/UQunwybEJhqK3Fxn3fIcMrJ7s5+m3HjIj7LGnFlvQYC6NF
BvPIStz/p8R7Ndv9b64g07aIOg5WY4fjcgL/y7G3iMHhkozhocj4mRaVHW5uP7Ph+zQcoknNGkq9
hFJ+53UjHCekQWrvTzPdYNshoNmIWHbmTmo8qYRNRfMhY9+z7bJi+mETE7/QTiwnpKBHZy5QK+l2
Dq2x+/QBOtdJ11Io9WersLAV5+lX28Ig4QsuH2aGxSeihlqWocV4JrUlOVttWTphnzPlRppmr2Gv
NqS23BhISSS9JlJ4yyd3ovoK5vIBBEnwWft59blMRMNRY1d/EOqNN2Ie2htkbjSVah3DDsp7r0UX
nVyi5R6WFcvOP3r7To/pOxuF5MwSQ2+DYPB3mkXEQTFEOtQuGmTLV8sJyRCCCbZNEfNQK36mLs8m
AA1xj802UaGd5ck+J5X1sOYf7HNumh0xniM4aA6KXddH3dtgSXMb20Hzltm0YW1ROX8B1sZstfL8
MqIFZ5Qrs0sjcX+HwDTlm0Amfx9oX8A2UBYMJpqcjfaN+oc18Pzmitp9k15dPSRR2z3Qgk5nAzHj
0Tad5C5qje7IjOBUdv52mBIfWEs3hK2/zui80ZwfLaXU47xW1JMiVXqDkzw9JA6RPaChGeEtbfc8
IjoPDUvjIK5NC2uTHb3UkVMHJB+9JkOm7HDQUiEvR1T0ScGtrtq2hjtQDgmajX6+VLHv3pV+bu99
t0jvPNg0HbJ732ZCTvDDJqbPDI1uQvFK6XzfC4U4xmPacgARyMqqdIstNi0UXaj1dvAf84cRPtsV
M/M6mqomyEV2cwbdHjwm66vEKIo72zsJWq6OSediJc8rXapVQLJFvLBvofyFyEYMJGcl1Lv8oV9f
3NjlFY7WlxnaU/JYwmD/i1qw+prWF77o6OhVB5pvSgl+7gt50P+cDoQtcFI466ExrsdHtx4kbBGs
lflg6d0AXHEI0VAEt2U9fkjaTA6d5cznSq02cfw5y3sVTf7eUgvHmllD+PHa+qIZK35KBesEN7i3
zQXBTFAwOR2z9aD01iPTLFAOIxXjIG3jPMW/YekqDVHfcw4bQYOdIRDLgNbAbL2XxajlPSt8JyLb
g8M97RKbbTSiGHnoDbSAYmpgzayXxdgRcZD9c41UhIf+UaQDcV7yTLPMtVKSfKFUGmxVyvZY40En
gBNjE+K89V7TBgjweBE9MxmZTnuzbD14lD2/Iu+fq3NZb1HBdarXexVDDDdsTrITeydPbpP18gUi
v4mCBGJCmYBbJGPD30VinC8Q1YESBGI+RbKC+F2xmmq4/7eI9rNTNo4WYzCf5ABzClhkkcUBIK7I
86sEInGyEepfs7i0fiW169yGXvpP1QIKF/tF0u+tpAt+Wt1YD3OhJCSqcXpI4Tu+ijEbniMCrPpt
bJB0O8SJIKO0E/O2NBwGtmagfAhmiX1zhT0eO9HmTHj5Uc4Ny+2YAVjyoQR2cm5YE9+GcSJAp1Fe
92fupnfDBdEW+ILpeG4bcl9Gvnnw5yl58WI+OFmM1gnJJzOWBC3BSxz4oMibnsALumHxIDWAKKS/
znOZ1e4DCnUIQV7K81Gm9QsJJgwCa6MrTrYgpHhbIqusNsnkZ9w+DWywYM76K9mW8c6dVHCkujL+
zIEevxB6rOEQmhUtVVls75XS0ti4wEmYQJl8jQBJ5SHP+MbDYnZTlhFNflGdL85BOzGMzeb5nHkC
Hb2TdgFCa0aoaSyMDxOzhGa99IIqtYSYIIoDEWDpmaiXfuZL891HpIv5Z2a75FgZhrShspTDn1hO
8WczMj0zPFBQQZ2TwuFGf8geYMJfWnI34Ce9WE2wenm8odjVMHEeBbBD8hWLdZYnKYVgVbnOQ8rH
iPKsCqULUq5u2OJl+scg0XHeDGswKmeiLbaNkdV7Px1aTAWW8V73ucPAtR+v0mYDFZveuFPMGPlh
T7N+A9awQWzYIkvx511HIbwpAvdM6s/fUgV/EBTaiLdLUI9BVANzwLPC2w4hdVNlbfyUADw4cPJQ
XUa58ZbNKXS7unwzUTS+O605HqexaH4pKbNfUW90Pznv+zZginWcBozegfFmuwWRFIxV3ZN06ivG
xvssgBQ090C98Pi6O9hQyHuiAgDazphmbAcs2FyMtY3TnMCDce9GuTwHNuYcPTTZzuzk8oFAo2HV
wQBmVqSAs/aMvqwudQ4xecsKNfxa2+oKHC0DAMIdErhfYwKF0mnF3jWRIqVdmV5gaMbLBddj/eSK
yXpJKOLxXWPy/pnyhprJznv/rkIaZsOQtLNnguuJzNIKdUNW5uWe3J3m0LHDpD5s8CyISLpIwTCA
8KdO6e8ixdwVeU13tlIsQxlhNBtQYNFJjX52qUw1hD4fdMEwJQqkknF7n7uEN1WId3cKku2hifRM
92DbG+jiy2lGtXFIJf9+mNveexmVECsivQRXRIjLXhIttLfN0fskdss8EJnNXtUXOWG2xcJb2y0G
TokqyYZNU/enrOg/gmi8as/4u2ZD7hijmr+HSXj3QYtDxmteegZVMS7poX+y4m4h3yFN9Xdma16D
xH8rh4rKEnvSFkWvuUVjrg6+0fabBSvNwRhd1ItzYbwNMSovxqgcxW03dRxJZNzGrFAeGy8qCQQE
MiC2pBgOL/To+sVtRlaxwJLG0PTknQHTdsLtYxQPwEGta0bfuhFR7F5tB1b9qNKB/QuxCdWBIBHx
jAnUfiDuTYE++hP1696kmZHmxDpx74W7OMcuzSmLRHUt/WzjGC3Sh56VIZLx7OCmY8spYlFoz70A
I/WNc7zIkGEQ4sXSrCBDN2CFB/PwjpGyBsmYXwZrukljfPfzTwA6GPhCyxnwL1VW9jeT8S3PS9QW
+MkfPRm1HzxfXF7uMtwr7eHzSarm3ZiITQG7SiuOHER0h4A3+kPLXr26ZWB/MFaWv9zMZWdGCNKp
F0Z25iZI7twCXZafYJcaowI8KzFxIQGHp2GN2AFWisRmHpPHNGvcp8WIlk/wmxrWX1yeOu0gfsyQ
B0LXlcUR4KXU3Kfe/D5y5IFkq+Gb1Wv0YOzI8lQAx9xB+WEXLRAuY9GGjyAIvoOI4zDkq7MjvCa6
uYRKdilYx02pOcPwkoiwnBqV+AbTb/QgC/QTTruu9mEl7+DVJa8sy9PDhCsTMOvYHn2nC45MwxNm
bSmxK+mqouDvYG3bmEi2CT/JO+xBGbOtwqBepeVTXHGIshIUek9G9wxEL2kPppm/Fv+DvTPZrRxJ
s/SrFGrddHA0Ixe1ufOgeXT5hpC7XJxHo5E0Pn1/VxlVGZFAJToXvWh07QIIl0u6Ttpw/nO+Q13P
qfAZMxRxy4GsSGHckW1qNgznnqK+VttFt6RAWDOYg4O/3QYZnieghdYk1qTweQOBULFgLxgG1kLz
ZvGjUI8eVXzFOFATYrBfvxhgXWvLX+SvNqm9Q1qwQpDdp2dtEIZXJasOtQugaqjrfuWERU7GvWE1
m6ZuwgUQUJtVxGfXiePrGicbvqWfAepEXtjHpOEr0hjoQFysgGh7WyDF34cq9NepnOxtGSzmhMxF
pKuPHricrt0INycoScJBgibz67Rw6ZicRsn8C1ZPNge0CroMulZ9WJQUggaSjyB2jlPfOB+LHrEH
uqr+BBM2r0ilZ0doVhaRwRiDrRdTKljXeUEktCneCDsh5dIDFz/41hhd1xy077irDGc/C/TRNgJ5
hawRnUiWP66HJGvf6ATAo9qWzTm3Luky2eaHdrLDAx2d5d4f++6q9mp1UNm0bsE+2zPtWzQvRsuO
5I+z5w3zngeua3eDBba4HmW/zSoEgDSyV46dMFe+hJ7c4DSrgwn5PHUdYcjUa2KN4YNbj9E+n2T+
IqBfAkUvyyuZqZBRnBUc4ym/Szwx6dX/9+KtcL46gdFT/3sB90RFQJHSo/JnmI/z96/8m3obym/A
mtFGJSW+iLchXIK/4XxC75vnAf70PY/ZoSQk/od26wbf3JCUdYS4EMICCv6u3brOt4gTLRUqks6B
QIh/CeYjnX/UbgWDJqJDlEfzMwbiS9v9U8Dfruw8iS2z7Kk4h2heapspAWqvl5KHCzR31CAWr1R7
2SUOBsGO2qoiHCmn7xNnQxMezSJxi+FtsqfII+YwBDtWmOo6nPWleCodHho8/qBeGlZwiicB2Brq
u1Nymmd+oGpT+RT5TRH9s9cmCKf5SnCgPrd4aTKynjohZixAul8QujLF5iiVu83RTB5wKwZmtVSG
knI82Z67nTvcCftGpuzlDVW4vBxJgKAY5jkvYERAEZU5zh9GHXQHch6SRMtcfw+A4ERrTWv5B7+c
g01TxZcuMk8/SQIu0xqXMFADjBvxHuyC5HwwwXjhJFp5JETFSL2x10n4f8BMG8wUcXaTDQ4cjyLt
/GqTyHYhclHE3oU0hpK9okgploccRIp98AkX1Nu49zN5MRIJjmtpbf2gEzgCtkiS86qJ6avqKp2B
ckVaWvVNI7PzTBhj2YSlGWrgM7KH8NmTdF9RZxB+T6ZGv5VuMflwA4fmt7tY3mdKJM5aW1jCGJdm
3NcnwhCEgFHU8TdEAJ6Ddi4OjuVOd9Zijfc594JfXpUy2C/yNIHj2E3Wd9X5xtpgKmN66TP/urPc
IG43rp+UTFTVuCTQbcfyqfFKOLr2YA/g2BHxGzrPQudTtFyy1zh2yrdFDl6801aHETOWS77Psj7z
QGf3GLByWSxE7mIrOjuE0nZOS0Ow26vurjVWe5eOfX/g0tk9pHlow0DN8CDkpLSnTQnPYotvoH23
1TDf2GPu6bXp8N40rSxOVj+4F6wUmcq5ZRfLQpTgxdRmP/hds2sCx+zSpCBKbchx20kdgdEu1Mvc
Ntmrz7EYzO8SAlGzw5Dz6rA8Os0839UJB2l/mMd1wZX1Nmcn3JYFiVDsYsW1JuG20/xde1ly1Y0d
fGxKDSHeidq+9Nq622npMRXjrLu2dELYJe7jk+MMzcGt0mhXw3LdB2AEX3quK5ifvWfh+ZT9ChfE
fkRYbjyPLq8ByPXM4AGkzjIasd1lKb/ppO1wA6pWnbu4B+k+ZOaZ3ZwglNbzyRvIJKdyGdcdqFmz
EgZNxql8Pn82v+TOCZzl3nNHGjDrfL7lWff2JO3Bu6aY3T9DBLx7jk3uJteB87gk0/JC+7E4lPJi
Opzyju3Yg1z5wqHQffVJ9bwUOIw+ddrnLxIDNxuxPvh4SW5zO2ZnVMUg7oxbdW8dSaX7uvKd9ymK
UTPg/kSPbqbxp6VlZq/zSgecCFlTgGgjAG5x7C/IgcJ9n5aceFdrKf/Zdbvk1h/LYsNRp/o5J7m8
DZFAf+SppeiHCOIE+VONEM0l5cEtpv6MgrgPqWLsgVxzXQyfVmBuc1kT0o/svP1kqOC8XB6EJ48y
iE/OK1NLs4VdPi+dLe9NNV8aUK1xNadD1a9l4Ez8nniDcTWFzpvnIXTg4p1rrlplGd9A0dInwxrx
EM9Z8rvirksFyDibV4BezCQUS/PBEwUnrdyLvc8CrCX9HjAY0pUqXDAPUU0FNehgTrJlkDz0VVK/
I73x9hOZwbcatuWdjTvJxdXHUa13wvkqgMpLGetySZu1Ax4QwsIICiR73JAJAI1tnKR6Q62bj9RO
Rs3vTwyC8FH0ZS+cTe3oBYdqGECfNKm+gydTTisy4XSFC8Lw63Bw1QOTLyAizUzKntSEesxzrI5C
YGW0IQGcuVTHD0np+28xNuUTXI/4hzWpR7ut5qs80RNZJ9vk99xCi+rQTNgfqSV3uWV7iT4WM7Fs
2ryMeyQ4612JIhyuy65ISUyKKCVKMkc3kRuA0MwXC/teU/rLPdfeZDq42YD6ZGflU0qs/4ebg7cc
x0SeMTPaeAfzib6ISFyVLiOprNAVOr7GNQe5MbqtaoM/tpmDE/3WVs9LNqKblfaUWduBw7GFstER
9Z1E1F3zKrjPAlHgnjEVHplhFCc6V6v3mTTNO22vet9Rx4qq5Xn9hzMMkrbbzH0anQzt3IfzFnLA
w0vQt78InU7vUZsvBZncYGACYIG2IREy9QdBvo4M4lAiwDj1Z6yanqM1p40D1aiUXnaeZTYuWKnj
EM/NVT4hIDfd5RM1IJzJzgTNbiAkcEzTsbi3pG9R2W6HVQsevmC/Dduou4lSlpdVB47Nwfc1Tu8W
0y0yt1gHH9LB6E9vJLdx6xQY/Xju/AJRv5L1dZz5OZXX+I/7yuTs7L3q7+tGVtFaNSSAcU1Lf10o
tjqaODEYi1EUN0rNyU6mVXNK0QnwOmK+/ZA0zqoVzrsJs4bnZZSjmCnauWRjnoUssxf27CJb91k7
ENyImvEHgbTgXJZhu49EED1HKU5/h9lMjT6FDWhduPpiBGTOecxGVT9hYCLs2g0qPy8d0elzCunv
FV+JmDdz0B8zJcgowyVoTqOaujM+TPdhtkP35EMV3SEgMZgLsWcthE3vllrxgUQsuhftbHgNog7m
Fqa9V3vqBXQd4MlqCSlZXML6IYo7n7mR50JbEUq8Dm6PQXOYPI5DAdfW+AiOQ1xnaZrdlHFXvDaR
I645sHX+njErQ4eO2qCryOjwLVrgGc+Z+G77JSBS+hw2IMh4nBOf0Qyy1BNhgOKYoggg6HqtYlIu
lXzOsTHV25bM6z7FI/dWJ/b04rJ0kkR0+/YcpU60TQcUxBX2sZlCnjI9kQLTR2NQ/ampEfs4tna0
KaTdyspz0A3ZNP4wQBRynIPEDykZLt5C8CZf/Z7hoWcSfAPmNuVG7Njj7zhQ0VbPOa7hCZZIexFe
PfVeM6E8IJgWKz0UwdkZwiffxJgusZ46cmxfe7/s9yN4hGQlR+T3JR8Dez9biiKppkxKsM+j/drN
9swdfFwO2WSN1dbxnOzBXaJxPmkriPJ1g5Mx2YLI9b9T+mB+tjgtMnySGeDYqYxY1fMqVvqwKHDu
a/omqQRKsECt+WfGK40tnlC7bsu3rBMTH2JE/62BpyT3ce466yXVxR1xUt7U6FKR3RjLuqNX46m8
1GdfXAVP2VendnOp19b+pDe0XpFgaS/1221Q2U/DpZI7v5Rz503S7xKb0DISnfc0+UdKuPIdYsjF
KRRcq8q2rwhg+9sJfPRqjiADyDqtjpXDREOaOblT4dBuLOHcyCpzbgRHZSaV9nQf035yVVxaxYuv
gnGuqHgJaGMgsch8Um5oXnF32DbyG2ee+6uEHGmxZUhBe3lFx8s1uXfORj3XmZfgq+l8+Wo9d01t
iTOmjuFFJ70IN95MRTqeMPxgJFIeWpoQ8o2nOSUSFq5LHAQWVtdVcClcz3sy65Mx6R2GTzJvjCYN
mqaZl1PYj913JRzxTJzEoCVJDI9+PYoXBdPnnsXOARTe2ekbL7C9A8RQc4T+aoW/9MPLS1N8WwQ9
Kyo2iU20tCFqp5V+RmKsmI2BqATxwXnzWGNNwK/w1Ubv4zsFZ1xRUu8pD8kTGdqrWTWNY220YsK9
Sihfhw1vU7+MWpCQ1tNKZltmdoFLgsS33sFcqEcatxbGf5zZNy1Oy9tFlvqtAaFBInU09TWMDKxy
SMlroowccQx2/dtQifJNUVA0bFNsv9WtqlMb9E+HkX0TpD7238iKIW4544yv365TUBVz69BKCSCF
mvnRjV5jqbnojDIGgFpIHtV1pTvVYMb2rQIwtWF2JBbnVSnLT/aDsEPSt9MExcdNsmdYPZW5r5re
oGrlEEZV7ycN7riqN7vYHiTRVklsYVMmPBy3g+dz5SjLhq6tMHUWNr0ymtirzAPvDHAMNCaMKikh
mp7VH7f6eOiJT51niHyvLEvBg2DKhdIcR+d6NMPjbApVcJpaXhkhS0DgKWIiy28+rHuCGgxTO4H5
7/+K+PHftiP+P+tvE9hV/5k8cn7v6/fhvXj/qzzy9VV/GNvCb0HgElHFuOZCVw2xUPxNGpH+Nzpl
A2ZPGCvg50WYL/4QR5zwm09oyrYRaBzYpR7/6z8LFJ1v+NkcdBaXtkPXEeG/Qjr+R8ajABgISw9N
hL2TgdLl//9JGhF4mVqJY3nLYenA9fBWxMWnE2Kyp4nBiof7sSk+OzT6vz1Qf3FC/hs5v7smqwf1
H/8efqF7/8xIFYK6Hi5VoQ0+g9/F/et3TtLA4+Bd6q3AlPo79qW90shIhMICDENHlzkRGyiuFASX
jMqlWbVYRIgjLnASVPuJawWLV4HZADJqwS21CQ2CpOu7EN0zc5EkEva3Ffbz8M4vO14Sjdd05wUx
2K8etNIiRnmykoGCQO6Wy6q+VGswcMGYJPrbKSFYKTzvV87teEN+c5dHnrMm8QI6qqsfTFUx20zs
rbAgykLrJwdFpcODR3EC9yH6Am6cxnLuSoC9N1LhGEHOz3FFh/llAsv3i82s9rMnqnsTNNuiza+4
26nrouWjYH7qLNQp2Ibdu8j44omewDUMiPGXJyz/eZAKeqyiVO02Y3J1xTQ7AMiBJ8JlEEJEwCU9
jCif48nKk5cMyM6DCMaZsRPM9gRghgPL5N40nb+JmwFBGt01WRe9b+2wy3gYbUYrvJ0sNXzGsxvN
ZE8ijEdJPkQfQzshUJmJHoKkj+znGUgh/+nyjG3i1ksfVNOhLtW+gc5RcpzqVxUgZ2ZMYXp2PZts
BuCEK5cTzNqzAnEzZ5V/a2cL5BG6BIM7pmZyLXxlX2VfM0dU5Ls5mRK9XjiBoMB0mMyhCNLq0sJx
2ze+nq/GPBx2ZPPq9SWrsMuzYTnXWPaeuzqUet21yko20guaF5dT0sYdaPuhNGVquaKGlLDcJa5H
/UPqFwSUcLEM8Wasu2rtqzbCLoc//SBsm7oVDI3LS1W6cJGQdJIBgwaRu5lQcmhu+XNTR1Kzdn4H
lqS5OOHGtB2DIbpLxUQ21R4xRa01+JJ1ADrwqNUIbyysmxzm92jTEals14PVKIExNEkbvASGgOJ2
yQ2zbDEyQ8MjHQL27BXB8ka25hhXShL+boL2monp8IP5FQ9S0dnfCT6nv+NBtr/4ZLIHVdTRrSwC
Khw6Q8PbNqNW5LtfM9QnJJklO5eQCFcS2xnvsNXxXRY3xRQUFxGTEoZFPyYwXCfB7Glex6gNzIzG
HGpb6jlmC5vP3RGHMI9us3gPNfIQpkRau3CDcBapVpdz5y+IhIL7fYJXZ4yd6IcKm/SVO0xJr0HY
NxCLygJwYERQYhxgm0mN4WhLt9FMof2gnqmuK106cHrx3mV5V69aMOEbx+lFsBagPmxCWZ3z21KZ
85gObfUCnyK+F7Mnv9eaSy68QCZvGBkp6EniHHeP7zDY2+qaGE4jOn+rMKsymQfNyfUbbx0CmqfR
QTOsXDmfO80lGzFLd5WkQizYb+E6O+lIKpkgBp3KA+Fug9Q07tMi7R/QYzpuHYldnhcu1c6FXcAq
UsBLoC6rnKxb0xpig04RFi+5sfB22DYR87WoJQVFdo96Bke/OnBFQ3MA1yYNK6Er6dTjkI/6eWEm
tXmY31lVmd65gww007gApujCuPo+Q0l74Z8UhE0rKjKCYSu2sS/6x4R7y8Zv/QlvQlDdY1jI6QDk
0oeyMXffPYVbkMXMNm8Tsv8PFnP+RUGrWOgx0oFZRp7GgkY5Jjn3dNQV8tNhNS8gTaeB893MT2pB
8dCJQCDnJ4y4L441y8IYI3XhS1rGm2kQ00tpYxpaL7BaFODkiKwotcTuWzaoMVgnOghIWDtWTRzN
2DmjZFffWfRHPodmJmyr4lFi8SFW/n0ikfzRJQup+Sq9xIBwhlIKwe0ygSFXpgsO37A3ydGJQVOs
pOcVN5xA7fQOA9YE+ohxwqkZRZLuVekN0clYGgnZQLNpr/uGgsMN1FPrfaLtNV4TqekVpSR1vFM1
Oc/VpJio+l5Hp9jULmicsVdbPhJR3pODI/wGBKmh+A4/GJwcKCUmQIsMFH/ECQj7zj3ELIhcFV8S
LqcoH9t164bxNU9S/0NCTLu2il6+EMiqTiN56/NCuMFinxPlQaSGHbSotXmtQodFLwmz6QbidVhv
K3ounxfKWImAoNl3KwDm8qOphXicCxcDLbIYiWIiJbDNtOw/jR5pcBVem64zGKXb0Y6mm7CaHJhP
BOA9cICvNTcyIHBhk61zybaTiDJhalkv58qlVc6SWp0lr97W4yd/B2N3g/8uXmlpX8YajnB/JnFQ
3vixVtNWk365WJgwHzFeDKR9iJnJMGHQYfxuJ4Y7pBZDYa4aYagupyIxfQWvydSGWsNLq+M84zxo
HX63OU7Nd+wO4onlt71DPRP7xJ7NW8P+fCXcZEa1K93yrdK4V1aOgt5HIzxdwOsxp/IJF6rTwbIx
BdABWln6H5MOhjuGCyPdJrF7Z0sFZs5MTPDjbHkOeJF+kYyJufRAiUHWKvcusdQW3YUEPiZvbPsL
0VlKgzolg3VEnJGrghLufcZA/bFpHH3UtluUV1SdyLdAp+knHWhVunbSjswi9W8hH1yeLlRmUa/n
+sdl9qHPNQmzEAMy6Z3dJbsXjpPOLFvgxWh40v1SbpqhtQYbtaSQt/gIKM8lk+bPBJlqyD30S/qM
vXSwmb1S8RIQ68FAwTTGjeKbZmxeIR/hxeu5V2FWaNZZpUy642BAd6geLDmeTeoLMmkebtaOLiwm
7zEaWJvOcAaRmPfOV8uwbi1aXSs3/NW5g3euUxHS6SmdpGeWQh8oPCNxpX3nrbv0FTMo93+GBbNw
sNI8ZtvIVXAUHZdDAlAPOXxSgwSmqdNy1FuG1eGD7YmEUct4aUjGtAzpJp11ztvpUWG7miYwdCSq
Kg3RMMR0Cz2IdpuzHn3/dRo6nqgKxBQHoZJaZp9s56GnRxu6HWJVsWKDdz77AmIH63SZfM/6mmi/
hbh9K74Kn21Tjds0o9BhBV/HgUA8V+aEOGr9jLNe4+9DKi4I+4f2ug2K4YfXjcwhSk0rbWKJRqw9
ZXJAcx6rQPTVB+6A3Xqs8Rr5h2RsOZv4zjI9T8WEJxSDJFxUtHSPCdpXfXVBY05ybTzbe7C/Cq5L
JnhcHZey64GowiAbhCs/4FhDz8A/Avqo3PRdG629S0t2AOntdZrdC6Nu4cTWx4QzChhqq9E2PUyq
mZEoDh4E+YHqbeMk7ZsdrBlQYqzxLYRn3MarZAirnZ+BIASjzdV8aflmLe3d+tLjnQgavSsP7yeD
BpyEc31IomDOicKHPuVmloVyU2NmVX25lVHss+WOmK7jgLSqJAuMF6f6FS2u88qT6H1Omcq3/Zh5
vGGNjO6k7vurPMVext9YyofFMRkOtSFKHy3jVNcoqXx+vBQvM0oTOrYHFHofqty8xn6ontRXmXm2
BLPZaArKnZVjWv1JblX/8lMS3Ai9ilLmxottuhu43Xx6oSKjupAeA/NoGrZY5sWEnz3sYe7FHpG4
PIVQSqY63TjaTJ+ZBeOgXTq6ORcWlVVbx62mFBEzJDnmBC5GPAyze9C+NzONKmZz8nkQOfTimuUe
wE6Ls4oxQ+CTymQbq7vypuI0X20KRED7GDC22CaOyB5prbQeGrOAQZHgdCASLiEAC7IyE970dRPl
VHUEHfryqqwFGMAyHtnvTQYkTaYiwq49Mm0DO81JkI2y7ICZ07BK23FHx2wClAQdntmf2li+4aOV
fvPsDHSz0TtR0ItStPYZMnY6MiyoI0U0RpWvCLaRAgOp09+UP4NM6ajQhpNlVRwRHWrZB0IrbvNi
a698mvAWf7hQ+A4IYXN7BGlef6+5GTfMBfr8PQeZYe+4xga3kykwHHlWXUaYxmznHCWUCK6iOjLA
NOsw9DbjFPssDj7RfbbhprvvQUZja6l4DMF+wIkS2uKao/zevnMl469zGfbDuDO9bz/JGlVxssrf
DMhmealMwyXaOzIWq7Gy8uQQiIRmanz8Nw2zD/y2wxSFp6wK7RNTHx64mDf/OORBf6dIfzKFKnxE
IJ9269U4twyHXd8+TmECvtFq8g8hcWiSjM6cM7fk4B7kIVObxSZJ1Rwr111u5rQAuYjFYODytW28
ieCijxm2gb1A5Zm7mlxxq3gBbjPacuA5DZS5lgzYG8nxo29GRVBFDgXtKQsXC8qRNwDANX7HyYZR
3Wf7unPqe6afFQbkHja7w6kRlqjpY76N8curhvZhar+4i6CwcriYc3HrRYHakcQ+AB12sMpP20QV
010tevvFritaQ4mPRJuqV6+414FNZRQCj/hKtox8cERS0ShTayb7EmgBY3OOjvBZ0HknqIg4/Kic
3jA/yM7YxJC7+ywkitOX9Q0Ut+i0YGj0100cYZJj8f4dKrnvQlt9Qjkt7pKRxOswYilqrDE8ydT1
vrs4iz9CNtC15APSfdnwR3wNDaPNYnBk/I2FdbcIT0pS3y3chzFV7VPVD/aBVlxQdFNkQNPgIziX
ca1XY2S1B/zq4zPR3OJHrO0Fj4VtiI5pWasfXsE1iANANrq7OsZOu+9zIJyspO68GS7Q4WOGQvhh
OUN/ZYAoM7xKIzawfHZsTgMt5Wm7cuQ0WeRhdE8hVpjvnLDTOx1MSPBEAqEIaEA2MddMTgqb4rJn
gkXMAshXIQtVOHlTseGMpE6Yt1l2Bn60t0EwEt/QHBDbm5lqOKRSIhwBWQquCdTYeHBI3UaB12il
Bq1DRlD8GMDR/W4DGkk3vhsVZhOqMDpGYzRHBzDpKlljX+UQPXml+B0mpPYzlJyzmtR0Y/J5gapj
pxxMtZMDKat8Whb8pMuAdPrNYdCe9+APNtOLJLRZEuMQEhD6cUJlQKvwZGeVNAHGCuKDNOBR9s5M
zbWvqIqEODOMnJ6GMEWfbax5+EVcOxz2/6OPXqzD5sm0v//j398/qoxQK4yu7NfwV6WTWpZ/qo/+
7t/LfxBHv77kD3FUfvMiGIska8PwUvWF/vhf4ijrMZ4t4ruuR5PS351jjvtN2txeIp+WKingZvyX
OBp+o83BRhx1XP4umtXEvyKOuuLSwPZnkRJ3mggcpuYosWh9GNH+Io9Gmll5UTjFFtckQmXDaE03
JJHWzLj1VZ2jX2Fvdc8CFPIBqOdwpGi6gFBaRS22TWt49SdOkqsam+930bIx8KDXzbGMHUGSPixo
IekQtHbkEsJbOx1EeByFmCi3DLrml78E+qxq9L2TtgXygm4yPWJTgJSM3SgVxXZgJcQ7m7U5oStu
cITxy+SDUGZQ4RYNhbcJvbwHGVheBpRmnOf6PKGuPeM1yKnz4LJwFSx2fF5U12vSmbZ47ZbJZUzi
hk8qtaZbso7k+caLxEe9SHIa6ZW7UFFSFa7CUkcn1ymWG5o86nkFQIiAE3AZfzzRmU73DZyp3joJ
k7qPds0lalcUUVaSB2ZetioSB4l2CmxJj0CRzvFtKpVewPoujKzJM5NDUGSvplumUlJdgfMfFEdR
PKvrtil8SaLFmXFQcYwA1Q6G7bObmPgz5c6IeGSmv2pMbgdkkJXnrwVFq1weptxw9CLsR3rDzdId
p61ywIk8XAgnEYlLTLNt8avAIN0ejaPLZmNUwTfwCSp8tzlz3hZWjGOqlv4TV4nxYOLY3HCVj+7c
aWTQS2N0P2+Vsptn1/Nw5+HZmuO9SPriBAEWLhQu2fkFpIi8R6UTv1jWvGyrhQ4IjuuZjyYEFcx1
PBfllhGr+9rpTL9yMPDJKpY+PQIhvkYNsEx2ZwxC9SNoFtCDedgxeG45oU9Hfx5Ss46rhIvb18IZ
fC2i+rKe5peVNbissepruR0vKy87C4swRHK04wLQ5A05zZRTFOt1oh3x2/9axOMl4ISERsPiruIl
OvqjlZtN97X8E6t0+HPsCd3X9lAJmy7uaYkg14mvLWT62k7M19ZivrYZ/bXl6Mvu031tRFzk1EmF
y1ygTV22qu5r2wLerT/F12bGjlTHwLEumxzgHNK17mXvi7+2Qdur4/vqsje6X9skkhvv4PS1fTLj
uNTCuuyqHZXVH/prq0XEwmwVB7rfoCCiiawg3YTFije6eoyijPIDbh9kdGC2uFx1OB7mLy3DWRqQ
5m2t+0mCiBURBekusoGW+MIM2f+Drez8pXYncPC1WbYy85erJFIlV2Y2/m52425NM47EFwpI1Ll3
+qx56ScCOSOjSwfYFbwWjwQNfouqfkzSfDuUyoz7PEazIJ554REWeXBt6zBjBw9re+IbUJezsiFE
tT89GIdX7kicbc2EodIny40L8xL4YYcj3JB9TVaemUWxGzWYN659Y47+WOVF9jO2uvRh0rX4WZQQ
bDYczEGvTyQpltusKB16Ynll9C4KWnKGnFpnrn3kYL3wKMh/LfC7OFVeW5aVvwxmANTVeUPACWXm
roARP3W1JGNgWOZXsUpR44neE5Wyuu69mdtzrS5QcrugWwAsFqK4x8VZk3kIAn7b1f8K2sjYutUE
fqu5vVPuOOydti12/7O5/x9t7pEI/+nw8/r9IzXv/3bXv3/8VulfzgV/+9I/zOHutxDjNbs7+yhL
+V8noNh/L2POy2D00jD3n+5w8e3rOBBG/oVPISN+kD8GoLjDwR/gDheCYU3oRf/SANTBN/EPmzy5
doFRggilkCBJLkb0P89AM4dIzFIsaneBCfgbu0f5BQaQ3vLc2i9pMDivYZeE5E8wKVxliH7OKawB
OoVTRrjMd7PbHgEcKWoy/geNZNHTUg8RAZImccUVtwGdviTwaczKsprwBXc244vWdTez5dlMe8qH
jqv+swyaACuAHm/b2n5BgpnBmNfTUxa01VOy1PWHDqR3SwlyfnBZF5nCLCklZ5W+q4q5xLErAwLy
VEdUNJKl1oLmbeDHEppmcRvQZEPbwUmGFmXuIypwqMDMRNmwUXcP9Syq5WGMFC6cCyT2sbVD7gG0
uoyPldNUXKr8iWFMhDrG5uS76XgEejV2K2+M2w/LCjUmja5m7OdVLBRXeq6j6DTGLs2chltNf29M
0X74eDWzfRLNxQjRPYk+AFvPPylvb+AB9VFXbQfJhpHkkyVAeUao+BZ+0Oo2CGV9gYkH4+dwobty
8626HyU67VMjsEl6fRze03VO/j7PMXp5nnVqrbS1900Zip+GnOF49ARcoBX24A46ZCrsZZXOLbiJ
EeaqkydYOdlBUAZZV57gtmdvuvSTD03Z1q/ZVvKmon5MblUIljDGIuOvMWBPZ8mEa4+hhQwvjppq
z6dC88cQUB1cqg4uX5e1ywHIFFEhZ0iuPLIDxY+Fh+MBE4vFsm3XNpZtNhyCrKSXFiZcK8rouefR
B5ytW131K5L96QYZDxuQT0/BPocqeLLaPLny6+IX4HdayOuugAlQNcxJsyR/BKOQoGHjIbNLfm9k
dLHOrcXBx+XPzTucz5ijo/Y+k7IKX0Fu8JA7NqmpH2mLHs5IjrZWPf/0nMZmfjVa9IGDtcKDS6dC
vgzpZqCQ4CyG6qH1chx4dZ9eBYGh3UsG0Vvfl9l1gkYH1Mws6b4bZMjtzmXyCVW3/M4RSGvsjQFQ
AZElc7KWvlsBSMW4U3xhZxCrKJxqT6r2LPCtC2M0UybqaorHbEOk4IHcqL3NGsfv9n4+wIX2oic8
tuNb7wPPtFtUjDXZ6iBdjyOZjh19fKF3sKHWvgdMh9JXDMdpts7mlIQSijRc55mj03S0JVac1aQX
ADhNZWf10XFDcszkRdPvaspmCKZOMmClZ7IxX3UmsUC0FBNxMNyRXrrzCwFejvOzc6uIyEkGar14
w0ZN6pvDnbTifVxp/9UHx2XdBL5K+10WZKnezRffxMYHFWTW5Nq9YDeZGY5WDv8Zm6tdY9Rfgbuv
Z+r3YHVeE/8n/e50uQ1GMOJPPaThhB2V9nhneh14ukJMSWUx7+LEgvKSTagD69pcutjaBXLNkGbD
k52XwRGXStI9FqoxMB5B2eW/p9G0VyPJZ15s9vkajIdTvsA7hGWGy72gHWeIei5Icd+CA8NEukkC
WQK3sBd0EAVytiSZ78Tjhob3zz4C+kWAbEq2cd4W6siTiTzaZozinKj371Fz65uassMPYc21e6Ae
NMpO2g/6nx6FINYK03i3+d/sndmO5Eh2bb+IBRpJ4/Dqc7h7eMzjCxEZkcnRSBpn8uu16CU1SgIk
XD3chwtcQGhAXV2VWRnupNk5a6/NTIZjP+RDwkNitF4oMxIv5FAYjZmZcHZ55jCNM2nFW8c+kTpP
Mohfz9RNWptQqpTtazzHaCQ5liDgSztdrvlXVBtiGKHBX7TZqOZjBkKeFvXw0feFT/ufLN5KL504
l8thYpVlAXLXNnAEk4Zxy3MoMjYjcvuDK9rhtg90cA/Ox33RT4k34OQfH1DhTmuHjMAjzTkwcgOM
BtxFEZU3IRsXkPIcU7TQU3JqW6gzadT6GTWF/aZYk+5EzWAZFs9lEDowKFW8ItV2NEwy91Gfg1NY
Y7qN6G6cmZbM3d6cuuBcla2xJmBKOIcseAfjUFSUrJXdF/uz8RM6xHltaLK6cQkP7sy6Dx95Wyb+
XguveS5FOv7SDKV+IDyG56FWw66XxVPAY4msuvYC8gV9+ZSyDIHWBzA5atRG5p5LfHTA32BvFFvc
fU/sMFlLp8XhjyCdm5ef93O9QmH+ERFk1SCERXPK3Mn/E8BR0DVSOiTJA/OQti1dlJ6C4Ci5rg8s
hzt7m/e5T9IgLw+KjgskH/A1Eo0QBBDNOeluomOSh2vEbAqe9dyFqY0pu0BbcJ6UDXPX1HP5ovMh
92Aq1IKs9BXFxU7Xn7IshuIrPRJlCDjpIKNXyXnou8m+TXUW3BV1BrgMVPXNq7k+o/ppPiBwmYwO
41gdCRlFJwXrze9l4kEl7bF+VAk+LOaKfXDH76X9JM9vvmaiYVJM/+b8aHmcrxM5Ve0mdL0dlZ6/
Xd/KYb1nQh+hStoLP73iw5xJRY2yxURSt3JfokLcoNP/AROZ72PWMBdOLpQYBIViM8iQQgdGgvy4
dBhFiI4yFFhxvm8eXlNBWuLBrJYbkuqC6UF0xlw9oSgxjpZT1p+WKPiARU43s50otfI3pEz7ge1r
0/5yde/Ab1T9w4ijwL6RcZG9l0MURXeT07IhMFOn+EXxTPsdkpRiUDGWTAOaJpzY+TABTnf4n72n
wJlYtFGK5R0rbDnxCjaA/5xiaeAijBCIr0zD83oG1gm6BUvzF7OwlQ9OSphXDg1PZn644hWwp2i3
LZtzpCCwuaS9I9bBlRyT/TQP7R9ZBtwlsp7/37Tj7o8cWvoVB1mdB2pzj8jHq4esLPsZvmHSuIjz
Pn3JkQnsY62aUxLT7GW6IT6GGl/BivtaziqKuDO5toaXDSPynuqBrOd32Mf8xSV+HhzqVDVsRCd7
/tIBcvbttXcsmYzwu21GD+Sk6RFoRL5D0sUalzG1wApFVV7Kdd7iby8omUX0tGIMUtxp6gQeOZjG
G2I0FmmBxI+AhbocuIF/JmWTQVp+BmQ5+L7ZxbDjtp0Ixh2kwFqCLUuzlBshjoduhLeSJycMwy+7
65otHuelpMfBcR6VpB9WlWBl4fFb2kY8Myn6wyH01vqR/p7NknYZu/TkJYllD4vKcOwxLqdxARiK
5zLAALSqazpGSz/pEzRfSXNToKGztyTpynue+tOmrj36uDjslBXYSxi9hCJfnjuULTuNhcCWFD3O
2zrk0LSZyhTXtT1O+tNPUl41vhHMdzXtTNRzEpf/attSbr04bcq1oq/2zk6s2iHxoURGjZADxy9y
b7xta8FFsmHu/hLNbfCM8TXzaXINoAun2DyQliSJN3qj825iWoufsrEL7rUDOrTlAeODwBm8PhYy
BvCDNzPRuEke47wEgU5U6x/A2Y12nbHFmFYRf2YHM0HOJtsW15gUtfeAXR7rul8M1pPLW2dTuVFH
j0abPNmT5d8j/+PcFkMLPORwfP3ODHAKcCQxzImTfe+Sf+sj96l3aaimcYZIE6au6U7aOvtm5GM/
6ooH9cG1S7SBCZTdFi7d+OGJRyFy3tDGMPnpb1Y2+PtVLF8Y55RiR6DDfTS7wcWHAAixDmI7WeMv
JGAzTMAwMUVgH5nXz/fKrI1fJdqcJ3OK6RywmlYtiLL3h4hwUp0RXKHknBupfmwmUa/zME6HfM77
k8cSLNk4XmymmO76tNi5TOenTVLwFDpordwD6QnjxY2mvN/mTdXszVa2J0VAHoo/MSG8ZGVvxdRR
nVlYqHfNTA1U8BDGfJt9ZrWUJ1QT/1tPe0xEk3GH1Lk6tyXu/I0RJfV2KCLipVFj3gjVvY9my24u
KpMNmdGO34ilP8OSzhBeTeihYiYaSV3x5HEi5yFh2LOVSEiwPkxEZE0eXmwd41crEz7SOlaLfAqZ
SDXBn9JDUOra9c1Inmmr/TbfOUY87n0sVPsQXPN3CNJ1B7TK82/CwrKqR26HaNf2pcKCxdLYcTbU
pLiXKCjLe5J08Y1Oq2YnJqM4iAaHhY687nvI2urBM6bQZzLH0Yj9ZPnM0iTauay1DiQ5ok+OMw07
3/gxKXg0Nx2/0WnGcj0wQSJDUob4w9CjVXT40X/TNWewCd7UaO42QzJ8c3tobwTKNLJGaOC2fTG0
P5lm4rRNh9y/oR7O/6Q0RiC+1W57xK5HEteYanotEBg4ZZYeA/xsX7Ovf+aK5qwVMqnldcptrIoL
DGtTXYNbWTPlWFG06+OYW20C0XALCF9sY+9aUkLcsI6YnhHgcx9aZaKr1UQyTq7O2rNZxcxsqUPG
TC5r807OEvutkbpnuwyf+dg/uE506seOWOPgAPRkDLFlPgN1wD01YghW/DgBHbKI7BY1K/FtbLT0
CqVTl79CD4EcRW6AnEYxBA8K/eKa7fiVVNl4784W0RnTbdPbaXa9g2uRUClDcvF7c2wcHm+suj5c
y7zLqqa+yxiH7sOmPXTCrjkBdmiVTDJyn5w6wzVeD/neTGX/q5qbWxXn+tTkqVoyQ0D+ibKjX/A5
5q+I4wYtk2O5m7rJv+WgN596cJpldts9qZhfm2JBCfJrdTtNLgjBfI0nQc3KupTI0p6pQ+g3DLjR
5XS50X6wzpTHVlj9tlDYFdvJpviUJsRdHnjjSQbh8BRGlCqYfmvuBsfn7UaEf2cbwn3zCx1kK6Rf
Ub/p636mqHv273M+jXqreo20qOyE2mpDS8wwWVfAzloebjA66GIKHhxUX61hV58wBEJtYqPr/3g5
/CoqqxFrtbCKgptJS21jy9vkp7YMLHIZdUOHdE6KzzGqGU90tgWYSoFBFd2rtDJfw6QvOX5n8Oqp
bX1aseHe0bQmMNIbJZSLk1NlUvFzuOm43ezI1nGRICOTvGZ6HCRMI37NJ5aNRXGgn9bfVhGL9K2f
6/m9jyuJhUn3NyPiPe4LWMHvQYQs97AMSL4iaVCIlM1LT0E/UrtoOy3vMLpVjCfRUJ/RDj15wLGr
nuLca78sxG8roxHqYMnks07L+GSToqa6sYuyjTkwZ+Fel0OghqV81t7UsoiYbes2IoXTsGitabuz
Gmv29og4bWNnjwbmIH8Ba17JpFrmvuKtaQPo5MuREW/zQPCRuiP+INqgA0xv4LlXKd1pfypz7C4+
Aas3c1So6OPJDoFZWi99T5BAH5ngFExsUw2BYwHoHw0vtdXzsCTGmWf32PuIBjenMh6J5M3xpLbk
0OjEYiqxb23vI1BaBVvN9W1vM5zzeCIl9CrZQs63XDrrT1K8c7kbBtbWWYQhh6uZ8Vz5dLAZ7tys
OUIS6+6IPvKVS+oLj3zXOelOpXcitJ3vPO38NyYzEEe8jzhJV3JfZHl1kUGFt7eOCLElbDjOo+7E
TgRx/kMDjEG3GEY6zBBxDeQtZkicVUYYjg6YmoEBG3QLH6JbDXgZQZeH2zRj0s61sIuYR+Sgdisf
GhZQpim6YVUhX5PwXUAXSIOWJU9CKJrjcBqDf4amau1Dw00sxdE3+fm+99Dl15lsaaSpq+6d/uHl
qEzOlXcO8dDnjHGgJB+Qd3cF1xf+W4UNZx0rPpgr3tOZe9Rs7L8IIaHu6eKIqAR4DCccXlGTBy6z
Yl80HoegWqb7onrD7O6/U6bCEg8kx7gv/dye4GDAotYDZNrOn0iJ7hL6iW44iVO7N1dsOimkb7je
oXPV6yptK+ix2I8+HT1V+8LtXJKb1FBz6VK+sWvhSjHQ+vLbZf5hbFIrz06uk2cFT3nLf08bAwmr
cKlNTLVr3ytJoWquoAH4BNv5Y0FhxmEIbXg2gq2aboMgIvkK+V2cRbrQLo1WfEkUXjsqDEhp6X1o
KaOHPGhDVd2kQR12206JdJ/1Hg26OC/GDzaupPFgnJrXbgIhQxgwwioN3oKDWlk7A8RijqhXPfjf
V5fH4pmsMUyT0/ou54Qssk8E68F7WOOmXxYbTOYWyWiIHY0AJGRVT4LmGHjd/JYW3VImoVKigFk0
elLgsRrBCQGd96qw3CMDES/ZFb5dENEw8x8iCNYtCBOL0jxbiAtYf6rNky5qX5FKpG96MHtSolMI
VT/MPiBhZniQhaD9AjSPj8qxncK5WGHa0uxK+yh4VknNbX60ePxMrkh/hdPAYrXDIWCdeU7QjgY/
VfEBzYg/3/ijrot95Ae9fRpU382bJB2975p92UvuWjGXsQTjHCIFRnrksj0aemKX2SN3ASPbZl0N
uwgIZEdfI14rtB714jsMUv+Cnw6k3eP5yQM7jTRaeZ7/8yYrQGA2smhhQ+i8YGCD+1GbCOT76kJd
8EiXJ2jchxumCP483X3wTaqtc22a3T6idaA7V6YF8T4Ynh1sDLuJfkLo9ng3Wl3KYS8sgMJ5LfFc
GYsxVy+p3TvHOShna2V2hOjWA69Jh8qDYNg7LvkAw1oaTXpS+mdCnSx1uUUa0dLoqeHr8jJfiqaT
+QEeKKv2RB+oBo2yoNlok+88Ri0nvB1GIxzWdZvOW22mbJoHVlc8UM2gpfiOZ2e/Ap+nBmEwu/M0
SJp2FvfgvM4nqtPXSW0yTGo8l+fAHAf+pZlxSbJ1zxRXMBD7TZimQAo+WkSX2oUIysAcIoZFU8lv
ODLGJrxtCDqEu1wJ+lEN/7H2PcHkMYX5d4yyHWk1SdG3yDhHTm3kVU2XG4/NaOW22niIuGr4r1Yy
TyhPsfnjnWk1LxfRGzuu9U7yx2HT+ZlzIJPbNKHbJR99/DkcXDWpUi95zEjJHAgZx/0O/YP3WsE5
neapj15TFXOShndN73Odv1eGHW7LxPOym5SXyDZc5JyRbvtw041h8cVCx/gpk2p6TlG0Gng6QMFX
pGba6ZTzKqQ82M8VbYhU3R+ACJhlZ33wzWGu/mWmvnqZKRMmr02YCXDOiI+GYNm0bolS6lUbIki1
XRdSLc6d38LQw46phb0bGSicGOk469SW3X1jTtYCb5a2WM3eMB9sPriPrR6qRxyAfAPSTCSb2Iqs
p1o3PLNb6KPnjEDceIp1V+1m5ivRbh68nm4rChgZy1SNO+9Ch8TLwefjSySppF5jE2JnSy8MG7KJ
pi/Rz+eKQJ97aEZps56JW5/2m8wSN+0UPyHlIXo+iukL2cjWNnD24KEEZtZzPnyzkAEcD7T1zpls
lLzb0th9QgbK0KLMoNmS2o2ea0v4z5xFyU2YQewZa5NVlMGxTes31zPLPwgnOIvaNXOAtd+Y6rfV
YP1ZQ5zkm8IdGfZDLRAGtkZ7tZTZ5pwoa1f9f/jq9//JftZyAxP06b93d913Rfr165972X//W/4d
vnL/CmzsWyzOyWK6wEH/gq/sv9Dm8mFH7EfCkpTqvxaztvWXFERSA8z1QrrLyvY/9rLBX9KxALlI
Cnmu65rW/4a9YibwX9aypidd0C9CPo7k/xyUYv9cyy5TP5eLeLHvur451Hg2cCIgo4h8NNys0JrT
oE3akPloM3bwY8R+RXRTjyg6QaLEmsgQRZ/FJH+CmvQ/hSnGjhU1t+khHU9GVsQoRwjV11KGR0cx
QYzG+cvtHO4ICYl8fCvuqE4GuXCoIEAtr+ToWwcJ8oamXvdz8mqVzg/fU6KS6FazptJ7urzEEn5i
16KrzltzqknoVffESy4Tw4fViPOjPTsF4ftpviuEp74p1SRj4rssKROEjfx6wx1kg0HDjcFWueLC
+mqZpKCona7WDszMpg7C7BP7CFzOzK8achvk7YuD8qc37R5DYxm9OaoZboyipCjPFUSPCvVQJVnJ
vC9uj6mYFLpAf7zrDN+na1LyFW2akswInVrdfcwD/GBkbnEqo6Ej7NpI+J0CLXXcptYLLD2nxHF8
SqjYvDQxEDOd1eXeUN49trT+pQ3M6LfOk/o9cQfnAS8DlK7pB/eJr+31WNP9qtwweepTRSejNb2m
Xq/vY9oJniBj5U3Hn/WpVWFyRj5evA4kYffMfRYHLa3dfDTWNZzTF1RKconjpaoAc6ogCcFz9Al/
lbpQzEmqmHHInOCobzpXv7vMW9Zw6tW3O4d/pnTy540XjG8xYbMslseus7JtUgnx0FO3tk0Iidyn
3hC8O+5YnUkCOCcbrwRtrnP+42QmykkERbT+pLG8TKwoL8Vc+Q0DoUB+Q6poLlrIOpsxntgo1cMR
2XN4GZgmH0CwuQIKn01PYVi3evJ+h/VJWO/Y4M3tQjg+NbxUjrlsms0cFp5cWWlXbWFekWYqmo4p
uhAYFHnDZ6hq5mYf0Df+YmGw4EbAGTZySv0GIzRdchQ8m8ikJHuyMDNhriB16/V0mAl+QKwwLDy0
hCJoayur5mDGIQfUAkY6N9w/HRd8fNNMvDRk044zwLiOS2u8aQEpLy6SCrbmehNwV9kl1Gnsmqn2
noPM6HdIvvMvNzb0ym1IaKwl8ShG0JHYpjWqDI2AZzcX2NrGqaOsdTI18H1pbp2Z0ukIY+mtcukd
tkj47HN2m4wsvLtirPeKlvoV2+DqNvRDZyNTfy1bd6HPq/0MHU5n/KpOyeb1FGMOVvlLxtNeODm9
qJJ7XNWZ2UOFbnqHN4u+wgYtu8goSuIesbewrJ98y/Q/MqwWPcfgon8QiR4e3aL6cFz1qyBNIefm
DP33nRIJuZ/DzD9UxlLhQNCJh8/yT0Scb68HMcApzo9D4zz6hLMJe9btRlN3+BQFcJLw15gFE8VB
NGFKKssLEYRx67ZWQd2FS3QDoy6u8YEjKYzlvs5c8w5Za7sup0Kc0Bq2xxKwcdu1lfe7Rbi3I0dk
39adzZeJ9sBtyIr0idId/lRHh4XtFIxUDy6pMVniUp3zpcYVNwjWqGp8izCH39A7FyN1owfZMr3y
OHpGshycmn1PSeRNVkpONaJpXEw+0bwPu3C+96NZ7iIPkxCyKq7wJNvJifDTnjI275J1JaHVuN1n
gc63RujRmjN1zt7q0D+uAG9/ValY6NSsnM5tbYq1YqbGTLcM3zhpz2vOJAxvg4GKAj0WR268/iFG
nfyLA3J7GmLLXMJM5iNfckjVJGamCbDmJuuRkO8Luh4PqGKxw2ZXUWwI23ehT5O0QZzQJZD2KaEX
rk8/Y6Be7EHrbTUlewPCjStXc8id0tvwwpDvfWE8kFS8TAn/5pimY5bV6/pqs519N30Hxpm3KvdT
xoUtFRZlCq1e5/jV6L2gfriOkeUEWHK9dpJrAsrJvi2ked94+TYzO1ruomBtkIggTOWdu5QYLwFd
1sO2c0pnSHcn8J+KuWcMd5XySpqpnxhmJRvVDT+Zb2eHocRZGYY9ReMJckMX8D81RjqtSCkljens
2nKY9/ZiALYlT3C5WIFH7tRci+f+Nxfqh7j3ECNhSlthFcQflVXTe5Xy2FhFoUrloXeJOTaLghjx
4QYBc82kqaFdYpEUJzROP5ouY37+6evc77GuRB9txlM/T55t27sQ5tmWi+wYUlltm9YwV3JRIccj
UuR60SOPoL033qJMDvk3f5OLRrmx02GTaB+Jk0woaA6rJ7qi6/2kKbEmU7xImNXiYyZNEJ20O7V3
Hsb8U4mJ6rcKHM6tIAO8BidkNovVuZFuQK1yEzw2LrsxrmFb1+zeO4uEZ6qWUo35IlR0W9LGwGsW
fTS69ZZrp05K7IIpD1W40iOw4pJraM4spdZqJI6NdptLfWoDHqX7WggmfDq1CUZnLLDE3N6wlmFz
5FcIEPwIM036mzlgIHduQcEmyJBVP9nRoM+V/5sNLYExJI3IH5lUD6G0TvJqzO6v9myI9PZr5jX0
O52xH1bcgJg9xmi3J/LbvN64rj1zoefKcXV1c2fG2z3kiX4A/Ww3UyXrW2MRfEsEfpLI2mS+8uhJ
N7qiraXRBa57axr2poUoHHUXMselGJ1EivtkQGzfKH+aFWQzkfaNHTfPVQyH1Gj/zjdkV60Y+7xS
IE3yuuSIEpnV77wax+dKeTltMZ6765yct7dtq+DBd+iP8/r7siDqQVPvpU3qndtxHWnt7p0gzEs9
K1YtRWY/CBmUuyLAns5rD23xVamOwNV7T4mYrUqOFZHMvtPY2bMAw14FTpF4h6FFMDUMThFtZkdF
im9WyXYbC1ROkrBMEcMJk1IKbnaTYT5mZvzNC+11qPufRjr7ZRh8YbiNKlA4FBIzW15JgBjeu5zC
wngrC9fbpJRI3qIYWxr2FHXYk6MvoYx3OQrGeDOMXrOhMb67RKYzr7xKD4J5b1ptUsZdzzx+/fM0
N1zX295wthzhYY8Ep04nvmCHSE5c4o1N0g/2QVOM9cApbnoq03zeOf0g74W/tOilPxjWed+MTkfA
lbiozrtbl63o0YhLY9VImWN1s2jnhpg6higCN5jBxoNt0IrMiv4L2UTFFg618uDjjh5RoULmobLW
DWq4co7luRlC9CaGo4++11uHir0/nQPpSRmj/ugYEC2ko7+x+iTGwj0ZRApZzD/WwNx3QSgEoF75
5efoBCWGtu3A24c4sHujjYTBo27ftVt/6b6Um8RiOjIpvSf9ndLKKIw3SajuvVCDsU1AHV8Kp94o
t6JoSk4JnRT80f1m1KLwgQv3geRgtB7TgnIvZrjoK3BGH1qtD1wt3IONf4A/VBWdwaOqe8/nJRWV
+cZui+6tilt9ZmRJ3WZSik0mNTAVs0eDB88CkwwZqzgadPjsJCEbZhWu8VNQV+BlwXom2bev+i58
wRupH8zI8jc61uGjXVdUfST0P3IGGx5LKy/e6ogCZFthszVA6B4t0pCrHsfhT6kE8bXELf4EyE72
IwYOSr45QWPpdc5YgsC4ZqNQX0xbwO/6OWVKPfjWiSh38hRFnPKYYunkFdLU4VGLDxYBfHQRuWnu
ifKZF8HQecNckHaWuGluwqUHiEhG9FnQTLMC4bQ2DO3VD0H14MIuRL5OQhiI6QZcEnZHHUFD80SG
8+CpJEF8HHwfMCAVSc8fPdW3FTcBAqkOtcfN8nIt4ocmdXZzLWMObA1j1zh0DkYzDhcPnHTtDrq4
OA17A2VKbzuH4e+hGAi/zXRG7Ap8wbtqxKqbza7/IcbapvBe2Y/D7DbbsRX6FDWpy/nTlYeplfKT
K6vezmQ8f1dtiOyMC+ANLZflnRslyaUXcXKASuJA7hT6WNqByVvDCXbglL5AtH6fGUOxZftibv0k
EMfEEGSeQSwu1lzfYY6wCOSjweu9Vh2p9aLjvbKCm9YjBC6HOvvDv6jehvTSn+ABEDTkLZvxIZ/+
yHD+blHjrPCQMkkEod+Imigsv0rCtogWV5UX4SmMo0ufZZwcRXBrkWnYEJ3vMcjK5C1ZshfDnH+U
Pnl0qE/vturAROSMhdJU07q0muG0XPJZ5RW/GUztIcaCU9kGE0bmmFYVlu2vcWwZmJaoTdrEfOc2
ee8CZWrMLl1Xi7PDEQwvrVW8RBzg6c42+9fIlO7K0OYTsfNwR3mrP4R7kensSMneQzq4Gy8aeLhM
HMlNc2dEYqLEaNY72njHJXRwlzrNLz6eIzszhRkC6mYjp5qBacvafghcZ1/Pwqa81sTiK20+qDld
O/QjuHdM4T/m2LzgndbbHPB8ORskWD6JkPeVYW2554UHn0nxJqM75qGv8oTJZqMPfRPMW0Om6sCb
Ij2KnjG37pV/182Ts0cEodeFjG57zyYawWk0oq2hE8OKhR4sQZbCbROqpKNoDqw3Irhk6f21o/Ml
HIJ3kXmikVFIJA9xecZLBdoV9cNZ8ShkJ2SM/VMj0+KDFD5fHjsWIZ2ExWyswtiD2DJjhI1rbM4P
qhbG4+hI1VL34PRsqZcqqNXMDx4ILCsuaZuKT96A9aUycq651KWt0frTwgfqA0sLzPLe2XP4aoG6
bHXPvWWFEpn7qSooXYNfE3vQmnbPbNd9rIsxO06t291IQuxYrBxn3/VW/e3iUkI/QxXZR1kG7feo
FGxUVfFl7Hl48kcTnEItyhuwNv9AaGha9S7pUOqL2g3/AIduDXN47alQeGIs6lwyz6IQTBTlvHLN
+s7mZ/pgKYvfDJPR18gafld5am25CVHnY/bijh49ANAxDNZI5nvmBpItQVMY4o63rdgqh+0Hpw8i
yZNxBnyDcYTa3tHvA8gtNIW8+ZIys6BrmZqzMLyYVeA94ag2toGyBg7cpbolTbW16hniOJI8sfoo
ObhTn8F5sZwP2vKZjMxXzaZvnhIk3EPyk2VOeuPpmlq+2l5j6tK0K4xvDZcfn++whxHpFqLus9SF
cWTzED/8X8ml/D9UJ8uLxPkfJ5qPX+lX01JH8J+Gmn//Xf/S7Vm0wRIb+VfhwN+BUjf4y/G56brS
FI7r+M4/ZprmX4JcSMCwnHg9aVP+0n8MNe2/TAeVHCFTm8ypKeX/Zqjpu4vV7p+BUmERSzXJ1QSB
Z3v+NXD6D99eaVajURhtszMVKtq9ES4LGSuXnPaaoHRv2AWwsmnGvnH3wXWVo11K2TZq2fA0dWBw
ybEoJbV6lMaDPWKCBrhI1tx0WA95Q13hULqujdJOWd05YJnUXddKmfaGdj/ViJkoBq2ggwEThjX5
t/CW/Fpdkxso3Js4aKp623VKVXsX1cQHYl1i+ILldLQFM+cECEEM4mgWYXRGCeL+srXutpHHmmzs
A2q5MjHfatxqW1XN2TpgvLmtdJc99hYb994yja/punAz89D9pbK2eLe6CAkMixQWc3jK45iIK/u6
3vTSt9xXrGP0dZdXDeA6e69X41Oz7PmS68rPXLZ/01SFSDWm8YO2CZaDQ2FWoHwNInj19/rwukok
OBGbm/y6YnSv68aeVSgZ95qty4rql+qOB6/mgSK64KO6rizB51lfJtdV5pDpLlppp64vIAvywwcz
ZrE6xAKtU8D3vGnspVv1uiQ1vGVh6tP1hQe/YP95U4qCnoDlXNl1LUMHq20bi56kfIGDRgrSdVqk
v+y2y85z6lT3zOecn1iI8SXooNmXJS973GHUxbHC9VHCIQwo/fKhelVNATdwXf8qSR4WnaHG3WWi
GHmNr7tiEMdoo+eAAmw9O+WjcKNUw8o242s/tPl9Uen4ARo5rXchCMGBUECzt5fldPr3ohoexcOw
f91gY9Sb3xg79fXRFYMw1ujZ2Hd3RjxZB5pi0i9gRTbiNKyxHRdeBe0Fj1XwM2NVuGIgbD6TjQFV
Ic0/VSsOh+zzK14aIcTRsoQPrvv462q+y4fxA1Wzf4bJgC9Krmv8/rrSj4OJwtwmcyG3oHELez/8
vfcfuHNvaZlZoBlED+RDgu7MfYziqWbwX7K04TaACKvn+d8otQ56Nd9DZcMZgPiUqy4ggYnU2L4X
UJmnsYcF2ees8HCUYMj8KKwuO3lXjkGUtftdtaa3EVfOgflbe0xCOuLW5ri4aWQxbAFl3I8gSgEw
lEgEI7jOANrlehDAu1QW2BGY5Y1vj226Y+jQ7cySRTTZWQMQg3t+9OjM1tJFGafBOwJ2/Zaauf/L
7X3n5A09WkRzoTvShfOgs+mt6xPyPChBuDu1wvkiA8H4MAK8dZlRLdBIsPAjupiHCTtE5xzrHiCG
GmLubTuuKN27LOPmF5WU3CnzK5hSXyEVK5s7+5BNFvBK5Jr8yqHZQyaELufbk77CLixuAV9i4v/9
eiQZG6/Hv+GYKyhDIorI6zw6YmNdUZrAF2FMH4TPyp5zzsRK0gxAbyo+sF+lYyRf2RXLsRZCh5mP
QMcJtVPwDecObTbxNxBaefEWvmc08TPGQefCJC0MUL3QQP4VDBqvkFC08ELGTCFEWjhLUqUMzj75
rxc+UenCG/OpvGJHvEymj6ybcgoyfbCk2mSNxBInsvZStEWwlV7/ndbOuPeiRkOcwzcVV9SpSwXq
M3VFoDCJzk88bKR6zgJUZn5q+BfrSk65nB+OTVRl72COrJdwvkFZmbky3vSCXrGwNpnBM99n0V7B
ZnE0ZkXM9/tsmlb509oakiu7Ul2kLTL/1bnSXt2V/GJxNnkkjxcibECc0ECdLaRYvUBj3oKP+VeS
TCxQmeKCs3GupFlzhc6gz6IWDM1egLTWqrqvfIHUugVXsxZwTY7SeHKuNBv7ZK9fWBMot0XPuOhk
+i8ZoDc9JAsQx0YANq5nz8/GowWYW9A5BP7sNGjN8beCDrwCN3rrJE+mo0baq2kDf2XaAInXxX5O
yjiw6UGwIPUyZ+b8Sapa/DDH9O4A3+1PA735PSJOqvQ0eGcOL5jcU//JVIHaXa4qthyKz3RBBYvc
HaksXABCEKV4HSd16W+NWTMd7/t88J6jBTyEVbHURipyhvJvMrEhFroOaWtYO2xnWnJjIRxjhNyf
LMpCN8p+orlRzuF9d6UfvSSEhPRbj6eWswCSzYJKDnYWHghxmDtL0RPjLEhltsCVZMup6sW790zO
g3ZX4ffbasExw6ztPpqJkQudt0s0wiHrlOOk72wDCYNXcO+v7TuwlccOvn1j/xt7Z7IjuXJm6VfR
qnfMphlnVEELd/rsHvOUuSEiIiM5j8b56etj3CwpU5DU0qIbKKCBuwnc9BjcSdo/nPMdu34uQwwX
iJo1RAitSxqbFZxigywA5nPm9zFKyCZDQ7KWVgUesa8m35xixKe0r0HtfGCZeGtDU9uJGABCG+Az
XXeMrDFuh6P53KY0XJuyQlCFSl1hXGIbOhgH07aY9TLySqrDYOKSBNZTYuMxNNti+ZRNRr0OgX2T
xdG4qIXGyP0OiKnE9iBa8RShTSTJDsONtR+QioxXM5fP9wDOZrkeekodM0IRtrRy5dlsYQXNnp7s
UetqG9nXmAcjRs/dSOoMRmQmbZkRJ4cSL8omShLnLrXQd1p9kPkADBDKu7H84cZB+zVzDeWP86Te
NAxEa0YLZuwPRHeCByUe6sphs0KuG1xXtggZEDSwnKl9npJS0x5NnB5kgQ59XK7dtKsLX9ZxP1/V
6GblJueCCf28Quy3CYPWEJu+CcdDFWvGVY2OI0aoAU1xAwIQEpFDj3nwZkN9uHXAIsnOBq4dck0O
eU4SyponQu8g6tTd63lGo4cbrPEuw1x5Zx3D78RasYve8koZR6tpNOKY+qh9q2SLd6+Fwf9NR3Cb
+PhzFkCQ5s4k3gLTcZDrEfiKXQoTxwGOI3FZkwXzL+VdvogGU+OqSw3HXsnRPqY5EuVKlrS3uN7U
E0UU/qAULsu7qqfmpQMpfMxyywUcKJdAAQ6l8QpY8GKrYx+vrYnECcRKGSK57hyBhMywrRYThBbN
vkjbxj7TguUHqxFEPXY87NCANsvpR4OO9njU+Xkyy+cLpqFYrkfEDGQ+Zgz7vLl8MmwDUpPlxuXB
xTj0kgx1l+yhndS3Parg0ndD2UybLuZbntkPTXi4RRBeiLLFUmCgY3llPVDfyiq37wJFpiZjMLtl
AwIPjalMJ7lOegtSQmpknY40M/FBiUEMxku5pE1aza0VWsOpCxYJESi9eSFQzNYTvGF8HWEZIZCM
dUxvGzcCovocWgkhNrhjUUi1E4+LcFiqo4TMR1TiXZu9UigEdxBcpvDsIkUG4VXDMuK28VijpHns
4CCoE0YrPKAnHGRJ1D6lgSmIFOCMvu6gzp6Kru833ALNR95Z4m5IwVj5ovKy22getUdZ696T7Edr
J3vP++gg9T2SczGcXMvSvhJCiWYuqBOSZcqk+8rzl3LBrFtprnMgeugXF9r9kOvuQccP80wAJPog
QseyZ+QnuNrMRWnNQ0BPUoLVY/Z0JhmxYOFAXGRUyjp7H529m4stuQiaPfuG/Gg7vahXZR+R86Sk
nW1rEjVJtY043VCxRvVEVGMUxse5tdOT1ZlTTZDEov+Kk6wml8DLvB89O4V31TCYXGcgLeRG0Us9
mckUITuPhrEROz3CJAgTo4nMY4yADqU2CvJka83D0MMIBYCtvZaNcvYTwlW3JDQhs7CaF8ncjuu5
p91ZooVK94U1gXDvLNS+rOW50ioTVpywnFUSdK+wzfBkh3ayHVpkuLBnnE2I1U7bjYVpHwzuJy7M
GYzuGQ0lqLHOMIGJz2gaIXdhSFwhwXnQOW/mYxpMwS1o5pqE1U7MBTQwjIjyjEcff3HEVj/b5G7Y
baRu6LaxNvIeuDqsP6thDVZAga0v0VxSHmGQ7JDGiCo3r1ogX8HREqqPrt3B6WwIl0Ew7BPFmmDE
+XkLy6PWzq5FTfIwMX2bdx7gT2OrxjmKD6wUY/ThIf6jvdUErPkxV03qWz5P+qsXJyl04amzgm+p
HUKzdsZQOOcwIycNt3o8EAlM9BFaY4myMkbyP4Fg88NJ6t8Mu1fkHLQNWJR6CeMKcEt6Z47vetin
ruiO5pQL5O+WEnviT9NdGzKapQy0x/uowFRwmGJM3tuIAbwLoLwLk0tpOoOzZuZd4hxMpdriLuw1
vw0He4dN1AuORoMmZlslLmcXBEwnOBZ1N9USqStItxUnA3YY6KUE845LHF1Vj1N+yQysDcg3I2vO
V/bQuhWpT7iu94HroQhprdyJnjikbLWQegrKHH0Yzux1SFgkDFz1+SOSTjN5E9zDRCp17YSqrgJ/
ygoBha6u7P4mqT3va0Jxh8x7QgXgK/4cZOdNPM17EbKZOUXkmpKTHliOyZ7AabeOXLAxs9topzhP
v3oJi5JVLTBLEKPGmWgG1TfNGBkYZ/p8k6jwLulrvUPonsJwI78C/PZs9GioR5vo9DhAry1b8lC4
orTgB4IbTR6Ek6DwZsSw0NeyaHqfwsYwDmoQrBnQzig8whhUOoHStiOHkPPfQpPUG7VmQt/J7rqQ
THUfaGR6CkfuWKqWAKVJ4E7M50It7N+U43YLsMDV4XLaTb4oD+hr9rFqQhuZwxQ+KaD2fB7ushPJ
4pBhom1k8oJArA99Xq0zZi96XfPrpPQK1obRCLmh0cfdGBbO95pHf7wZa6keFQKSBbZXNa85geQH
pJraOrOd4OxUmYJgmM+CpO7Qglgx55ZxbWWhcceu2NwB58oPCZvVGZICb4eN1fTEddk+8M57exMy
OK8vHVGSj6cOlV6Mr6HSw6dpitvnqQ7bZIe8XR57QyzMb29C3eaK7GuIiJ28ZbgNOunZQs/9obcq
HfsVwdRXXtch1gFgkHtbjT/sqQ5T7+SynMxXIx7XAaltMNTM/8lEU01g134LgIBANJyVvT+Ai+CJ
XXv25v/K3PIfhon871/TRNSf/3P5OvwofXI4fvti8ymivO0+munuQ3VZ++f//Ou//Ff/558+/hUp
pkAs+U8Hl8fXPO/+9L9e8+o//nR6BREbN7+OMH++/i+6TMfVDcAGhmD2aCzRGD+heMYXx+apIeDU
EJBqL6ian8Acw/yyvMbUWeMTqcoj4S8zTCSbjESlgGpq8pRnLvXvzDCBxvw2w9QksSOkceC1+12Q
ybwjFDiEqQuJVwRlE7C3jpYVNruB/qoCeFFuvAAoJ2IfSp1VByRyo6OPOE1jHxzKZW0+RZiF7WKM
fObljo8uftxnywpeWxqMdcWSqNxSmfQ+JiQsp8GSTla2E7BTx2BHH03Po0fAOnQOHSMudlGAe/W1
QLn3HEKa2yROGe1yMTA36TCXeKHnHRhwoOVeotzzImqOeUy8O1VT/OoStneienRiqiXIHjw8CYV3
mbzt0Grk236Chos+HLXasATJM8nHJMcj2z3PXUhiKJLz9iN0XDJ8sEnKh3YJpW+nOp5OPN3i00TZ
fK7kqG0DyCM7ONnfzWSeF7Unqn+tIE2gBCMwrANqBFSYdvCeWWnvz7MpTzXod2gSxfxVS/tkM86Y
hESQksTnRNNDR8Oon1SoAmPtZXRDG73LP/m5uXUpGpOuTMJxLbUhOFnkmb2ZS9RoqyqN2leDydqC
ZfCU3nxgqU6fHagDz2HsdXvdrOQLTcgIlBM/P/RaY9rNKOzbdYUg4x0LCidiJ2y5ixx2OyQQEbQ3
IBwo0SjG2oOGCnS8zKYT8LqO2osFDvmJ4yyXmHQNo6YeVq8aYlQOZlgIay1vWzhfGaoaWPblKsbD
GVL2NO1GNaO2X2YWGyC3CFAye/Kj5V8aVEnUyHEn78ipyH/UA5+CLxuD2E28VazasHSHj8oYoFbn
vayRJ9nKEetMzxEymakbXue2Yxy8vI5uLBZQa0EvywgKHYPkbWvKaV130XQThKT+qSbJNibfUt40
/IqvyBvAiFtg1X3mrFaD2bAFBKcN5ZZWivOx4KccIlObtjk7vh9TZfM7qdyzsg375iUFgUslIrGg
lneOrYJXTydjZmWBC2GuIiTrajwZPtNNz2agIYpzwDjWR5FHY4GmuIkVVcXsVSJGxlclazaR8V3M
GfXD0FN5m7aaideKv5sydsx0jwGem51su6mNY6AK96OMYWATD4v26lFFoHXIMS/CdttShZqrgNzi
c20vLc/IVdzs6YyGFcyL+gm6jbE1C5jEtsH9gWIgXHWVGr6bDFepg6x06C6tQhe0Sq0gBheeADD3
0FAQM4rxYyKGeDbeAL+PwJmjFghKVETDRcErMHzlxtoHKQfzPUecx0Y7DQlQG2hvNGSa6HaadgYV
pTjNV70JpX1lQvM3KF2t8S3oCOwFlwSXzi9NO7hvnLp8qhKGxj4zQgSR9VhOFwOmCqmRC1aSFKKH
OIyzYdf2MHYU75i3y+GSYuStpSAWQcZS8gzqKEXd1G0I/UD8jklOgPVYLb4iypnZ0HRmxbjfN46s
vGtX2s25M4j2IfjRJAMHK843FxAuSxBii5nFjFO11Q3Ne58rq3hvA+QuLGQoykn/meZHJAo6vZ4O
+CKHW7Eu5vSmSPN5N9GFwFkKaks/sGtwf+hUPs46n2vn1FaN8YitdzzVQ8wDdxSttWkBd2jnkKdY
yo6eNJNVW1at2GUi76+kObr3EwuPczdkWNbTyiXarmQ8sYIDgj0/iTrxmBvN8A19DKsGoZPOEzqq
xL7VD85tTqrKOWtmmznLTPHaaOYVqgEHSW0igmMYsqOYidVA4x3H25DQ6kOLHS8EgYA+0tGS7M5y
FKZQSvxPeUfzoVtkdF5JEAOvmmsItWrJYEAAi/IUy804nqMYYA56MxjvumueZzfvv0oVwq0xqaNm
O4c04+Xk6ISxG2FlCQJ8j8IsjnVqVFfoNGnmZ6+WH0ZfLsBobtwUozVmT3dmwNq56j1gj4Lrs5Db
fqi14wxI5wMlGwRhmqL7JuQBtnJMK90ZTugeCYpJX2XsoewoPBlew8nQc9JymnhbW1jWQ0I0EI2b
+A1V5XQM64U49bk++MBGu10FOms3maUdYbdq4kMswvRMgNJ4k7iRjRUeRaSy3Zp3s60fyThp1jkP
onVIYNWeAF11N1jNvNXcwHlQidcTG402bM4JsHYpbk6uZl9FuiB6c9GTjZ/SMsSVzhmOfoh9BIPJ
zxLr5o9VJjXX35Rgv375Z2aT/Pf5mvcSnlpMJNPvr/jz/6TazpC2TQn0j202D695nP3p6vV792tJ
9/Nlf5R0rv7FYIPMw82zXM81DcwsP0s6+wueGQnMkP0yE+yl2vpZ0gnji+npHpsww7Md6VrUgT/X
0i4IREvyKhO+K7Un1p3/Lm5/+4woi39+/WsY29+GwDmeIWEwG8QDeyhlJKXjr04bTgS3s0e72dCy
3wjEO6tUq7/lJnlgDdNBrU2PJp39vlOg8X55p/7Oj7aN5Zv/uhF3dd2xLUw+Bjczf9FCZ/xlI87S
UE8GWqiNyDQwMAuWRmvB1jajGleL8YB9VCLJAeujXVfp8bml0XmnjQ5BxUNhIJ3V5GTywAhe9Rbq
FuIGrBPbG6BcVmwc64a+Lm6UdzFihcqtmfpyH+DsnfaBXqHOrpxbRqpWeqkYBq858h443+CMIFK6
AqgElWZmnHNtlujlfM6XC2NJooTjFBW+1c7bzDaqFlmdMq4cc9Ye0I8yl6rgS92SMiTP0lXagzOb
+Gdg018PBo5zxzHMC3oy1qEAMh6TmNCp2oE/BWmLejqzux3tonXy2P/srDgeDzPZeItxRtMYewKV
Sfemg1fXsUgd9Rst7vD61FZpkH2u1dXOdIxgRznH7lFjK0dk2eR+wyyRAEuQlbxjLUcUDfVIS3eu
8a4pY9pPfaLOLcJ9Ju91lN/iKuo/iG7Rv7IlU0y8La2Y1mDdeClCn+EF0FOUAkcY8vvCUM9drVnw
gzAJebI9uYV58oqi2odJo/Z948a7pNa+2Z3uQas1R46MDope1qlOrtI06QAJ8nxveXKN41XH4o8P
K01PvTuCVIR1vZMwkbt1UrvluUBKcsCkxHaqj4aHkOC2HVsU4IcNmwUFdW4zd3zcSqT6K9EWxPQV
lQrWnpOPu1TzrvOpHs4oJ8JtWjUVFQEDSelYxcoamM04mnL3Ar/7xuPOIRmn7cR5ioeoWuNzdtaA
xoIK+wii26zJ563XgQ2jD+Bk1qS37U05+3bbqWfyINxnJ031S5VUXNOhdXJFjdVquc5b6o41E1fz
YkyN99ATi0u8dNf6A1D7jQEzhOWTV7FjrSOCp9mHPzgYfEhHtpr03g2VJ/weEx2ZPKBj0HCnAJtA
7jFD+5a4nSG2Ffgwoj0AKhLmqvqYu0UMFoXAPOcsxAbK720ex/OVWzjGW2EG7R3wZCZMTtJm1Boo
iwcjcD5gVTb3zqC8x0WwgFMj6rRvuHvHc9zl5oOR2rrwx3KsnSszgpOwIXevbFixWAHIOk2rdzZO
9WQ96DFn/5jW0O7aNBzeqmnE7NMjqjsnjWjEN9dVdA10I2uPdBVCg2c7eVNjk90MMIn9OuyyBxVL
C0JTfVAFWyI3G37MyyQVGN2wTQsDnCWheN+JRU32U2jFl5qI7sPckGgpggr9RFgbPdalqDrpVsy4
pKNQerQH6b0ngREctNKefc1ivFOoAapQqHJrn+p1UvskT6rLLJpoM8HZeDaCDPFhNwiE2bP1Gsx9
sQXkFv+QthAghoYCZEHvIor1xGtOWsoNSfLdLogC3sLRVY/M6Mtd1pNz2I5h/hIlVv0EocR4dADj
HiKFpqFiPBP4NIV0iV2XDrtKqQxJZJGR/0jigWje2c8W4SkymhBtX5K55qNErEykG698aWZAk4y5
fwSBAZPGnHT46iLC/rOXgzbjOo+TaVPaUDymiG2Sx7TS9ZMOSvk61OFx045MNmQczWv8MenjV660
caIEhQWCgd6LdV+DoLGZqggNa4RpB75UNeBFh3yebzoQTN65rab8OBu4sre1mTKCdjXpAjx0xTeL
GGq2pXN/qHUneFYG3Hg/0foBPkQxEDOPmYXbpie/5JV56ILqwwp0Arc1PHVJ0ToHAo3igAleOt8C
wVzQkwZwhiAkMLBIxuqqxXYjj1Hueptem75Og1ZIH7xWsCv6TLsvOqP6wJPV42iiJRscSaCU3nUI
vXGQtbjSprx44eLH+IVFBmklyyyYPgDo0AV1Vs0qvB56G0OLUy8UhbbGP28Olfg6Vj2ZM22UCtpA
vSBYsavbr1oxKHPjpJX5DAJIf6lpQEjlmeV73LUSPszs+V47N1sd1un1gHriuyJg4Arzk5fg2gHo
iWtvDqACzEG5m0Jm8mv+WUzOdM2aNKwc4wEPFgXlYHLTr0qzrVlaNPwCeTqni1FmZpM8CIAdMLdh
0K4IFa6wF3Ymzwsob3G2K9MJkj2kny5fSwIOxq37mZWJKc/VVgSmKJ9M5/KJoycIfdIEiJsrx756
TJfgzRTZ6JaPDANeQiynmWbjGUsJBx66B4/eigDPviSCHg7vAkojwbC4YdzawdjidkBD62A8otnA
dB9F6DQdA8oZGCzGsJgba1mciaNhMcVi7ZR7NdHjKds8hjNk5KzxNUPQ9ZYoUk0QjMMid1b0j+Bg
lxsdh8rcNnIT6p77HZwn1203wRFlGOOpHw1tBavVJQNVbxndMImlEvKWkFS0pqYP/6691dJyZ7T2
eBMNwrub0yF8ottinLOw85mPIX2qIsl+a8lljZaEVhWF0bVylthWaZPgmi1Zrv2S6hp9BrxKEu7G
Fb4afYbtDxjagHl6cefoPJnAf5qeA7mr1c7US8JjHRk99CO8SzAsDVwes06v5GfebJwZV+YobFBx
WPfuxraF8WG2+ikKJqYKeY7Fn+n6kmNLwAH6dgYM8ZJxSwH7bvaa5TOevk4ncnDzJRHXTCp+Hi+0
t32QO0f8Y2TnQrcFvF/Bua2MYRGnFO4NTDN0trYSBklUcgnixb9YnkpU0C+ccgNTei4q6iAKoR/5
kuQ7KZhBBzr+mSlOYrNhNmJif9mj60QARzkdlUxNiHqqaz6QlBDcYrpx+965S5xL/hnt0jekvGBA
0c/pZ/RLDW+VGJjPSJiMZZVCBJwHw2Exj/OtMUy3xJotgQksCk9qauduTaSVcin5LM7DaglaaJfI
BfzlpJBBUWVnTalC52wv6B7ddc14k9TENoDAcW7NJhiexLzAYpj5pUcM6tUSbU71tWmWCIg6JOR7
Iz6TIfLJ825qVc1XKZjVfbNESHxuAXQpE4D5BEyM2Ln09fiZO5EyKKwOwRibqJpzm9+EKUVXrReN
TbyqLYxfXortAxqPJM/CWKIt8OcvKRdqZC1bTEv6hQ5189xpDOo2U1iW52gJymg/MzPQo0GL43NB
1wSDHxEppAAeYnT3ljo3YDOG6+Izh6NBE8Mkgw3ivDFDSHPXIakVhZ98ZnhUn3keyWe2B212a22t
JfKj/0z/6EjJ1TdJL2V/9Oy6d7fENlF0EMp+7Honcyl79JEK2IaeKCYzPVb46xTVGhkkEIrlM6xA
mx0yaZhHYeL3yJfckvkzwqRf0kxQf/aEptvo+chUGuqBhSuaXh+/RkPJWpEmMBeZ9kq2QDz6gTaz
LHd0yqjNIAvCVCSdQ79tdRvhIZ8JgSsRmR7PGfTPpwYKYXyGr0E4i9UO4SErm44NYq196CIJWMIu
YS46p8phGlnArMsl7QXZHUhVVmHtM592dSG6L8nYMhrtgZkTLYjK5Gk20b16VtCecxxcWKQ/I2b4
0zcTv0SHcM4cr6oekrjvRAQaEu9BNq1febX10OqSCef/oR8Tf0tdoMv0dMHgk4Qud1k//N6OMeRv
uyw2oa3AmUM3E74VcXHPcvDF8PJ7aRUcrA6mEYrMbwpz4R+a9j/2Ln+nH1wCdX7rBvnxts7YhuqO
cY2+/P9fusE0UDJPB63dNIGqV5BoizNvfnb6513nZ0f7tz/Gk0vHqfNzrM9IgF9+zKTmXg6zCZQn
RChE8gjzZkczNHdvRjhl12lf5XIlvSL6XnA8SZgRhO+tBNqwFzFOFoTBojvbVd7epTisL8tbtrbR
ll9pA2ZZRMYVg0u226ClE6e9YS1TBv8/luJf27Xpgr25wZzgH49kLqBAqq75dR4j/vKyP0YynvnF
YR0G/BC8CLEwi+j/j5GMJ78QLuF4dE4mV6P7y0hGWl9sj9UbcWpCMtH5ZSQjYaYYNvkWOsYDIoKN
f2skQxf5+53AzppbQTjS8ixLF+Rn/H4nWMCCKk1PvX3SxPkeJi2hCLF3NNvZWFU4qMI1MryHlIN3
Rww3EckIeB5z3NT30PkxE3r1RauhBGPZHk+OHPo71Zu36JOhH5MAgEPQjPdyLPWtlSswI1ETPJnS
zS9tqh3YBuO26dzuhP/9TitSLF8wmN4sLZ3ROFJhyT5jPJkQCwmUEnyownCNFKgzt5oTe7NfWXb/
ADTNxTqKpBuJcXVpEpPF31Ivr/OoXAbDAYmHHKF7rfBMa+8pb7zPujx6iavqI8XT6PghClcSROPk
G+zst8GTzNlN8yopeOTCUklPA/4A4rlNpALm9EPHB+mbXVFfjRb1hkLZcJeEWX3xMGRBQs9QJ0EC
bmJwJnMziDWSQZ1vFL9QTNkr6mG8RZ97OaWGejVYxgGRUwKehCICLli4bWQuIHCRcgdTLq/u9CH5
zlFp+hoI5bURTZ/o+0EtQKRvZPAiV1VB0e8mWYZQCszwvofq3hqDdt93TnbbZ7a2A0AdFH5lBvqt
xSKLooskak6LQmDHFRxA1IyDHuC9aFLWDRm9xD5u2+k2WHaLbW3mTKAKAqY7DR7bPquiUDs0c5ad
qK+QkwezXJSTVBYEfSUBeZak7XhwQhWlDv1Wc1DU89HOm+L+WLcW0hYw4rXNeGGy65Xl6LgyE1Xh
H2XJo7/btTE+gQoswJV5is0sw6h6Wvd53nqbSSMHC4UQMp+8Xg44LDEW1eiAUnOFzDp+aZXdXOa2
BdInyoTmB0uheR1h4hR+O2hi1Szs8LhqWsB7RX9tmYYSt1PaEl7gJUpD6W46yKYGU7Cb8xoxDHdJ
4wTRHgZIVx+5wqjYMxe4o68Yk11pGDh/lFWcn5wGr8mmxS5T7Xq7Vnzm2NOPrUprj4aosQbcp96t
6sMDu03EjtYiubUIWgMR7PfuUpc7TrgxjStkOi+Zcm7GhMFgFusSoEOzZxwJiqjRLxnp36vSKO96
o38LKvO+K+zNJMzpKvaMvZWnC3SlPidh4BtpebCji5331YpzP/UrkFstrPO1KQfLb3OEMaGeGjeI
xLUPLme/dFmd9fqNbGPNL0b3Vtfraov5FmeFpW+xtVU+f+oPhpBUySzVeI3gEM81mdzinTlUdoS8
tWmA+UbOoudObL9Mte9mnKX3HgDMla2pG5d1q5qAstVDE3IxuOE+s9AdA6V4IMY32qUpeLIhM8I9
SRQEf9s5E4QJjLHIS7WeZgCwaVtqryZ6YGJekbjRYc8G2pO+IhugcGll6wVRhP2jXieeUfoBQruL
Hif2N28K75F4xn7sym43gCvllkm2aAhdXxhQYzsKy/fZnNWmEdNGuCMJcTLBWwrGJCqy4NBbzj2P
vkuYELZt1JM8prG7bXNrQzwwKGbMybvagyhTud0Oj+z3DB3/arSnjzANrsmzLuE8mfaW7uBBm3vx
gYorfevm8Mcvp9PfKXukvdCs/lqRuFBybWESQ4QQz3Edx/kb2lVRjb3Wx8Lb4wmhA88TyegL8KEf
jiTbRiVO5bWGl6faWKTtXohuiV9YrlEvj3TFbAntIeI5iQISSzbJpzcJgn1vE44p9a+KwZysQGix
4ov7dHoqm0LQewbcz6IZhmDNAN5hFpvPjQ1jvWPLOVZNf0wFGSm7KLS15tAIi4dFUQWnfqIT31qf
TxPt88lSfz5l1PLAGQG+age0ao7cc1/2ftQ0zBE63dS2LtLmuzbRJmeVMew5wHDiMTXY4bsMKtQD
bbjF4N2ds0BtiUYwth2j75WR9GfdjIaTpRcnSXD3yYByuEkkkXLkgxMojbMbwqhHCm9n3CHkIwaP
x9nZJtFtVzMqIE2thRFSxspfYviMopAoGOCCCLcsHsGolxvM/EjEU/iheLVS0Y27BIpyt7YBgu9I
ueNusfWEDbZHllW5NiuRpPf4y8RwQnSbr7METDAULbkZPbthmqPlvueFxVNUe/MNgQHmCkDeVVw2
yQkoqHnTmQUrCjcIi688FNQ6q515a9Fb+045o4DM7Tq57qvO/R6SmbaJi+SWVFp5tMmi8WFpJOKi
gy26IoAHs1fbtGxrSX6a43PO9vkUjRqwJDcnNqePTNjdPUJ+LWvJI2EqUTph+I5Sh7t1jOvu22Tx
9OrdXl6Tgaffxr1NarwQbyZBlXSPLGhVacE5kXlzk0Um2w9L7rK8BKtUi6M+oLV1Oq0/kQrg+vbY
1JshgpGmJPN4xLzolM+0hC9RCN2Id+45owtFg8HUrgyxoWvAVFeyEg/sI5DeowkiJQqbR1btcJB8
B0U6YI7S3msjKUiwgBUMluEIKcOPRHLOpDipPHgOQvo9AjTKfniD+oDG2rvSsXOspo7YyXHuvi/q
vqu0Nj5KM/QuKUN7Xzh6s3VHKv9StK90geoYuViWFK3kd3r14djbrrrNmeuwb7fmVVLFGLhyfIh9
r94pFolAt4zvvZktKrvGXuMOQoku4vhkJhoe9TxESK+LK8jYl6QhQMFIOwneRJt8A8nfFulzgNKE
SVjPGndtV13nM5dk4MTTiqzKDcJRnyphC5yrvWB8afwJdNbOMSsiyEfJOjoYLxmIkAMqluKsicmm
+BAQ40dH3JJZo24ssiUMr48PWoslLBx0qLlAxeIjY3kJuw3m3Ac46H4jO1H9SPsQ+xVyri2pHyXZ
LZZcGTk8cCzUoZ8YabKrh5ElfAYk7+toOb0ClTfRpU84AvFS5voLZmvwtC3DKlJckuRHFMTIf3IA
KOsENyIhVnJU1U5b2MSbsm7yU7Cc0eg15BXaHA7u6vMQtz8PdMPJ8GO7nwd9/3noIy+iAKjCgGJg
/CwM2I9RJNhLvRAtlcPnE/r/2WL7tw35/yBLtrCFy2LY+KfqxoeP7LUIX4vX3xquv77y5xJcfEG7
aIOcRFVjcNCxCv65BHe+0E05Jutx2rQ/qJL/vQT3vjCfxS4NKkUiu3GRPP5cgguLjgtr9vLEpe6y
/r2wX77jb0eww29lGajWwN1C0TJo/X7vuOLUjRWQqZCBb3tnU6fu83aU65IJ+NbT8uEjcScUP7bn
kWoOWANegyKjwDb2zOWMrYeOTt/0TAEANbNluyXWp90K4H0HSrmcrS4OGCcI7YtB/NcB5W+5bVFl
f29kUG4JlE+IqQJe+6aI3laXhKe7vmrG2H5hwxc9tVWhLnXZsFaDgxsHUL119+SMM9EUw9BipAot
L9snCZnlbNbICu5MkhJwnr4H8dwwUHJPDPD7F1vm/doqKwmnUtjxzESRkIrGhp5RM3BJ13ljNgdW
kMljkfOQWRPmMGAzyUavWWmmqxXrAsfJdQoioiTaHUw0nH7PunSBGxeYLx3rsWj0/quHnobzxYnb
Q+UlwQOeLggXUk/hneCrja6mtEEL1Wkj4Oo2MuLrlnnbU1MQobhJm1g/YfLhqThMVwLT8J7l2/Be
It9DnE6uHrFRSl236ajBVCqg+06ZsJ4CfTDOrWFoD1Hq6C9aWaBZwAzUH6a6H257zttNY4SEvU8Z
b3hoj8svnhlYFPjdu4gFcInarexkeYa1zHqcj7l4s7vKOijUrngYqfT5JV0Pn6bB+i7VE3GNj49V
R+qQYhLQ0WTst4x2jesw3lELljhzRHMwo8D1ezUcS0cBm+gkdTJ93l03QpQYkrAXK5hdLDagkxBu
283DaxjVyXEgSvbCBdUlVOVupYHt6M1NmDnwSBrP70dV+qmOZtajfNs7Wh4/VapsfRw99UloTPs1
zcmx6Iz1tYMfhWgRxI1aOxjXEdi8Dby6cG+jHj3xiQYHqal6m8+p/q2e5/kYmWFwUxoFoRYJF2oD
YvOtBaSHfG1U8ABBlgIYe6hJvhu8psQe2UU3aToSd+811SO+zmAbdq75GotuOsV6Y2L3IW/RtkmU
cxr1rOvV1zyCjigcRtF8TE/qv5g7k+XGkTU6v4pfAA4gAWQCWxKcRYmkVBpqg5BKJSAxz9PT+2PH
dbjtsBfeOHwXHbejW60SRSL/PP853/EHUvZFjxVxg06jn/Np3FOMcqkEzndInbICN7gg8oICXPUT
8WRQyv3eLbqqWqOkp9TtAQp94XOgzlQpyBv3f1nszW5KjhkhhfeWivEXkm1lGpS2ZXs7/iWN+26y
c1yqTTY/k4Wq96Dx3UeTl49bQYeOgY6jD+DowCDnpXRei8RzHt2cTkGruQdz5xyyT6hG/WMOWbVt
KF3oWPWG7ReZXq7Cfe/5L6qwWFB0mgcF6WnKuXmfzBfGqvjKGgdsTgLiaiUWL7pUsMXZVeIUuE2e
N1esHrG84BcaPiqdQDjQznicqQR8JGbP+mu0BxrAHG57tH9YN1/Uau8tte2vwsodXjx/Er/6XI17
OU7zl5/p/GXuRNnsKWV0vnh/659YDrZNJ4pVE5CZRfxpcU3ApwDrgThprBTYnrrYzGYuyCMluV1v
0zKpd2NUEwS/4xt2VZ8WT8z69ssAreIYNq54TvPWhu5HxB0JppCXWPcUfAhZWxuzIWe661FXnpYx
sa7YD+UOwkr30MVV/ifhLcxvNbTFK76I7gFJykaeXuo9gpw+WWy8KQzMCdhlzQxNDOuLeZJhZe1Z
C0YnzOTJg+WllCaSYgPp2BiW9UIfEthvJTNjw+dXPaq0y68ezr6bAxafJkNL2vGR3QOA0yw3SQvj
dPszLiUs7JwgtTIhIq7hOq0B1B0T0k985pOSBm5/GoiPG2W60/lYtxtunPHRBgG/H/3ikTtEZ2CQ
d42gsmnLi/3O2k+elV9l0o1rlw/uhouC3jX8ZWWNS/HcDqzlu1az19b+05Do6JxOufcntX19HqMw
3VqiXDA6dcMpkrkALumaX+lSp+dhQOdKipAW2NxVJ3ap/A5FRCmtX6f4bxJWtvSJnYp5hgIJ9W7c
qDz/stqs3GSW0extp5BvRlxvpde/0UVe7fjoxwcrlZu4FnFgJOnwTaPrX8QhtZGtMYNLtzTETnxK
mV3DyqKa0+1d54As+ST+MSWH0rhaiHv7eYmKQ2SERzNqCGiXcjKptzbm97m6m1BCK2qulL3bNsRf
o9o0jgjY4rws+Mu3ucsaqYyr98ycxSHD0hrIRn/djQPZkeUjolQFeySgpRUXBaaHaduFznCzBic5
c9muWGdX3WMjxEl57u9+qvbsatFfWuKZLGl7mCrcFrxSPFiIruSn6VAHWdT4WJ5GvyRjpfrkJOwC
DZQNzxyvJjfMdjo2+b996eQ7rivHJg37ZB26cz1Tf8LCI7C8jgAO/owKU1T2mc8ZEUccXx82ZDaf
qOisz9BDh10RWzXFvbZR3+oua3ZLPXrUqTkecwIFRtRhRWQUuJJFaDSowktv2H/zLhr0hiMeycqp
uphhxoiA0I5kNNZG1XIOaNGWND8JuhbXeOvknwIZ8EnJbqTVO6aAskBfUSOHmO/TVUmM7VyW3hM/
Fh1jeJSTF7s1oTiHfoc+YoXj9Ar68Nvn7f6xuDJg7DlTAtJvuU0nnzwQ65uWbCtLEm/2P74+fii6
88DXiiuGEvINUW1CkMmmY2I3/gj/YKnX5thxV/Kb8UzKwP1qRRr+jvjGOK9x7Hq+jbyYG2qL5b/5
Vaqh2BNapi1Mwfdr6ESukjB6TV04NvkyurjiVfZOMrbaCkV5PKH5Itf7DLvbfix8l2sLkiBwYNJg
K5cOgwtnwLgjQzI8knNcjoKB7FXDNziCX5yONWa0APINSlrudhxIyn3A/lOKtSc06lPDa+Vi4vgj
cGrvvQjvvg0WYNvmVEVzPXR3EKd3S5f+miWaOsGrQLkjHSp2E4jWDZSJKuNBoIMJkVNZMjZ/bWdk
nit5K5K7I9GJAs6DOMi7EclbGgGJiKthY+8vy9E5AG119zoPy09ECax+DiOF2+bE2bzC3JLkQG9Z
BEoJmdirXAzrIQrpOCA3Hp4LnCE0soQChl7B5TNs1lgpxWM09Cch5h/LaunAGTimyL0wV3/3WQu2
2SWRIRi1Hv20dLZFNNYnerzinbGwHm1HThWk2uGlC5vu1+wQ3Zv0NGxHa3o0I2Jn1IgScKCDF98Y
yYCWyM0mDQ36bJzK38JYn+K1bU8ffNHwoHO1fDUeekKYmMnWQTym+yu133i97/q57OnsqiqtUJRS
Z+NGJjkS7cRHFSp1rWDHrELspHQwhOmToLD2jqYLryZol4ecWDbccSNFBa9S98InFG8IZofmgXsI
nv5IuH8pj4hA+YTFkz0J69HthTz2Teb+9ePQP8vexyE/xvrZRuRCuZIg0pO60B+GlXdnHpvZocY1
ErS1+gPwwd+rgtKEyEn6x86xvA/HIRNTUHGM1YeDnrnITqozqD5wFg007UOZR22L4lTNPD1ANiCt
FNuMq9Peb4BoGq6ab8hkLVUqTX+ExhIGheEXR3tC/4NXWzxNLFpKAowXM6xSwtxevbdVpYM5tXc2
WU+8Akm9VfrOWMO5GMyxBaBaJZx0FWV2FXPTpmAbRsBakvLIU/fN5CrDy+zlT3XPA4/5sXyPMen9
9ossPVoR+wK3aR1gK0RVV0vUQ4iluzO+RgK7Xd7LfiOqZfoTzlm6lppzL/QE33lmOd/SFPgwob2f
SkXrWjdEb969TEXk8u7LpfK5iQ5LlO4QkaqDBXscD+Jw4USd0OwZeQPT7Vuip0ZgmjPdr1AfVl41
/tF67AGzVPkxae70OsTNg+1a1lFNxKdFm5rBlAPsGGNv7ZtgotgRAX7LvsfB9L8jr7IPScl/ihGW
wtMxa/7MUJBOEBTRku96+laMpLvDfIQfSf3oljwaL58zOk+G6+F2jNPmQia9WFOuWH2ZvGEe+9Qa
iIyCG2btpVZcfRgnaHHdd6BbzrlvgtOJ9PwchrplXkiyz5SwDD8KRuq8WOI/XMYE8ndjBcRwndVA
RvyXYSzjLR0W8g91YVsfhSqN3zk+gy1LsGqPz4+llvazCnLplHPp6Tzr0rBfo1KwZYcA+Av6hJ9u
vWrG5eSPGCW5yVHsWbX8vlw2F++gvUbeWUSnS2xuuAR7vLVE7NEFVYmOBG8FTV1T8MvAP3T+AzXx
/Perbj1BKAx8UA6Mp+YxlY25yVUOsHLaQ1R98fD8rCky0BfNkYg2WMz71lPRdnaamthw2R0wS3cf
tVnSMDgQAvdVKF8NtqwP5VyGfyC8cnzOfYHdp3F9tj8RdN18UGd7yaoH2Tn5h/LCntnIdQ+lyUgL
XMXgFJwBBVr4bcy9v7gTIQ/LwMxWFDzikVD9HYEotN+xJPk4T6W3DZvE+2P68z1G1brzas5C9duX
hlQrg47O14oRaVOR7HrsAHe+1xOlizMC2V4Ke/qURZxzdqSFRaZ/BvqFUHyNoNscU3eZrgaLSRpE
ITesYcyJTZiq5bCgVNx8uEWf5GL0TjZj9V5xvvGIb+2Dmp18I9MRNxl5dRAaXSU3fWeZgQjr8tq5
nQTmSurnrwk+/8Uo5KhWbIvbs3RhRQEHolEZ2pP3gcm93qlW/Oi0YBcdxyT251nbF4+eK7DStqYZ
HGN8Y7Z9HFQQoM+TWsSxCYXYGvOcv/duyuRKRO5CuaCkTSIrH8NmcB+zhn0ldaHLHJRxMeYsGkV7
SVVXPTFcJ6AVI8oAmkTwqKk5RG8RqqEP7N3NWGbl3g7sXPOcVMywVFCn+T4XvhPAf/QeRGRhzcqK
9pc0DUxpdzQIfYcR+AdM6WETggLwlyE5jIUUK7cdl2POeHas62V8h/fBIpsp9NqLkdNkSexXIlb6
6A/0ZkWq5ywKx+WRosmK1WxlRg8N2adz0Q4s1a0CpTPJ3INZDZjdF0yeFI0n0v0cKNupAJDZ5mcu
oaYiHizTm5MSOSBG6bcID6in9Ybaz/5kLK21salko+cC89J2xjx65hyvPuIprF4HVbubpXK4GHhd
u5o9UT7he/Cou0vV0WtcfIX9gLHPEPkj+3dGrOS+8cTmrYd3S3UycM0kfgqdSeya1loUcKVUfiwW
WHaXdeGKYreMzhSXqZM2E/rYeqfeKGjP4AFkxK/W+6xGFJA4MXYLotXWnLmD83PgL8Q4Nwh7LUOP
pyvmnrRdF3ftwSJiu7c6TOyNQf+WnZnAd9O2p3dy6eSX4XC/mJaEcYk6O1heyqhZc9tWFZpwbos1
PzXjLZ3qzzpMsrN2XP6wYqKldXKArv2/1X//Pwyt2468l+r8n100mPk/m/9yaT6//7bxv6Xd/3zl
f2Tde/KcvSXSrET7JDj9L1mXNDrBS9/BayW8e5D9v8fVzf8KHhGxlcsbbh7X5ov+I+vejTT/yrGb
MDT/L7JN9/jQ/9irKsfyhUtgndg7WCPymvwR/m0oo2WTdVzvDjvKCf1nWk7mp4LPX8XNQjdf9D3j
IDHJ9a7/9UL9bxa6lvzHKfc/f2fHwebvueTB0fjc/+U792yQAOkMw046fbjVje1Wn9BmmRH0YDn5
qq8A9a91M/bvGeGQZTM5Jeqrp6iApfdgNOXOzCoLV0FjZx8hyA+UJAt4jGPNUbf2GmAkZluF8TrN
8U3vR3GHS0LGMzp0g45PQFV685eNjcXuKPrmmLLVRw5b7XMuhf+am/StbeBqDtcZTFwVpB1qikam
1oxFIZHiwRL9e+HQRkgVFBSzPD85utQoPdt5XCBsLMUXkZ513NlE1kurDNqw/DNkjfXQNmNy5fqt
3ghw1Ds7NJKHJq/oI4y5MND2EsnwlzFkOqHSxigPPLKmdRHOfxkS0h3wum1IKOTQiSkB1x9fvLhX
22ECPczQkq4Nq3jVGh17rDiPrRGjqWcwJvmCqqKaJ0BCXQP7yR53iO08FdUIkhcImbDNKKDQiC9s
andbVJIWgrudXlaUGjST+CTTQ0DEd4iGMPLEGUWIdrMrwmw7NkzhdQh2CjltR5C6XbMPzPiXSobQ
sB2fxgY/B+7c7rCETUO3ZNvTttHn0FgoieIyjx0wauGLjFptUo/JucUctevcqD8Is7W2jrbdg2Mq
sNok1jdW0/fQ7lu9s+k4WS9kw2i1KsQ+RWPdhlWUE2pIAcUS4Q7YLOrdMjbgr4EJAdKxouzAltH5
rqwh2vcOc68ypPHIE5VCAYaV27xkbYptioKriL6BZOVNIaXmrBDsZO16bC4DxAbHD3AhE6gYMVl9
QlFMSVgvYFrWOl7UR9Q73hl+lvVVDCL/Zj5FVkdacW2KMMaeYzp9MCdEaNwmpn5MhF9TUAei3XSM
Y25X1TFe8vItx7LPa500KKvm0sXLBiuOXtatT73JyiTlLHnoy/KSZwPxejN078TVMoW0hg4JLJ6Q
MJ5pO3vI2tzaTRbtQwS9Yu85d0l709DnmEEti0WQ2rewxC9KemezweOxaut5uAqjm7dOFM8ROduK
UQT5V320ncelNhS4lWtll/G6Bvh5m0fPPNzXGQWDbZRjRC7FIbXIhAHEwCND+MB5KZuGS6bHXmXm
xbyjbSmCGOFIySp7svNyePWjGqM2i4TxOZWTgGJvOM248Vyk1OM8dtbfsq6ITtm59ZratAXuutxy
fhjPQn/r2GJuVnZb24Sjl9k1bh4Kzlb6NeGLluoqrEvgENjegJdd2ZRzv/QCdisDu3FqKpNwGP+j
3jvS6tajiFDCQc3XNlsM5oD5W0bpV5vHD6inu8o0nG0/Q4CDpJDth9i3n6RDS1rtQE/rUmgLqBgP
fqfT1WLdE4pck4J8Mbp9UtWPBUW9lzoxv8nB0LdWNvk67LJob4KlOBf0O25FxE+k5hxZP1f6EodG
t5vI4J2Q7cSmG6fya5HNsJ1B7zyaM5axgGzC+BC26fSTs1UGmDQKffJjeiV5A3sgYZeCpCdQJNf6
UojJR/qvs5OPfD2RAWTN01qdjSeqaOXfupzvJQmqnGlWKHButJPx3lFTU3Qtw4q03F9pPKttWwz9
1cdUzGSn2eWg2gzHpV/+VpgUKTcoHQdfOCBinxTIebAd1BHYAEjCRrQZ84hbexfnF8OkMWLt2j3U
8HIMb5SBpUjlxsLWmrmJi0xENKQz8v6xHQndbmL4iKtJd/OT11ATOXelsFZkJelZdcPG4GkRfXmE
NwOjcL297YFDgDZmrjMUCHybQvzyMmqkXX6PVIIQaSN8BvxxTB+HEOsJGvK+z0S+LnOKv7NYnSsh
42Mv3R9OJ/0IcqDaZU0dEe7gndIesABM6yrE6bBpsHixzmsjqwiMuW6+tQESkVBRYz4oWYDJFzB1
203cGBizgNfD2IuHm56j9K3T+O8zZXt/wTj0O+4RE3wtPjA7l4zAsK8qlhKbYRi8RxJV+SssBzyG
k9XsuVEV3z271ks71eHXDOHdeca7w2O2W4q4C8qO+OS9xbJJgorpgIkVMXlD1nMhv7vYmBDMr4oU
3N39uuywkAyAYPxgaop3A8ppfm8jEsAP29SmimAg14yc37N1dCrPYzlT6+5lJORyV6kT51G1CjrC
LDFOZcNYX2avuIY220vYOE3QVrlxyTrK3yYD4FJKEFV7ztYELgUx+M7ArSPQkNGBpo9kM3pOQ/8x
J5PbDCubjCo/QnzG7vddq+nPzPOd9axiVDDFfNCLH69pXIG6TNJ3pXFEBEJklAdlE3muxt15A8Ny
GAl6cmMYO1RxUyblRq+RTWqv7rCqjuHI4xkIH5ZWp4WXYizxLZ8qcoGJ3kKQ2WjuKNtu7sVDPOE/
oibeWpk4fb+nSHB974funLV4zLRhAU+ZJhoQWkyk0GmaXaVQW/gNjRtmQXvdWgU1vtPyC78JL2T+
TxUgL2xWF+GZEotyF7bVr9GNjRe/LJp959OCxagBPU823a6ky3LHE8ijzK0CSZ42cmOC/6Er2JF7
EsQOuFP/wiaCj28unCcq4TeoMnDjRDNMzo5WQ72BbhPtGo9NtG03xJVabg8nxoX2A68hv9QYDWAL
7bS9SF35m4QsMLDTIhw/fGVmNwWU4WT6WfpD+SpiG0fOwRr88S2hdIT9/FSia7pmCewbdFkQKTP8
MeOl30sXRzTZWuyZHLPhzhg8F2VcW/ElMnxOzjQazCPKBAAykdifPmvFh8EU0xOqVgpYsip8zeuN
2Bj5OVGpYUjyYyR6il58yz2Z3mC9YEgL/2aY1qjCwwK2Y62lUx5MVnhIOtM9YiAtTCSeBH+gbWiW
U1ML7iSaB1bDCBS73BTWq41ncQVXjiJANiH+GpxQ9M1izxzAnvmq5JdQ5BeyXcaLUDLZ67idT8mU
LLvCnId3x+0o0arnwoA0d1/2FwWNcm2PBNmZ+No3bgx6JU3m+W+fyJyPKSu6WwMy/ebTQ8h9WEsS
zXnYkxoWapuEafvqzaX5GMZFcYzJp+CpBrrL4ceyAme0pEXbqR3sgGZG+ZgxvQxj7uyHQg9X+u47
pklJc2hberilPOvUFZ56N6CrruuoLt9tJzxQgOmuZBc9Nl4iSe5HBj3NhjtI3mcOfTwsd9iZLGxn
ofLrBwrrFwwOTYPYhYcGXJWe1qrmZrHqUR0zfCCSNxMUnPwx9BX+arofV2Io7qrljMmkM5YDWdl0
XXiF9cuWw5CuyqYjvRniitwsuHWtC0cE51sfKegyKXtJDFmACjLcDyz8CzoZ7YIEuqRkqqeRYq0y
/zPRlUVfNU53TQPqTgzU4dR0430ztNDAJ5H/11Sa4cjqp7nY5e7YHKp6aD/40C43w2+ZNt2p2KUN
38QzTAFXy0s3bo6HXYIFuJRTIx7H1hymz9IWU30lx11nz4YcIxV0iCR3SxugsjU7vGSkeKaZQszM
A1gd1QMcwMeAIdGtyuSWO2P0MsEx+llQ3LGgS+yYy+hEux4Z6VrNwvroS9956adRIOA1gl6TJaLE
JdFEk6LciL+nUSZHQzr2Z+3gIl1R6635dQBdupkMqH8bmwUp4B2EnlxP9W1uLJ4VC9ZQBrbW4qnm
dnVEvRdl6aumtXuyZrn5mYbK+eVKUzYvHhm47jEsa8feLAmhsY3VkifGh9ls2M8m1tpzI6JZfh4p
wKO9NetDZfEmDACF0RTYu22zwcgtLdrn+PQ6c+JZQcl5eCqtBOtqatcVgFwV42YxWLnVRqXoBasU
NV7lUEUHEET2R7aM8a6w/Oq18kX/Cao1p9m2qm+N61y1AWAZU1JQtZ536mb8kBHvQ4iN0vxMVDz+
jgo/OUi8ea/JMhjvVlW63kb6s/NBN+p0HLpx3tLhUD6JxZbXCOMVIKBoCvcO+Kt6rtIDE3X8QLJw
3NfU3O97XsLPQUUDWA5DXhycd1uWcjsLnOGTVsl87CDT3RNWya1wDOfsd3b/z2aMlkfKW/EHeTUa
p8qA05bNApnLVeE5ir3ffRR/g/SerqxpQkx+dYNbFTKvIGsy+D+9V6l13Od66wiJN30U8Wvj+f3b
mPDJychwvCVZFAXhJO1zQQnFUdO5emUz9RM5sbkW9BveasbZC5HGmulKV38dotecoKPYF20qXxb0
5OMSmeaG1r7xNbVsshyU3j22oZtccOnam7khp7PJrap7mEJnRMmi00tGeXwdEAACu9LwQ6BFVJee
O+kXDnTnGuMJ2c4LLOPWK5unAS33wErjrTcnXQYTgCzGg9zuN1MJnZuVhNimfbcQfs/wyEy9uU4z
mxmIIt73gS5WtvyoGJlM/XeNJPc7ZP+yAz7cHmSLTkrik1ZGZrHHoouWzdKG3bknnfHcMeWxys7o
hFxg6x+hC1bnsOUtP7Q871VV9r+1pv49XDr9OYOScFd0KKAlFojmSO8JZqiZT5fmVAmowqR5yOdM
8Ua6qdhgs3XBm0BlV3IuaPV6zTy3PbokO18NcFirNpY5N8GhCFgnpEEe29ZFwac5hopuWmPosxcg
WeIcG3nx44wTyU5tFgJkfdI9mjln3mouQvvbi1JuWH2TNyczagkgLwDa9wZvNCTTDJLYqutSCjfq
tIsCer2qt26qCHvghbGeU7B3L6oR7WdixGgr6h949+TXxTuYhfBz7EzA3n7E8+XU0vJwWXj6vS7/
oL+TfzDg9Lg4zTZJ4fpH3cj9yu21/TXIQr6WIl+QdVX5OY1WhdhuqrdSItK4eVc+RExqcLF5dvAH
SkhMF0Du9aCcm2/w9LZkAwHdHdqnxmqH85IO3Wef98PJulPOW+GFeLJ1RqjJhoF+p6GzDbFWZaSr
90aZwLbS3Li5WQo1KzdDzFVrwk1DuaaIpPguMfVNjyCQY3dvSJxULlTRedWPkfUKWQMae5VO+mcw
HW8LrnsmLwFPYBWyuQKRh13kLeUOGUTwd/et0gDp+eEjZoJ/iO8ibp0cCXhoHmZziD+Er60XlRS8
gbS18Gcw2vI2lx7YRCPCI+/k9U/7D0++VnPxucAM/imZQan6NHgMoXgHcV6XgTsYmN/g0qcRwpYF
4qtXM60E7hx0HM3rseso3b2D7RnGXlm/l0fqxJ7NcBS7qNfGKUoA4fsRSHyiYG5gSCq6+ipkSvdu
nW6dJ/gf+YMZOSACbOdO2J/ClNBvUZxGnDAHsG28HWjZcI9L3vTUpMX2/ZjKsUABivAV0ZjSb/mk
Gctp6mfvrKM5DhA9mp3lh+ZXzNvnqyJaCxuP1im+PqtPMjbd88ANaiszu7sls7rMS2ztOJvZ1+Fw
Btxu0ULVG+64ywwfmjSi1JMrzKe7JvRh0scK/qQaLTtIjSJ5YrLDxWbyvDqDaJSoXa0bU/eBlY9A
KhdPTI2Lg/62dIE9xdkrvZmZXPljI6+MBpmzTmPyL9AcUf5H1e7JNMl1wnonwPpBiCuc+VxmoQ/Z
l2z9tsPHAGSpL5uT06AlEh0U4VsdDWLbNlX7kcy2eYakjwVLxgYPcGdwr7bu63PNd1uXNCJfYsu0
z2Zl0BODM1aderZbe7uk71EQszjRrlKdtKM9nLkY64oRiGQgCj6n7Ia7J8S1ttu4dstI4ylozPVg
zONqcapkEznzH8JsS9CJyF6DsjG/DfbEh4GF/7PkybSSqicrX1cL+8nFS7cRFvVt45rLE5YEvYuF
wq5iJbl3xmpeXRdjgk3a1yb/yLCLvaRRl2Vzpo6VWyW/6CfjKQiXrUZvlFSYIF5ZKz7UsDzIWbzK
GNgbO+iBmQvnrd1ymHUkcyLCa1z3yEs0wvjldbjqkxmDLFXtQHPMKp42yZRNVxUK7HizZxy6TFZH
ozTh/xhF/dvUDCBGVOqgzRPNw7jdc11nMZbXT9A5u22TUk5hsdudV/yte+gcIOPZpMatnXGcBkWc
VPN6hvu7cUgyvpEXQm6Q3hzu+rRuLA4e2nGtzG9f6WOwXr0RHiNLygRyndPAPxhkojcqg2oP/0RX
LynFOuZWu+2E+4n9fbE1MrS800DdIJJsVeK0yxE/gJWCeXwrEqc9eiZFDeyZEQfWcZwMN6xVjWbp
L/VzrBbqqzIfQ+YKq5E7Bkmt+59EQUZc+lH+TsUib97kl9ZWkfevN0mCz3Tr0gGLElLHPuWLJCRp
ssACfmtB5qa4VjWtvannV2+9Yydfg2HOy9r3RtM5THcu8nGhbuxFO0vxXtvhuDOSon6aQFVE2KHq
9gpoGs+YYEF6qUaEOHtwMECk3YdraQhjXpvSGOT7v43SjrcQj8AC2Mo+tp7IX5P2zmApsOZuexkL
bNpWhpDSHXgVFjb71URPaKuAguIceO66YQpoWV5ekC/do1cLdbFnicSQjPQJR/1iwEuE5/aNaiAJ
BReClb7ZsDowpskgpKrGZo+GXC/rJiqnd+1JDggk1Pnc5Y7a9PFVV4oESlRI/yXF3vIAVpeojmzS
QNAscg4FJ8Eec22FiQ0owhewA5ibMTkNPLJUgw0rVGf3ii3CxjQzzpkfaDVTHNCRIXGDgehiGtgA
u7YcI+KSOX53tWexvCGcj1cD4w4hKwsjHdCxHbxa+5eNm/gJpoSz0Z4xmttSC2KJsPefoD7P3MtH
T/7uqjTGGiSzU2dYw6UxRFojQVqxc6q9ia2LZWX8lXCPS303U9a6U8bwPrNqRP5nuN7G7pRQAqCn
J5zuGL2Vk/p4unkhriXBHQOujoi+QysGdKMdy3qOwjtlRkPdfU40q3gKZ7lA+3JxOU5bdw1iiovU
lNvuYwM48gb1yryJ0S6eZsMtEmjluv5YqKl5lEtCPnKoPXk2W4PYqS7a5B7xra1fMvbFCe8HwLAc
n0a8anv0T8ymsFiS2Qj/aLign5XPh4fUFQPbajDrexPFQnmnnG2ucUszZG+824ZhXWSakwDVc3pq
TTv8Mxrd/QHHhwifbPamlC0OttUtZwqf1ZEFPxWxdd6eeLZzALW++d06fRMHfsnJN1Z0n0hDV1fo
geo44Rd6cMZuOCx23P+0vYMVgbctOWrPr+lN6qbpr0zCPGiyPuAOkSXrTnbFnppZdXR5bgeDKrNn
B57R0RDUMy3p3H8XSW1XcD1p56wygs+Jo6YigJdVf1oVVNdN1CtStrRObSUhiV/pYHtXcvEZeBal
nhfR8BcySds2Gup3Ko2wAOOEZd2hVWscu9QcNz2v4TNYpu4PJ1DurRI1+i/GYtnhusgboTdlG18w
Trc3UCku2wOeLcXK6R0Yd2bXXXISSqfK4ousEIobqC91kVOBmmDOef97QVa7H8iDOHt9225Dxa2E
urkxu0EsSQFJ++Q1cfOUyxU0O78RhpsH09TyynKrOGSmFd9a4VZrkU7uehhqrhpO2Wyahij/Eo/h
Uz7M8siXRbRi1sbXRMfHmr99j8Mh3Vi6BCnvL95jr5blMk/5d225QZ72GCPikg6gxJ/PEmPqsx7t
cdeUimhH7D/PNG5sUpndnTtIl4euNYEc2eMEAAcH4gvsH+YKqfjwzPd+D1jeCQbrdtwOXF/Z0PQo
HAY2xEPH2P5bEWS9hKZJlt6xp+bmMNBzE8hckioewezVME3VUQ+uTZunH7UfUTo1D2xX/5Sgh1PA
By1h2Eio8yhL5zohZ/wuFISHFYSCqOO6y/om7nk3jeY9XTyRXNCFB8gMTQEfnPipCpKQRDFrWDZW
2Rr3VC0vIsXO45yvXUaEU2+o4s2OOLLi3GdkiVE4U0uMVAWwbSGwYlWv7FO7A2TnEht0V+6nuPEC
U5n2xgMeVe5M23U4TaOJpVXX5b+lHRLeCZd+A8Da+wF71Z4wQmDT57j/MKHbNDiTMs9Yp+YAEyd0
GWRVwt7KXnpuMMIi/toK0Hgir0k5ss1B7q3cz8p1CvDJFBoeQoMIoYNGoiG2pcu5m1wecr6qKzia
bfzsFux84D6OL1pNznc5ztOXZmx9oS2r/2/sncly5Ep6pV+lTXuUYXDHsNCiERGIgQySyTlzA2OS
ScyTA47p6fuLq5J1Vt6rvK1eayEzmVJVwUAAcPfzn/MdFbrkeXj/xxeuSZCDv11h7X7rCuaXIW+F
5BmJlK3JWnHGwyPHy3jUPuB0ChwdFppiSM+TYZrfS4d64d3UxoQB1MLCtRDMPcZ0oVzxpYyVW13N
m7R1SORI3LdA3oABql4SxmwTu24pSSmXl84vbOY2aRDZdsuaX3cpTBrXbOJNE9tGvB28bD3rLL60
Gk12cfICtz8lcw8FSRaLRzIzz9DyTCZ++GUbVis7a2EGW8FChXuVpQrKgINXKU9ZxUIiCflIfl07
3XUwz3wM9a4JlB5KbzeVK6ynclTMUey6oArQm5twiA3jiMhegdlW/eX/MPHQ4SrN7Cdmtg6oCQai
oJlrKT8wydU3LRPULyxe7F1KlsswJh7UHwcTIsUWsOP8it5M8W2RG4/J5XRV+eBFdRLMw0YwH9xN
mVls56w0z34w2h+FwG08IPdFRlzQSybw+MSRxEWwCRCHr9bKtE44iOcbkFFQwK2LSA54g4gN7DPf
dy2erJGm5Hz6IgyUUXiDnK77V80m/LTENWQuykp3A52Q22npxh9WK/OzZjtxQxM076+V2nDPM8mc
jvCI45H/jaINMlOW7s1XE9bSTQ8h9EzOy941g4mBErMbuCUYdq+pbtcvahzr64bSYsbolrETdlwd
SzK572U7UotzwVFXusGZtHa52rTZlG0pg1zfoW6nB8BTZMjXhmYaTSXb1OhE/g9k5/8JsuPgXCEf
+V97g15+9MP/Cn+Q+iz/xRn0H/+5fyJ2zH/ga/ZNHAtkKn+mHvtEN20c+r4MrD+4x9Bt/ukMsi9Z
UF6Vl+R0YPNm4Z/+0xlk/UMKrEY+7RM+vhrx33IGERz9F2eQyw4/sCH1gP/xPPcPIsNPDChPkDoo
Gc/vVaqLqDPzIBwTN9uSPvQRrJfjT5fnrxxBl3qMn/1AfB6bQhtgM1eEOOuFvPXT51HMFTvgntFG
adHZJ3aRX/TG7sto1e1uXtC8qnhlDoZsbvYMNUbGL3kqNWpTXG54lzjsbOjH3P7N3/UrgPnyd9kE
a4UpbfDU3i8+pcsJV8BA9Peo69+Gmr/DmhDoCUkc7EGcAurU9g2CY0Tn0LxNl7MkeXr6/R9xgRn9
em0cC8HCtF08Wr96pTiWuvGca3/fos7vmfTEJ589y+PvP+UvfnHBV2Uj6QQwr4PLv//0C3hcZF72
ub93GnmgpeDFx9t0mDJ6G7upn/7mwv7Fd5IOGgu/uLQFN9K/fpqylWXOuR/sg9pzo9kn+5prKqt+
/53+FFqmtZonghQ0Ywgk2F/uKjsurA54kLeXKeGlrkD0qEt9P1bZ++8/6C8uHtQr16Ja25NY/X75
IGmsXNHL7RtnKECVkX9iz2FKR7enkxc3/x8f5v7R4C2kKc1fPmzWoiGXJrx94whsDIDqwnRk+apW
DFtz7h5+/3H25bf45f7DuIjjSvBGgET+y2+V0Z2zKi/x9pRPFaGC/HE9ebF5X4LjJGmRQuRBMI1S
dhqHtcmbiK6l+DtqHWXMNfMk5F8FVqQaQfm41BqaEkeh6/jlVkr224PdVu3WT2u8TyBrWf8q1vaQ
sm64Fw20wk1LqcWWEYE7EotyvyjaQ/6GrGf9xXMeyMC1AxvR9s/340QT5UTBhLdP6tQ+5tLwj8so
KY4a5ZOx1BF5qf5Yq+TTc9KWlbiwH8nO+X9zqf/qfg14cwvYZqZkhvzLU5EDMyUmF+zLUiOvCNwl
phuEFrmfv7Fg/vmTAtDynFd9x5dc618+KW3ZzjCOoC88zqrNrInpEcP/Rojb3v3+9iH6+eeng8mE
CcifIQkdmH/8+0+vlq6yHMOze28v2JntitHILlb1+Y4z0nzvGtwIdjc8cpqpdjlsnGI7+CZVikDJ
CTE3pJuDvgW47RHG4Hwv3QfievJNoggcGD0M5cbp9PIQ9IO4RgNqrgoapva1om84bC3KaKLSDyQj
V2qlzcrTR9IH/qFNQRcFigGw0fXdVqnO3jlS4cnutFla9Lg2Mt5Pg00ja2VRAw9/+raW1oyVKe3d
XTLONidyP7uNzSp/u3BujgKXw84sg/WwBNJgMtl5x6IbvNfMWcXtZPPF1x5PkREz/paBctHz7Phs
5Qsu7sHZlXFbIetnwGEo3MMqottHYav21dZ1++Ynph+SeaftLV06zt7NJaRLrUpUkyA6ZOaQPxhm
2936ZgUcfGZ2TrxpZmw4T073CkQpPuOQip+hl2X7ser8d2K+7M1j0/laGPlLXdoBXgEQ31f5oG6J
Fzo3XpVu0XIPjjCqQz1a9HuCBLLv8fY2feikrn9lwha5XUGvMubo3H3fqWLP12k3/shpCAo4kuva
6PI00uyCOsCk7jpAwcZtVzC0wRESaw/9vsv2ZTeNP9gycU1Qgq7TlBNPQ3kjFqeYAgDp2JpRr+hf
LNxmz1L4YMcr2QIqgyocPLNtA7THtGbA01UJakXwY0xwlDbKleK6G90KnIoJKjQjmcQUfmXpZ16A
TB/mpWj0thh9wH9JoKLa5/e2+5HLNxo9/HIyIpRzEoUIzdHKdqKV8mva2suVF9jiKw5Ek2O6WaS3
I4FNGfojvE7O7SbsXF4eFBwpsShG2dUUPDNyGMpnx8FOO5pm/t5JkgKhF0vu+ACv2kOJ9opJMJ1a
up1UfKoABmHj8j7XhJkYid0McdmkFDLf+3abQ94p9HJtF1V3Wt3BbbZZOS08QnCKU4a8e3tlgxPy
Pqi+u44cA/g/WKEoZemOCnw0+ZFCH0Yii2d3NRDQchhA+4YxE7SmoqroSolvQA8lB8RiSvoQb/h7
0wnrAKIh1uhNhSkuCClgWK/tSUV6tLoTPqFLlV9dPTg1nWNMIqMZs9ajbQYzpTbtEPX8bYfJaJIo
6Ibg4Euz4vedaUF1Z+6PksFeABtEu5HXMHxDu/KunKX7gROl22VakQSnpvNbEAMQY4PqdEfDwlzs
GrkN/WrUhMRXxkIG/tltV0L/KnDwoDLVOHbmhRFarZCzxIV/1mfVm6mSHHqiNRGeV/FH4awyptVw
Ao2RU4cBlmt8iD3HPOSZUe6mBcabMbMKsxVV7yODyy920C+HYDIqkiLa33WkayJ41TgLaT6YRzaI
82qJq9gGXTRfOuCVzgmgtSdQ/D5DVL+D9r1OkGH6xIcWET9hPEKkVVZya5AyusI3G7whTDtP9iqH
HUN8R4YwCvXFRhIfbFM2h7Qa6GWEMRRK30hOWQH9wm3ZHCMxp1dJO776vmKW0IDNZNWjlFZrTb34
Wp+HEjfuphXTum1IhIJgoNuLcAlipNA5A3g48SFZ3RuyTuluzL31AYpCf6a2N/s+Z7xxTWw5xFms
bN91xXzXj81EVg+oRIvOFGoqWJ/cTmDoV1Tw1IuH5TDIX7UbEIrrgZZRIUrlLUJYWd1jhaLYOa3c
46QdnMZFvk1WQgOl9o2ocdzpBy0CAxJGi0LJs2ZYr0ynnbMo+/MUU5Dpt4CY5slcNrZYrGtaVEWC
uyYtI1V6HPjLZooaEZCztAYOFLiPQwSv8R6TXZ1FSnh9WA5oJHltfM4uBQKTJx/ZJK173TFyZ+zw
PLl4rSzLlbtpaqyzqIcvbaaugXHRlGEZaLO8wfdxXL9ZDZY3vNuzo0gSJkkTdgI0DZnsbZqtlA8B
49s4enJuuknH97UZVzuQOPjGfHEWDV6A4FL/PTvuHE2T7r7FQQyXm1L3jbusd0zW/CgnpTWFLpaf
19pjJmaVyRLheygcDJEMpDeCGja2VUvdPrEvm7/YdeYcaGmJ9yqb4FvzsrlBtG9DqzOCh5Tv+5XQ
+ai2xVwqroZbuTOv8w6/qlXqxtviO43NnVxUMe7chisS0gXg3ZWyBmECd1W9jKnqv9uQ1UwM4oHS
x4QhiR+5dVVvhn79XHBeU0d1sVt4+o25cnPkv47YN8jCKBcgUQjRdMT4y3ve/VuTl88ND2G3X3O8
orYTFF/hKXUnfNKXZi5qqqzlYiQtkzTKMlyMluvzGE/qirqH+RZD8fNoU8yQBAa5qom0C4v8nYvv
IuqxRxTMdy0MlbE7cecWPaRRT3QPtms+eFnfHZo2N0LC6+aBlFh+mpdeHKpO66OmsIK3PHzVvQtY
eT92NpP1pgTXQShyFytaqacW9+kyVPadbstsW5tp/bXxRb/rhISLseSU8/C2mPug+WRBQkhGBj+s
rjk+ESIkIZLNcvqhypVK28YE50p9DPx54KHsGeUSGYbfUPrRVMcp6z8b225O8xRbD44VdBFWhbtM
jcVpWSUg7sBBZrMsY3weiyL5lGuhdim/zW2HTnv0ZBdHoGfV/UpZK9H8+EMFnb6hmi+Jygynouvn
WNrppikO80gp7JTjQNY0YGPlMr90q/A3vZPaEczoOVpjCRkvEUl9yiV3gj/bZmQ5egixcq4RxMbi
SlAzUIZDpbNpwyyZSg+Q3+/2bJdXcW0XQ1QPXJHAzct9XAfWUSDOUyTgXhVCvy5qbs5zM9/MZdN/
QDbQVCo47TaxSqD6vn2jHXpjgrjv35zeldg4u/FYyWVfNMYz4Rp8+lQF4vmt4/rUxFW+S1ty3Yl2
q6e5n4cbkgho1xf+3twmp3qp1JNoUzAw2Oq3XTCqj66eVlZuNgXIqfBJkdymbWvzbi4aN7nx2jr5
Yo1EmZlcupALbPrnYZ80W4SM8Q6Z/KVdIOI0hr5OQQjD2Jh2gDWIDw1FS5XKvFUNA7FwbNY97ius
poxme+Y4Z3tlaECJXPaFjT2Fi0kew8EjBBPWjm9ja6+f+9zIotard2NBQ5SbHfRkDUfm08zymMTh
JgDc6mMNYe2bxWHIJM5v+HE6wNrfSC9aXMKsBP0N/xQ0JI9sJ8ODUD6OM5mAjkz2liMU7bpJu2cr
X+z8BAe1m+ZUbTOv3jt8fqgq+T50Mn71KncIW4Af5rS4eAbXA/6bp2XowYWM+OIM/ezn9qWtjdjz
qL4Gg8EanRrvlNY/205xprDgAZgH0YbKumVKD5P0h6LOco+5UUO5Tx7pI0hDuuDwHXjXmbTOhk2Z
Qenpnk4+41pxB+FRDYp9PDmMUGYvjxJs/qxSGE7bce+4XfWyOh9IcWXk2521saYLy7Jr8bHIxeAH
7LNHDTeTt1j9pFb/GSol/9O9FW38bW7kdUoNsbDlAIFRMCAsFWPdKn1K7QDEbfU4+fnX2u6ODG9L
kqT1jeMW/O02yQy3HZm7MTunHxIerG3ofCsk+kXa2QSXpi6a3PI+56k6Mu74juxwdKdla/idDLG2
MuYex22Xp/EBqup4C5NM3i6t1/+AIhYgmskj1pnqFGTyUlwxUVs7xd9x83Mw57j/OHQ4cy+HfB5Z
YEDv6Wq1UdUDp4orGanALE9LUeITjKf0spVyOzwRWFvS0tfkQ+p8Sz2lCoO6PtuCiUZfz+xVWrjZ
TjXhMk84IvRTVnCqN9jD8IVz2KW8CjShIPgiBOb4vTm3NuFkeA++m9wKZ8o2rq2+jVRK9QP7/Npl
91kVWN1kzDsf3OGmc4L7dHXOTh6/DEt9U2H+CWvolnRityaDy1Id03QFBizqJ3OgdkyNRLHmvH3N
qRHfkjBooc989wzx4pbmAAabNXtpe340VTy3tqMBXozV84wYGi5SlgeFK+wgSC7vSBsuYdv1+Vs2
aqBCIiXHiCBy8urLBMvrKNKuwJHggf1WM47Yg7zlm9LwRjERHGerW2DbOvh7nVJ/ehQO3TKZZHdH
K3e04AyJDKYdECjMc82ZJco5/5ymOmZzRGhQ2upODRwwZOt3rynxchg5sd4jsTx0OqF6tSVWMyY3
RNeG274zsFDy7tiJIHbPTQACmzAM5+YMU/3NahP7U9lcRCY2SXb/6gWw5brTID4iO4M+kNAztPEm
d360icSHXk06c1L4D6iXat5nvtTJU165pcqXlIul24OdGnrPemvetF1KwIZ42qnqDvWy5vSP4dQ0
l67cJQzwzwX57Ofeatxnf5Y/4tmiY8AGE56WjvlCxG041FZuPLTtqL7Dp0nuBoU5gIgM5DDodnvQ
PuN+hrVL6h7DmdQwWgUyDj0RqUe9TqYSrJ1EDtn39d6TeQlNwt10IhOcCIAjND7IPj2edp22+thX
ALdxrH9dOraK+FeLd1Cd9S7rLIhOiq3QcLE7BZjH0Kpz9kq5SZqhqyXzO9c9Adxcvmqy+xyY3F3J
4xvhq9bHS+Pcbsox6qgqme8ypsfsFov25HnpuCV79SVFiAIczi++gls92KO0ohktpQjzSdPJ1mdn
MSt1zOliqYNpjqDqSs5S2D0Jp4yYwBX7SgbG52DSbHDrMt3IwprwP8TpsV1HhY8OzHNVDpRIVcWy
01CO9qu0xwMpW/8U+0GM5tIwa83YzXMAe5h62/lW1Ji63Xn4mANnerWKhEnzWp67OaUXJFs/OI6r
+4BeCLyPysASYug+sgo1Xhlm/2Tb8oWP7U+1Co4wjcWO/p8G59tCtSG9aE/gT7OeH0rRdWoaaEM1
vvNdpU20oMqwUB0zau79mtunadpIpk1Mzj63xYtOmFdzC7YvY84yHTPDDf1aE04lJzZsltytv6BV
1E+tMQUbFaTtG9Bk5z6DXHhnd52zSxeOhljdMnVX2MF3qi2Ce/Q4d9NCLcSQ1TZEglbMGVSUIzBp
77roa3WNMbTYucGMdW7Gw9N2sUs6oqn2Bt7ZDabzOoRom52WFFcNoJfGA/dOODav129TL8xDQuvi
a9ooLOl5rlA43O9MUqH4ymDZCMdKdoxv29vSiaEAU410zXgyB5rv5Eduvy+ARVvY8HXSHWbmf9fJ
WBMfbprsihBzBrcfT+p6VUJt8TAeOOOXBWbTx5hPnX0ysJLsx4mw2cZxV++VILUJIWvyZrmDQZt9
kmigR9dpl7y9TpNhgTJGWJC6aEPFO9+YB7EVhQIh5UJjxlvISW8d1kfTBl3XjiWr41KILVOTh9zV
vDMDVbxXMYQCfP7z1p/nZGfWbr8p+lY+xUV9VQyQpSpLnUoP/0ID7Jjb0CpXyrsrEkee7/AtPNpa
w5Thd8igt3nmg9RTVdbNa3F5d1pNddPUQxHldetdyzSwImJWoJmo3Kq/tk3rnAZZ0SUtiDZuBZ2y
B0vG49PULetDEY/dY1Y44mzCk9lNhoBeA5U4BN+Oyt6XbXmw2mBWfHSmYfnEKw1Ii8U78ZIPojyq
hLu4QlDZJN5k7DJMktQDpNSilwOJd4DwaOlLV8TbApgJnlOtjRarVV8ysJ7aNwzrNlW9k1c8erx/
bnTl6x/QP40qpEqh3msutX/N+p0WUWar+1j2vL2Ke9cPqn0wprCn0C/DNjAT6Jj6TiRYWlBygDfH
oxsScLhBcCcVDiSoH2NevMwRIjy0TP4LcrUeZIkLRHGjXbHBUkh8ci4uIDDYeGeJlyksuv7Z67I8
3aaFQxFY1bpvLkepQzBirVAKn+QEbIhZ2aDvOVLGPP9Vvq+ILO/mruWvGtLXaWH1s6Wed4ZVmHuk
j4+1J8JHReIaNuv0rJf00E0Drpt6wSfqx+ZdTynRzgl8EwimUZDjxCdaD3W5WdKiOzl+RnSo1jvs
madYkK7ecLfAv0MV3qHq6LPX5/b3ufEAbFd5VVnswRdvPyhzlEih7XAlPKX3nifBoSTK9D8wPwR7
Er7tC/JH+6X2++E+mfzhlTbbHCg4qKkS6S6yRuXdspejJaFL/Kji6duao/1jSOGoBas138qVYr2Q
bFz8HQ2WHT56eXtVOwlhaAoocBSPved5EUkyg/alpAM0UDTBMHxS9GXNO7KxqwlDbmbsWMkau0Lv
tMETa6kGsuOUqFly0RyDKRpU63EIFsjxuLsYqfpQrdfGo8JEFvlT4Y7xzkr97rpP3Gkbm5eJS5wZ
3xYYoTM2uF15KSHp9dTfy6kVe/AE5i2yiMd/dQ9ZJulR9KSHVSsK2MsGeBc6u7wFMrarUmrymPTA
LFAUp7VivI3LckthaI+jP99xAoo3rWo/9aqe6mEOnsAi1Sy7Cel4fF99tfWs9bWq55e1h3QohsKO
SFBsjUvFrk+/y6ZZsuyUNGhCDHSOSZkZz/1kZBCS0C6R3Yl2pWtGUdZM4C0VgAY4dXWJzA++GXCY
hS+D8JIq58gOFupjpqgPi8yBVTFseh+MlaSWst4of8hDGnQBrvoG1qmQqYpx09AH20QmQHMYR16Q
PmBYlVds+pojPW3NDrt9++CO4E7B1LiUdLcV/PANgodL2QuA4rveIdjKC8xxH2nL7g6qSDhEKk4r
zdaJhToRcjIhWpjLHBV+r8IuQdY0J8995XuthE0rUAmdpmHQWUfsUJxYSrxjCYEa2J/Ox0K3vQZp
aAT0YdVwMlAW2yd/ubwssQAiIRdO7HwKt8BiNhFT3OfMEFje0EtecEh5r8OSetcqX5oz+V/vnsGn
d3Rtx3kyJQiArSuNNGdXLeAtDWUffB0Xv7lEfKr6iEN4oMVGmBlymotopyXIxTCnURzWAO1BP/Bl
OU+4jE2QxDlMda8mTTAEfXVLIh/bsyIQT9t4IIoPEoYmHW/Yak0mIw8ZDNVkW6RGz7rTuN8WT3i3
GMvL76W3xiimSXKr50bg03Fw2/Y6qd5yGaynlnpC3LdTgAxRGhyY8J4qMFGkvB4Ckl4tAW9hvfXY
rA6TGsaKAFLq3hVmjBrhd31yRx8o2m5qRDY4qmezD4bPprabZ4ZI8UuVVM1Xg2d/Z/Rc+ZzLWRAx
8ijWqbP1JV6a9BU03gUJBVrtq60M9w0VWHwr+6XfjC2FlvHFMy16tvBQlTwg+MI6tYYQLClNvqOy
b/4EezttDHSbTW0KShPwaNOlDq/s2cC8dHRmczlTWRF8zfEzbUyvhy24+NnJRWYGNGQM9PI2Kn5b
EVl4AJqy+0oLenxa2WuzqV4BaRZsALHEVX0aJaN8ZPGqf4y1bu7I5ph7hg0GHjKpSJFlbIKswviW
IfdgxMdGgXZj4q0FrrEfac68wceB0Y3XfrdzMJndMS6j/HNO0LtkVrIpqe2qfVj6CVZVsVBJw5EK
EVJQuHK2h6k8imnxjxfuxinDufUBD5PBYAObgDoUyyMnYvtZ+dgHk2luCcE3Z14YFAIAC3bvbJi0
zZ5j8kx7g91xiibBn9O+C3SOfbbr2e9WrqYvCNbTnWnG3YPEYPtDdro810AOYRfE7ifVS/45hpx8
nQjPMDa2NTqfkkjCDyyXk4Au0OivNdaT11ypnuoOx6MlxKc3ot4skxAxFj/HPXCrBtuUAeljLzv4
kX4jYaWIuDfvDTWI58Srqo86Uc9WgCpa9+xIxoWkKNm/xCL4QK/JHR7+5a2C+UHFMtqpZj9FdN9D
el8P/YCsJ4OxryKOAVxk3Y5sMAy3Xc1TntKBtE1hmjFvmOPsZpkHSWCIqSvviKT2I4eW+iviBMrb
FugV0bR23DpVPVblxvZZbAD9MYhuSbuex05AiOCWsG9M7SHYeQMsUul6yZsG71BsE9W/guFp8y2V
r+lxrFRzn/JD+ZHwe/HUMyBcdmbVeR9sjcQYwkZd3nP8vogrZevlh9arHDZSODqXiLs57/fkmS/K
IE5Cd+MFtfuNIBEFri1b/qskdiaIh5eVLXCnfbIaqPYGMdBT4i3fKfG5NIpzUUKO1jwn7JH4BgwT
LNslXMOSi449M8eB1lKu5YdKphjJkkqU1F2wiljWNUXm1N4pyAPu3oEblQKhXmabng/FwMPhHx6t
YRx12C7CqndtcsFka8trSIqkGdJZb+XvcS/KoycyaW/KZKAR2sPBvKvKuHvHCQq8ehYg7UdGN8tV
URjlBfHqvlIzxfKRJxzeKhVXxUGVhfORl4N5tShRc8BdF2u/jBSzOMXo0rQCqAVHcsMwz6+PU6IZ
lHkM0+5cCuETZpCa1aSP+/c1by22eLahXki/VmAc2E2ADP50Riu4koYITjluq7tpdcD88bX7S1xM
nZdFG1tmtZzxF7qyXagZBtO+PWebJt1yam4/O3900jAoc2Alvrwtmfvu7aRLHtOqcqiTBBF7yCmp
HCPm9mlU9+JNNuZyb0C0eDcuXWlQEK6JNjcfWjr5k+NRP3NYpyZA/BXdK+QDXJVJY92UbWPcJ7Ql
/40R42J/+FfLS2AKXFAs3DYpfnGxT/zkWEgL04No2vmXMz3DU07Md56L07Ic2ox1m63q7WgZ+RMN
KiylvzdMiL+yS2BBYQoKlAvjzS/+ntU2oHwEs79f3GS4DdxWHUbVM0UwGdvjLjdBHKQsrVAYx49p
ZUlRWldROxZWqPlli5Z4hQ8Yd1O2Jln4mgFTjaU+mtjGM2+2rTvwsw6yTOUCgmZFXQ/KFc1pEjnO
6B5fKln0cJJogw5OrXKjp4IQPVnblrUeFilhNXtfzYURZriDtu6F+6SVFuxQ5OOsORzIabHuusx9
z2vIUoY3DofO4IWfNyCqQg5jWKVmkBi/v3T2n22EFF7QlusAy0Ad9H4xsVXcSlw+wW4dDyXnBvNO
iHlpyPUtx9rCsjQteDMcSAPMiDTA/V4vUVDu2AVcPAaTvY2zJMCWnI4UXOvK3dG6NR5NAg6bZjbo
XNCcd8uCDbCT54c6p4j591/hYiT99dYLJAMtAUQeP4N/cc79dOtlrCXtGKhgb6o254gTjGu5AeWb
Xq3GcG/NI71zLM4bsK/pyTJN/YOJlz4q8+LWQ3CTFmxfu58IItb4Nn7/1/3ZtnfpGqH1ESxdgD/1
l+uboOG5lgvVE54k79DZSYJr8ufqbz7mQsX700UIBI5HHgFe7dYvn9MyMBZ93AZ7xp9LwfLtGYcJ
gth2nkv3u80BnndkQfuGRTMggBX3PmMTOm8RxkHWDXZwS/SpwDbDw9LKurolWA+Jp4hXbNSZ+dgO
Rf/8+0tj/XpteF+bFnWUWCeBf/Di+Ncfriu7FUGCe2/sbV4Kq13LjWciDgLnIMTGMeQ5KG4bM2sA
FVyQCJVtbtKxTE+LWOCiqGz5kHkwX//xd/1PN8/j0v749397+6hA6mT9oLL34WezNSNf7qr/2qP9
vxnEvr2nb+VfMRz/4z/8T6O2d6ExUvzr4721Avl/m3mCi+U6EDwSluVZvsej/J8+7eAfgqeD/2+b
17jwbMiLfaOH9N//zXb/QSNP4GE58y078H3nv0Nw/OPTf3pUmOUITjim92shD16CLs1TMz36mJQG
igGnyiXo3Sy3fV05T1NDCKUlBA/k3+nWKqzVWD8Sflp2CsLuh066IL9emsmyKCFkBTDgv1CpY03u
wGERkkI4cd5sqWePycXC0EENr30rPUqkqOl2pmleIcwh0fSuU9wvJB1IdRSUb8irNlv9M2+lgvUf
m4Sg2x41F2l+4IYfmiCSK4VbG6aN5m2JnmBuY8+dzgHe5uM0ectek1C7gn2IdS8FaMd5aIbA7AWn
ACt46NucxJ0S3EoSxMNzkBucRyf6YpS+0GUadMDNwE96aZLII2/2BF4CRsWNWJlvTcG6HHxXoc2G
ozWNJTN6zswbpuOyumaH5u9az28UUWlvOfUXNYpGtksmFErgPc1fGNLJB99WS+9wkE+Th26iOx5T
B26DVrJ3WfUlBGQ1YInot8eW4t/KwZUvtdE6WyR00p5METHMUr+emMuwwwi53PkTMRGjc1eMIoP8
hqdYbecyhzZA/+exXOltn8jhglzD/fXWjyRUsGTEZNgqNlum494NcKzuzcEtnxV8CgRTiSFq9TRG
DNWZ+tz2gXuX0ToCqMG3z3IN6oPFLXPbeZ31kCXy3WvEfN+knfp08ATdBALe5Yk38FDc0U3Z56CM
FzU+lYugWgJUJfz9Ak/0PiCzfkOR92hvvdKC6LUZ4kpcvEGcLM85jJ7TZBExCgl2V99aqQGIz/xY
aWh6fpIyXGjZ2adrzcdRlbmyHU/Wt66xYEG2hmrZJK7leF5HvvYGR3UW5fyjt/OSmenbZHblKZs6
w95Iw0pNMnNGcT/V3cTJnahttjNVwYG/KKsBH5OV45sUSNP9vr746DjtFsyzST0mNzREBCcX0YCI
k/DjLzVMtFekN/FDN64+kObFbgTxWSCGd6DcCooWobTo+tAuASxnxvP+vJs0CE5X5sWZKL24SWNX
3yd5AJqnd6zHrKLtsVNxcg/TByOoY6r6YQXB8WitBGn9LsMkvYoS1JU/jUD4hWS85/fedVqUI6IU
Bec0gbjNlVVdUofCze0tlHvvFerf59hqg6+qexs4qMxJuBfL/E05i4LGRv9rGvZgr956Mx0f4ECK
13j2IL6Sf41bEKqMr+g6rJxv0Fgt9JNsim2mF938aHHsu87xpbPu15wHQwp4Jewbunx2wrzgkohl
6girq/uOaMwxztADB/95tecd9UHYZMQ8LN9MXxk3k9lWDqe0WNLOaQ7pvUHH6Vlob9qaqz1+mJVa
s4059P4LZwHQf2ubUg6U2WbCqj4tcVi2M85lbg70ksEz7a++UtVDO5vqiRYlCfxYYBLZLEQEroyW
YTWafNXrLeCNmf7GuCPnjza3OOdZTOl3uHxgEWtmpy8dOSuS8IXXr+wl2D5cLTNPH2YYj3BznLn6
lOY2E+xVsbHFSKy90Bqs/kDntPFEtjm9Izbtf29ma3jwRwl1vvGwT/HDJeO0QczBofB/2Duv3cix
Lku/SuG/Z4LeDPpvYCIYTibklZJuCClTojeH9pBPPx+VWVVSVJY0BTQa08DcVEHpyGCQh2fvvda3
yGIUJjbzwiYZo9J2OY3hcd22YQ5WAyJeumzVWDkbEznrNlXyjxYSX+1LSzQmoB3khBntH9Xiju0G
jwFE0RGnaBhPoUJDaa2bvYOaC+dIuixjEd4Vko3tOo2ccJc2XoVlIA8zsaLcJEZVYHpEfdSnPTie
VNxqeTLRZyoQZGdA2WkygKdeealLeEuroGWlATehaqgT7yxxA++yjvRiP7Qk8izspkbUYNjGqlYD
sjUK5mfUuW7b1csp8JLH2lSGjZHzFPoJkUM8kEXmfROFzC5sbk3iYYy8q/yaZASCP52sp/2RpK2+
jGImNWjgeovkTLfvnpKB/Cym1mRew+xHn7LMg7je16McteUYAzJB+jRekPBTPKSitHJAjozRz/tU
Rtt+0q1HxK5OvOrGrN27tEruK6nj8BNG8yIRW+e+wmBJMJNNwttxyFhn096JdnlNfUARRk7RScjo
HBgexugd2imFFCIjuql7Wz+i79PWROpmarLxOgWMUli7A1OXqD5zXMK8skhMl3acS7yQYRGgFlTl
Va2bjvRhYwU7JmzQwzVpZLvQHtgMTx030FLXR/BR3WS08IrcftxgaDceGWnWO6gb5Z4pEP+iBzB0
gXaOeJ/arHjrR009u5GFIs8VkrcWcWYN37Cutt/DilShRZe4ee3HwArxQPJ4Pg6h2wNsKVpnqVu2
8PtCgbaF/MzhzZyMt+GQIJPnCnoxWThV0i2MKhoQLfcphmXB8zUuQwDxYBVcsUumrr02rSzRfDOQ
JdsB/CGMJRSw55pmilNXAeuXCZzfndvJOwI0yB7JldzmxqvntamK1dHwWSGNY7zybX5eAWDrV9Th
tBekoDdbqKTDzkCvajVWEYoMXiu0pGdBPrqMNvw21ZNx3LhkV69cISf4x3mYEjhTu/VxkyAIwLwd
jOPRABkp3LmIFaNVYEKIqjx2DiqY2hspPPGMPcrdqQSGfLWsNLolVbMjr0FXh82gztNpzWw3NsqH
3Yg4bDkpRfdCCwFUVWCY4DsAdKL0xNSi7UDkgA9K+VMJLZdztlIlkgl3XGr0QsolvDTrm0nscreg
f0M3tq+nowmy3k62A2V2D7thn+FE8dGSYbIlZ6Fcd1BpIeVNyNDA8taXhmLFkme8blY8Ma9RqrZ4
mvAQrgHsF3TdUlNel2jDdlKdGlYXZ3JOY5ZdZjIZSETWUfFVt5kloI4nrN0SPOel6xRnJUZFYo9o
sm6lFrTwAxAr57Y2oXB2+wvZGNamEkO1RZ+rwdUPQ/MkQoi3BTNp34d5w+1pDPBJgklLT2pysZ8j
qCjhYm4BEqhoW9HpWLv6TTnMkNhA9i02rmbY9GnmnbFPKZ9a1D2EmzFygDIy50SYpumddHY4HtE5
zR7GsE+uPEZjS5bMZqtAIFjrlVUeecwYkCiVvCT+eyuu/wdp+Bq+dGrwv6+mto/1eBhx+uPv/Cii
HOeLBfxTZWqKTw6LFdUzIvb23/9yzC8mlqC5dnZtTHQqx/mTg+9iOUP6zczTYBRKgfV7FeV8IStV
9bD30R+Yf+cfYPAt57DfgPUUMjH+Thxzv6jdARhEeppGBbnWbNYptwizyKciZ9uZJHeh3Xb3TIhA
htsQMVlEA5IwJLBDNRX9tu51b5cg8rliXgVWpHcS77ZEKnWnD4Wzh4hp3sQWjIOBsnM35kbyVMaK
se/qUO4K/ru18xlIzGgSVpvQWvN7yqYJr5Po2j0yNP3aJIsCwhvDtZdxxr4hd8qudeQMvov16qiY
8XDgF9DTzci4dobHYQ9HQTcD5fIZLVcrbnALJik5TZJ8Hc8AOlehBity4a0Qv2CDSADV2Q4AFCtl
gG8kBitZ5hKMFVqCBoZdhnsvNopN3EDiM2Wa+QayzxVEZcAYbe2wGgGf6zTX8xGm4+hDLjDGtnrC
E1mdGlGkHMmZp8ekqt+DuzTX/Uza61u1PS1n+l4yc/iEbjZMdIn0cGZAXwaweNe3nrpgQ4yQtrP2
QVdnexuvPEjKzrvXahNwlVL09Pt1E7CnSM+ymQFozdTztq7GRTYTAiHCstdG0rAuM5w+ekReeUvW
CsLs1jqiuNNRnlQvBTGZyFjbWsRMCNPhXm1leEug0nBHDE1z7QVd8Ez3ixgQ06XiARmuMbIZVd2J
d7baQQlnC6De5zTSmPDAmqoW7uTIh2QUg7lOAzM+L9w+OAFEKI89BZF+XQ0uCpRpcmO/xBjlj8Sr
mWimDNRfzBThW1cd0afsefIXbZTWNiB9AEEKNpht3ZTFiUFJsQqkJa4ydJm+KXJ12cTOyygT5E4R
qDdyZI1TJPG87Wb6IzZR9EQzERLwVHxbkoPnowm8JOmyOk7gRb4oEkIEMQg6DaxOdOyzwhG7gJ58
j+BPWjOIktoIc5R0gmMdsIXfDQVGGvSqmgbCfCZZOk4Fu23GW0a0FPx4asYjQlyds5zdTKmkNzIq
QLQMMyITtXzxWM/YzFEHoBkSDHlSz1BN0JArfcZslkqDPc2Y4ZvDjOFEFTKiSrbJm4PUdx8Zte2u
UpQtd84M8WRbk+6KdBgecg/E50Bu2iKKcsNnwO8e0xRp/NjDIWdbF7HUBGAqcKFel/WPCdF1t5Y0
IlAvYEWrGTA6dUzNqfyCGSMYx3hMGGUArzNmMGlDL2iBXz08JvO2xy9QV2eWhI/MMLL6SmQSQ5wo
RxOoC2JtMSFWqJLwswGFGMk/ZO7MECMnhydldTjTDUtuWxmRQxipOUjPXteGWzuPnaOuZDDoTEp5
GjitWNhQLs/oteC/KTpt1UZsOJveqTV6F4mFXLaq7NM0ClECBhnEfEgY2rPLgOW5wy1yylxf1v6Q
U6QjH6WMQ5lRCYSHDZJdGHLDTVwjr9rgn1CzZWGRWOF7aJzAyye2WARGYh2juBWR3xW9dQoTCdUN
Es01JgDWwdKBp+xXJhmQyyLBNtsaTh+vJ0dx962riWlR00a9xw/L+AAjGPrM1Kox8pB8CcOkz1AI
IUKFk3BUQ3Y9IVJgBhHPmG4g992FVPrie4PrWS4DRusPJlE+1qJArHsvSxdXFgsiG1uy4xzIwRDu
nfuxMEkNg0vn3mBXJRdWaMMdioOpOGLiYtiojctxpwyqVRAngGwIFFqsPAED09ldWZVzR8Bu7q68
zK3P1apzTw2kKCzabBtZGCUAKSIziP/tdOCfTMtVSddM95R7O5I0snCzIjwZtUZitLORim3jWK/q
pQEOZA/xCU+VlK0hV6GugVlrlCGpN2MB/Hkx6FZ5Fds9BoGBiawCIKsmOLeeiTNdZ9sRAhRLb6+q
SFWOnXrK111etfXKIUN+hO6Wj1dqmKInwrzc3aOAhYCWxwPF5NANJtDvZiQspVNsMPuNFTAgzZhT
h9jQe+KtU+1oTDJ7p2kt4pjGiOVLrdjF164umw2sypE5sWnNpGkpsss4dYKvlKXNaeaZL2JU6kcr
9i5NKREKTBaT9AUuDXvdIa476lB/PYxujz7JpJP/YL5aJkPEqDvVDp1gEYNf3IRa71wGqTu55+FM
fST3MNcQoTn1sMbIzAeADtxu2Ba25sJ2RntYQrRNbpTEkHO0a3hLfC986S4zQQAzNxkWg10Pz4zf
KFzmmTmRepG6iqLBOlXSnlE+UYPMSlFKWDuSznjuax6Eu8rK7OuxtZkz5A4kzJwUKwk3njJhMwVB
z6w61G46Ir5O09xixJoqwHZWhV0kd5aDLZKRvkuoqdnMMvcpDuCVRl5zVGaZ+OraCbbVGQ1cLQMn
HyySeIjzpjdJPnBa8MWR7q2Rs642nCBq7uy7ICgGQ6ZIpn2h9DwxbaBlX1H6dsesodqjqrXjV/IL
3V1WoK8lf3lKWHsL8hcG/mkofdiM79kMTxdNbwTYLVNv2DiWpdwjfZXH+uiqN0B5eemR2APgoPBu
Q8Kzb9TKyy5MQ4bwbyQJOATd5Kc4WgM6sAFXlkW3PUsCky6Sl0Ttbd+bI7HbsVE+UKtUO4/WNmll
RmVcWTEulwWrovJUiHbEykfyM5Jrj4QWPAYuWwWva7NHdFVTBRa+hyvNoBt6XxLTB9/QhFOJpKi7
qxLlxrMTmW7+VRsC1VzU4+BcJkYShWtnQGlT91SiizYt03Mv0ohFbgNbb5ZmaA3HQUtPyk2S6GJo
o5joExdSXA1VR0um7InvCu83RLoK+27LW6Bveb+b2nQJXwjtZkqMIs4bofGApFVRXijOLK7ShaLe
VgkYx+XUmQ7RmZNNy5CgzRCTTe11J06oI4hIKVlo40dWe6aKlKMPCCAYlqdRcBfYEh8k2cnAEXEl
nIWAlG+BV9sXpOV4flbFfO9JXTTnWpZPpxNlHMh6bGWXHTzQy4EWDZ8ZvsjarjWXJz6M810cjfZJ
QuNYLE3ecNwZ1uhslaTT1lqJYH9p9Cn+s0lt2dFqEX3DpE7OiPugO4n0Wn+cUDjcKsKjj67Zjbq3
a8kVgftPzo8quUKVWcVbTYbuI10Q4xszRU4Ltycte00OXF+k1j7TjfAbvKVsa2eddxszH9tEE5bt
Rmn1PQEhyWk2Wgj5FCubCL5O6DkaZgWH39bI8MuTWbxZJo1HNKF0j6XZoh2ZdKdN/Bjq/sOQpQgb
yLczXshuzJ9JHDaOrEAJn6ZWn1sUzeSd6NLYR3gbdqT+8Jr/760Hv8n/9a1ErETUZ/ufm+dy/5g/
N//xrkr8z/c/Nj9+Dp9L/7F9fPcDqSxxO16gFR4vnyFAtr/XTfOf/L/9zd+eX/+VTyZwGlQxhBV/
XzSePKZN9Ph9eH6u3k7ufv69n4Wj+UXTDZXMBFJEXIO5+B+Fo/6FolG1VSblwIpeS8qfhaOmfYGf
AfbFcOCVzPPYPwpH94sOhYlqD1c+5YCtev+kcpxnf2+mb/CRAO0CSFI1m7g2VfNmQcKbaT0q0QAV
aWEyf8JNlTcbjxjqkzCvH9BRDCg8VTaYQ8HD2W0CFw4Xhd4t8wD1pGz6O2NI7ruq5smZxo2M+m7b
ivYcKRQtN1ubiwE0raLCd1Vb2V3rNtkCw9rdgHjLwyXHJFpHA033HtbkEkv52Ztv47zMgJsXvxVd
PmP+2ubf/5qn7D9+dfedn+YPB/VFY6SNnB7b18GHw1QStaQ3mbi+E1+zyKwOXoq6Olftz1QPh0cy
5/KfbBIP1KtGf2YOqntzGUOl1pw+z00f0w/a4gJXhIJNFkNWFfoff6h5CvzmUzl0H2yS7+b/GXMv
Qj/Q9gCEHXJojZjP7f6bEwgCw/NidouhfMdUGvTMFTO7T31V2JXvgKpfAvLqF04oIl7uQ7udumpj
xs49f+q6KPJTYlQnWDb1Hd3MY0KDH8lmNK2K3Ei7fKoBCi8rI8K4XYiT0QyJSLXigVagSsJX1+wM
cCJL5HuSKUo8+FEwPtr9dC9E/GAIJ2cQoVqfiUzmb+7Pb/b1GjB/Vi2aKxZeZH2+rd9c78DCYDQa
NPRK191ECWqYXBKvHbXIQ4ONV95Vuf2oIHrTI8YR8x7F7PPvmRI9f/xlvB7o/Yk4mmboBq0h4FOu
dnAiWG1AlYYWcvN2hjUIQYaR4ty5YcPwU8u+ZR224IQMpSw7rrvpurTGiz5InI1BFt0i9/QLoyPY
VMY+xe/GDJ3HKQkf8lFbT5l1+cnJzsKrtyfr2DZbftfE6k0fiyXk/VUrEnTSKYXZSlWRvlpU1Y46
XJu9eiUU+7Rq42ucUjvyKrYTyI1YqLdU96SdmMYikhEhdAnaWNSI8MrJlo8QGNrXQ1Wbn6igtMNv
l/NEXKADteBRsljp3p+nFQpw0LGj+Ph+rioYKeshzwlHHSSM7Y7dcKPx3kQhZNpsltN6eujFdIWh
edWxH/z4oh1GTB6cy6GYTbUrLWOIE/hBwS4VD2bqaQTUGTRP9A2Qi08O97omHXxHbCy5m3BEIVNS
D24oh6mBO2WO5zMewX4Z4n9w29rvctoAo3mFNFlfuyjzQS2TvCzmQDWQ4ztTjR6ckRD2BFbLKhyY
wgHVuQs66J2Nt86T5hq/RnqsR7h/OnYa68CKLzxqer+FjacY04nbMuFMsD0sSHJETtAzKNZLDRdH
dwyiLGGeZmFDNMVJJrDQk+IN/RzA3BbaEVlSFvUwETLJQq+Jdm+N6fzjL+L9Essuau6jIiSweVdp
DiK59zcFkHnyz1u+iAnUxGSG66TaQ2DDE3T68YFeqWrvvwJHtYkJZoPJgQzr4LVhTTatnIBn2kgc
itL0GWpSyvddkQ7kGaTANNHXRA5XpsCh0o2X8K3vA8zUeF+ChxqkRWE1SINJs1Rnvat+3bY1zv5s
8/F5mn+9Nd+fJzuLt4ugSuhQqFe49vBunYzasG5Sh+ZMkt8FvKAZumKhjqo+pl8Q4fCRxWktIcC7
FZzkiZYfYHtlTx2nULMLY2tguDxFIQuTgXzgrVW4wSYUtgmQB+swNTbJkKLdw0PpF2YFD7xq6Ugp
OrPYwuPAMB5wiE4jbSFh6gsGY3DJidBelXrbbQqz/Crb5DGIGOtIyOEPo9Xd4gewfbSB/UuO+20p
gxAbQSfCY7q1E9Pe7Pbja/bXm4jdjmWyMeA1bfAGeX/J0tZju2EUnh9awb7FNmtBIYgNxJyVvv74
UK8av4PbaN5zYJ3RDQRYr0LJN+8omagCuUTJ0EmfjKOum74yhDeOq5paPhqA3mWCDlgxnjbhS+hg
0ijRHi8gWNWLoS1rH2G0zZdi1edQbT85uXmPcHBuND5ewYKovBAKv78OWdJrueVi3ktynPCUlpZy
PImbT67A4U7FsaFhElNOpin6Mn0ef7y9QWs9DbvezkIS1vA9SUduR/ibfmC1mymOSn9susshrKrH
TFg3yTBeWJhkExVximNigEP1BfSwjgs66fKcoOvohGg6CCWBYy4/PtVfnakNEBJiKdGa4Prfn2mb
GAFBIxjqXLtkVYnzdZ/kyHwr7L8qEhc7ctZYLI5dvf1kwWcn//6bcFx2MSAXHaKm6EocfBNIVdqp
BGbl55VzGwwOS0y9zD1sVIV+SQ+OsCDxySG1Xx0TbAKcH6INWOAOvhcvHxGPpxZjDhFsoHiAoEa/
dFTh5/IBy5yUefctSvsbEZmEjdmP+qRHy0B5QsMYLiOlLPeuLMhlMEiadZZxcv3xl2H+ZZ/iMpB3
MfyyCKPVfT3/t0+OIrRS1VvFb6AxxHQQAytYBwmPC21UMkbTKTs2uYkGqb8kFlmWk/3QYDxet3Zw
X4sJyrRtwuLvX5IoWucSU38Pp15J4/PBTjdM+XlVAXJHNf0NgYlLjzFc90T07Up+e4IedUS/Q4Ad
aXxQzmKdWs3zmKvX3Wjeaw2TBoiKPXo5MwyGVT/jkD6+As77soyXnavblC2zyJJnh07S+/uxiOOW
aiNyfLrh13puXUxgcUDlKfBLEOLQJKxX6HROsUSgksGbl5XWTOTOmlUbNpdtPVyaNZN6vEHuMk7N
pdRrXvAOQzM6TY4gUyv3mmGhGfVJ2LTtAl3i6Auyn+sBEpmTp3R1SLyKg+DRtUoyFEL3qjcYVunx
qUb0GFkhu5ppWZ/Q9R7IUMMXOH3HgVP5nS72dRf7yJSWkDSZZckTmSQnKWlF9Pmsx75tfcUwQuz8
w6ZtoTco6UZQg6yklyJFIlF2bRYGkQuGWJUKeXzqAG2+zaU/og1ZRxAIDWnj21C1I92qvg11eFZm
d87EJLB9/uSrOHw+Uc0CX1UdSjvVQCv7/pvobHA6DkMC39DB7W0tZ9uXW0HQb/lz6/dfLXT+H9RA
wcIwF0R/30A5776zkjzX9fi2f/Lzr/3on7j6Fx2PmqnOBON5iM5i9nPwbqFeBiaNjQMt7I/f+b1/
Yn9h6sJbXqcq98j01P/on2gqcGoXf8Lv0fTaP+mfHL43bJYolyYMzGFEK/iw398dVuVBX686sVJc
6x514pKWKywwMiuW2ezLTUUn1xgyTqrC+PbmSp3/eFn/fXODEvjg0Ae7P7IjGT6rjVgxtO8AlSFo
JFRmW6XB0yBg+X98tL84U+a3uGag9rZoFpj6K2T3zZqckNhOsVWQIJik5lEognZJomk1J9ql67Gp
7tQwSTZ802IFbIIJk9OTd1oxQOvt7m52zi7MKbxN8vR8bJ1TK5Gg4jKLrm7wlYQoRkukRYGuSY41
A3v8x2dPx+3wMdbZ8blIgtiJ6dxQB4+xXueNY+ObW1kpiQ6OYeDlLlsFYzJd/ZXSThY9KID3U2rI
c69L4iszAJ8pBWm2uovaqxN36URKS+Kq2GRBexrmRi/Tp9DBGRzlMQwLrNZy4M/q+ZAgNYfjhsme
jBRGkEt3FLtQ6Oq1gvF1To+vGQdnPqGs8AUuCD4lqSBe9VZ0aWLyDsfhqWG1TAcYhUTMy6Bvl8S8
XjhRelllI6XHd+xzHbk/iwcZy2nDwIiYNCN3TsvaowjTGDx7bkf0fGQX1Kk2xhqXDyOx2pq1Zmx0
BK/XdqpeFArh2JnHkQ3RZydMqsfHJG/pSXsJObWMZI/1JJMLUyBPW/Cyqn2yCOKzsXboD2aD2CKh
CtfM06VvKYF3hDwyOEGjNi1ML2nOB1Kot1PekAzblO6Dgc6A5CJE26g6ZjpXFXZoM+wHmQbeyhoi
/amypv656lr1qNeOSX4cUNtOJDypLuEqiZES62zr0xGxj9NCtSe6/4U2i1ur73GcfI/DEtwiqlmE
hmLA4KddKE3FTGeMoKlk98zlj4QJc6Cn+ejw1VjNWG/nvM8lkGQ8SHmQ+FneiFPN5RXUldcA94of
phY63fSsf/Hw6ixA77Z9rkWFzyNM79fRbeewiUdKnSYqeBurLssgoQIrK4GsiDaa02IhkLFdNK6Z
rcqTKeqUhyiwGLwh7u0XxAqVJ0DQb6TOpL4PCK/rOvdZFu54ZSDH3jD8bJa2hzM3ImHtKyIckBEy
UF9en6n/6tfVafyNEWr50r7v8L927f9HTgXmRAMq8b9/qV3FaRrnb19oP//Kzxea+8UD6c402VZf
rWjsvn+80Fz3yzwPoOdz6MZxmSFgz/HARuHQ4jX4x+uMQAW2JjreHloiP16Cvw9Eft6GzFL+9rY8
8K3RdTNRslkUQPTeaH9YB/vOAOEPRFJd35o9aqepJryYxLlTEyH0kSMHB3zbhD2dQMrVUIXyJh5S
UIJa4S0EInhf8xpjkeu9+y2JGs3Hdu5cFjj1d6VStae5Qzjamyv7i+fofSXz1/M9fP8qo93G7qht
PXjBW9zLAI0QqVFWB75aqZTTwlNPaXMFnzRf2Pm9e4L/euiD929lm3lVV8a4BSVCHB+9jX2aQjCd
hCzBgCulP3kZUZRanS/wpJ/JHjKSLbycIEmP90hlkfI6FcCBFNTM5cyyceroDMI7i3bF1bMNOcOS
Qtz73bgEwINboy7UbTPFl1WfrOosvkkT1cqhdykscFXm9ndprIyTj1JLnJdRziSS8T8bdzUE8kRc
T5qR7ZRVen4EFag8tVCHnNbFNNxH3dD60F7Lk1jLCKrLJ3CbVQvViEh6aGcsUhulBRyK/Jsc4kFT
b8yhlDuHuOtNRsAgApgQV4vTfUtqSOboUvXujrmuuokKJVmzvBHxHgpkDpFF5ISe3Fh2cNaNw4VA
ergjoGHIlDuzKbzjNiP1fEy8r82kEyPtVcf1aKr+GNn6STKFp3nO3LQKKVZd3B4LIllxFQM17F3n
sc0BLvYDxZDuJUfEPyoLlCxnEvbGuiG1b9XRu10qkdEeVb2kC9oFeGazeF8Gk7GWtbqtw/I6M+VR
MI0BKIDK72n66grMlkQc2VpgoSlRBZmwpiTSaFbL4fdggOuaK32oBLS+kSiDUS1XfDCGznHV7qza
Vh+GEOiEHTKaX1hoGqAcxxdAzYwjnhqkkd1xMHpskly9X5MGeS17BQFyDjBPQiJZVHa3piKrtmqk
XMO3GlZIYNDGYx5bQLqJzryOtmsPkvuEJFC2OYmGPs4Odm5hqxuILsEOFaO7dPUyWomSmRuVvYVe
rJorNcLaFSmORBquFLhDyz7KiXmrDSJMiRSPW+5maQFJYk5HRJbrDURZYj8mLxYMSUzIHLaoJ9Mp
rlsyl+qZ/CQEWayRe62qnt9gSEKDw7W0BmhYdtpvAS0Ny1QYzrJwdAMQqDtjDCp/ANfW9R4JHnyb
wMqCjW3dEi6fLnEAuQskmag2M2CSSoC2MMgSdjSCXZzjJhuRDZeYbdRjJTR51AY54D8bukVZtc7x
WFbpFZJQxYfDv5GDeZWWlvRBCCtwSvFcpV2yt6G6LuDG6H6LGXLZJiolp6JvlKHeWLqC99YOLztd
QinKvePQSncidy9jl9GPGOV1K+Njq4qXbRvte3QUWyAZ/uD0K9ncTpk4c4TWYKntLqOocm/QecZr
enMr/HAIDHDv2GF9Wqe6P+bFdaPUK116axHl3+DmrtqJzhkinn4pdNzTjWHuCVOPNho89zgRF/Hg
HTGFPJNOeJRAmz3NbfxkC9wAzjokigA2AvzYJ0ZpFte9UK9kM64bdoGXSqPSzY8Zp+DVlt96doCg
wmpEHqgKvMcoi/mZj7WTE4Y8eg/muGTLYdDmrbI1YjzGjVFH81aQllpXcbHTU3RFdIhDiEApYZGB
jt2pJ7VsboluM3KJjwzWRR8m1E3OJmfJ6jccj+rQXdcQqdZTa5LQGyrqZoiwJTF/iWF8F456guBP
3UHxrS9FkHfnQ2dU27jUgR1D2djOZsMljo0If2KtntgiOKtwQ9Q6HgXLTq/HImmPUqSd3IImZK4p
QrrqQOAaQ8RRM5WLbna914XbLVU3iHxYWIjya7bzScp2fk7T2YXOnPWiwJKBM08eqkrErFc2Frwn
5cgJJta7xISB7mKvH1wws44NnmBgHKBo5YsTFlsVhcOGUAvckoCLt40X3xsKnEMzDi4cBMpLLQqU
NczeAbtO1ANvS/BXVUmxn+rPZoJzq+/PRvDrW4yqCF+wY2iUr85BQ1xTTJK50kbbkuRIellub7FO
Lbo4so4/flNr75t6fz3SwdaCuWMRwdMztj1Mj60ZeIiQG0xEqk5qdWo/2TrEAmmZQNLmlbeCVux/
fArG+033j1OgV0DHc5ZkYGHmYrypYd2yGJKimbQtqxXOYCa6CkUoqUxu5ji+UjNxRAydXrVT1W4h
mIl9MK8kUe+px2oSiGNvaCkkmvLOpit5QXXmYSTD3bkg3rnYWwCctqmmxn7SZ+EWTFKx1aVsVqgj
WAQL9agWqrt1qvClsB3aVxRES7xYF5yHsgrRh338eX/13b79uAc1b2JmGRWqpW0Vqwku0cQaQBdc
DE5Q2JcfH+r9XOXnlXVUCC/8B/bH/PtvriyZUkHeplLbxp3zMnvOACGZDwbNEL+2qruPD/YX0Qrf
oGu/Odo8GHtzNCUO8h6ypL614h6qkGV8NfKo2yVD+F2La7EUdtqedxFkArfVITMrkr52irUZDm97
6iXdNuGb9Bsewwwd/jppunaOZTSWoaTajtFwzZGRxN63ieVjVyvO1SQqSE1HV5xJgrh1PJCoSJUT
OW9KxLw9gcL/ySPzfr73elHZ8UPed1AW8HHn2/nNxyRoAzgN75GtLSyk1djbl7lBGCJycAUbtKLD
cSYU4pOv8lcP6rvDHuyp9bZkcSsHY6uYFo9GbX13UgLuhxpNLeRcBXS43JNHWZ8TuVuunKFNP3lQ
f3kKLErIrzBbuKZ38KASiCobUhy1rRHje2p4JeKlJBfRBpDWEkyTVfaZ5arsNw37gVVffDIe+8Xt
DPngz+MfPDmz8rfUihCKeNY9kKwh920RGNB+bW5sJfykGTBXCgdrMJ9UJblM1XRELQefNhpiEFql
q25JOE9OtCEdFnEDffLjp+YXq8G7oxx8psZQjR6uEqz/VmqLgQ+IkdoEdY9I6J8faf4oKmlsVKt/
WQwqrysmkP/bKUAkObja18wGk0uEwMfH+eVt8vZAB+sA9UfX0knDlx1UznM8INfVHcz8HXEJpKUb
V2lItAsCYbbH0CIoBaq2+kQt8IuSGfEXPBnXVekxUru/f0qDSA4CFKex7WBvA3mq++tKN7VdHEtj
Wxnypqw8mGJ9CKu0H9m+kYC0dAR+bidXHrHvpisgUKyY7C6gwoT5V7s2snMt1m+TGj7ax9fM+OvN
htufqDDEoPMZWwe3AenZaZBPNaeGrKMYLcB3EezncoKGbivTqfRsuao6dds1kaSBifuHIlRZw9Jm
+24VmCxyllNgHDjBimCFW4bRJTVNoxC9TBHxUlVDuFNFzhbOMI/RxWH8yh3Ks9GdGcRxu6omSFtt
FeD/zJ4ZOGoYdkWOSq03T5qmuXz9yP+/UfWJfHWeWDHNfnN/zBLZn9LXWYP773/97+L7Y/5Y/PZY
fP9tH38rnx7r33ZNxo/N2/7VH//Sjw6WZ3xBOaEiHGDNcLAvco/96GB5DGuQzqBPxPboWI7Lw/D7
SMb4wq/whMyiLnAGsxzipxeSYQ2IMuY0Dr15LJH2PxrJaO9fmw7SesLnODPmdR6LKf/au9cmeL7G
LmNZb6IBOXxi5U9QEbD5OWD1oqDGPjdlL6wLJNt46RPR7ew4SwUaKcwwTPezf7to/EBiXgiG+LYv
eWjfXORfdK0OFq7XU0Txq+KbgnvDw3hwirQlLBXmeL1xc+RWcDn1FauCQenp4SMTj7gS9jashybU
0eKTyvDJKvA3J4ACRudSOQyZ318jgHCVO0DAgU/FCRiT7Jfo3AzshQGZ13BcOiDNNOfZFkWiW0Dj
bD45hfevox+XADUi5BEGSqprH6xDjQn0Ocszsak7pPvkCV7jTNrH4rNO+0Gf7vcD2RwGIJ6HUvP9
R7WngLCFsRSbomRy24att3ba6q4Uubf2Ri9ejjZAcmHTuewhjy4JjQDOJ/ULi77mSR64yspQjOCx
SaxhVZP6cmmQR7Wcn4uNZ0mgBQXOmTo305VSUS2kKUnbFs61RQ2LYMVuf6LLpJ8LBSlqFHAhR2Hf
o2HcqXXjgvoUwVFYKO6spBpp3k84xoObaTBnyx2CUc211qYc5F426YtmTOmq6bOnQsldH3rOfnK9
Z7o1l8bkfP34Lp23HX9uS+YL96qBQ9lML5hN/fwNvtl+OlOhZmEsqo1lBO4qluN9EiCQMet2Geg6
SUwR/SdH9N4nm69DTS0HNi0DQQxDDDQqLCPvD4y30oH0Q0PHbaJsBfc52Tnu1G51nYDV0GjwPTpT
vyxr3TrORx7ookmqpeMWfKHAUiE/h+vObTy06jxTr8nYXkDzs4RztMkSJpdzex56uVJ8FhZ5ONeZ
z52AkZkth+SfGuXgtlY7SEIjuMcNxu/CF4plHZORPXtRgPAPHTn1TpttWpw6+0q6u/7/MHdeu3Er
W5h+Ig6Yw203Q7fUakm2ZMu+ISzbYijGYubTz8c25owleyycuRjMAQ6w97YlpqpVK/wBjvLWQh+w
edjFpX38FYDMOcR9xUb3cud2dFo8hYd2Fp4GV1Jovcb6/b/91gDJATowW8Al2HyLB+v1TFGxViyi
SZFAW1G42IHsEr9etLQb5LEH/DLg8ur/VfK7rTKubOpgXjdPKTj2rz/2oJcxTVCJI9LYNfsRTWX0
VPvunZT0ddbz6yobrouUh4cj4Ly+SlWg1qO0RRGli1NFjmzFlYzT53de4lvg0uVhAP/rMIE0qpY/
NM1KifMFxT/97eIldmIJcqzzAARURrfDk5pnU1AYYZrbB5W2UspZxYuWmOs9UrmBVQ0p587i7TVz
xJeeSgfzxEQ9FB2LHBs/VOlVBX/Zyn1QbGXB28Q56/Mij9k0AIRFuBJBsM0x3pj6AKIVPvC1Fakz
8c3SUBHOWk8J6oy/1qWWdmKwBLEDSRno7vy82bou1FVGyqAy3V07z8oBwQu423rmhUjVV7sU4Z1Q
17tPM1wOsmkaY3GfP5dr9mzlxn3ZrPFV3IAnNo38RepDfYBG6MH5qA7K7Kn7ATpLWNTZi0xi5CnR
IYc/5wCTGD0WnMb6rpIOteOmeEbfnZmzSB4ZOK3hWHgP0EtYgb3gvo37KvNQVEyxYzX0Hr8Hdvu0
RW+0vrrPzWx1O1ORLnKLFUaKJhcrvNz8pqkLYVnHOa+YsucumV0kAFoduz5UcjLd+lpJLCmSoQR6
RwUMO2/lIF5tJXCK/AW5eTC+Se+iyc79Jn3/AYjjT1twekJFPCUTqiijS+CehqYLBAeIn88rhogS
SrfadCjHSG/vpYbLMN6I94OJSDWxrIqElT0zgqp2VosXJfNqRHYX+pSlWZ6sovmYa95Di7AI21D2
vojdNCL5MThYRhOnFz5N1Um0eFbMm5vhlgQjip3qGdolo5UBhK7iAA3zZr4m3Odmjz65vXcLO2zb
4gWPNJ3J1IgszXi9luKlcCovoj/c+YnJg3ZTae0m4wadYn3vVqPrgxU5i7jWEWjiDMBlQvj6ALog
bljn9XZkLjX5ldC41DKKFyVRWLF82cXBp02r+SO1tT6NAshEBRdvp5tlB8oheam3CWKVEq3hkri+
ktanGb+DjdSJEuxaPkNSLG4HT6NaQeriIx3scM3TZ9tQ8Y1cVHltx86D2hc8I+npyc4Hcqvtw5AZ
nDtb9gHSn/zbtnaXiWWjNp6OoDDa8U2aPbsxOaOVGPeGi41xvxTPrjoiNs8K1+gj7S4LV67cdwxL
2pnNKtBKO1p096HxSGTSVhW/tkDJCoM6ct+h+uxbI8kn8xf8P+bNkyzbsg2F31eXDZTNlBWEvAd2
PirbpRlqJk76mJ5Q41ECeKDZvnFZtHWfPV9unNsli6HKDnNg1hFlKSANa+g+D97khSAniNcNw4PC
SRu8kTy8RpFE2DswToMVT1/NBtmIdwj6tz3A/nweT/UEbSgXcR7OfVwxxC1elG4LWI7Fz/AcLF2g
u9sHLlXrXi/ap7phX9lz/tJu1qn45j1fwsXgiJceV1EcZIkEVZ5wgc7eVPY5QRobaVGp9d2OgWO+
oxggH1rJp8iSEeCgWUm3Oj8VtYtGV0tUIlBhS7M2T5Zeny6nE44gqMLjZBtCj4qvUHx4WdQ4vtNx
7gaxiXWCDUNAdhW+OrPuE09/VAXBxGAu7SMKBP27yx67jn1sKvzekVgr7JoXAj0Yy6fnnvxqC2cL
0L9dWtjnS1AaLMJL2ndP+cy9ZYN91ms6+21h3VPvQJ7X2CpYCj4vSoatjSFzZh583Es1kW4Ji50Z
SrAdO3btnC9POC3iZdsSbWbdb0eBY+v3fcONXb5Bo3tYWSoT0xiULcV0cpPc2mvVtmyQwNvFOnyM
WpNPam4i8i3zF9EkBd1mlopUWYyXSOeaBBOLSVy9WERU9K6AY3vTbeci3Dgr7N+cncmQYeWnXFM5
FKKLr/rt6yDile1BppzWpFJ9LH75T806X10icTZviZidFP6EZCA7GAf3ZXVByzQwQfgJmztx57Cb
+VMXo1xW/dCEWT2soSJKJq6eKnzXajh+OiICa5hfv50rhuCmui153rQtNBx6MEZZInyD2IgLL3Jb
YTOqETu4BPcAeZsQOyjM2msWnfQIPPQHWaYYKGHhzKcxPBKK7evCAH7KUBfFMZCoTxVURW3CL2wR
aAkv8bfYouOm/hBVQkPgz6tBeyKaGGxnHMgqA6QdqxrKPwnZKk42/rKADAg3yJELzERJh4cMxY9h
kuJGiYvlUU1bEGclu9uAarlTZ/F8WStVXz7nbvpSrfMDLhIwqC1JR2TkVW+nTewRF0XPFkDfRdzM
ji18W4HXYY4IMZg9oGNLR4hvwLw+dMYV6wVbZucp460y/yA/Rx8LzHR6QGScA2/p2zNRsr3OTBRp
zKky0Ncs7R0yIbM/aCviesPkBnXtwQpo4VXV3bRMOwjdzMSbNXlOnXmQpNNmFo4aujG9m0EXRbSA
2gCHpbZ+imXVhzOV1XfFE+tHo0CLBSOC2U+a/mOOs2JEnZP5eqxpT8wSQE2US0VGbGR+OmixbxiY
kqLqh7wqZRI8xi01aMb6KK3UudOGst/k4vW9OTHWF0tbH92tgBMpeXK7yrOhYZXimLN2hUnK86AU
s587kONpeRnQS9cuFCDJrrGIZZ5eEey3Mq92GuGnGtNVjvcutICgHTylbM+ZVQimy3m2n+qiDyxz
06RBLwLph8QkRwGLlZaCk3fhjY26/JmvJGw9eonwAPEzV2PwE/Qjj73XPhUeJtUM29fdiO3vzYgL
9U64Rhc1msyB0Jsxl4fHWPX8MvB1/G4UEXeZpg2hHKyroh6/JkUy/RS9TLFrdWNEC+IUjJv9nVFZ
gLjN92EmeUY/lKCFvgIiuKiGKC328qwGyQSzyoDvqSDIzBrl5ljPbHD/tPlzjFAMBLeDER02kuc7
BdgPLWnSRBXQAcTuwE34pkl6wyD8OoOuwCKcUCCZrqQN9MPNIGp4nvKzsVl8zqQLRteajiSA8g2C
jct60oxjv5r3mGpgRsxsViqIPVUJIVPNh86XmaYc2ixV/W4u2bVb5bMi9rFTV8JSNmQv2ozsbpqS
P2kxkaau0uXR6M12+8IrNnmcQGZlxy9TrtR7ROmLT1U7mNfmqj5dAJyK1j1VMS2OUrTye7J6JuEN
kgk+Gqhu1CTBKco+4STImFRqOKQZFKSDLnHcVMTJUDnnEoIDROA+wDXDi2A+81NbRQ9GhXBgsE1d
rHI4ZLR7Y3bR4KwygAsl67beligFc2RO07M3Dm4kqvE+dVkxsYfsAvJPBE2Ogu0+R1e91+g+RB0C
nxg98LMeafagpc/Cqp/wcCVHttT7bp1zALQOKzTt5itNQyggU52B4WlyVxXTqVm0rxSQbaiOOJl3
qi4fcZz6ghDKOQHh2eqLdzVJghrca4HMLXfjklXtsIYhu97CKUYr640YOPFGF/OVyXIfMNJ7bpby
RIIx3yEMJckCDbSUyGsUzTtp4EqoG11gEPoEshRxLU+HJaGn2P7oBc+aSftsTnl6p0qt+ZKpvHss
LvtAE86xMFlhTcFqGHACJsHinZbFNoqDM/GpNioM2ZVseihRpdj1kuWmb82rLAGTgADafnGJa3FH
niPadD4r+BBt0oNbkN5QuePYkHt3PVCEiRxTX8cmqjJUPGpZH3AqiWIVRrPm5S+Vkr4knPZScg51
lXVODO7zcqL3M0XYlu6021rFvYFxmAniKCEnoLjWg9xYlEDhhnfmdmZWS13gK07Vss40iBzbQucs
kU91ydEzTsN0mzRsKUZDfGyMwCLwXvHVQmcSWeRivhV2Lz60w4hJvaoFSqKO+9lJye6o6IPLKcf4
qDplo0EaZQJiTlxPOyUNlyl01vCcGuvXEhOKHzhienu6FkhXezBDPQx+94PCavIWiB7F1PFbZPmi
rqr6XMZjdUK1+fmy+qk3gx4RtyuK1ReaEDxVYX9w5yyy4TBXjFgOXczJlTfKz61RZZlrexgSb7yx
cPfZLciXHpyE9TnUwFY7ciiCQtLcS69C5rP30OnGj2Kvq+kZE+UNDGQILIOwOBFWf6UMiOmOTXO9
6OsamC2X39x29rlJgpUp+m0hR8iyJohkBWqdD0bNC1ntHHGICO3Hyry/nL3ezD5Nzfjh34W/9bf2
AhwukJugOVR1U434vVU25qMzIikqIqWi6IQ6lO+svn9qG5qCuYrf64ptC0/BV+7XYg1TvRwINc0n
C8mctnlQ3UxjD1PobmnG4KhKgKTggxiTO1WfV0xn8Q8AQDXgwKmCE57GO7vE0g4jARLgPnm8NDIv
NRI8vB8YGqUv9gy10erte02sUHSUXjvp9jJf2c1cnmZFI6Ebt6TUoQZC2CqjXhIgUnqL3Gvj3FyK
sAFKwIfB/ZErsbyuutZDaGbLAtMMi19qXt9K3PgoNG3+71vkTATAowB2hfILW+P1K82xcCuReMLd
uKPkcJ0pvuoGOhK2TtIFquhTdgm89PERfWK7aRNJ478/658NUHwQGGbYpmZs7J83vTzIEK2VITYV
5U6HV5W+pocOuaowtbFCFApC06k9qvuxyIx32lWaztO97r2alO+MvmFpmugIvbk0OxuIvfBQ4EIm
cGcR1P08U7QP2WSXCO01zdcBQEoQqyu4Liu/q8dy/Og1erQYs/b079ewdeDe3AtfAN4sfiTw8dQ3
feBBH5BdrCcRmVsQ2BoGZs+WhpPZB9Iy77OE6PrvS26P9+aS9EchazCeULVf2NvfWs9GBStE0pSK
uthwg6Jd3KBN+CetqB/mTo470MkTZhmyAH07lod/X/0vu5k5ATfAkPQyynq99EpeqtFXSh+1mMeC
EIRuVlFQvLPC//Ja6TJDdMRG4S9jKk5THSD2RoXVMnM/IP/q48T7VVm6c+dh1dsjxfbv53rr8LG1
Jz0UaFi4EKPo7m+r7rfX2lYw82cIp1GS5R1qUTTMs96UR0ICrZzJfUg5Pndwdujt2clzORe4qs5a
s5uTFjOeMfux/peE7MstMUeE7LjhPP5YXIhgyMxDiC7KRf61bqzl56/kV+TkeMXcnt95BX+OnSxw
FrD6AdRDfn2Ldxt0R7HjSnSRmzlnCVPIrxSrCmpULSFLcgBro/3NLPLHRi2Pheo8ot+n7MZsuhl0
8aN3J0worWx9B0TwVvWB12BZoGItljpb276MRH77MkiQNkuCTHJUeiN9moLk2W4JNYMKcHPQ9SMO
xqeUJtlno2+azc8ei7C0pKWr1E+anGlMkceBi9Fx9aorRANt4zxpoNX6PP9udwerB8q6mqQgvYNi
i3EPPPplSNJmVyZDDgEqCVKHTo0D0WbfV8yWtqmjsDHC1dUC0b3NeQDZPGprVdWxC0V2WcWBnVdD
K2sb210ONtS25PHfn+wtdYt3s02SoUoYNno+9tt5rodsG2oSahMlyFaAK2uTvdMnIAenkr6Ys5ki
pwbq8n2JTcY4qpfHpLW634RHSQgdWrUxJ92aS3HVqIMSWCpTonHLm1d04MMO7Xok80qY5S6dUMSP
3otnFxDI64DmgEeCcG3AR1Rh9r7eefQyiPOSZJOktNvlnqv49NSmXeXIp0EHhIHi7QkysAy03IGp
XGQQcaEv/PtV/rn44ZBgRoQplwFmxXwzdgbZaTQjMkARYl1X+sSL0VkJODbZ71xI/zOEbppSm0sM
BE3deRtpmILEuKmKJooruoI5eY+2YMHVOn31Uqz4paCsyuLdusto4Na7CmTdTh+8BTFRjHunJn1G
COE5m5g3OSX1nqAE5P2KoN5qxorinf72CUw4jdOCNpwSU7v8+2397aMxwHNV1UKMC4bpm9FUReWq
o7DXREh6a75eIIcrq7nZlx1ZJ8h8vCGm4cdWLy2C9hPWFC9L6b4TsV5D0bbJlQMsgnkiIkPmn2gG
VD87p9G0JlLN+qfhLe2e18DFCqnvMZd852r6a5Tur8uBBPZUFwCFCv/89UI18KZ0oSg1zC8hg4sG
udZtLImncbL3tMSigUtCDUCbI8I1k1s8gp/quRY3dklyb6rJc+Nqy02BNsphpPDeCROzMbOkslfi
brzJjekdka8/z1Fnk9hgUOzYRPS3QAI0U52ym9lajrKAY+oayOVYW0L0oH6ilQ2BUy3eGVr+JeHn
apvqE5rghO23O6kgdZjqVq+jOKex2dbI4u/6GXoK/jMQO3r6qUlVUtEORzx/7WvPoFG59QzptytB
qdeqn1W0EGIGRRh/jh2NUEO7orWihciNBo1BiZnalN2G1T8h70o3feuJVBqF02ZtFvbOFs0yi37t
Nn4x9SG7F1RU2HMY6QF1ZzNKUK/bg0x7LFp9xUuIoV6DAiguyiXmPc6WzMeTF1nbhBKO2f2FvHqZ
bdQFjBNmbt+3StjOei43q0wo4q+GMs/7pummEIRf9X8TNuBEAuBhJgzP+E2q2bjIgkiTsJEsfXoH
AJamAOVLqFtmj+wo7KTUpMjNPP2ZtjndbIsPXU2t60+DXqBRKqcrZ6FHdIn1OMAwGl0y+Dsmvux+
3+tfLqNNs9E8MD+lvCoZd5/TnI/w79jxZwLrEl9JXkGcqLr6VtVDJiYjWOlg0ONwGA/YQ29eomwJ
Mx2vE+kh1Oyu5RccehwfUWHxzpm5qdG/SaAhvUMRBfMCHEp7C6Hw3BkR1LmqI7Vgilbrcr7TBP1+
t6ATbuBL/KlqrBLlm1Qc8fpB5M/khJwV+tjZ9k+WwOl4UJ3ST1aWKWcXEyWHAZC9mF9VbbgSS/2E
nHWGmS3zB1obmkKfL57zIEVQ8MlqtmmARZM9pykZqeXW45u3du7aZPeyncxPaoG2suqd5KhnO8te
rRC7Wbr2iffC/xl64Nzy08TVIqpcADbCYdz474/0l8wCoREgxui9UG5Z9vYWf8u6RmZ1VT6lddQy
pLgMCEpzGwlrTISajG249sW0w84JXwmh7taMjAHnZIYHzfEyhlnVAeCU9Iw9p/V9scW31n7AhRI9
6L75UjHR95OFWYSjlkv077v/M+65uk1Gwb5XKVPflohDrzRdSeMlUlwz0mLmi1uoEAvtyEs3qojL
d6LeW2tH5MiAUNFUAotOJsPB9Pp9wcWJFymoBGltI40PrQpIK8fxZRbTXT7vwFBoJL6A5AA0gpE1
c84eKpgBVjeQrRSBBZhlB1TjveDx9qC83BxqKRDIOQFR03l9c/aC8K2CxHCUpa1Ba5B7wESFKQDj
smJ7K/9+/X+53LbFQSoZGsXEH8cOdAJ4U7WIJmtbtU55WhQSKrNj7VA7vpdBXpQkfs8gHWIcEQVE
J0A2FGHerNVUjkwbZZZGaZpaJy8DKpua2B3PphcyavJQoUe6OsAOjDODNPSQWVN80DSlOpu16Xye
zNK7y1HotI3htoPoFrR2j+j7NLbBxB716a5014XbVEiALjbiXlV2qozcA62COW+29lXYZfzybJSb
E7dyjytTfswHuPeo1+KLXusoh7luc6CGMdM9rjaTjywxIjRGOmKCPYV0JNtAJq2J6FBiXIHlQCV3
ELcdekR7yjYjggvIO9RkBnlLyf04F8ltRZ0cooo/+gVK7P6Q8geprjxrG9pOm9rhfiFRC3Eizn0H
2eObeGMwCjI6OoKStnrGnNqvRGlcAVC1wIEJL/ftsq3CqjGzqyGX4wTSosJpUImNyHBaFz4x96A0
MRZ9ysemN2+TNNN9he7wtQtMmvbPqn2FJ2BEPUpK72w0422iDuGDJAyqL3UhMDz3TT/RS1rpKQWn
PAgK93Cpe4wC1EjVqUy2yaU2wejbpm0rhMsmc2+sC+zTZvuAtTB9V/Y28wu0t6AUO+gIF+n3Qs8N
hANbGwHDyaalNJrBosBPQ9SSQXglq5AhgrnfuhKha6zKw1JP5snbfn1e97d9qj9YDmiTabZBkliD
EQyyhOCUd+47Dae3hxewPzYUO5g8hkCjvlnqRE6MZVvhhqlcI5kuO1pE7+zet8HzcgkHhKHlqVCk
1DcvmCrMohGQuAAG8savR9qvo0QyVTQrYJAe3aFFUd6rit4mBVyU2ImmIB32LWy8iVCJgjq6nUon
bGunDRh+yT3u5i1jN4GbqsFITzGs7ljjO7Y3MXh9p62lvc3tEanZEmR0fumsouPyJrdf2rJA1ax2
QhR3FebyecfXNlY/z7cLxpZ3bLzejYh2D7QdRIRB4vj476h5QcC9CmPbPdAiR/4ATWxvA4j/fuSy
baSjo7wf5rZA33Npu0NpGjirIWWDn8KYeQieqd03FMDjMy/SPNczqNOq192PinBWPx0dGEE4PWMP
sLpPaqfzKtuO7C5twhI23ocJZ2EY1w6P06fOqW1N++Q0U/tJT0AloGKrZdHk9XeGkzRw+5TineTL
0nmGV89IAou2h42JM41rzubXz7ig3WW2HKHhwK46TQbCZGqTaHtvrMery0N4kNPu1ClxTl3KHzB4
jPfeqq5+oYEdWUnBfINexN5I4+TgJanrO3WusK/VDhau/tKAxTgoI3SowYXvniXGvdBLI2hkNl6t
awoVtrUlCIAV/ZnZGZlqw221EATbxC2Dwu5XED71NmOvlLBskP+VG7Ed3nkoZNudZ34ybOwRiEWa
fFgwitvb8VTcLWvzaZU53njpcGVNAzeLdSKi8el4o2dO/6TU1Y9/Lxnjj5OW10kTHkylQysYKcXX
r7PxvDhbqZvCREh6J4Mi904+nrJk+ojicgyD00Qtt0dQMbOXeK/T8drnVuMeBLTOHabd+V4wX4a4
zDbLqzG9huaufmuX3GG87K3X/Bb7NI6Ygc4o+xxoJA07XrodCXXcbOa9a6o8da/2QPasvjPDVm8r
QH263Ct2/WkoliEcZ+WhpCHti1W+l9m8Ffp0iRnU3OxYJBvZwBe93N/y1BxBdCRJCyvURg5vF47C
V32eGIJx4zEnKDo1Q+32UT/NSmgoJRz3tU2vtbx30cTIGj9P42FXFnX5iIki8I6MbSdgc4uda+VK
qE8NC9NOFF8CjvNVyRpBvDrHDNDN94PqasGC/ve8pBpYAvPjNBpPpqIVu8VzPsZp9oNaZ0B/Qg7X
Za84B2w6xhs0fty7nnwySAsMeL2xoByv0sYv8aqIbHoDkcnIL2QwyUIfueTsFcY7PZy/rR0mFyZN
b+LOH0nhMmPMgD6BB4DUeoFt4N5te0UO2IggKTe+08Z1/ji5EAGzDBBqdHJ1ZDzeJMjlQK9KHXoi
LHAqHyVe7wlgWXrdrJW2V9dyDg01zs+p3afXuisJeJL0S5t46fPYksFj2LBnmvh59OLTlNg38Wp1
oQbKZ7aR6cxrv13Y12MO5JW/u2/ICX3FY11KbCx97LqUkLT9pe7a9V6vAfPhUjP+1Oq6OwwGe6Ch
KDzlnWoHIjGSMAUS/4iDsPzAwD/2cREb75ssQ1JJB6chTI0Wl722AZ6cmNe6s3dkInvfw485eGIh
cqzegNBA5Zwk7IqbSSUsd40QYbfdDhPTYkvEx0drYW11I8eMkqJ4iVmPk4d127MLeyU/62q9OV1U
6lfsiQogMhrj7DStldCTJW1npBnDlhe5Sx3NDlJ6QWSgbIj1nazgL6uFRUIvZsOjb6fk60jT2XYh
cBW1Q1cCyskt3p9EpmW/1mbtOxYb4t+h7c/rMVUEkU6KRaFuva3SbVGBDF5rKyzKkgSkYTcAm/OO
YI7cQ7pa7Tu7QfszsaRsu9BaKXgZ5nnbHf0WSVzgba2OiWEIjskIMgRHaLC49ikrGURVq5pez5sV
TdLZCKkPEnMuwoWNTkdQl2x+B7udvTk58X6mckY8hINKHfnUaLZKQAlaHzUtj5LZtfxQdoRrq9oO
dyuWnDxZcWdV9bdlCyNJZcUgrll0tlZ8A7/YBujLEd5xlvMTepMPEGK742q7N8WY4kyN/UWLRoG/
TtaLcAok6rl3Re3ncHHj9Zq+lh5ow+aAVcsHJHKIVAqR/3K0NoJUS+LT/ASizAgwUlvvNUC+YETY
TZ7HKZmyBK/rtFCvpx7zy9reTtNSAAZvyEtExjkzlLh2q9teXXTihyyH5blaiW9iZJ2vLUtcSNkd
QBZz9gjCbiea9lOWCXRTKs7MQnJDjYMHLB2X1cc6jSnAAv/8158WrHdYq0qIDgHVfA0yxB/0qd3P
QAt2y3bq5qneHU3cidgshItMm8gHMJDkJc7dMe1V90ZrGeAPBf/q9Yl76Bx2aJXyV9DnwzIg9uC9
14C/wXz3kUw6ec40UET449ScCzymgqXteVTW1W9GrQuGpd6k4GPvqJcZ766w3KhY7Ud7cb6X4HUx
pTb1I7tzPMGpMQIiGKvYWtxobAtSlow0+rLdPZvXB9KUKyicAo1HppOWvP/UM3qKdj7HZXf9P+N9
bhf6j0LZ/yeOJOiDURaya//P8mM32VrLb6/0x7T//Nh/CJzoUnNIuZyLmyrz/2ZvbpWnSWRA9ZRN
9h/2po7JpUFI5H8EECS0KZj+l5Ol9j/I6G0KKcIYPwvd+43i2D8VyLZs7vfkGSYozCKDzha9Dosb
fx2hZq3DRF0rx0M1mjVOjlVDh6UtI5lrZ4NwdMzi8Quk4xmU/vBTj+34JrFA9P72yu5+Xe93cU3k
AP9yHzo8BmsbFjN7fJPEG16i1Fodo1QkuuLQO1poGgLq6N4eOJquzfbQ2ncxMOYh25gEFk4AehLf
5OmMw6s0HoYWuoF+WFH+yc641F4bOaOjzO0tWoP0q23nusEcBOtkiAFWf78MC108tEgsQJS+OjxO
aAEsUA7nuArysrubBe4HAriP0aD7aIdxV342y+RWyZsSlqt4GDIDUWAj+WY6ovaBAW7+HeOMZz0q
VsHMhfzBpVGA/d9T1zUPxkKyHy9wfIw7BA822pdId7zYzjD6p9TGKDSpVzVEZH5Xz2TIVamFVprs
Fx3F3jq0WwO2y2dFrHjD5x9hUF7BqDkwNcHPEwcUkYB5az/Os/UFDp+zW2Zxpj4ddmYyWvvZrN2D
YWWf6cOfpbte2bP1s06zg6t+RZHo0Um4fO/cSEt+sGMtQpYiwFXan3S93em4fO4Bnu0X/Ds3kkZd
jD+y1rAPw2po9HrsF91b42Nn6bhdr0Z5aMXQ+rOzXvfadKO4tKNBoxW7ScModLE/lkVylOqHDuMa
+jFI0pvTx3ZO7ji3Q8a0OW8Ls66iWgLAjb09XbW58VgCENqpCnZt3Ufsv1/G0j3OnfplBS200Nre
pVPzBIM+RPX8Wm8Ni24DustxDZLOe2R57YQFh8sw6XjRaQevFSzqeMY78Clu1uvRNj5QxVKxOsOj
hq+ypv2oy/LcqeP1gFXp3hwSv55XVJx7i4pMr/YiLnxv7r/mRr/XTYo8dUYWmaXZpvYjdbW6g9z6
o25lDNW49OsOkXMdsFmZ99/VHh2bWEXkA8kk/N8DR5v21ojVQak9mOVnR8r1Nqf7+3lcy+tOmPe4
GY+Ru0yokCFrdsR2xGeUcQ15yLfb6oCW5ZON16jA7XFZbxvrsTMxR9RaJYM6pt7rvVPjErAemyT/
bGrVdBhGbC3Aha4xNmNz64P/CkfLuDWXe+k2N0zj9p1MUcwzl/pkeuS0A/50g53e9XNcBEneHygf
QQH0s8V8zRIHN70bE+1U1eVeeseuQlwJau6OcHCXbTw42M+fG6ilKwJE8Ypb2FQV9PY0edN6mmTn
iIJkxggWZNg6F5Zb4YatuKNe20+Ndo8Sna/VZlio6yfs1g8jkiwSE+sdw7HPyNTsTaWIWBqOrwL5
Oxr1YJLcqsM+Hu1zPWhXqe7Q31wfs1G3/BaDxwxe7F5kFpQXCzKbQZdjvgXDHgHk3Fer61wjuBdQ
b3+3R/NOi/NtO+m3njrgj9Jbt5mXHJn9fK1Ee8wG60cttGNOMUCHFYKAXpehKCq8HdRpc/EgCXcY
eABB/4B3F/YWsXqbgAUMKu1OoqyqdipvHiBIoipHt8luyqyafBsiGFOPMTQXcOV4XN9ZMr4vcX/c
LVXzkLlVNKYx/q9WisZI1zzXSM2bi/2pRJ7R5j/4ei7CgvITdfWarEs+Oqu8Bfr6ZVjK5pBqQ0qe
5H5ap+WjM02JP3vwH/rrOol3YykfcC6/XY32S19YX/VeD4c6PqnL8KVdxGexOGXUNzwHuJ1FqQM5
LsHqZPqHxVQ+eC6vB9/FwHXQox0A/QwwSnYtiHiKC5kfHHc6YjYI19iIVtm8GKKMqiH/5ibMdKYl
PlYYs9+0MTu/gmK111r3J52LT7NFEkXvNYBjHCIXDp7VhHGHxyoe5Fp1cFfvmz4Axm07j/XXqygP
pepez5VHvTZOG9kuYIedkYT93HoV401ahGY5VJitdt9yjEtp3Wm7tJ++UBvewaN4UCb3pI79edXB
9He5A3kcyole4/WamD9JR62dKqHnaFl3wkkBiER8I8YplHiX70zMP8gpqa4UxXT3qWS0L+c4MFRx
zdY79tpQBYOp3MlmBL6bJgJkinJjYiwK2Dr7Iesm6tbiA0w7CFxKct8VQ4QOCh5UqPQ5IpC2czN4
xrFezaupm0h+r+y03wuA4Sgf49EJxNm2vgyGeIzLDolBGYll2FFh7NuaIKTWcdincdRI22/qr2lX
nUvP+TxK7TgXnt8X5vXU9YdpbHCiqnyN/sKejuNRzeZ4J/IeZ82PbTz5MFkOS3Zu6/7zUjIkmYoD
bCC4j9oT5nK3mATQCcGW1/GirI+hznTxYVXSrSCXD3bcf5NiiHcpdtFXtvzson5sFSDKIYdWnn6Y
igFNutO8Gj5UzQwYv7xXVuMGj+NwbGZ7h9gU5EvLubPm9GezXCejE9SOepvOLyhVnmn/hzmCa1I1
XsjAKbeRNhwK7Zr8DWh49pLp1Y80MW8Nuz8btjxkInlQlylQcUXdWdJ7cnNILsNLTybeLoROfF06
S56tdmYT1k9skU/tYl05xdfRBfk/Vl8T5iedyE+DOtw6VAIGYLJIj9MbeoOfoeLd48h85SA4MEAN
XJrytrXKr2WyqVUr5rPntOdx0A/1vNw42DBiH2Tsc087lEZHT2X4NqzDExSpoLD+J3vnsRw5km7p
J0IalDuAzSwCoQWDDMrkBkamgNbS8fTzIbu6b1bN7dvTmzEbs96VVQoyg4D7L875zgwMLfnGPOwz
t9Qp0jBHBOAxTYZOJRRIrIktqso8A4qYuKsxfgRLanEoROyNOJZ7hr1dziS833RTvhuty5y4h9HM
ruSM/xjcYWPBJ8BTy/1ZMlGaUOeD0YlS/YJzCOKgV59DO31oColtSN76fPAjdGNx3n2NLgWo6/Y5
QTph1dq2apO7ipkqDVW5sgZ2vLEjAHOYm4JwszG5Z/Jc9M4um8Z9mbffES6dojjdE1sq/cY827lp
YIXMYBMu3TPxFBMrJke+NFPzCa8w2HS2TRTaECH51lr2693sT0n+PAFfeBhnz/Bl1CJ713UKm7JE
yDJYPnbHY5pkftqR3lvY4r6K5FeawW9m0L9CgdghFs1Xjt28NCmwyTF5SZxmg4PJlyBJw4liZn4a
OvZgHLyYhn1L5Le6QroXtDtliI0zELsXXoZRYJ+OpjOjVhAVpe+NP7Mo95GUdDUOETaHQRdfk/ao
xWotM8efbtMcbcsWLXRxrQPMkxoaA2B4EfdHTF/e33quorViqJqMuxnctmO+hqN+i3ud88DdxeFT
Gqc7dHH7PrbvZ9Y9VdOfJz1/GIz73OIBwrg1x++aTu5WTQBT2YuVSj5HAuzkaJ7jqgmxN03HyWsR
z9fyp1e8RLybqgyPDPewGZX7wKORqGpkrnBtVbjK3CeJrsm1u48Yxwb6jX4tAj1eudQPvea8pp1V
Auh4qecQp6x26M0TYj0MWhxZNiXpFMhjnctHI38axCYslT36fZvW+F+RJ3FY58+h7mh+QSr50WMr
3AP7pbRsZ9iQRXqpXImTSkRQP1FWHILAwvOnN173Jsa0fKk7cJ5zLHpU5Z36WXSde+8ltPVNag3f
h7FMN+ip9J0QCb3DLIPBx7rvm66YSOAS+jdZZNGDa+XypNchaeYc9vneM6v0pWTbtsmM3LvNg8Un
qXXRe041vM/Yj8Lmpe/fdPhQjqgTzd6P9JRQOwtH2pTFB8NR4d5pbP0HX9L9xpBu/tRyEF+5UB2m
mcR4LMFWgTMNu6sbIS/UiyQ/6ZrTPNLvUR9TmE2roSnahzpPrSeglJOveWzqVRKNB7Ra1akc7PDQ
a8rcOtis7wtQBOtAGS7gfM1M8XPiyO7Lqr4UZRJuuGsqfxLefNBwXy3h3cGRCXR79HoHkg+bJjAF
jcfnDuz20rFa9wtTXUrXxM8dKj15ZGTuvOiNrr5VxBOckk4G21DO4dWe5vIrkA3vLrGK+plGh/fH
bcP8001k/6YRFj+uKI2Tqz104kkQD3yDOqEe2tGr7oyxEbfBTqZrU3rRSdkvA0n0rTs0O2/upltQ
GvazZttqWBWxMr8KVxu3Uw2H156n7KEZnB4X5+ycwbt275GInX1e9i7j/Gn6TJq5uO+zsbsXmKiv
WW8khzyGasAIfNlaxBE0YLffGgpgc0hdv5JWxc53mOXKCkzDL+0k33kRiPl8abCLlPjvVRQGjHuz
kaGZFYlXC2GwP3E8vSciMwGV9NbeThzjxFRIcaYUIcuE+L6c3qeohyMcCZ/0a3U18ZOFqypXw2PL
k6lIAG1Vvith6a37ev4mskSj4217lD/B8BRo8tkt5qus068yzva2yA8RKh97hiZrd/Fek9OpjpNN
XI1yIxzha7obrm2NnADF/as7b6NWHwaVQJYw7O8y4zIzkw8blYliWMtedduhwsP3OHIx2GJC3A5E
8M4NbX1HzvMrqehPZkFgte7eZXaP8XL2o8TiO+53Q8pcunkxjM7bVFr7xlotWqkwpqLM5dNgD8+B
ZsCXZfancRLFUXpWk3YIXcWGJhwOlVHbBCKY2T4vls3ybF6V26/QbWWgpIsNsfOXOh5b1BMU5W0c
o/O2t0PTbYtWM9fVpu1fe/TZXdmeACmvcEVtw6z4WRXt8/887EBH/adhB0t2gWwGWTKJojazaO8v
Qxdc61RMQo57mb3S5seneeqn6zQS1caaRx11WdR3UxnOD5xP0W2EHP1kYG27NkEtyUGWxfDmpkP+
6fx6VdLlrVHL+yOWNyla3ql0ebvq5T0zfr1xy7tXzmH6OFpQWVclr2a/vKPu8rYi4ZuP2fIGB79e
5im0Whg5qXYMA951tbz17vL+48gONzmw8gtxRt4OL51F8DtwkUMSpGpdYB6/Z7FmbqvlbDGWUwZa
xHgIA04evQsmv7ZH68kRinPJaKnPwyjqHvWkbB/1ss0J/JLNsZobMqtnujFvOenMJcAMVazOx8U5
KJYTUSPQ4Ye5nJKN6uJDRGyjV9XRJv11mPbLuarFIXa9X4ctuB9o9akbvRcVdUalK8Llk9TbRPA9
XwYromEYR45vPRrlqVZj9GB7pfEt8LRpkyPctKqES/7XJVD2qbEbl5uhXe6IYLktyuXeSGJP/dSX
u6RZbhXmOeWLsdw0iFy4dPhplocQcsOmXu4kd7md2uWeYgUTHaapPJfLHRYtt5nBtUaIqhmu3Lmd
vzMkPMFA8uBum0b7MjZkSrmq79CExZn5qoTDUCvvTfV1BDnCW2MBda5CBlApz+aml0OJ9ZsCzkTJ
ubKm4s5ps+IOZVOMisWM7qqBJ8/CCF7RtO2lRr68j9gp+LBzAVSG1cBMc1N2xrYVutOgqv31Fa2G
Pt/JXaLlp0BzCh6mIoKVXZbZfVkk8sOtTfOUJxwSOwmbmfg9w6ZSYGlZjFgm7PTT0quHwcrYelQI
f+ttFFjUJXQLfl9rKQOvHAFt0jlM1UQ1bYa6vkV0m/tRs782ZNKven2gk5ipK2ceX5X1OZfNtPG0
4ClJ6qesi/KNNibE+2lFTrBJgSiThv0HTcyrBiT0YvWet2kr+3kg/ZswWdPa6PmQcsJGRHnVYXZz
R6mdXYCMGy56aEJ6Gj85xC+sWKAkx0jKp9hInlzs1Kek9tJ94VBm97l+DC0D7tBAlutWTuRCMpbD
1wtCNTZIqnSN+KdSGjjseo6oitN+YxrqDGFeX405v33kwfATZ3gTvVEeC9bV20JONtv10tzVxIGu
EU7mq3a2d25UYhgqRtj0gF62DFMZq+jNR9brD9SF5kqXU72i+niuyukF5VjxOBIRcTXdLNrZfT+4
uGlT5L5OFa2zFJUjDLcKSIVh7KxEVlvXmeeVaw/tdjB510qXuWbQkummhcpZhVP7PhaDcyAvLH6L
5+JdGJC8c1E1u8xhU557Fuy7Oet5rOJ2Vef55DcGOQ5dJbuVCmZk9nBhIMALm9vRyyktKp12/l5g
RgNCRsVE9i9cGjcoX8qg4yes6FpxBUu/9YYn/pw4hJbIuHYR9j+3rixOZScCsh08nZQmFV/KwPlu
IOJ8Apc+8xRwoGh58Z0u5idc2yeWI0hDjNhZ0gfsu6pk6VRKPrvMi74jvRWrDK7KKq3bnGjeAoqh
ij+VMt/G7KsukgtCfp4IQBCqcO5no4QrnxY/ZTvflFFKSuEew3bWYYnXUH4CfojDu7Yxh7WVcDga
Oo3HULhcVuz2Hgdwr8+4ylq6V+PbVOrWRtTJs4MDz0B9uNFYR9MZVw1JcUZ0Dh3rpJwxYpbM+zU1
XBIgFuM1A+k74Ifw4HunrPdxB9wBLV+0D8dwfkvcpckMLbWdJ7yvq6lFM+0n3TC/B3Garwnhinyn
zzTfFgy9nC6pPpJIWYdQk/opGr3kkHV2ew1Kp7snjLW4F4E2fQacPyfDrJ39tFRUw1Jb1UuVZS31
1vir8lpqMFPDG6WNpbYOflVnnLj2M+C56dYsxVvPJ/7r4v1/tqH6fUH1v/4/yoX7Yx+FOuKfr7Ge
mrjqm4/fMaT/9cf+WGOZXyyYdcsO/ZdV9rdNlvGF3REiWba+S/ToIqD8g0PKJkuIZV2F+AxQubUE
mf19k2WSzOPpNlYLl0QdHVXgv7HJQpfzp6qK6FMcazaYT7Zj2Dw9ffn135btVZFqGpE0PXhiWzFo
pBFnZrfPB8KZgQW9oY8LV8MUZURQwbeZy+7HZJqvaGjf4OXqt6BGNyPq8XunOARSZEkMQmS/1jRD
w+5WF49ppbenxXq+HIDFemZhyyI6eUDfh5gVgtSeWpKjNKzuoJygbIxVRGks3kqKk60ku7ikpcsr
cMMK+WsWCqyugNJgb2jf7dC6s7AZEZWp1e9IRRg4sU/acxJLRjhWwFcNh/eY9RgihjPL7SFadSOc
k1yG92wxvDVINW2j1zTehpUUZyBW1qlL7PlYaZU8R0WAYrpybLK99Uy9BB6zrTj9GDEQpAwWQQZ3
Cmce8p4NvU+whHKwLu4ZEyam3d8gme3SJrXPFetvQidEv50DVa5DMHfpqjbQ/aycXhGjkAij/2n0
3l2rQrkxGst5sBGe+l4VbaK6TXcKFA6y7bq4OEkJZW5qg0+LEepeUnYco9as1oiiCKoYPeeQgq04
wsaUn51U783kRb5FCbrY8lvf9EDJkfZXffbS0y6BHAisGGnB4m5M1oS625c5bfotUdk/EqMbdzTB
zrXRE2TcIZKuPjFMDt/SZVTq2Js0ggIzenXD1GEyby7VV1VBZSoRe1+ZPqZvVqneyKaO4F8omPTL
bZ23+tle7u+qtCMkBtzpKZdKXLjp3im9d2+59+XAb8fgoKLtaDjdZqBAKJdKgd8FvKZqolPsZE8s
JJ6cpa5wlwojDydC4gOIZqmD9aZFSYflgZqEVBuXMpE6ZU49azMutUtHEeNY2NQdZtGXPqlfeV69
H9NS8+hL9TObxBznS0U0VC3tYIABedrIcoKWQfGULFXUsNRTLG4WXIv9NSsmfZ907c1Yqq90qcNk
YrXbvC+7Fz0kcZFg2dugvCfQKPeFRbtJx0N7Gtly1Q6MlVbeALh1mtplWWuZdbPLcbMdioB9EJVa
U93bcqo2htC0ddSk2dUDMbcpbRZcAOmrreQZvIZdOxzJhoiRuqFPzqKI48xrdzN48cWYHzFfbqwT
apfk1ia2u6OqBY4t2hcjbKfH3MsZUbFu3xtdWPidLWHpJOYujYf8JUvS2OdHRe6HUANz7KQD/9Jr
JNuW1bAJUrM+A8gMj7MawdEHA/vrlSEac90HzY+yaop1SNnLNJL+S+b29MAg0FtXEyyKicAUv2vl
EfiqddWbAN9ZIJBleGP8MBoZpXrl9lc9mZFAanL+1imPS3qmUB6dktVsQvxyNRsPQdoBjaKjWaqg
cgtwDjBOGzCzlmG0TrvRhSxRMeo3owUZnmd5wcRJl2tv1PpX1XryuQ97Z1+7KnjFZo0oREcSJgY9
2cW2Ex1wwapT7Yj4GZ4Xc9yyltYqggt1y2ZDuwOZM1PEZcmrLMxXPaJrLqVahS3xKlU73VfdYP4Y
KmNYiAnjWotbVDyIDDGsTOV8dCONgT+bKbqj8cdgtfnVqazxSKLOuKd3YvwQVIwbnCzdGnP46tpZ
dQdP8oTj2Vw7ctWF7CJBl5DIoKzSd7X6NA0B5msjtpJ1TpYh6pnIOdlZntyPc1CdA6NLrpHOoLfU
+3Mv42GX2139SvhPv2Ivx+qnJu2Z0Zm+7mP833mr+DiTOXkePL6NbFTzLYjmh0kU+dp0YUuWaowP
VdI/cA8xqSwDwFm6CD/pgua9kWlP4VTrm9kq4MWZRXctU1cg959jsqUJVi7M+Dy5BErWoV0+iERH
Txqznm8MOj5kEUtnhrQLOh8VtQbE+oAMuF93Wi3WQezmO71JG0giHVvcnPSyIAeQMzgWp3AsfgAj
KtaepHEiU/chb+S32HSx9yZsTljdstXWKwRYA32s1bfzZugDjpcA90JZBC+YXbkVl+8B2au1CWPY
e2Xnma/uwNucETqwwdPtXUD+AOw0B4EHJ7XC8VMD3klaD0rcJ7Nyf4o2ueRjz+kLWJAwoQ3ZsNcB
zfZqGlJLw68SjTdzjBDwuqm2ElpycwAesGqWyUuFG31Tm2gwvDl6yQu5E9qYrSV3QgEr3/vKlhdP
s1d9LyceKNlmT0OdOljeFHCKTL+bh5m5RK18brvkGRAkPn5N8/xm+Um7qQq21kA97+YcPSTTf2cT
/Eld/D44ZsCHSpDRJkPqsHFQbC1SmPgIIvMef1NzcfUQZxqu0tiQxLowgvDLYjDXKBtQUs5FAXrI
sfbtkDZPKD279dzi+5Zdl++tqfzQNU4hMCpropk2shOfqmCZZYvvbBzBnncGWz5L/E3J/Z9y91+A
+H/VrdYS2vjPy931x/fm428c/o8QCv/+Y/iRxf9H9fvrb/lb9etYX8xFkoUjzMFR4f0WjEwda9gI
PNF2oS0l7fi/ql+dkhkGAOWZIBrZRPv19+JX/6JTTOvkLCMB+yX++jeK378oWxk2wx5m4QHjHngN
Ptg/l75J0pEdFmQBKZG8jeTISjvaMl8DUmzvfvuc/hup1l95//zbKa4XleriD1jMJX/+WmFOaiFm
vAB+crkFxHRTeb1vU2dboKydvfprrgu/G189a6s58zXMZ92PrLeMN8+Mp9OUcanz9P+L74pP8ncd
29++K5TErkW74cm/IqGCKi49PGbBporUpkONkckRfKHpbI2w2czk7zla7ssGsTEMQS8c1ipgQxgw
mBcd+uvq4X/+hsxfn/lvyrrlO3JN8oSExVSLAAcan9/bkZxZigY7Ndi0cx/tzMQ+IMK1b7ZnBNcp
IgGvElp2rbKhb5Cbz5jRWRQSjEy1nQ72YY6Kd60pxAOnQ3ayyFg52Tb3j1NsWRA03CnjuzN9y+hD
BgLlZVlcJMvWdFxN7oAwRMB3CFdEF22sFuEDvD4ENez653XN/gCT30WvtbVXMSm0i3WS2Rcv7bd9
FB+ldhvN8jYH3HsQCu0af7JLaLPer0GHswcwj6EMdj25uK009zG1Rt28qVw7aEStzMOnVpwkYwPM
jtaxolwz7X3qvQz98Dr0KUBohU++mpyD3b0AIwcqOQC7KXcWqOW8Jfq4Cx9QMcROcpdx++DT8V2h
oJMFRxFBY7YJgAuyRaz3mA/F0bIcwtsshIMhK9S829aJq7ZLyCdCkTVOUkTw42JNvAyR3KJrnpwR
rD5fMxup2IetVZerVrxK1zsmufCdIj0YJGX37DaNeNgSFIY2vUSbPfph1vLx8GU8e13V461sxAM/
T7Z51r7vZL6axwHlOmwNJo5G/Rk5V7Ooz8XcreLY9aGCLTvQY2XzZg7uRk9yX4sf07Hca82dqpyt
9KKPgRLetj/rqXxv228F+KUQ+QuQ1muLLcZT93HDvBqGb+4625hJWhi0/R3pF9Ujkor30Mm1i6LI
WDt4PTUm1zeYfSWB1jxaZhewXM7t8lto1QGxnkRq+vlQJSx9i+xHq4rowZzD8sOzYuouSywvTbDc
50F0cEb70TF681mm5kCEaNh/JXQdYI7lhYzEHQ/8eqaHL3mVFvC0rWBlBAXFLOBXWB6B6PNHbmGW
ZbJ11l0zayyVRnjqfBdy+hCNyvaFyBFwTPUQXqKhis9Wb11F08qHZh6cW2fmf0RP/eeS/NeXJI//
Yv7655fkHVfjEk7zl2vxjz/3x1BIfDFJNcIZiFKaQAOJO+8PebP1a1y0EJZ49hz9d3mzZPJD7AHL
P7gTzGMx9vz9XhRfDC4zSj1uW5LYTOffGQqRNP/ne2GJ+bJIr4PARRiBdMy/DIVmt0WupZKcpAdS
KQvnI3Rij5exye8iWwXnOGM7SroHsVEpAl4QqrsaFefHZAvnkriE1UyoJxIBfCOqRlpcunK7cJ9D
/N0EgnhMVPqFU6CAYY6pPTwMDQnBo2k1UHX67LGNMF0nXtOgjbTRAzGxaOVFtZwIroiBQBFs1w3B
Q49tXoJK3uhpAPU3CZ6nKHC3zeJ1cHJxRtIjPxzCglmUsq8oTSbRrjdfsnzm1hg7xC6YTVYDohpI
nuN2bAfSmBPykdlAIsToc2td51QHk+EsNExtXXrjQx3ZjFy879yTq7HKz3mP9aw1b/hTTmVThT6Y
Ex+E5E9hxNNRi4JFO5W6886MmseYz/ZKhiVVwKxVu8mJnyfEI1Ibz73gw/S6yjonin9ybKV3dgHg
TQsAHaIosESPJkwv8108dd9o1ue74KXlzFm1NaBxMnCOthFld6gmXqRQ66zuN5lNznJu177hFj87
Gx+mJzFcoT+eXAn0M3mqkX5EFR1j4yBihF+50lk3rbU52Wuqf9BMMSAWaqfnPp7FwXJygrfMaR2n
5UZVqFMnpw7Z/YfRI0Yh0tyHz0DQi4WtnW2nSbkYs3P7Kn6hxsWMHQ8sg6/Qd+3cDicHVg1xQAet
nqy8vFlpbSPvtlhzJ3mkHvUsmJnPt121w4MVXidJTrZ4hnMLki6Rxf3YaJoPUOsS6vY1QmaWpvI1
zNQdWGfldz2VXDI257BpDxr0aZ0+eQyht5IwrYSK+VG1d03T/UyLRx1ANq2hZ+2FU2W+YnK36YyN
PQ2+jk1kVXuW5gfTTA1i1ndq0M/EL1I0AAxxXRenmFqE1QgFX8ysYmQYYXGc5PK1k0Ota6smq/Rn
IMexz90twFOuzHaLCB11mTsauxrecyGMDzvQWG0b3s8s8S5WOq9sPUeWU99bncuuI1mXqXlr5sj4
OuDB1iGpxRubRJJHT8IKCMCCr0yFDMHCtnWdI0vcG+PcbWPPiHYFtsBvlV33J8jccee3Ssj7rLaq
oxW06pTYjcuNUkeYporwpBFVcmA73R/Io8leEwtSqk/vFp8jM9IPURI2e4UK5ql1JvLWi65FPKyr
r6RbgDSrx/I+ktZwcJwie6ePdB5nG9depqcpY5dCniJZeicsNpK7bRy3nWEsypp5uiD6yJ/mLp6e
IBX3x0Sv8uecAmhbDyYqhqbymo+OmdK6NqIBSq8nLiBtqzPVwfiAJtS6E8bcHzvQvV+NJOuZ7ZUT
zG+PNXUm00MTeeI6N2X0w7Inbs6WgJ7vGKkY8bJO9i5zP8YXLLXjWRC5cMoC12AiMgz6vetO+m20
hvoOwLNxztMyemb24KHEFs2ZR8U5W9qon6kVunaF05mVbF45O+LKszv6gxC1YKcekowI+39RzFu/
RvX/VTuzKIDjg+SSW8BldUCf8efaOWXSWFrtHB7cMMzuKrsph0PSDu0dmcdoWwLgepUxjitlGv2a
BEdin/E5bgR8/Q0Cxmec1No2s1TNW5Asa8bWKGGnxvqWBXyLVjgOv3ZkkU88c6G4l4WenDo9v3MC
ia259uZ7Ztz09IGbXRQc8BVP0rMIpnLVUOrv4V/lPsN/sYqUeGoalCp9P+ZX2YcQHkbVB0/VOJoa
gVWKjVrrzHWxjgr+4hXDD2Z30iF7qpixCfstBpsJYg+c+80AKvwrRPE6XlMBlRsxG8UzIGH3Kzyw
Y5t1oPxNALGOBkW5K3yFdaIiVNCvO6dYQ3bGOpaTpmURpalyo+O7sm7V1J2jqnkMCOjAwap37EDE
EeTd5M+MYcnnQDNtgfz1nTFRhCHjNpjt4RQ05dmJef3jWKGubUN8c2RHJ31DLc44fVWPMvwWDWI8
FsNobzUMbwD2pLgrVcI+wDOyrROlya2aZbiu+jC/6+fR2XkBjsV+Zsi9mkkOOo+VQHvVJ+0ZupZ3
6YUePUd6aJ7DWNZ3Ka3vrTSkfh+lcCx8SCzdiZ/1dIYRGmOB7bwLIxmed+ZN7Xfyngd7RVsf/cB/
XfhTE0zbZnlT1PLOuMvbYy7vUb+8UVnr9scomKy7VCumh6qO67OtF9zPUTvcVczp1zCuWrzrOaYO
in6I9ssb7C3vMrHS01PgpMUT7r3pIgxuH8TbIxMqzgEsmd5JzchJKrtETVAXy3NQu48o4bN3PA7D
YV7OlXk5YezlrBHLqdMt58+8nETxciZ5WqUfUpQC5yKUHFkT9t5X3DuE76a5B3BhDE9Zh3x/6KT7
kWSmOlWBxrZEps59lJPstICv+hMFiPzGEDraTdg+kUrH8p7frV37OpS+gaxyE8dgNDD4qEUDHzSE
SLSzR4WSMnFot66XZgbIbCcZt6RvorZFjS9z3witRoGUiPLhrnAS19dFLXBnMu2d16aHXhCNrxck
x4KBWPWKibuhLxNp1YEGsNJuX4bNEJ5N2gampm1sN6u+c4cerXFBGkJTxxhy9FDDZeJGkQrXnppq
JEizmLmvhWC20NjLYK0qkhJ6b2ddLW0wL244iYdJw0aWeVa7aXC83lrivFPYLUGu74hQybINAe64
ugNWUHgJKlZQg6zpDT1gnKvGmSNt0+cZFRBjYSRyDsfm25yBH/Zpzg3OFpUkHo+YURugETvzlnY1
n0tRPziBmoGiJQjHW1X5nVnsW4CV28TpnrvhLHFTMFDVLwABq4sNh5/GTAt8atRoBTwh8LGT5XRP
inQaL5zWeVmNK8yALO6G5B1/7bhVyfjNKKzadxsLvLgy7wO9Hu/IrDF92TafsfOJ48Q7KpP1lXSU
yZiAa8Aqa3uVOPrOiUpETsYtQai6njIXcwsAoyh3pB/mjb7pa9s5dXKS+6wMQJfF1pGgoVuZ9tx5
sWGdNe7/jT5X37K21JafERJgVZEIEo33XOfPs1HFP4U9RiQioYcas3I+JawqVtPI8shwdbVOjFr9
ZO3PMwiru7KwG3V6AjkidsL/7P5/FB0kiv+7Pg8F4j/v8y4/wohGT338N40ef/Af239H0KtJYSxp
7vYiavxbo+d6X5hyAWChiHL++JW/b//lFwaTsCAgk0qLAeVvA1DxBXIYpyK7epYZC7zh3xiAmtZf
EUNcFcvwj5hUF6aAY/9l3MY6o3MFT+++8Ro73Jt1Cr8RsNLUsPyPo+9TmmVHnuepOjCx6x9tQ7nh
Ro5GMm+BdFjPdUKXWHSS3JdKpsPEdkYDDyHGbqp3uRZZz17rkMo1jvo11zTR3VuiYBngQPPCFWbb
ibdH+uaCa1NuXZ11rZwOGAawwIkwCjdu0FFfCvIuwXllnY+ZTnvyjL4+ub3Tv0HXykhvcr2NoRMy
XhfuTQdAhl5MvyNPc1h5uNsB+rVD863O6mr0WcTmNcdfGJ71hAgJahNjPouorcgIsqlJ2j4D+jFn
+d7pG3wlZmzuA+GSDyNmC5eOYl9oo24sNDWFGEOUfBgjy3tyS8/djUY6Ip/PPD9R+bCyEFxvLChv
tJJewTxRsgZibEpeqzv2iKynysFsVd4M7iwmXfD8CEti9K2fTU4g9q/FODzUQyYVMAL2u+c67rAq
BO4wQHcdM8T+XoEHdN0aAXdgqLE0w1uAGmkbGqpljDh4mvEwG8JT1yZE3/Vg2DqHDkinoNmnidYE
dH+uMR96vZPJMRhGz1qXSWAMm76XYt5aJC6+keZTiwc3bzCyGQTvEVUX4aSnfTJTtbLmdui3gWyH
ndPp0Xe9rELHz6vc2xVNb7yIYMSSFOphuFDYfnr4UnptrO/NwjXPZaMqSildI33PHd4cCWQ30oN7
ICByxc3ShUBLc1qhZlznqo4fqLyoSHXSKkpoapjVhD7uWrtov1v54OxLlFrxLsaVYayzUq/XKTve
J+5g4ngUMnu1zmGFPpLeoc6EloERmWKMmG2XPXbE9ayZy2VwN4toB32kPOoOm0wgkuFGj90jZZy3
oeCfn4IiNrZDXYqjZLm/ihJtFxcGjj6399OybR+VTShPxNTuqoVGsCUwPcxXHRyglZ01CqdIGTk5
oj7+/65kZXdmruOu+buatWIVfW5qGz+JkdjxE09rf0LNZoCpM1mogrSJk4MK07EiyK5fM4BAKkdW
9iEcxvTqubjPO362Ad7oAONSSP4iS/BxmuBDauO4pvgmPS13XqY4zh9qVe7w5WSb2sMimicg1IWp
kSPrOtVj3oct116f8LknaieTsP7qeIgRUD73l6pTP8q+x9xdKTNHHhh0e0IHkq2ED5G+VdooH8cS
gSMVcuq8V6pDnKfn0j6M2aAxH5h69DfsWKVm9hsx1P1Wr5saL44zYvUTmZ8bONqzCfW8jU9wn3na
Uc87yQmTTxcp9P4t0FvWtW2Y3YeeVR/bKimOuMw8TD41YtxxIEv110H/n/Hnv7gWHRskN+s3hpOS
/zBZEvxPN+T54/tHGv1+Pf63f8Efm0LviwlRASaRhwXIcY1/jEQd8YWdnwmRTsDg/5NOzhJfoC9A
5GeHyFYN+vA/RqLWortzXEzOFqcs9ON/66Yk0+FPI1GNeAsHVC5LzP9N3Xk0x42kafivdMxhTwsG
kPCxMRMx5elLNCKlC6Lo4L3Hr98HRVJSSZS6p0sbwcVBB5FMoLKQmZ95zW5SrUUV7OSwwqCsNeMF
C802JgHm8faU2gTuWqqdDMemlFjLGuUH8hvdPGIH9+pJY1TBWZsNtC8Sq9fRnaSCtmqHvJkpXpDD
hAwFtLmyhtuOjJIyj4LEnjda5h03VEWmnRMP5apS3eCzShZ97rhe/KAPWfVBkAy6mF/BtCYED3pv
1gUOVmtK3Tqfc7NWQNxEVBjtBieQCcUUuoe2GKSblgQZQj96EmgekYiWixJHvBjUS+KdocuMtiV5
Eihz6PGX4OjcMw4onVNOCfRjxBXB1FRytRZNJttXrVSm4SXmm42CbaLAx8xOT9WefkkVIfY/A50A
sc5ptHOBPcrM7Af93ErNkSORWAtbSQEB2HmhBgvkn8K7OKmQmFc8FXnoEj/GYwowxkmCmuTCgPB+
pEh+00xiACTnHRLe2aQpU/USylt4zXM4nOFFUudTqgzAnjnIXXcmtNKop10We9eJlMjHriLl4VKA
x8AHqVULBxABBebzSGm00y5EvCFrbT/GJSzzvancuQKd0VSjFq3rqXwT5HXZw+aIW0jnNRCSqsi7
W0iU3mlTWiRVodkgH4OFXAFk25GtamUDjS9OrNxrP8lOFxeHRWta4ZmaSMMS0YBh6qBedu2VeXKm
C39khFkZda7YcrI7bCe9ZhlFUdUu5JSzWaU+k03arjZQL0sl9UKTRA8HU3Gvs8GqPoZVRt0ycWPt
KhZ2Bcw89UbFzSTq5hIVWsDxucS/SLPwxSP/eAYXXDq1ibkeCQRF+WlA212fdZmkUWlOOsWoZr4X
U2+Ro6Sm1AlSvPsYGn2lH0vCyGUwLLHL6wGICWKyJB1VYaZ8JmnzkfMhDqMq5IOQFBRn6lXoI9K9
TGPfwOdKaREi0OThtgF/jlbiGMvM7VZ4V3WW5qeR4olDoKl2tqodgO9ENmGK/im6AMZpY49QR/L0
/gg2K7q9fDG6+kEZ0vyhKp26A3yq9QlJfIv6hwjLZB2FfvK5xZqix9hL6E+WHSdUPJwSpgdCpmO9
kqCmP88TxOtP4ProAhd2V9wMZlp8qK0EZWgTnUQ8fC1j0ce+Hsyw8BNzSE9Yy8l1aE0Mo3Q2dpuL
Czlh5uc4odkSCky2Hs07enUj5yeSnmgqDHAH6+LQHkxMEgeCiIWEUeu8MFUyeU2qZPjKHU2FPJDT
jWrnmUAUF9NMBBkIdzLRrVM5orydZGkLSyHDrhMJM7T2nTj31k4UaodqaEFngulZTJB2hrIUNQLH
y0IdQW8mQ7rXCCnxTOBMs48Zb2U5y2kQP6URKgSFGhGhUKk1ZpGTA+YNUIozawwpigJ7o4qm8xyB
BVodDuI4cFFdAGEuRNB5PYA5A1cQ6hOdRbrxIqk4DpGDBCivDFggVFS2e41UfwlMzexOcWKTqAU1
jGJ5JXQE1geJPRutWBItOUfk5sV9H9l1NR1oTFz0cgurVIWVcwytIaGcI9MehwqkLmWphJOag9HD
JqibuwWym4bwQiTpA3M41PAQnADhq+d2KjWTui9rBAAr7UgDanJr+hUCgKGdoGeLB+pMr6IUpr8z
0Din/A+nBB53F4Q1cOQadehYjRB7c8gqWPGy/8GUh2iuZLAWJzomGcdyLPQ58hHOXBjOXUezbSn7
/EpaV+UcuJn7WRRxdddDeYPcQKsYEW4RfnbL1PzgDkpJCVGLg6M2RZ1jkHBV7t2quwJhvO69irq2
DIdW9wt71oiOFoRj6N2RlTftSssi99gwspB5N3xghFAxkD3z9WUayuImLwbMO1I/xaXTl2J14cky
EElUpIniKjdo7u3Ql+90EoGVL5UutSxEWE/Zgkd3HYCDdYHWMnQPP6jgmAzRIUREdhU59tMr2kDW
IgpSY21AurnUMCk6BK4rrdMShFyLPB74x8BornIpAxvmW7jGoHBrzc2u8a4yxXcg4uFhNbUwHaCm
5PoRCVljY9GXUGlOEMumVeEZa7IoA2YXa9afqBg6nuqSWq8831PPfBr3Fh51Acy/KHf7mS7TifHk
2jx0Yhe/aKcOqsteRP41aIVmbUuufs/aVdaKV9iPeemVC/hEDjIgogcyJ7WacoOyT8WuFAaHmF8H
QO8QdaOsZGs4oFsq5o+1oHBsxZA7RoP0OoljsrQcRjtsuEORGdnMibTuWIr4sBzASBw7UkJqWrkp
tNFIrW+KXGYdkxdFCxkxYSrTpCSOgA1eeRgiTvo6E/QUINuh7oLHIzS87jSFsTLKm7U45QFJTa4U
zuqFoTXYbWniyTQLFekLtw9JOKywuOpqqTrptc4kKasN67DHg6GYRp3WftQjPX0sRvQV1TTZ8el1
jsKaTVo9hFrX/9/E0P+PCCOjgKdsELgKTdEF0LWxbf7z+tHbYLo//p08/DHbxJtki7PjxdmNn9+4
xVeknUBensLy9/GzfGCZME10oHZjoelbnol8APBaoYA8hvOAryhPvUIK5ANZg19go5W6HfI/4pko
34s6jkrKqiZ4b9GKoOJtf1dpysHUBvDWtbnTXtd9empfKQu0PTElIEpwprxpPjpT5YV6DRLYrqkD
X5e5D1LnxkHWyHckXJK1qRzGn22nQcOBoiv23NLCtIplk7HeS3jZ1l3faTMPrSbwBTd1+1n42KD2
aMHLOP1mEhCD/hyTRfRnjwDeFt00WjnwpMWZ++AhqpToJz3g8aQ9TQnhHOMJPC3MQWR3MCFXjEM9
ADIAh+aMHXDWt9I08vplbIQBQHYCTYRFdWlJ3FssYE2407SOzjroszbg9aS9k+0EfK38IR6piz4H
3URX4QuWJipZyX0VnRsWUPq6CSvSfnRW2SAjj5p6D6lRrBXky9xoOFTVYiH3YiVp8VEoG9EUUyb8
9FAgzbLzsiYNIP4E9o47YyCvIwRwuyzg3FPTR73WkmmSa59kqhV8TXPci+epTQka3XutDBc9FKAC
0HxgFBAay1PVr9YVJl2Ko96HprHuUp4V6WrYwIqgeNBfpxLGJ7E9d6nkTQLSMUyiKGsYDaOiRr92
Y4TgcrtEP85C4AY0WND9iaAtfvQ7udnzupPZck0FFV20/b57t8JGLjs/hXHfDfF1UeGtq2nlumv0
FZvlXBcUgSLTIDhNllF2rsfdUle04yoGX97LKklFCSfDQT1yJPiHkrzwaxSI8Jmf1I66VpuUQoV+
qWo6BsUBcZLqH+fJsVxryyJLjpV+oUjWnLNpkvnDBz3yVhZmx4Vin1V8hVnvP2mILejhJ4lpdtio
wdEsXNSlICFOAR/M8nYsuZV4awG96+AGFdIK0fV1oReLRtXWPQ4khuaedpCK7C5exl51FWRIkyoG
lZIjTfls6M2EdstRbiDXk7ZwJlM3J40DZGDzVoY9+MfGP7GgDuUosgCW0WPrLq76VRThZt2OjToE
7XCpHE4GLBMty9n0mb5IIfbEDAhjGAaqpPRHbBc3QrhnQXIliuK0cLRVqbRXSfd5CPTuOBN9SpNK
MT/ljgo9g9qhhCaoR4JgBLwiraHR7bdXuVo8kGBhJR735y69X8RNUh30i1of520+yYzh8ze76xsQ
3O/tvra7M91xVQZtLMs2BYEdaOmQyhyAbQKUPA0fXRgeeBYvnUL5nBceAMziSDGLi9wJz4a6OXdx
WA6QF/J9baKEZb6ochO8B54MQZkdklafo5XG3lVdlJZNm7oK14HXoHme/MnbrW1FHL+29UfYNDgw
/pFh49qjFO/uc5cZuJRGAd6YmwUSKIKWErCpQU+nXQ2epgB16USetQQRMctcA3oum1SOyBEw3g6n
jNyLsNqTIKMXOZkr2q68s7D8U+FT4kZCWRhghvzmko11qUbd2g/qy0xSrgcVIcBCPLg6OHyNWFe1
qhlCaNUEois3NkiYO8tia2zEE1pPUJOqSjqhrVzxMmYVJcn2wmuadWvVx5nhoD9hJCAU0V41DJtC
xaBM1LC5Qlz3vIm0YVLrGZbGgTfX1eyqraQn21MRzPKNJ0MCFGYEtzjPLoumjBa68pRF/tKjBG8n
PIGbHxbUEwYLn1hP/9jGULAtRP/M4q71JHBsOGrE7Rxkmiu34HnwnAr1mwQGPywwuI8oFujVqSz5
65IYGLEDAe3CXklKEk68ur4Jiuo6lwX7uHY7hPm163fntUiGWTPmJRKafmNFx5VXOAlf6l67kl0q
AVVw78jZZeRVR7VQZ+QiaGDrFHmttZvIh/Qn162GV1ZkXcaKICWJjVktk5IqOAy4+sL15AVf/Yms
RPMW/w+j82/wm1zBC55DK5vq/amcnlTOMAfJs6jsaBqZ/kQpb4Ph0qHLEvrWzKuP7Sw8DBLnBkho
sMSTyp9S31/kSby0wmHutbgb04l9QhiJXrmxrmVtlhfBpxzS2cQuA/wzaDVPB1XLJ4FhVogtmh9S
etgoG+WzpGhbZCSaNTkxPRatmUjiCebNoSPZN1oZEeemDxbi2GhlJVS9nRN89PiLJl1XebgSeCoF
KXXm1rgIqfpoAl7KAHg2H3Q4KfTPHamislQj193OHLdMOJluA9FCEelWcQ1EG84JmPQqvkaS4tYt
9ZOuUD9GlYUyq3GrD/lVF9fVnLf6MHfMp0Gox07tGfO2hHITKe5x30G5qmGMzuiQRHNcoU9Cl1PL
SM/xsC+oickbDR25uWiLi1TtN7h201Oqq1s5ovWsJEaK21e/LrTquhmsowY9ABoaKEyFh6HQP1LT
hD+H+7DwgiulNG5rUR/L6OTEsN9QY0P9LsLhvu1mnSyv4aXOQt35GNP0tQqc2TX7wqilUzf8NJDB
o5sztR3vrGz8DxA65z1vuxZkT4MvqM/0KOLYl12v3ogcea5qOKTPfuFId01oPWHe8LkDMUA7YAHP
9D4AUO3HZgPGWb9w7MeYvNC055qE1OlZppwhapnUF7QD1oUU0xeBxqhCWxTYdVrXcVdOUU6bpkM1
paE3QUgOxcTH0Aei05LilLcmJULdm/gdhZboiW7iTBGfavfSdOOlYRUII3yQKE+4JYjwWvC6SKeB
fNEJH8OL4UR2gHCilwBcauXTL8CRRNfiOXJcyNXh/GOcK+096O1pbKq3VU35pWddh+IW1cy4a7En
/SC7NQDq0LvJHRGiE6bPXP+uLUci5lMXpDSo7LtOVSPqpOUd7KeVX7hUqRQkrAI6jbZH9pba4CcR
idXtdiZ61CDsFNkWehkTiTLUzHLjjz7KgvNO9NqDVCCwZkl4mVGZXrS07qlJXnlubs6GQLmyQ+lT
2vc3aThsmZ+DU0GeAyQ2VaGOHrpViDtcZCFqamDJ1bTJfVoPS2swVxX1BiP2i6lsEU65XncpaTCd
Cxm1CUTp46DdVAbhsFIcGq0DUKhK0N0y7+KmObJb7xHdkys7AXeZB2IVBCBC0pLQBFBROHdMOHWj
xnnQVFeROhDaxQh7aidAC55CmcKHsnQr40hDXl5Ji1OaTuy+2qmX67RYq6Wl5gJ9O4T6C60H5tvq
6N+C5plVeoFzkmZXczRx+sl/ewPJrFkTpmW6vQ7FyAG26itfjm+L0fMkTj3UdEvnQvWUI+bGnzs2
8lMic/pJapoVHANYiLJkcRPEzbbRwW9o6YxD/E2F7Ze7zzbVZr6FHXyoH4v+4pEWcvVFb3r86Tr1
k+oq/Xu/9AoAeHugP74FPPDCJNX4BChAJd8mltuYeidX3T7S9nl/NUK0AU1RPzz+8x+CfosudAUl
A3l7kfyCFXNffmzaB/SMDJooELvG6xlD/80M/WwOfv3xnifz17+z8wE2D8i/ju3cwr+vdqYABtQ3
EeWX2fxxDr4b4uscKPoBBgk6lrLy84dkwN05sA2d4gC+BtuLPIY5f0dzMHa59pwDYfAeaJBTmYXn
a2cObHFgidHQavQ6Ga93NwfYyqpCpfv4V5bDT18FlgPS3iwGah5vLQflAISujCzIe10Oqi32ngP9
YHRHg8OJbtt47W4JFj8GeESJ6flG72gdQIaFQ6ORae33ElgHaKsgrmJQNP1xAkzzgO9fwzYcb8/x
en974vM8PK9RzkH3Mf07+6JKmZHmPjzft+fBODChHCm0nZ/nATrS+9oXOdU0S0DW2veFUA6w/bFA
u7+5K1iCmqvC9ii/vxXxMgOU1vZaErwKCt00ZgHe9Xgx4O4RCbwRW6rXwwPo4zt7FXDP2ndfUBWY
fCrgz7EQ9ea+AMBGAHZB3mm83t2+MDYa9t0UCBQwiqMnAHxne+2eDigHsE54P0DdbK93Fyi8bgr7
Ro1CPYABShMGgbDttbskOCYxfWbR0CHeXu9wdwSctee+oGgHpiJrQvtJvGQcKMQSRBLvNWykrTXS
aPfaHBX5AEUMC2cjRvp2VzQONBmROA3GzvZ6f8cDAPJ9XwHWAZp2RAFwOrbXdxuCdSAsuM940j6v
g3e3IbBEjefz6u+HSopyILOxIOu3uwuYFq+AOWL/n6f5HQXLmsKrue+bbx9oxERQEew3v3uW/+gf
T3v7+Xp3YQGKGPK+JyKxkaUJMsIRfPrt8tcPWPkWitcv8fH7e/PHRHbPV4Dlb43FEdnc/fSWeWBj
2GkD8H2n3z3rFTEijqY9Z0AxD9j5Rl7Pd2vfPqBfOWYNL68/P35fQTHecyN1aK/Dj3hwGxSjlPrW
FmDJhEEGJcbXKOk/WAR/YbP8Uo6den70sC3E+o/lW/Xan/3Caw3yx5+/1B8PH/75j7HOuvOLI+L+
+d5f67T/2qkqbeuD3/zwtV64vc/Ln798wB9vvXOv10/1+p8r/7HYFPdIO22L0y+PebaJKecCQ/LQ
+loXm4fH0vuxTvr1gf75j53H/eYt+OX4RZ1s7iHQvXULhL0Iqve+RVnuOkw+Vzf3HRaThE3x+nTj
d/pcKdt32NWm6DfJ5tuBAVFZHKx7j+zHP51pyF5jNrvvLY42cVz/8V+bOPufP443pUcr6nXQ7VsP
qYPluu9djjdFQrMk3J2kkRnyG8ZmKUTfDbwN6Pd96JNNWHqbh/bxMXt9yu2UYGvMjrnv6KebB69/
e5k+R+T73uD8wefxXx90fHJBB+c3fJnr+qG+9x6Lot8Z3FAV5fU/3mQjfTljfrW7rOsk2Ny9jrN9
6uf4bN/puNgEm7LyNjvNs5dqyL5jX/r4Le9Y4gJVGsP9fQe+2sR+9MfZ5qF+HWuckZdsZd/Bryvc
5d7axF9ign3Hv3ksqz8mjwmiWjtP/xxx7jv66YbNnA2r2hVxf0lp9h19ieciSjTfPveX7tLeY6c7
q3Ic1xC/YSvn4P+CPj7z79M7vt3DchQ0K3c/h4Km52/YB/79q0BgFCVVtnjOfafr14bTP9cE+Evb
DbrZ2c9tAPYc/G2c+LffxThLI7b79f/+/r75J9p1e36S000yztPrY26PwW2DaaSR7v0F/4kcw57P
PnuMPP/1Kb8++dgi3PfJf4r2f+lC/obzcMqJ9eAj2bsbyX/p7u37Eaaet6kqv/zhDl/7ZvveYnvO
QCfmg7xO+fZr+NqX2vcORxwFPx3/N+QjV4/sou73Mf7X2sG+z/9X6db7roQ3RaD/Dm/llw/yVkr7
BSvzY6L7igN66892s/jxN+6jx03xr/8FAAD//w==</cx:binary>
              </cx:geoCache>
            </cx:geography>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ECCE61AC-3C59-46F8-A760-B69809EB5680}">
          <cx:tx>
            <cx:txData>
              <cx:f>_xlchart.v1.5</cx:f>
              <cx:v/>
            </cx:txData>
          </cx:tx>
          <cx:spPr>
            <a:ln>
              <a:solidFill>
                <a:schemeClr val="bg1"/>
              </a:solidFill>
            </a:ln>
          </cx:spPr>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1" value="1"/>
            <cx:separator>
</cx:separator>
            <cx:dataLabel idx="5">
              <cx:txPr>
                <a:bodyPr spcFirstLastPara="1" vertOverflow="ellipsis" horzOverflow="overflow" wrap="square" lIns="0" tIns="0" rIns="0" bIns="0" anchor="ctr" anchorCtr="1"/>
                <a:lstStyle/>
                <a:p>
                  <a:pPr algn="ctr" rtl="0">
                    <a:defRPr b="1"/>
                  </a:pPr>
                  <a:r>
                    <a:rPr lang="en-US" sz="900" b="1" i="0" u="none" strike="noStrike" baseline="0">
                      <a:solidFill>
                        <a:schemeClr val="bg2">
                          <a:lumMod val="10000"/>
                        </a:schemeClr>
                      </a:solidFill>
                      <a:latin typeface="Calibri" panose="020F0502020204030204"/>
                    </a:rPr>
                    <a:t>Saree
21.75%</a:t>
                  </a:r>
                </a:p>
              </cx:txPr>
            </cx:dataLabel>
            <cx:dataLabel idx="7">
              <cx:spPr>
                <a:noFill/>
              </cx:spPr>
              <cx:txPr>
                <a:bodyPr spcFirstLastPara="1" vertOverflow="ellipsis" horzOverflow="overflow" wrap="square" lIns="0" tIns="0" rIns="0" bIns="0" anchor="ctr" anchorCtr="1"/>
                <a:lstStyle/>
                <a:p>
                  <a:pPr algn="ctr" rtl="0">
                    <a:defRPr b="1"/>
                  </a:pPr>
                  <a:r>
                    <a:rPr lang="en-US" sz="900" b="1" i="0" u="none" strike="noStrike" baseline="0">
                      <a:solidFill>
                        <a:schemeClr val="bg2">
                          <a:lumMod val="10000"/>
                        </a:schemeClr>
                      </a:solidFill>
                      <a:latin typeface="Calibri" panose="020F0502020204030204"/>
                    </a:rPr>
                    <a:t>Suit
16.92%</a:t>
                  </a:r>
                </a:p>
              </cx:txPr>
            </cx:dataLabel>
          </cx:dataLabels>
          <cx:dataId val="0"/>
          <cx:layoutPr>
            <cx:parentLabelLayout val="overlapping"/>
          </cx:layoutPr>
        </cx:series>
      </cx:plotAreaRegion>
    </cx:plotArea>
  </cx:chart>
  <cx:spPr>
    <a:ln>
      <a:solidFill>
        <a:schemeClr val="accent2"/>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plotArea>
      <cx:plotAreaRegion>
        <cx:plotSurface>
          <cx:spPr>
            <a:noFill/>
          </cx:spPr>
        </cx:plotSurface>
        <cx:series layoutId="regionMap" uniqueId="{7840B941-2B30-4AE2-959E-F323E587A499}">
          <cx:tx>
            <cx:txData>
              <cx:f>_xlchart.v5.9</cx:f>
              <cx:v>Sum of Amount</cx:v>
            </cx:txData>
          </cx:tx>
          <cx:dataId val="0"/>
          <cx:layoutPr>
            <cx:geography cultureLanguage="en-US" cultureRegion="US" attribution="Powered by Bing">
              <cx:geoCache provider="{E9337A44-BEBE-4D9F-B70C-5C5E7DAFC167}">
                <cx:binary>1H1Zc922svVfcfn5o4J5OHVyq8K9tyjJ85A4zgtLtmUSnEkQnH79bXlISciW5YPjW/XZL6mIm2Cz
G6u70b0A/vv98q/31dXl8GCpq8b+6/3y68N8HLt//fKLfZ9f1Zf2pDbvh9a2H8eT9239S/vxo3l/
9cuH4XI2TfYLQZj98j6/HMar5eH//BtGy67ax+37y9G0zQt3Nawvr6yrRvuNa0cvPbj8UJtmb+w4
mPcj/vXhmakv4UHVg+fD5Ycrmz98cNWMZlxfr93Vrw9v/frhg1/8Mf/x/AcViDi6D3AvxSeaUC6E
IujTP/zwQdU22ZfLUp4QKgimQn2+LL4++ullDbf/J4J9Euvyw4fhylp4w0//PTbCrdeBHzx/+OB9
65rxWp0ZaPbXh+fNB3P58IGx7e7zhV17/S7nTz+9/C+3DfE///b+AOrw/nLDVr7u7rv0D1P91nzI
h8sfbyjMTyTnHCuN9Od/tw2lT7TgDHPNPl+ltw31/WIdN5N/v2ek334uI+3y/HIcjc0uhx+IJYJP
CACJaX4US4qcIIaJ5Ijcts33SnPcMrfv9uyye/1zgcfay/qrcv5750bECeWMKg2oOYIZTU4UmAMA
RY9j5j5pjhvkt8+3eZb47dVPZYnXl7WpHjy9/OB+nDkwPkFYYISUuu271AlDEhHE5deHfY4u3yfE
cSvcvNczxWuIEz9RRIkNpBhfFfMDQMFPhNSKY06PRXwFl5EWgmnPS90rxnE7fLnNM0H88qcywS6/
hJTjx0YLik4k0eCflDhmBylOpEIcSy4/Oyf2dQp8xsb3iXTcJjfv9QyzO/upDLO/qnLzVTE/ABvq
RDBKNRLHbSJPMOZMAng+28TLhu+V5rg5vtzmWWL/+KeyROKKy+Fy/IG2ICdCE4ElO5pNSXzCtUQC
DHLUFt8hz3Fr/H2jZ4/k4qeyxwUEjfLabf1Ai9ATwQUmWn3Jl26HcYgcXDBMifiSbXke67skOm6T
G7d6Vrn4ufzVo8uhuRwvS1i9/qgVPGYnEiNG2B04EScY4j1E++NJ7ndJdNwqN271rPLot58KK4+u
hsvqR5oEnTCmlZQSIHCzmiIg0VUEQPIlvHgp1v1y3GGIL/L7Vvi5IsiTyw/5+n9QOSH0hFMFiRT/
UsPCt42iTohSWlD6Jah7lZPvF+u4cfz7PSM9+bkqJ08uIa5c2nwcfiRe9AmDmomisBb/9M+zELgw
pDQlX0pbmn/1np9T4e+U6S7z3Hgh3zY/V3B57pri8t1X3fz32TCsUBQjkF8RWJffdGP8BDyYQhp9
WZp4iLlfjuOm+HqfZ4Xn8U8VTF5eFpd2hMzrxxkC6lhcMcqIPr4soWAnSIIVk5/h49njuyQ6bpIb
t3pWeflzpcOvr6rLJrtsfqTXkicQUASH6uJteOgThMAYmn/xV3D5c7L3par1PaIcN8eNt/DM8Tr5
qUDy+zhC2+2Hd7MAKJ+6WRiKjEcCiUKwQhGUk68LGA8o3y3Vcet4t3sW+v3nCvSfXubyB68gIaLA
+hBBl0R8XrT/AzlQBKawwPx81Q/03ynTN6zz9YV82zz6qdDz5sqOD+Ir8GfVV9fy30d7SJPVdQMR
ydvRXskTLYnQ7Mv60TfKdwpz3Ci3bvaM8ub/77h/vINwc1V/6xf/YV+eEGhdEQ7tki8x3UuJ9QkV
VDDJjle/vnTI75bmuDm+3HZL8P/jdvvdrfi/aQt7qJgcPvEdbnTjv3310+sBG8O79VbR5dZbfsXR
+YdfH2IMceFvFsX1ELfi9y3d/v37K0j6fn2oJaTGWFLOKRNQdhH64YMZ0PrrQ6FOsIa6MdT0NdQA
EAWDNu0w5sDBgMIZwpDbSWhWasavL9nWXV+CJoBA8EcliYScW0NT5uurPW+rNWubv/Xw5f8fNK5+
3ppmtL8+hOpD9/lX12JGBMN8kddtH/j7+8uXwGGBH+H/Z9MlbUujxVmO95o/sxPkdn+//3ePSzS8
7M1xNTGTsNUiDyPPqzzetnV9kxOxfOZpfKZp/AfDQ7C4OXwho3Kdl0Ye8qEfhpez2FD2Olu29uO3
xYeq/RG1EA1+7+b4ut5K5cpUHDThdnvR4VqjOKcFxzFiqCYxo/2Ynn77YcdtAJn87YdZgUQxZ404
LJYqGitEsyFuV6H++vb410L/08bk2kvffBmpe9QVehUHhzv2BOOZ1a9mVCDxeFVjsySR3MQQ12vf
vfz2A+96oeu/35hUnULdJK8fOFVaLhdt7lK3Y9bl5vDtB1zPomNvBKC8+QBlthmNjvLDXFo5X4iV
pmTXlZbkj3mZF+QJdqUrd73tm1XGqGK4P0VNPg1n334+vobHMQHIbQE6WduS25UfXJZN/U4RlUiK
P3Yl7ecy7rN5qmO3yuhxO2e4PDjStqqJo0yRGipzIQADx3BTBVW21lPFZ1CBInxHh/aj5LO55/3u
MqDnFVpA6qzWkR/W1co/Ubu2cTq54lmQ6MrzDZUqjLB04IeSGnOFgGT3uIlM6XZhw3u+oY1m3vU5
54dqlNMfeO5ZvKSbDPM8yvMMQzUXXUd6fhjbaNsOaImmYS+6tpWB4nvegCwZVmtVgDdomSt2qxAL
i/seoLQP04/nDkixRk1ruyhp2lWK59ZASe+Pehyjj2Hje+i3Cjk0L1wlW4vrw5qxaIgXU9rhHgVd
y3kEe8oDv25LVjmypkkbqa0+nQfcTYdqXrHZ9yZnOvAxHsQpa1M1d5FMxtGR8awRbYMOW4Or5dCZ
cV7CoKY8HPft1Kd0qVXSkXJ7XQ5r/qyRQr/+ti3u0pUH5LlcFJ4h7UhItJhDZQdJH2dsbfs3JVfl
co+q7nAX0gN0rrKuVLJTyVCx9TyqN/RMZ3ioIIsPcHXSB3RqVgTKEYmTPVliVCzsrdja7p5gcpf0
HqLdJFugWwiRTBVYYKyy+sBcJLtA6T08O0ObtVoLlTA7lWCDVS1RbNFqtsAHeHgudcR7vYD2Na77
5rzDvJkPQyG3+XmY/j1AS7JSi6NFJNrm5g+prH2+mKxf75H/WhFH8Cw9PNd6mnnhMpnUle3Tl7Ku
e/cH7TeNLsYo1/IF5LpUnIe9C7kdNuU6AMUD2GZJR9lozsaNLjrOy3pGYXiWHp4Xs/ZiJINMSpt1
7NzWZFJx4dhwX2y+nvXH1OVBes2KDNUzzKc+XbthX2RUyud1tE3iIhvTujwsGVmbP6ta0b9ck83N
PZq7K+e5Xr/cyjiWLJXtNoPfrVTVXeSRTSVk9qWGtE6Nc8HGuBmLbdqZXHT1ablsmdwLNtP21YRG
4cIULDxvsKYikqqM0qSWkdtTM8tEyYreMxnxtZ2OqFd43oBP42J60uuEom1oDxtOp/HA022rzjpN
5foss3X7sYvYXJ+xTTX86UIpaZ4QqVTxpyoJ5/eIcodfEp7jUE3Bu3Y2LOlkaulObPqqW5a5D3Pa
wnMb1UAFXpdCJkPUzUk2YlbFGVXZhyCgCc9pODwIVRQZS7JuUW85hNKnFkV1mM8Wns/oadYUUSR1
witYyewcVvUWOzOs9p5ZdgfKhOcnrOlXTpZBJeM6p+RcsWFA75YOA+JykqM2bozr6phsosved/Vm
SaBZPP9B56aCSTSIRKi0dnHXE1vHq2NRYLgQnv/Y2Fb2Tgzy4HqOD2Kdsv0m2mgfZHbuOQmRatQU
/bIl1mVjsjWyiMXQFff4oDsgwT3sA4E4jxYIDUlBTL0jIy726dqSsEl1TTm+6eBg1dMqbNotIbBu
jFGO3zQZuy9rvUt0D81YdA1bqmxLMrmOT9zaIMgF+hwXYfOGe3DOCzd2dFi3JEprfU6mpdynVLEk
zKwemmk38W4sYfQxJWw3U2ljW2MTKLuHZtWQTU0SzBqNJN+V1E2xKCUL86Pcg3KBogHNqd2SHpvq
1Oom202cbaff1sy1fo/EC+7htUl5vm04mpM54lew7CynUzaWXZOMsxSBb+BBlk5yaooynRMKwH2p
x7Y4YNaWYctx5kF2bCAVmjcxJy3j4lxp7vbF2gS6G+ZBFo91laqtcElmK/bIVLV80i1VoOgeYiFQ
p2WJ6Zj0bZHi3cCJ3cl8KfMwb8Y80PI0s2W0QZmna8xyUY7Z+NilaRUGKuZBFuqj0YRdMZ4OLpvt
KzojVT3jgxJ52LxhHmpLbKY+m8gCKaHbdmXH3656be6Z+Hc4NOaBlhdRyZRKp0Nf5Tim1pG419oF
iu6BlnYFI2mhJtB89HYgkN81ekkDzephtuy2IYqs+CI6Iz2J+SRCRffRylXqVI6ng56haEyuR7fB
iqEeWks0dWllYfSl0PnOqdLFQpAiTO3UQ2vOuGphNw6MzshVb1h1mpkssLJFPbSWsNVWmQwG15ur
k0rqAVZeYgnLDaiH1WWkMq3WcjrwMZ3jBU8kxl06hoUo6mG1zjvStBS5QzNtTTzn5soVGw7UuodT
uw1j1+azO9RlzmLB+NtosiRwcA+nKOUDXfNoPMgeNXu7mEvrNhs4OLmdMvVWLwVkwu5QCJ3HojBV
7AYiA0f3cCppEWUm0iC6dviJhfbI81RmVViLino4XRwjDYORkw3DRu94a5Tg+2iMlA2bM8SDKukX
Xbsum5KV1c0QR7TjSTeT8f23M487HDDxsIpNSoZ2qSGypra60IXFe1sW6yFsdA+sbkg7mq3cJaOm
f+GCvLCMvggb2keqXYt6XaMxMXn0FNzj25XIwFoh8XCqjaklbuSYFHOu9i7nr9sybQMN6uG0KW00
aOVcEpnR7KpCPpakR2GTnXg4hbbw3NlFRYemWj6YFb8hvAZuSkABlXgoVWbOIojXawLD2jHeiM1F
vFqahble4uF0yrjLSzaMCXB30J9sBD8QW7PhsEyDeEB1fUVQlbYuqdth27eLfJebLg1TO/ZAmirT
y8kMLuHrsO7qugPRy/s6r3dA9JoNeHNFqRvBTBfVYwLdfv1E2Qw/qaK0exNkVuxBlIxkHOCYCJiO
eZrHtJ7/lMqEmRR7GN1Yq4s0L10y8InGWC1vq149D5Pbwyib2TIbCmNHhX3N3PqEM/skbGgPoe2c
ptlIs/GA0ijaRUX62GwosD5wTQW5aU2Mu05uEYkOsEv2Wb3Kt2pYqzDXgj2IRjnk6UMLOqny5kWb
tadpnYd58k+VzhvdeNbNK12ggH9ot+lsmMkjxsMi6KdK8Y2Ru5WPou1gbSfq7LFql6QZ0rA2K/Jg
aapxyZ0Dobv6921yu0L+ETRDkAfJShdDt5VgRJaX74ZFv1CbCPNTyMOj66dyWWcxJqst8OttHUlS
OGr3YYJ7iKRNujSF0WNiI6ASkKY806n+M2xsD5FlZSyHnWTRgRvIbiMkLpmmgYENeZiEid33FYKQ
nBuxxNyyaK+1nMKAgzxQKjvJkfEpOvTi1dDuFVSxw3TiITLP8p71+TomTgGZY6a2i3EvXocN7kXM
Gfpd69qk9oDz7myuoLff02IMnClevBycQ2VUweCq4s+p694btg5BWoFtUbd9IFDUVtQrbQ9DTZ9z
GHtxU+jYHjTxbCSlC4ayMaHosVNZcdGzRQRpBfuUrtyyqYJ8FiYK30S8oeL3SuRBCRbw9W5rZdGO
zaUG5C90HYsdYqlo9wQyIBPkWoAtePsB3VyzFHo1Y5Kx7jKapzfQfPg9ZCpi7cFzohQNgoJenMv4
vneliSmcjRKUR2DtwXPIJwn16AUEX5bnrkUXy9SHIRRfn0pxMx4XtURM5tQmqqRPKiAcHmDfJQnU
uIdQlw3AuXTTmKCuesGialcMeVCSgrWPTx41a0ZrmxDCyW6u8bDDrPgYZE6fXLVCR8GqerTAZhBv
M7tcGMlfhQ3t4XMZxrRUJBqSFVdzXLWyP23qIoyGgX1iVcvnRk/AFUqghbTtm619Kqm9j2NwPZn/
WaXHygOo64gtczwPSQtcmyq2bogeRRNaX4ZpxoPnHFHwisyBRaf1g4UMbrHqXdjQHjxHCDx5J1qb
lCJ7uXTdOarrsHnoE6mmVJWiqNiQbFOfH6Y5I/uoat6Hye2B02wstcNS2kTn3a5k69Na3Zd2Xmv1
mDE9aM4R1IOnTg5JXk/cxYMUxZNedEs8F8StuzD5PZDyslmasuVDUhn6V5WzN1FXvg4a2qdLLcB4
rIRMB8D/ZM8mO+AYTyysVYd9tlRGcm4GSkBwht/UU9TELOr+CJPcy3Dzpe/KAeU24cSw+bBRt7K4
UVVe7sMe4OGU5VmmnKpgSi7RC1OT16YPW4vDnu/b0aIyvIcFMwydrvrFiMyzlIqgNhQcS+INrda0
7qd1SGhakyRSZHyBs9kEMX1hB8Ht0YmcEJ8MzMQUbWu8Dn1CWSA7DUsPpvWSRuNi8yFppg7FaJKn
/ZyFVYexz4UaB+Yc06BycI+PppU8qvgSiCEPnnrOKlf02ZDINGtiua2P9GDC+mYQ529rXMMsQQsp
hwS303OK+8cDGsPk9tlLg4HuhJijPrFCvTF4eFGVfdAiDk72uC11urC6zLpiSARoJtZAQo/7tVZh
/tBnI4206KOi1T30bfJ+N5DyhYt0WArqU5EQgnVWw1GfZIbWRTxDoeLgUCQCFePBsyg0sNKKFXCj
13qnnBAvK4O2QIt68JwKLlLg2vXJpgeyw5Y9hUga1j3HPg3JRY1q+dLCdGk1QyX42rW0eaz0VAbV
cGBT2e1ZA1xgpLOlAd1n+Sx3DRTPkjRlfVgfAU43uT3+WjqnhjrtEhXZst9Nc1d/dFrOgYtGn3CE
a4LYrKMuGfLV7utMFDFoiJ8GxSOfcCTlsig0oS5xlSA7JIDEDmdKBvpHn3A0VsDAs7TpEstkNsZ4
I+VluS5NFodJ70XTxQximBfQTZsXbWzG+velwmExz+cbVaSd60g60HujurPVIns6V21+Fia5B9mJ
TnTtqrlLipRvb1CbZmdw9lpXBirGwywFP8nJCmbVTdrbU+kUZTFPW9EHPsALq9CMK9umm0Dz1M7n
w6B+z/sqrDaPfcqRLGsCHOOhSyQbX5nMvpjL8VWY3j20Zuk606rK+kQ2+q+mnXGcM3Yft/baeEfy
dp9o1EPJXEWu7hI6FOovCU2FM1fWU9iU8YlGI4qWdaO8TQCpOhZAfYmjNZKHIMUwL7gOawQ9+gpG
59PqYo67i7K5j8Ukr7V7TDEeTnuzAL1OkTaZRJmlMXSLC3A20izlLqt1Vp7V3Tq/crWtzqmlkUjG
PO/5a9jiJvvncNiEHV5pWYuzEvqS7VlRNkzEsjJQjM+WXqE53ljRD7/PPYncDq19U162eR71OwGJ
JdljDrX2g+zc4vYVhirZTkCXejl3faSKhMglZ+dpW8zrDiOoJvwZAbN3PcW0sHJP5QJjzpUZt9Os
17mF3XZkc6c1Icu2t1NNm78WyVj6fGQiKt5ZzPs+URvRUzIs8L77btz4oUATV7tGElzuxCozd5bh
NtOPhWpgXxjqN/KKKD3HExHDeWfssCWo1Wo9netqYvtpYBk/THJmUMKu8ontsqqrW8hntV53ajBU
xnVrBvxobtJCn1cUjyzZQNvzjtNyOt+2qH46NBNie4amaYuLdEi3VxUuWhmWhfhsr3phTpSOtong
eQtVnygmGdVh/sZnelGWrpBIVl2Si/oqZeWrVJpAuT1fOUEnZqkIyM1dmlhdXaQchxUHmecl+QTM
FAwVpAT2Dy9xGuky1hVuA3XiZTYDyqgooWmXZKQo4qXsP4piCEv6mOcnC9jeOjUStYlbXfcUdoOZ
s5aOdZgr8zleuTDINUTYJBtK9phB/grMfze+DXJlPsdrqLNpmrqpTUqVuT8G1W9QzG/UGKZ2n+XV
N2aEbSK6TTQUlWNOisf5loXtNINvD9zOJhFAGE7N7dpkbbu03rdoLpKlRyZwlePTvHBj8BZRmJEi
q/lyILZxWywjXvb7MOV7ic1Y93Ma5WObQKPq49yxCx7ZsB0dmHpI7dw8TP0q2yRHGnhko5VLtaO6
IB/DZPfgOvF+o5MjXVL1elOxbHsKPXZFSBgXA18fdnCzoD93TYXRkkGCAJ/XiJ2ci4MxJjBB8Ple
nZzTYssghEOPZtgBo0zsumhGSZByfLLXjGCrNDdNC7tqq+pC0ImPsegHEcbvxz7byxZNBkSmFtxw
4+RF3lD0F6xp17BS8PWpbjc1L5e632oL+SqUspbzlKUukWiUYZOeeKgltHLaXEenwtTZzs59Frux
rsMcjk/5wgNe3ALr5CRaG3qVA9v8aqtdHcb8xMRDLCe0KfKi7BIu5BSdl7rBO5TOM7+nd3jHvjrs
E79gb2uaiko1yVZhOrzuSjO1u1Q2pNvPto1ew4azp1Gkq2IPWVypd5mGxehpHnHeBlrfAzZsChbI
FZB/zmufq11UFxmcB5E3XXUaBg4P2ALRDdYs154pHXH6qDYZ7Dtb+3VEu7AHePF4Q26A7bWkSeAo
T1PGy1zMLC5KNgUmWD5NTNitHhoCD1gdAdry5t4Ae/99kPA+S6wa63XUbmuSbmjsbsnox23koYJ7
yM76DVtbyjqB3Pa0IuUFITasBOBzxOooQtkMJ4gkI5vsrowYtBrm7WWYUrxy/ZhXQ4bnqUlSN6iD
y0kW19wEhkrsgXqW8DGhBiyamGGJ3tXFTN8PEYSbMNm9QGwL1rSswXUCudZTOW2Pqj675yyXawGP
LBV9nli2QJ9RDG2T2IXkF7gaVAwfRprDgphPFZtLYdRU0jqhpWqzuFCqv8ila/IwmPqEMaaXlooG
1YnkTbHrtTorGV7D4oBPGRu6JstSbZpEs3x+bIea7eRYTC++bdPreXdE8T5vTM/lOs0Y4nu1sR5S
fmQzfagQbtuDgFVdE5Zj+RwytYpUCZq1CXJ07OKcj8U1tJBuw2Ix8mJxHRnbT9rA3OTklRvRywyn
YdMeeZCFkyxGhQaQHaprfG8GKOVvDjeB5vUg28BkjEpgBR6wHNKX0xp1r5qch+1mwj6NrDINdojY
6toHqxddTXkyGq4Cle4F2A6qCyitmwqa4VCVaHv1ImKZCVSMF1zdOjarW00FDAE4wmkHmw/7t1ul
2ylwfC+2woE0adqNQ5Vsg3wHtaMntczffBtUx70ZfL3sdtrJJgTdatghCJtW27SIe+umq5n2YUdv
wMGrt4c3sHxr8vRa7Z1KoeBo1XktuAua7sgnlLWkcMs2gPBplkPZCZMuhiNVwiIUfHbntuxabHLl
FupveB7xum8M8BF2RdMUU1DxBfmUMjXNaQeZbZXgXKx7lSH0vIX9fC/DLOuhdRUGKlxzH+0znC3t
RYEwekpIx9090n9akf/TH8N3um7rB77VQhYhHEwd4Xj9rMe4cWemnPrhFBZijpzC5/CE3fe8WtrH
0QqrgsedLPr6LXzRkJ06QbZzyaKVx3pLHZyusEZl+axu+EJ2dd+vZrdlebq9a9PVuNOmg5i7c7xY
3tOasUdTV4wXq8mnU5q6GYaAMzDyGNWGba9zDPtbXpTX51S8bozq7B4WbGyDq8O8yxEwP58WXR5t
e/i1NU8oSdspKJFEPiEOeI09ud6QfMhSXDyddKkfE0OysACLtOdo2qjkLVRHy4Qs6EqQ/oXG2fOw
6eL5GFhrrnUk5jKhG/BsK8LOSWvvO0jjGjJHpopPiXMuqrPNLmXSd3BWx/lgt2re6xVYD/sZVgjZ
udCiyoOqa5++Z3ZzJY17DV9CmXiZRF0kDqycq9Otq7Lfg/Tkk+TyNXWwRqRlMrUs30fp9mYsyH16
uo7Tx/TkuRyMMuPKwZWJqJx5Baxq9kzl2XK5FDi6p7J51yOu/35jxwBKtcxI15cHu9BS7POxH3oT
TwMU28/NDDva7llU32Vyz/0APSFzk6iyA3zNtCxPHV8wsMOi6mDqTZEdMLrDqkrwoYLbb5TlUDtJ
hwqU1pAIiG7iDTiiwACmvLwhggNHoBDQlAmGdtxI59OR4nsc9F2W8MAsKXA5N9iDuy+zXo7nurL8
tFUa+v4imyoUxC5AysM1h7GFMTKCYzrgIEHY6579qXsZtrUVPjlwW/d21b0x61AkUvLxFDjXKk5z
HLZYQT6RbjJQiqQO54lhip1201rvlTZB67hPByvfAoLocFXJKt3jyVyglMasFWE6lx6MV4oq244w
9LaxQ6r709qQoPUhHEp7W+ErnLpmrC7TfWnII8mjR70Iq+Ihn0MHtEJQkjDpvivm/qKwdkwiTl8F
uU2fQpdymU8rjWCy48weum5g8aordho2uodSpMsh5SgyiTS2ewSs1zd9toYdDot8Dl0mZBZNxJmk
Wkl16vTYnKG+CqOiwpc2bxs0Whfop9SDSUxR9PsuV48jOdhDkF58Gt1SoN5Z2ur9WDOznBIy/94N
ZRlWVEQ+lS5v9dhXrNH7ZuqfllWbFEMbFsR9Kt2aL0tWZ5BIVaMzceMatNsqfo/nvWPR4zPpJmDn
b7DDD0BkpzYG1tiuE3CicJjOPYRucEiPncbOwK6let01Wdf2cTo0OoyQhvxjvXS9wp6LkmvYaNVu
JFZVOjxql9KE7YNE/sFeTjRpI3uq9/W8Qc/2BbAA7tHMp9rekfTG59IxscFWjCbLE7xGdHqETM1h
g1EGB4e+hpOS2sRwvdFY9lPNDwKqa/OuH0s+wXGcnVhPe6dRf9g6nJHLWnIyJamiRgZV4OHThbdx
uEQ9hnM3xuvl0jBm54Yi5Q65LW2zD5sXHtAbY0ahcC73y5ALcFBr4ZpdDp/0o2FrD5+HN4yl26a0
cwfX5t2hVmzed5oFVZqRT8ODlI3TjtbugK/P/Zp5Dzu1mQziV3/60vDNUNzJidl0hMEnB2c3V5b1
cVuRMI4f4l40ZrmD3fCucQdS4G5HS1zEUJF4F2RVn4TXlgo+Q0PT8TCRvI5VFMEGroWhsLjGvSQ6
A64pYhEdDy0wa+K2HLKnlaTjH2Gye4kzm7uOYtGPh0hD14OVW3YwKw9UDLmNJzPMuIVG7HiAMyrJ
86ZeyncCbTIsDfIJeBvP5350kz00jah2cHI1nAjD0rBTTxD3oFrpkW5UcXswchlOeTrC+eJRGdZj
Rz4Jj86EblU52gOd6xwYV+Nr2F693ONj7whtPgfPzT0cmSVXe1gl3uISlcNOloG5ik/B46UTEe1B
61sNx7XM4/oRDXnYXkLkn/QVbV3dpxV1hwx2z+z1nOc78MdhzXvkc7822AaRmgkSK9mRd7amr+qc
hG2vRj71K6+hpNx2zB0MGlC8dCQ9pCnQ6L6N0juWif4pXxUue1K2VJ2KtOLT89zVpj5dBamGUzZ0
EAW//Zi7Jo6H13SiKcPF/3L2ZU2S4mi2f2Ws3ukrNi1jU202gHu4e6yZGbm+YLkVIBAISSDEr7/H
q/vOTMd0dV0Lq3qJjAjCHUfS953vLHgTCGiKqjXJm3LcltcxwUj24nTVbc2co7h604xdxUEDK8UU
frzupb9Yrr3EdgA+oznoTYeyU7OsrKpfd/C9ZIIJnRGn8twc1n5Zj6rlSQED4/11J99LJlhQKaW7
8ebg2n04xrZ/v8cyf91H+pIHtrcq2ydgPQfNW1aqYZMlKKmvo/2Tl0SwkQXmGK/1IVKRKeWuxyLV
4XXOTeQlDazOssHEkupD5+a23HM1lBw2+dWrnpj0ugj+Bwi2xAGQs2n4Ucpxf96J3j5IMv6Zb/0f
LKWXLLA69T5eQFY+5CaGHuVacGgkOb5uh09fLFQk3ACuDkIcswjQ+Rp9n4bx+XW35cUq7eMkrpGf
wY7w+aqHYt3BTnTtZl/FYyUv6V/xMKXTTow45lqNIODKjbZ3NB5G/rq1+pIBpi1fUMVrcRQ2LqRI
LgN5ZSX2kvwFI67ZhQSXVhmOvysfYnwdIZG8ZH4hDKKrWzaL4361Pup9nJVZy/3rHpeXzC9Jhtbt
YcoquHCdRqOfCH2dmyB5SftC3YQySamsoqA/yDG6y8buzauexP9F+YKNUGvSMasSuqj4JtMDdNet
V8v7113/Rek76niWwzKxYzbFGyzUM5tdrlK9P/MTZNhI/kmn+9Lvq4t6nXFf06PSkT25el3Vg2Wk
aQ7QqbL63Kjdt/dur/+8uf5bYtQ/+6Mvli8LST2uch7Qtm5+3Mp46IZEH/oeq244tvXWD8U8KcTV
FGM642zfZDAjO0+Dpq06orGWvSqGvV/Dua1DVH9NUw/a3UhAae2LVIbd+wJFjp7vehpzfb/a2sf0
vEUZm/vC7EMTdQVJRZc2hXFMoxCaKD66Ihfz1HzVplVLXGQ969Q53XvYPVcBDT1rqjCv3pR9SOX2
DhZyfu2KvEfED2y+Q7fZsYjFEtGsEAHW8P0p1j2F9b0CZulUAV3BsOAFWjaN73Wi0MhIJvlvSiv8
s1nmbK0o6L5pseAO9eW6+qS72cOyIXWpJ6kdv04AbdlSbCYmsS9yTpv289hlvfiumgVBPxBy7pNR
Bdy+ZPh0Jemd9K7CVowwjbKl952N+4pBOFkfdoxskkOU1Jsta44nTZQr9SFXVbLuObmN+UrFscuX
XUEXNk/hhJSAsWRUr/RekqXjFelSn5YtozOqMK54xRUMcIttbug8gr8pp7apnEC/z0ogJFsz4ZXN
o2EFEs4ZdCNrd1NnDGUj9hKqlgs+rantCsNR2RUijgZVLWpMvsxO0cqHfWPfl24P6VGbKe8fdpNw
+qGdE8YeUlen6d1et3xpqmGHRiU7Cr/EcETYKVuGeyg0OD4v3XUaL64hu2iWI4GrMaoxRaa9PwWa
bv7bzFU3NeW0Agw+MyiQxHO8sc2GchgzJIk1PLraQA7LMPoIKpYdpC046LBlXQ4Bn+U0nZMcQFpy
pv3I26KnvTjSvh3LiW5eGaApIbLrtbJc7S1ZbH/wBnvUA52aRT5vW9KMHI/DlCxHmeZ2K6emzRK4
xLZhqNDXtPwzd+k43YptR+PX5mTZTOG1A5hfCJ6zBBWUc2maliJPU/km7rmhRxis9NvtmPgYqDZx
8FbbMWZ2awPtFgmWOjA5KUzWyLB8S4YImhmzsky/Y7mKedXWNpff0PvwAYtGZdNaWZlP9qFfSEOf
Qc+a1VEGBpmQmMiUX/Y8Svq7uPX9/qMbh2mBYsZEU/YwY9G2h1G3ITlrFcv5YxspThJsb31D84Kp
TOgH4lwff8tkXfNQ1I1QzY3365pfiOmy6ZP0NOQlPO8J1OiNRy47rJ1zOnyvnW/6pujnnn/LUzrr
j1CX722J6RLOLug8pnAPVp/l+OUpyr5P0qz7WSU6hOd+J3Fc6hYr6bvM8Jifmj7ZH5wgzZEkM5eP
3CyMHgjvdPt27tttf/IQeCQRJtHwDeDV1YmYnq134/hbj8lNeyvpnIabaZJDfTMnIja3y4yszFJe
s5o/c4rA8h+x7+sHSMijC8ZI+3dIW1Qhfd5UDQyComrrdu4vyJBY9xPMg9JPg+gyUekBSsc3LLTD
+BA3dRef/dQt4RDNrdxOIhhCbxjdevKR0Lqv37azaHSpg4vgiSiJsBDRKIogv3W3ubm3ZHfknGqq
h/cI7qinxyUXrD2Stp9Y5Ta5Yu/0OTftEfzp2NzPYqXfB3gCjGUNyNA/thsx2EraafMHmk/ONBXB
tGq97SUMjo91s2jIayK2Ns8ttyI7K601LVwdGfqtbYXUZTPa3smCj3FNEHSUpdvZDsq6yvmERJWz
YxIX47B7/Tl1Aq+gykkTw85ww6voosaaQm6RHQ/j1ZKngKHd3j/MHsK0Q66N/5KQ4Cni1RpERZaI
gqD3KJeanzWWMCvl0CaqpMrn08cwI58RBkdKwfKsSPt9787eQSX7HJBPZ+qinR3bsN/v2k9TIR2O
aV8A8V7td7+saf4BERwGB0IPtxrxdsBVrh+kdos55IJi0nkYfaLyAtrPMb8ZRCz6w7o26RCKJnZ8
v/WbbYBabIixEidSB9SIULK17dkiZS0qdtN10Tua9yap2owuUWXJGouKhX2XHwzZU3la3e7FzaKm
qK5mn9ThLkVYzhOJrezeATlKQl90w+DEEa7xjbuIHh3MQwAkxo9Z3+G8c3Wdz+B5Z+12pxoi+3La
TezKTBsWQbdgbN15qOd2G791pFcQY4yZc0/dRlhymjAylg8TnO66uVhDhgAd+IoXszciPsepsO4x
t3M0fk26jQ93dEgtnrGxVUP7Ix34jidBwbLNHqaGd+sR72yTh1z1mX1P+7WtL7bpZHqGiJYO94tJ
EPB1wHY00Aq5TGn9c4dVMjzNbSvzk526pgG3GQosPCMcPkqXVrqgT1qqFJzhBBxicrAaqYfF6sKY
vMPf5B/WuHXblwGm8dCki6SdsnKG/WJTRtif6nKr9fZOJtSlJy40tC75OIKsqlbDozLoxSFSzkx+
g4BkZXGJgQJvn/By8/xx86HpTtGYZJgcdXUfLc9K7dN4AXW33VEVjfv2HaeGHXt4pBISv7lOalJS
pu3M9vudiExZ7MR7qM9c4qOH0SxFutmdx4Y8PyL9wpozca1wp81RkV9P7q2FJ0CD22ht4QRWOYFf
XbMvTTl3PoQ3qdgGUSA1jdMjyxT2t6JPvTSPxMV8/robqzNZDG7d8nPIUrI9ZHj620/SboigwZtM
p/qxBxzm3/IeN/GyJ9Js1ZguuTvh/I90g5ubqPXgd8Z8g+LJTTs+TNOsx9X3kXrP4uDU04p7tl5m
CVroo1y7tisz2U7206ZZkn9WCQtcFXAII6PGnUqH5scIz1TyBNf6THydMir6L/Mw9wn6KxgipqWS
iWQnxZwNqN9awulUzNEScBQOG44PVHuwjKVRvrLKwqRhCuDosegbXOVDVhIc6vK8L3P/zBY834ee
+IGW3bYDc1VszD7mCXgRZRp4LUv0ohlDIuLElptkYDldi3Qjan7Q7dxCchzDvvOohRym+1RpHw0F
hQLrq5xmtx3zuMvWx3gkBv67mLOK54yPvj2uA5JynuakTT9xi5SXymY1oADeRY4+hFHX7EiM9Mkj
5k/p+Hbomd1vYznOEzbMDGsDtHgQ1fhNDxNVc1+rQeit5FnWPAUwX6Jyo51a39rdzxBEQ/ea+BI2
hnVfMhF3+rG3wJiKVjXDfEgDdLXDERK1+MDrdBwrQ+oEn0TXDvF9tuhrkiu11+KHg1rZNqXga55U
aplJvBT9voWPkg9wTSp2BdXis4a4Lf3QWDrdmXFBxVW2jYzKWMIVLpTY3deCeZq6j8kC24NTQ73G
ec82gjI9hYBXuyKkWeTOHV4CebNMo2NlktO56kO7jDf9hqX+OSfGr8eE9UOMZBIDy7M461JepQPo
wYVN4/0ocBh5V5i8lvZhAXVKjKWiig13va3DIw/XANTd7Omt5bwnB44Emw3HKEqOyuwZtn0/rFFz
7umYu+dlqOP17WiWuMSMZE6+hKH2a1n7NjuhXENqZg8VzQSkvTCbbE+t0zDWyKCrxmGblvvuhC4m
hCHRyhmSnBrUAx+9YultAyslVVAhZ1u2cUIbeLbqpJimTNIL9034kUH9I+8TLB11s0u7i/s5SswT
8bB4RQuUuruG8mRH7RRn5mmNNGi7bmMlhYz8HvMciLURXprCjRwy5PtgePJ+8lFz6BNJ+0Kpzd2u
/SAeGw8H/arHY1zm2+LLpK27U5Zl4m6hTbg08TZ8Cc0q34l0MGVH6JshN+p9LsUoioZoC9rJMvT9
XGykE94WDardcAyIqgsnuibNBxpv+uJk4KLC40xLtS/7dhyNzC8B9MXsvY84e9cMPoUte+JGFp1q
xVY/FDWeXA6ZfGjJj87Vwb3Pc0pDsXZq46ByxqsPVXf1AzgPYdthm8JNHDSSdefZJuhjunSSVUPX
OLqscQY1NmSlnlxMG9fiwUabdccVOn/yYadDQksRstXdLpnOmy+oXNV8yF0SJSfd6S67k9s6IOy1
Gdeh8LE2/EO6DJo8zumS6gNsGsIISwJL2/MUrWL4HLXIEpZlHrq8q4iVrSuWvEMpKtzCutIMqFF8
UadRmg5FyMPSfd94ns536zat+zeEUnmUQ63jOZ7uAWsr14WEYEge4KJTJzeGD518s8Xo/Q/TmKXq
6Bj2nQodTcPO85V+d5iZStJHiGpkfgv+bBpXsdhycY4hm9p+60DGVo+LdVyTMohmbS92timhBQxF
OMaju0yG8AatMUvQBYOyud9aO1jsC+3IfHyvFZbkux7Nqv/c5704ZxNGZKlVnn2ObdpHXxQGrGiT
tylH4iJA6LbE04FiqaiXFbu7NctWraox/COFpt994B57+ydrZ5HIKmdzhPOqHvNofUf9LremiJKE
pYVztVGlqNMhebA738JvGeT+ww/TQc124BKxhW/D0G4ChgP5ZJ6Q8Zz322Fc4e56I7oomZ4oVhl2
RJKamWN7ajcGsLAdIWs+yZS0/pT2bU9Ule0GJUAxUEob2MBP6D9Q8cm5DKu+1iKIcXH+jXTGNP5G
9E1vPgw2mtbjJCMnztaKJccntgtvqjkZtvVLL3JokWjbC/vF+X5ej7ohKipFv8S33dzUtJwxCHd3
QcqswUfCOogBLVD20uh1RlE6U9jJfFj2THAIpOf6bmqS+cbXG387p0lwqA7yfdePYRiGwiAbtIAo
rFlS5ItxOR2D53koG8SpLuc9tWjQWrGwwjo/Rbpwi/P2DYs9a39bEW3CD3tPSFtRfz1Xi8YiY+K0
U5V/CwjK62SRTpGoL4hjzmhW2mGXEerRQKKbbccTfIMTP2YXh81efhV711Y447P6cUqsOXTRvC+Y
qUZ1dEZ9m7qSAEe0RcTdXJewV0rfp6sD/2z1baPPor2eGLhbLoa76zR1JU4krT7kgPDJUbbt6Cod
5Z0/rBuEDGj6IujrdtbG3QOXnqBh7kL/AB74ch7qjo5YkfVymQiAjnuRNC45L7UbvnAUK/5h7L29
uJmNQ1vxELYyz7FxAIpp6i+wvZBd1SjsnZ00/b1zBAXcDh8Sfx4Yb0u9B+SSQP1BTh0z6XA/u9QO
96Ze7O2i9SS/Jmbj/WHivXlG05keVJRCM4LXQ/k57AyBZMOW+Q85zEh+moQS5JLDfqPDQ4w6oxg8
U8cUqdNLOaO8n0qOweaKaDy+Ad3FvmnLeTZbOSzoGFHYaLGVULyEpohbPLxz6JOh1CDKgKILf5Hk
fhKjA7ziol2oC/Nr3n7a/Drvd3u2BfkeNh9Tcqdot3S2dOmqu9uJg0YDC7VtqxBsPi2Ijs4eE0QY
VuvENgndeI2o3hHnPHsTtyma19qiNSooou8uu6yjDfTCedirHiPHvClqBxHR93pENMc56VE6FzW0
+fzn5ABC4MxCzY9ovo1g4rw7bG/3EReTe4fhRGLuPGTfw6PxiIx8yBa48ZScG+0fFWZH37J9jGBz
0+Su/dhODbRFvdN6AG1KZc8qEa4rkNbaFr5HpAQ6ZkTnYe9b9ce2Q48IRM4ee7uEuMAesdVdsQO5
y6ue0bYdboNnaDMLyHHiLyiwx7Sc0Iiuj0E3u39D9ByxT76ex+VxWTvRXXgrGtUd1FL33Xlt2i1u
sd8m+W+9RzX5pQ+NR4G9Cw1T4X6a9/fAWRW4QisacrUVG85yc9qk9VjZyfwhSdv0CEg8voUWHQcJ
z+EIXYyeLuw91oMfDqJ1LYxSeDxud54vY//ZKzSwhTHA2O7jKKHjT+TGi77qp9okz1Gyq/UhEHQl
D/WEQKw3HABU8nvbvTxom6bjb/loBTttcTOQMsvgK3yHg6zBYd1seeKrmrKN6xKRQmBJlnsMrsC7
FSYw5EJhaENu8WCx/rLQNNNIOCPbeC804KiC6tTDFlq35ifJ0659SPZ6BP2iJv14gj93lDxBHsbo
VCLsZveAucegj4ip8+YIQo9WJcDjfPk2emUj5MDtjp+jAV3jJzKoGaU7RX1XxUZoCc0d6kz1sAAm
6UvQyJ1dClhOxMktoUmOGjp30XjqME5ev/kkCIt3RWt345uO+8rkWveHIU35XCUI3nBIgzcqtEcU
vYO4rTO4TIFjNlxTkBAKNVWy7cR2qR34xyXo8I3IKwjOiYV9dK0wtsPEZ2oudN3SHVuz09kJ++SE
oeSMI6wA3BT3BXRxu6xmNS7DMduWeP7JurwfIpRIceZSxHrCqwHh9GqAbKXHIMDZclU4DrMyGoy4
oYlOwnbuY57yD7DGVe7u+sxtGm+8y2RWynhLp8ecdcP2McK7EVHRxi6dluPVtBd198r3NXtYro3C
bR1N/YYzBrRA+OiEumkeg4otajKzpJSs6MnQmrMSkHKOopxYJcbvXcCWDQpTYIr8NG6N5uMCD0/U
hVjmgM0RyjGZixXTwh/zVq4NTkQu9x99C9D1i5R+6o9Zk42Rx93V6YjIWWq6NxmqGhwNiWBZftTY
2uefrc5yzwsHJ+zw4Fm28OcYMESHlAvAnO6bgGtl/0FHyxQ9TQ1w7TfrtR6HMDvwISnZOsO+Feog
bYZzqwDv4yHJdHo0DPUdPSAubplvIXRqcl/ugMonFPSdYR2rQA5z/NZrAOZ3KCI4veuXLLPvxkH2
5sKa1E/naEH+9BdMXWpS0nGj0C5MKlqKgSU+upsITHjeRItduk/Rjvi1UqAAGA9hUdw8dNaBz69y
wtbnfQBzq+TEAsvu0mGEk4ZpIvedU6vr59TbtkxG2LjLdb9EO1KKDfqlqR3OXjdpKFBmSIAVbHPL
KUyjSE8GYKK/GXq6kw8AT/L80vUYeJSaKMw5D5BNEsOvZ/iOFv4KHETH2STJUqZUyajAmrun2oYM
I5UcLgBHEoNBOh+7KAasTUcg2aEYkCTFizBvOq9My/Ls5LZF7CedbREZ4VyV+EUAumgQCTUtIpZ3
eWys/ZBbmEf/ZE22qDsCCJAdh7xdxDvvgUBXQ8NlAxEWeDdP3TgO9LZuhrF/5zluzG1IeG8vZEFy
yP2K15oguDns+ZNcmGoumzSif496tqvXkiw0dHMlJ66AzmWwoupIuWAx66iExQENusK4g3Fx7MF6
ujq1ss8waiM2LoWAz586KCDedjkz5Q1urGNSm6fN4KZhNIQnAdnNCRPhXYrbDg2JyNt+fw+QuN6O
K1byUew7u0OvQKPbJKoFJluUwKQruU4reHJDJKX6ppdszu/2YYLANE7C5D77bhHQ5vcLHBKODnm8
oS1iT3OGUU4CbgmZLV9Liv7NflFrxpOnCepymxyvjpYxWrctR4Y1N7tYZSmU930VlLkGZzlLH3JT
Z+M5g2DRn+ZRL2nVrEGPd4mFHQeQIIKx0hQMW44dsMq4iGwcR0eMYlxXDbwRqK71bDUraKq69OvG
EJZ9W++N3N5CeZ45QIxtbfYf6ZinzTfdT2Q4kxSKrjMBuDXfQxxt3PMA5932/TTm2XYXZ5ENv4U5
l/ouhCaywDG2hJeoYACOA0ZbACF31oLTNLvsfiHK+tIF5COeDV6CrJY9SfoSFGCK0WCWXVmEKz8K
EDgfhhUBqO+J7xt7b9wejxeGdC/UBXiHNSjdwgUEYFuWyW9AM6K0kjmPtIUnJQqx0o542tUB2HsP
cAAb6bWb8dd6RERmTcsQRbHBYuGzAStc59c7KDS68qYgJhePlq1DBFV1x7ofy/V8/MEWqMQhmc2b
8zwJlCIE+93wLjUmcVh7Ta5mV2huIR5FJ408HNaSjlRpkkdgEaTNXD8kLXP+iG0Ulm/rMHbrTyc3
vd1NO1P5RxQDNNsKOcvlEgLbt4+cKb0+4tRu0pNFuVIoeHrMBTJPmismqLcVZy7mNE8ojgW72BaE
6gfgwQq6Xri87+jg5x7NeY58vix3X6HPm3kB/UTiDxvVPcAJM7dvMQ2Om2pdkT37VoLAhXMRUQKw
qBMrr8UHpiFQ1OVIANuvN2Nt5skVHWRNWTFxjEvTEiM+s/xEv9wAo0JfStxXNGV7FxXUYWAsixy7
rANUMkwgtRfw4ta+OW5QwSEDZdwy2n6GkDQsplg8sjrmG4WWo5Oln2GT7C/oh7c8rkzaYmL9OmbQ
y6QrGrJRTaMdDkR8ktkzXV/H5H3pXpIP6QpsGNdNu7ccrU+Xv5Kv/9K7ZII1nKg7xo44rAg6VrGS
e4s9889yuP/AHYe8DLlC35040F9QfkdYBXM7de5W+WiC4Zo1Gt1tskp4kDMxJ0+bBU5UIjs0IuUU
bWg9/jVf48rV/ifUhpdGJw3w4K2LDDtOiE4cKuTbb/dgKs0lqibMOgD88z+RNf8BcyN+Id8wsw02
S1N6hPp4Zu9cmOql0g2qTUhV0ZCVBFrzAbXhFsY/kWT+AV/spRWKBBkFe3qSHylHAICDx8VhBrD1
J2/oj67+guqiER9mWStyjKnVt97EHzzX9Z9wU//o2i+4aCiWZ6WbOj8GZAwUrQnnbhnSV178BZ3F
xbEbp4XmRwBeB0xtuqKOAXP86wfqj175C85ova2dy0VHjw2JLE7WtUb7jTP4VVd/aYSS9DoFFQH3
BQ0bjECdQKTdPr371xf/gyf0pQ8KNbHyepN4XFomkh927JQvCQ0JQkx4onShF1A/T1BU5PpVWWDQ
Af4jX7LljWcwiMiPyF7MP2azsQ8yBkjzr9/Q72vrn6zul44oTIaUrqHJjoqLFnCXGIMHkov/fobY
0Q8Z6l/8y5jFI73ptHyWe/cc40nLT7XtlhYdQ9MeEAX3Y1tT5MQWjqEw+tur+z/ft39vfk5Pf3sd
9q//ga+/TzqYrmndiy//+jwp/P8f19/5r5/5x9/4683P6eGr+mlf/tA//A6u+/e/W311X//hiwOq
YxfeLD9NePvTLoP7/fp4hdef/P/95r/9/P0qz0H//PWXrz9UN1ZoPUz33f3y92+df/z6SxJfGfz/
FV95/QN//+71Hfz6y39a+1X971/4+dW6X38R9C8kThPBSZpRysRVW+h/Xr/DxV9YLnBtmmUkS37/
zoh4xRZ/kf1FUJYj+onil9HMYn+30/L7t7K/xInIBadoKvOUxfEv/++d/8Nn89+f1b+Ni3qautHZ
X3+hv9sw/fezxDNB4AeSx8gkQmeJv/ViH59alBsthl+nut1BICBb1MaHJa5TCd/aBdIrPu3DEwf1
skVvkPKxXJvgGLAuiTKxdWzFNAeNnKn2ycXHkZM9B2shX6YT/Hbr7mYKWYTZtFkPSRxn1wcVQ4No
ZN0ly0FhKhqkaJSZWLszHQG056N9yroxeQNuKn1okoB5SxKNd1siurNt6u1+SbJ3PNO2xB0MN0TH
ppqmxN3D5PeI2rWSGeyxcppemFIlvIKXCszxHb4ZK8LoHPZ00FKnIwv9XmX9khxSlE7lNIv7uoni
hzWyzQ34Ol/GuOvQcw28kuiWy51YcZzy9IcWSV56sCxG1WOYqTt06Dbfi2Wrw1nqyb3ZhfCXviPt
DzHTtRwQZXoZY/cVBsT8BGWrOcpF45gEfeSed/Rnjcn8g5u3H1Bf5EeyhaHIZPRAZ1ZMcv8m5vYc
NSm0qfXHbU5voSW9y5isXFguKouRTUvGFlhC9D2buD/WW/pjGK5O7RMM5ilIc0OYysSnz41oV3AA
5X7Ie8iXVQPeyBzLj5g+bgfH2CcqyZ00MTooBkM/8Ay7ZZsPopnBq1ui9Ta+znOSOb4oNYWb0GU3
W0S7AovzqTcaA17M9dUha1SC6WL2LWCyXClDyZs9pcljWJAhNQCz+KJsokIBYk7zPakpqCxywxWW
NLoZY599N2aJboZl5o9KNew23Wj4zQgHbBjT0rlAy7ff9lr5O9P2jyTW3W+Z8RNIkRicxU2EObMF
PyXvBvdDAxmG8Wf0FqXDpYeVYxk3Meide2RSIL2+PoWBP4FfJCpP97e8nd4AdbqJsI8/7arz53wd
OgA4SI8sSF8nT2Kd5qrLw/cBFitHHg1fVLqs95bRc5QMO4Hvs+3fMoaRCdOzvN0IZjMz5UdYtfrD
eMXGYLgWbl3PHgGu529dY218xximPxgdjPFcjSA6gy8A7Gk5wnFo6QB9IRYX0dIDXN/lijdbDRpG
doWki/AlXTo1HLK9VuSm7zAcLaNIJm8N52IoJNK71gqY0dhXAxARwAAgLYBoT9BtHCwDng71fdvR
ksVTzaoaA2KoTyRmsgUyHVoQNxuzNndR1il3WmKhXdkmvQVy0iMx9mPUS/CAsJ65Awz+f9k7k+W4
kTTdPhHS4O4AHNgCMTKCMylR3MBIUcI8z3j6e0KZ1ZVS3qrsMutNm/UuZSkxGBEA3P0bzs/kpNwH
NuwGcnTL8Qb9q18OkLHb5RQ2cT7t3NnOhR+Vbes+Alq0q2Nm50aF5JesHq+bsgEzOwTIIJJGyuzf
MPyhOXhutMXgq4ogGjHE9jEiBnaz3UzOtpdmEjOGlHnYH5Uc4yKoBHMnNiTtqtgv4Zy8mrBlPpcT
d4zXp+Fdi1+3bMjUEAtyljmuDqGccpOTlVGUgZPOQ+HbVc6UObx6PiydITaP1nbg13jOUpM7pHe5
FZKVdGVaFo9dGvXf0MjJjyfxNKG0pYnI7pwqLdLdOliluy36sYtu4qzk27eWOt5H4yz7rQyzNmdb
ghWxQQGo030xxFocnabt869NawzJztOkCQOJE9D51ijWt9LDf23mIX7wytUEJO7wgkOdbXpRjLzR
GhTeET5qa/vNiNVSrVcOvuMr1Lz4uvSs/m1iy0jyhDlJ1wNnhdKnGZQei9lZ31wbJ50hhD5DJJ7S
Xj8RQHpxy3TedGWzfHHtqdmRSc7vVYqRMSQRm8Oy7B8travdOHbuF7y8ljG/vbW+CnP9QMkPETaG
8hNBO7q25cbo0pFQMl61w89tOeaawiZ1jF9TnPsWsN/eM0I+UUYVEYiLOEX5uWs0t0ubi60Rz1Bf
IwIMclPprJ22ErFsOvHU/jQSK+WIRzjukal7uXogWTeGu1xrdzMPnXPqGKWeooH05vxg5wmaXW41
nN7NPIsfcy3iD8PJUbOnpKBG47ZW8gTEsB9fo2rt26uVJO66i8ekc/wmQp1KsuWQTfP7HKchzhDX
svDdyPECGdXrToRdGrRzN971/ZLcWkYZBaOa52tXDfcLouoxjJ303kUd22E8ls/GauozCNX5yyXR
dF/D04M6Q43lCRbQcr/gGud3o1dV7yX5QKYSrNMxHAvMkIl01ptDCvPe6LzW17L3bue+IEvTi9R9
j6Q7fM6TDHhCW9qJQzsL/yYIe+V+d/O1OdfLMH0P43EagsSrdP7UGQ26mzbIK0mFUbTV2Iz598R1
2ihIjdi8yXBEHqpKOJ8556Z7pGmpd4jVTn4WZTPzVCBna5Re+1RFTQ1PlyziN6nd6vuojellauRQ
bxoyLhvHLrCoRdoz05FQU3PLsVldR/jQxXVOR+DJSFVTnMsax/FAhNZy4OUYY7r1zNh90VVEgDvt
vHmf1mElrxyRWR8VQtW9k0n3yazK/AztG4uJyYD6mcqU/boOrCDJwlOVwO8SvTijYd5LDCGyCks+
owSqceNK7RzCyVNbEdniFEeyP46WzEY/sqJyYw8ToVCN4J/t3LYtmmAlrYXR5K3d8xwL4yYsCcj5
c9Q1g+9E+dpewzXkuL9GRUlWhRGTi9+ahHwGc11oJOR9dYW8BRVsVaqz79t0zF+KLuKiq6JIjdti
HEO1keCJ0iuvxEM6uuHQh0dEKaM9mJbJ+tdErlPeE3gylltm/sTy3iBfvfhzlfbjziAw5ZI20qjA
dcxb30xTHmFPGtmk/MQV2QTO3bOjc1IazhKM5TTeCxkm0ZVVk8s/T2m6Ig0yysYN6q568CpScdiN
xjI8hE1i15+wPYO5IPGX5thU0lPmtsy45UmPegFNiPE608LdT33jPYVz4dyjVE9RUIQ89525IZVo
rerg2e68qeGCHVjPilvawMXB1Z27H604puEwVvmGwdzruQstoPAlAydOCdmNJqjzpp64IMaWRApN
ADxHIIODMm+6ZUoAPoYPJjd80HZJuO0dkzmLeT2+uAJDpEiT6Dntmj7IsCSYNFY70ZNlR3FEkJPV
YTWq+bgublOf2wrzmxlnJMgOzsyZj8Bcb6sgTGOrv5MyN2/dTjPx04jVszX1MzOpEmMKyeFnPJYL
8iRMlUjT4miQYnteIOzwNaNdRltvGYbHWaVTfRSLm13Fco0+WOZ4WIbtZM8+eQIVHZgOFW4F54+3
WhTeabHM/I6J6HeNFvOeI5/wSdmRoChX+1y1tYu5YJ+a1VbbUvZPkZNkwk/K8DQZ9vrGgpE+Rlrm
H/VQj/sma0SDNWlkR9G3IVFj2isfJJfZglU23ZzcnA75WLBA1XOsQeombSq2Zge1rlHaHLBzWAj2
lxxxeG3HvcdsqIn44TTP6y0Z2hZsxVJ9xWv52jdGpoJeJIUXgJew8dRU7sEcygsmIvzpcPbHGejP
Z56fpYy/nngu2tmfSo1qBpJSVUjIVpUjOVNwaK9KxOqn//xlXEt5DvYKw1x/LcePK929kDDfkW78
VPppFMGRXRrr78r3FzTkzwe4y/cr0NqQHG3Ocz+/HeEZsnc9cIUr7Ia39LLCO/3KiSDCBYyD2ciS
b/mI0uFbfSHdv/kwf/Tifn15hh1rkjqa0+2vbzOh7GDUreqPVpvUu/iyEZBu4eysy+ZgnLr83m1U
Qw7AWr5kSzVvInYTo+k9rewurB/bDMTz/LLxKAmRM07xbtY0WByFuXZl4gD/CI0xRtCYkvy2I6WU
+ZVeQ78m49LSmPqbivHP0unl8uAkbGqO7Bh70vkLwUNZsaYsUh9XjBdIn1kS1f5YJZO5HZzRY42P
clf9jej41xdVpkPdW7jsTB39q7LThmFkjcSpeNFoPSut2Ev3X0DUMhR3ad7+/ZX5c0P+8g55MQHD
FG1B83SSP18xkadkmbtFf5ywGCjfyo85M3aFOfd/867+eqcpLkvbpvGDyKF+xXLIohNQfZIStbOQ
/a0l6pCFsxT28DeK8A9d++erUEHJ5BTJNlECRrncJH+6p6MM899e7fzYW8I5xQNbinCY4+iM+qGG
DR6WZL4rbhStlXjqbrNpUNadK+yAhSj+ILLP7q8WI4WDdgjXAxOE2R+2P/aK//7D/8tnIoTk0vIQ
dvhY7F+b7BGBqr6t3OSYxbGpj7U79HdzNXNY+o9fh/lutm17FyVJ/Tos22niromiIT6WlGaHTasl
QIEoZOLDj9f5n5b7rpOvbdVV3/tf9b6fJML/RaKg5i5yLrbXv9YF9xU35u8K40VG/K9/8bswqK3f
0PxsUwjqNj8Jg1r95tiUrzQjHEzJLcTV/IcwKOzfaIY4nic0TynlXDrzfwiDwvrNxRETYHQswZPY
df8jYfCnVUVbl1+MlBAPC4ZFCJaWn28oSX6utPNp2rJuUYCd4nUXpj0tfRFXPmMX5r9BAP78TPrH
6/GCtm1xc/xKYMsj1WUOG4otFWNsYyv6Pq6UtZCQ/o74In/05//5sPjxWrYLg1HyxOAW/NUYwCqR
SsUxx0ZhXuaW2XYdcJYTx1SSycvCaLweaC/tczy6TdS03oeTM161K+fsWHhENyhuZOKKJldtXLIK
VuZnXtR+tvIU+hDnI/uGqK24umC6EcFWOww6oUOHZhiUUr9Y81njhFffDHKcvuNm4olQDDtzpZNG
nHqrNe9oJHccmJI13PSptr71TlxtO3dKx8Dt8uH7gE77jf0bRn7JalGF+XqHseiQZ2yWaN+MQxqg
d433qbMCPzQ9czww9zsjXBF7/CoDGYDPMJnWxJdxs2o/iXId+bQEtEVOztD7elUcyQhiMX0NmSma
/Y4WR+UrPbbfCcqQA+qco464HgSzdraGLs/l4jxxuMzqTZaq8GqNjPWU0EW9YzDXeY6RO6zQHIMo
qV+MIk5J/cj7lGzjvrT1eZkxsBMqTn5Ttw3jgIz2TLcQvM0w0FlAjfBz4RFlZapb6SfkobfCmLMr
Y+leEroGPoPLyHs0SeU72nBp5+ibvkxTPH7qHHEG00rM/dY2vO0Ylss+i+S9aHGcpPFArXpDyLfz
yfrHe5d91iYvvCNa5xhgUvHybZv6poi+l2ni+faQ8h/xgtY1VYeOAlsw5uyAq7gzN47Fi0unMDej
a95PA7mUoboMXC2jt0gCJWc+Dn396H1CHPBFh8JMGmzPBuMechV8az7RTF1WMCt+5OweBWRCPohT
nUVGLJ4iZ0A/E+GbVDTbrzqQnboPVUZNtxAfqUOqNjNpBQ0904nS76Z0sm0Wti82f2CS+g2F3O+Z
l5yJZF5FdSaCbCQUMcbNY9Q6oCyx+ZbxFIfZvlfGmekWybbmsBW486Wu0YRNE51TZU0mSnvY3Ta9
fZMY1QuV+ppWCwkMNeUn05u/OUOdbrKZ5m9GzdMnLUxTJfJKGliTR6SD8SerS24k8ZoUbde9kUsc
3ahwfqfr+3mOpANkZyKRorIkcEID+F1EpFyDOGSMnF8ZXRhITTU+43AyO9EpCjOG1rXyJTM93gB6
DBhfjvNT8h7a1gW90BODVzpg7pdv1dVI7ZqXZoagQamxHzdEx6aAL/aeY7EXhNW0+Eaed8R4uVHh
C61PPcVpP+z002TyTktdnEeK575l1u+ok9X2/xbX/5bjZtkXTPq/XlpvP4DY/LS6yt//ye9rq6t/
s8iTWxbCmas8SmT/ZbqJ3zDbTMsWJicW6FnYcf8w3eRvrAY/9kvsxBEc/2m6Cc2yKxkJbNHsuGxp
vf9kbdU/IIk/rUCuzUafCKliXCt78V924MnoNGQKGURZ51VjcN/aecn9YZjXsW5xaDVe0wBReesV
dlxsZV5w8ztlvgvzuaHNzDE7pNAXbkaV0NAK62jwpewBM7jhpNu9LOlTz1TRtE/AfN5Gfe+KoEwm
TrqQIV5WYjWbQVY5/MY8PhSI+IeB0NB27Ib4wA1e3iYWM1tRkvrR27BZGdqgyNDWfew8OPLSatvy
KN3cOiVzEnr+UMN7YTkzrmlr0qUCqJaw1Hmz8S0k90RedhLee+K1bmCak3td2WlyRTLSpJaTrdWZ
3pDzuTNdOW+FGV9qyzU+gt8m7UjAWEFUGNMy/UTN+cu0msl10iZPZO3WwI6K8Uh9on27lHNOliSQ
Fba98+isVn5tJqncz3h6W4aUklJfyvjIQA7yxqN57A0aFlFVrluPjw6FL40Do6FajZ82PTBECQnI
c69dokMnqhUJFZbsA1nX9genSh5C106Ppajzra3H5XVeK+cc26tJuN80Smh7iDwYMK5SV9nFdQs6
GAssN7QTZ7iNtnsyelZCZCnMFT/PhWj8ep7SAgyCdp9FtJp31GTmB3LLuXd0yRcxszSlWpspMvS+
W8jurdLx1BynsRpOThTJ1jdBwtyS+0SGLugFXWT2VNdkeWmpXiwyxu0ZRImxwOrIu+vGSNJD67Xl
7koyXVfdjGAd1jmYVzN0G44McNSSnWNRipBTlt4QC5U3yWikrwar/i7sJlbvFE2MtzTmD8TC3eca
Q5TmmTtTWizG215woPZbb0SCtGiI9b5k/t+jKxj27BNjlJ8He3I+VTi5U1BPrbjH/3ZuIROMxYbQ
ZnUYbJ0f2HpNrDADBkePn/PeEHG775JYbZURR802TZYlOk+8pXE3MJxzay95Gwal4yQPHIFcUqyZ
eSAMOO8Km1p9EGZjdWhqXV0DT+h30fgo22QIbDqa2og/VVPDksownRv6RM1RdDr9MutmuKOPNQa2
FTfkYcrbfhY3alnEJmPIxj2jTdU1A+j5yIB0BGRQmmsvtxlUREOEnvuA27Sf2pbS+sJyhLdEM3bF
WErbNTDq2d5Yhjl902n4paeveE4bVV5PjTcfoxrdlf6cbg4EhK1ztTCtolw7l/UaHtUtIGqj9Uu2
NqeBCFi4g7OR6KBlEO59meTdJ5G1cR/Mca6vO0+0L7Mkw0eVoCb5jybvnOyaM/MR7A3B3xKCSrI1
R+UurxbjItRj5zbTprPL6iP3psqJLuVcpz67XPvYDaIZEvHZoAwyH+OUwAGC1+g220pZmflVOWHo
ncuKLOPGXlTCVwFUAMtCu8VVYvDjA1OMy3PsmgJRvS8+CzlbxRUZumafmFmWBvQGh3SHogl/gUc0
rR9tD/nnJJmn/eC1hh3wsP8E2mI6C9V3N8xLLBH6ESdwEh1NszKfzQ+tGefWzSE9JkkOf4yNcDfi
CDrgc1Z1C+RoeS+7UHyhFJQHuu3tw3xp14V1He3ctK+fpkSKLshJOdCnwjqqPqKxr+5Xywm/paR5
D5ke1g+GmY9IrCY/WGDJRNtc0ULag2m3uyeS5Ba8GZTsiKp25c4PCxW5cau7bqb23vBXj1FK1bEv
23DaJilJcAzKGZp5MTBG+LosoDMe2ZMMBTukZBp8kUXrE3FkWfgK7RlIO1W2eNO5NFv2bMCjy7HB
y65nuzJYXiL4NSImD0G9nTwpnsl+8ao1YHgTX2Ue3eZdkZ9bF6PHsOYZJ8eKViAUXIDF1NX0XlI6
boPnTPtlnotrOoPTMzPPonNfec6FEyXr16Hl7QRgtBvkdSoamKkD8YXIMNx1R69TebD2mHRyyCLa
LkGYFMtX02pS6rHZ4r3HjQGFpE4TxNNaxzS1Ftr2VED0quTWLJZlCazEthZONFX+0GndyS3HFR2f
QkfFycYZhshjBaMAdIt11Z7AiNJbgMBn0R2Q1nSdWxUtSdvhLsBoOlVLnhym0HM930jnOaARlvvm
FPcPeh56/LnWfGv69cEatat8iCbDozln5NUJbhsm57RWs6MsR44Rcs2ctzZazJxm8ux8bgd78ALL
qdPoQAVmjLdD46yO38UE4nlmp/QGl2n5FtFne7ZFPz32XtRnGwh2/aOj2M4SL4XFYUjrQXSN9RmP
r0DuL62rzsYctVNYJ9O0XK/A4udgcOLJd+3svHrrley5Yf1O5OtHkdPPZsGxFooTa8dBNYnpGXFW
8Bxso6Zol13XTka5t3JLfWfjtAAKMNxiuVeRGT/bMfFcfrrpnjJRONGefrJ6TueU5x2iZl9fEe3u
2y1OWH9rwDwKfZDw3uc694qDKFM6FZllNupgG2IMg9AIw3njxOzXKHS3mb2BI80XjZiXFrfdPMb9
1h27/EsTZuZtSx11ocSLChu041Kyh/DmemPqfPhCo4gesFyNTRWFJKqjyO4eu9Uy3lxXETuxh04n
2wEHje1HQZkszuUlFZtbDOQp2uYqjA2zO1DCBJWRxUP3rctjU5GRmSJGNbiepQ8V46suWCSlYzC3
DS3C2Ix5YEPrNrog7YvpGiBATcCj7J3Jxy+sP1CYbQAG5YirFzeqDqyp+QoJOT/UHLq/Dta4goGZ
Q2AdFLXtLmBlWreIpik7h9SMvkCpbc+c3MbPRoI/7OPjpdejqJ5dCLaSVnUSia1mqsSpaLt0mxZj
OmziovwgcRaylHHuW0vk9LbJ+M7HwRlu5qzGU47NovdD+k88U1KSQjk6xLJjhnlzlyYAOnz8dwP7
SKUxuJKmGb4kl5ErNOY9IXYE1aeXJS5k7mdwG6Ot4VrRybCIRwALi78RCVLc0nTgK/ov1SoCoupc
esDqmw0+et3wVB466TeddYmeKIfjLoWDYByG8NPYtFSEVdzuW6eXfk1vBQTMsm7XJd6zIT3A670c
KKFS7nCba3SEFXpUNmOeKneq/KkoLYwozSMwKbLu85QAt0F4nQPWfZ4nGVflVeSq8NAzfv1cjdH0
BFhqglrFrGYlrPkL0a08D7rWbN6jtnCpxsax+joX8BjDcctBc/0Sh863MQkvhAIzIkcqR6x/Jk9E
tNlc6GFD5VT7MARE72dJvO4XWhTQkfrWfBEWq9FnmGZGQWhK2XdqJJmN45C2W9XmeXPA9yAoM3mD
bHjQltl7HdmM7LqQ4QlYV4hQjhsblGEqrz60LBeMU6NpMid5/VB5yfQpxG707SmX077DhB2MuDyN
UseUNnqki4PRFZzH27JUBY1gb3pys7zET2n4pZXOineih+2LTDLL3hRjZnxrLaNg1ykdfvbstvc8
gUyJb63qhoug6u7MevLOFiKJsaHi7t2RjGkfTQEiaB86WU77YymbV9BDHPy7Oi3Fhg0agRJ3rr8O
kebu0D1pnRM3HhvDpIyrN88ZuidbjOo8WEreFbPonqn+ZfVW1dTNfBU5C+tsBIprTAxvb8lqPnD1
wCspqFp/WP3ikb9fE49yKTUpHrUaAGvaTiA+zEWV4ybtegbcM97tkOeFRT+/09GL1NAUFi4VWpTk
50y/Z2h6H7BlE28e+JMrQfv+epJFdSmsXrZgY8/o8LwAr8vmQDEmhT1h56/e0p0ZsNUinNA1gpok
Q9Pbx6VVIOlN6Vs6TfoaDE5K+mduyi2fmVkFo5vMwdiLOAPZVNLWgWX6qXPS8cTNagVw/4xgrJW4
EiqZfVdlgFHIImx5qpabWBtSbLA6KJgIJ1UQC9YFSzvKvY8IRhBfeuxk7zNDws5tbXvS13SuC3/s
WvGuhqTewP+JgFllclcvnBsnq6y3lZxPbQivqVkzYhcqzm9VupZ3lXZSGYAcgT7RwQXzaYYfpxZz
lzpR8+blJilG0tCvSRav73PeFDktnyW6Xrwyfa9lVW7WOY8ewVdmL5IM2yOaFuc/zRpyM9Z1OO2l
KLs+cLTss4Aby6QaZpIt6GH0niS3xXYuJlrZpnGYKPIEZfkIdSuXfsz7vvcIGhC5Q8PbDNrTpyUq
8yIY5j7/1MUqPswrm4tN6+SQHdqyiz8cVbNZrEKXgj7DaC8Ri2hnF2V8iph9e+eIMD7mfAFPHtnA
R54XzTlSvA12RhRcR2qePvIW2/t1GZ+oQl45fKEhx68vOuVpO3tW9NjAHPqT/PH/MbV/DrmjaRMf
Vp6tnR95XudX/dxVfLCq7tc9zYX0vp7W/oaGn9isJeiChPFJe8rTf4cF/tl6vryoNhXer0saWTON
Dsnmz66bTAQYR53Ne9gG+ZldRn8XhVO1QXaMn+q1pUi3LBca3dR8+/dv92e/9PdXRjYRJsaz9jzr
F9O7tu1Jg2Vb941bEyd2tTWSbqFt2C6g0gg9hOXH/0lx/x0pTjgcRvCh+O7/tRz33NNIe8vit8un
+k/H60//9g9dTvzGvsN1+YnQRn6X2H4Pw2uN+AbTCTuMG/IyrukPVU6J30BoKrZpQAkFPhlX/j+i
8O5vWvI/SR4oDneXf/WfROF/DCj6syrHBXxx49ioIndwTfFL/PlyhgpJCQjTbx+lcLT3OofYEhA2
NfZeqO23DmbNvVhQpZo6M4MoW2HHmhmI+Z2yAPFMtp7OtGcTBHUTLk5K4TqunxmXzdyfcQ0002g2
sdPkR93X43ucDP3RTBOFL9TDgw28tVSpP7r2ejSWws0CVycm+UWhdmXfrLdS0c7MG6s/pOXAb+EM
YGyIAM9bM5vguNXtN6K6C+J2RtXRKxJvA9XPBWQ5JOcIjWC7XJAfbMshHgFd2JIHSbZdn7onDpte
4MUriRyRGvs4Vd5HWjicvxhgYsJbDy1y/IP5qNckuc1qpwGKIvWmUHOmyZVMVLMF4E2Yjh1dHibC
ByDRKnaZsn3LkUIhU0Q50Va3sQo/GpeMAZPWCF/EHtz7Kaf17DR1dTeS63+npt3coBqcrdV57T3z
mlFeJNmt/EBC7jyO+sTZ+z42cLhsa7jTzHk1+OY2MM/6nWJC1OpELTIGofJdRZgzDyKjqK9rd576
TZyFzlPPc/SHXhWaG2El97JKTz8gM7ULpRlaD1Vel0Vrd7EBAGN4LSyAEr30zVDGAouqDV+9FARd
urr1HejBoQpWaThPOXPvr9p06Q6zg5g7Q9doArNXlHPdPiNf7Ins6BSzPoyc+A95NIzPoBqdCxLG
hik8ryOsR0OcTe0ax0qS6e/AygbAf0jucKVx6C4n/XnKHQlIFSEWpBqcLodPZBtaRfKROEDyTa7K
gxdXF0fKjkuKHHb5ShzQ4RwMcS8XZvre1tWXHrfvi+cxbUQXZfYA1xCXc9FIcQnV15piAanJRp9B
QEebRjisk918DiuoACOV3l3bKOPgUTFmsKwl77WRmxdmVVGBY8i4ou1LTlyEw41bxtk1MBjW9TyT
EJd1Ic7L2gK5s0WqP/XgmWTQAZg9khdZHqEfzUeUBnEnRT5YjLqoxzdlAyENMxA9au3S/Zit/etU
hNM5BA9wuCxVTwjIRozUXE23ykjb15zeNLQ9xIomAP5nNzfgYvLZDxn52m6w0Tuf/ruxhTGIVhXS
+DsYPetZucJQDkrbme5GxykoVhktR2iDr6LJZh1vu0jik0Jjqk4kOTEruxHmTMpECyMx3VseF+gq
jJ5LbtKYFquLFn039Wt/HlnA72YxsvWW1FcevbUSV1bWd71vwWT/yqjUCNghvqcvRSp3Y9swXmWm
NOIroY1TEWbNQIRyqgQvWqa3ckUgDMc1u+PgPmz7cC63fS7yDdSC+QDjUDf73pjqe7dGGGahrM9x
Ad5nrPs59CkAqB0sJXodTBZNzjIN5U5XiwM3t5tP9NXjvalkfy7Z3F/DxSxe7Tpn4FUPXF/RKn2u
Q6vyArtW4ZNoC/ku5MqhB8USsblpH20iuxuAghSvcnGZOye4t5apgGEEMO3eHcR8v7Ca99xwbR/U
ntYg85yt0P3BaMz2oKsxPmd2aB68zB6vem00d8LxirsEM+dTwyjWT6ZrVt8mBa2Gs1QlD+HqGo96
GeTt2En7E5Vv1EGBfHrqp7TzE2gGJ9v0uKRLhciRhe6mElP9ya5QH9Fg209JPCRcFBjo4CzydavE
4uxSzKG9TDOItB0jt6D+QyiyCOhyZJAR8fci3MWxy2mCM+hyrLJSneHkcO4rHHvver27Fai8DM5K
iRq0g/dSXpq6gN6Gh8Zrwzv+GB7rftIvyYTBC1Qs3vWybG6k0w03DAkt3xdNTMASsniVQ+K9em5R
3KGHJAy6NZLNvGaSq93pSQm3ykGl0PLYMml4CxuZIfM2KaerbMmHq3q0ms00uO3RWkVxVzdzFaRZ
8lVi0sK46K4A2PCMZ1Urwuq1VitS+DLoh6jBBSnA1TEpI3pCpRi/lZ05bZxWzfuenCNhak6sYuss
a6GhPcR17LfWNIHsVWjGfatqphsbfbBatFDaAc517rbckaYsD3hCLoaA7VvqpV3aKxsh+xos8aGI
cPx1El3PRtseeFRvxUIUt0iL5gB1gLEgraDVOeccVNq2TxZfmLbKrzKUYKhTLuzzOB1KainxMO+y
PgWIMqSX90Lce9tyfqCU274SmePJDO6eOUaTAiqzmvb02HbrskFaXbeymexd6UGpVEZrF+hJlQdC
qF6YIgYJ3V9mNO30Qa8Xn7kYOBF3rGeAJrJD6Mn6vXGX4mqu+XhKrvmnwiwUV2xtXcddzfmvCmuE
SOohYpJ47+sKfnBe92B68xcxhx8ZixZO4Bukt+6ADgwIvDQOfQUszQKgalfhkbphFcwAVR46phBd
WWllPlpQvtGtkDRvSekuuC+ujZ1txyYTCcpZgD9MCF2AN/4+h61zJWTVfuL+aM7arYeDYlIfy8xQ
fRS0CQ6urGGhyXp9a2M786ks3YWZaPGv0GeisQgf+QIKPlNSoIQnW/fNhee2tbomBhI9pxv+IuCN
bhb72lyru1yV5rlLkuJlGkENjVDSzMA0xhEqkky7g3QAr/FwMr3v8MXIVhuGt5uyzGpoMLSA/iJ3
SrbCLR2LwbYJeTfCFA8aHmayBYM6Hsp5HswAJLPDBG6vrB7YXyTlNQh+I94YkH6pCPFz4yP0k9Xd
IAumQC5gJ19NXpvfU5BIvhU8cWDMWQ4KEX6A3ykneVZFgeDGdjcgwSOeLsSL3SzLtefPWh2KME5o
fUnt02Uwt8ozqey4MjngpsjtoKf6gYMRRQfkF4prvGB3bKu52gzzyAEUZdkHJCcCABURQfVp/piS
ef6Ocv3RJXb7qvPxzalHmJG2FVVgOSLnMKwDZDudJEFZqemskZLYrJrjCUGelmS46EB39KOmnOWp
Mwd1pRr3Sa5Tcepw97ZyMECIcwzexJ1G/Ku7aAO+rdzFcHxOzHSfMPNCY08ywnjsiajuJ1s4gSVL
59oBoPQBYE/tuEejfYliz9cwFE+JXTnXiXKjO5RXUunr2O+MtBCBE+cOeXMETjhSqJWphA1lWz1K
0f9j7rx2I1fWK/wqfgEeMFWRvHQ32c0OUrfiaOaG0CTmTBbD0/vjHBvePrZh+MYw9s0GJklqsuoP
a33LJOz6DItOHXoHcljH3u27kak5AFES3cu0GwOUN2y3OKIwBGYCVmqK8a2IrCButRgfG5OM/eTC
+EzYEYlgLSxomLnS8EKmkxMkkZ4ccDdFMdXVpCHsqu2Lg8E9MLrZDnFCGS/R4LGMb3TxMJJSEIrF
zo/5MhnvgMxqsmpwzeZSTae0iOo79DagJqNkAsSQVEs/RNoNYUswxDNN9ODPZhrfcLYSPeCs9jsX
XcH717l0B6k0A3tC5Z8apRs6YOQ4WprqN8Y590H2onhTeVUe5VDpQbtxrVeGcicSkO0Di0L9VKnG
wMsaeVw1S4W+Zs0tsKLQ0np9eBJ6f6BO1a+5s2bkBHRfsKj77WQnj6zCv1Y4CZij1eLNYs/EVLHr
/LSmaWmk0+8bU5/PDeL9AAcA47/Zhk04IpbBdliyeODBkAVOhmJ61nMhX3V7FfjYhojvAJVbF/XR
/6AUNDfz9V8U75tL+T/2adtw4C9iX83FqjbhhQjniQWNZonch1fqnHFgpAdTZKDKCEZ4g8A5v7o4
nz8WVzU3M1nji7uY7VeI4VlgKwr8nSbM+Ahuv3mdLW896EKD2OvkKbZVT7tXqjMTXtrUzCloq1Lf
ezalhBaZ6QfDEU2jqKnQhqETPDbKsQO7yi8uROQfMVEKvgXY46ZlRR9igmU12RsnbWhEELWe8WGO
o3MZDDHss9arfYevfV/lQjzasGihQlkdY9fWXU/gpZxvVOrxkShP9GLZ9FkrcR+H8cWmQtktOdZO
zzMXX6zJ8qTG6hql+XpNVe5QgeMBQLfWeTFdaZLIQzF3MID0uBM/zaFFo7EJkrncS4rCQGlG/WU1
YZ76+JqRcTApVNfIcQg6aal2d1AL5VNd9+r2d0zmzHHwsCS5+UuMevqziVblN7bmBNOQmM9EWizs
0liUr6zk9IC8CXmxh1ELhckys8/Wmh2MS6BGsNT6/Ev180efrO0Bl0p6sLG6HZh5FwcV0zvJRjBU
7db0ISIEQAGR67Chj2BCkdeBaLeNNb2tecUNnVTmOaJ/vZPBEqFHA2LxzIvunWZvnk5mbavTqlNh
G+nS/24wpsSEuE7zawJ5X9uP1AvT3oV36OxdQ6vhQ1Fnqz8ld/Gn/Da3SpxbmKIcV28f8IM0Dzq9
/J91YXKztkre+lPUu1t9j2+DSl/PvJnzgfofXvBw9baeIN+6g2LrE8ZCmfYO8pl767PJODS117+W
W4PR/ek1JJUZh9HWglh/upFxa0zKrUUp/3Qr0da4TFiidyWCtr0LpRZQNtCtABBLv/P+tDzun/bH
cLqqCQGDwt/upHHGJ+oFi91kfOA5D66XN9me/ZXz2VS6SaJHhnO+UsPdnokwX9ylXznE6LfWdn0h
olr6hdY8a2aaho3GD8zSmvqZBBt7X+OG3SPQnLVdTSl8JrGgvbB1T3Z2Fw3IULOx2YPNMOKdy+cA
dVs3vpitEPsR3czdcyfnveUzWHb61jICo2I996ePRLKUPyQ5Y86tybTRee6xbNJ5yj9dqLc1pI1h
5cd2a1LHrV0dDQC4LR1ss7Wy6dbUllt7yxe5Nbq0vN3W/BZbGyy3htjdWmMBFfJrZbdfUcaQzbk1
0OPWSq9bUw0hrjriGqfTht68hMnWfsPFT3+yB6InL7b2vNwadbW17MPWvM9bG09eLx09vhkEKlub
v24Nf8YhXUYb/BZfIKTmP5MBwI7qbdzGBWIbHADL8vy/zOr+i9mxsc1p//Pgi9qQtYbJrhC13F8P
VK/r4wVGqnssd87L+mF9tJ/aR/s8PfZP6JWqm1b83Zzwf2Ya+H8ICTHENnP/70ek/1z9TLrPf7p3
nz9/9cl/mJL++ZP/OiC1/+ZIUk2EJ7B0YR9j7PqvA1LJr9C0SAPIBsyQTZ34b6YA72+GZPz577PT
f7MEmH+TpuV5yKUENjTwOv+L+eg/cK2YufNPUOcaHtN+LD3yH8ajsi80ZYzZcOjGeOpfktF1X1eH
uaMvEH3cbCdxe58LhONbn+sDeZBZUAx46P/yY/svnlaeyH98Xvky2Dngf0B4yGj4z1f6lwJAF0qm
2uKZQW3AVMzdZYRs6kWwaEvzdcxT7zpLuVsB79C9En1Rj6FbeBrt9yyoy+v0oBkohes8YZyRkN9T
QVVm00dEDxv/SNwZwESn1exNfwF9+phkyCRYgqM4t4EYPiU96Lu0NSvaYOKUtFaj6J/jgulPl08+
pgOWkgidEQiM0wcuD4eVlRRVkLkLi0imecvOMwnYQkWfLzsyQoxTF8n5syaNY8+G7xFFFNAUmYFT
WPvB+iRDrnigo2XZDP5jxFGst5dZDogMl/k75eX6E3mXePV4CJjUWgxKYD/jIshZ7WdJjiY+nurv
g+P2J+YF3Q2REA6G2jCRXzDolDAB7rG0IqTo7KhZR56LuglhiaH4gaP/ttheAXzCJrgSZ5/8MMYI
p6bUzbdk8jTEqrl1yior2q3KMq9tEmsHfot+nPE9+PWUdGGP7+Maa9Z0YsQNjW4pUBzGC/7vdryQ
CcQVmNpx0ExtEzCiBms4Mp85LM5ExTTYC0NAObyKVm98L60t34lbDPvVJD6c1Y2CjhkWq3NdD5ve
WvnW2jvVB3oRqU0PMQrX13GatS+sotQhQ1QYmrat77raTIO25rqz1k79bMvMDWSZV092SWb6LpLa
+DAxYDinsWX7BqN+IuMekP4BtdAubktBFcNAOSjduTlIJbin8tjYo1A9mmWFEVx0gEByZEu5Refd
93Ijby5FKBPNr6I13/dQFnvZ3+F8SHgMKPGdkSx1YrrS0MLo7DdDR3BHng8fKZCJI6tQhs1x/GcZ
rX13mMygkamWx1KAvPAmnqeUx+pgb7FeDW7o7f/kz7jDfosIK6a808xqx6Z4eYhttBBFUhtP+mwZ
dxTA801vtHXfQn71p5WYRYi3NxJ6wPiX43ps4mF4Kgohj0Vhr0/2EMHyX5n0lhZEYwWy8J4vaXVj
0RMHlpmKgDANSe1oMnxKwCzAXmVZzP4jrEnVfi/ovPk0nZZIpZxILq/8bbFLDIzJK1/JZQORC63S
5++oKctaGaqZSNmZvv5Ui8E9VlUMv6dCu0Z54WAg1zwv6GLd3c8E4/hdjNSwG+BH5kix5qPDhA87
gduJA3erwrMuJe8azqNt7AeVvyqXMswAZp2XxIm4gGd5IzfJelYz6LCqf5ybdT3CgBGogu3lmFH+
+7aSxkPsJjePQybAUnXTx3JfJCiJYr0aL4ol/Y+l7pLfZTyPe6+A/Gd4a3RdiHK4rY7VfsSc+iFh
DPLcMfh4qCZ7OK2VEgcNY+Wt58vet4Den2NSEj7Nxk3PMkOaOEzj+KOzi/aZk9kF215338yWvYhB
WwhwV5Kb3UCqrbYRgcxPro0tn4e/3UXOOC5Hsbbl5JN0Ao2nb9rxECX5dBC95zaPFTusyif8NXsY
Ie36CQOkA5pOJiW1yxwfx2qCpaVzBkYmukXs7KisYWdYkwQ3E72ThhLdKIRQFZrCq1HxIDxtdx6Q
RPJzDHd8IsOA1tHU++69b5FN5UYU3+TQlWcuP/UQWaRwcKYtx34Zq/O0lMnXxmCTtnfjjvc6UUzZ
6Nryw9pMYDVMgiGsa9Lk4uyA57dRiHi/FrLv4lNTVW0wjUN1dgnJ+bBTIonWrCYsSg1sjyt43MfK
dggbQvvX/E4R/TZBtHbDbzSauD/UOnyUBCuGjaxvVaJ9aeepDytNR4qKvGWHNBvIA3odlkWL9Bhu
6qv9tXBy6e1kEtcfdtkVpEQt/AP65JyiKXW3jqs6JTCIgBj8iUAciPW+E1enjCNbDXs+MVFR3rUp
iX76JRGHjc9GVtovcVNb82FotOaz51X4jCKzeofYrj2g2cX3HdVc0Ewx+NdKb53emozYOy6pyH6P
lfrIS0+7IKOYo4tuw/aQbDnlXgwQgv+epii35x9otPX890hFxj4gpdNF/jYWUzxvikH3NDmgHZ6G
vq9PhHakLyN7ipfEQPyFfKo1xaMqvfZ3XPa0fUnqyC/wQKwfCwKN0wAuFngUrSBILveXVzoMoyJT
z0INQ+41yuw52Wnt1L6YiZAP1cxPNc9RMCijtXd2r7XymS1e+7W0Zftsc1q/LGXbshXV1CFmMwM/
m1gbiUzYnR+sNbJCW6Qx8lpql8mOHMpr2opNekmvZUSANFT+rAFrvZDRBGGHFEBWqkxj95mnt/qX
2uvSr5PIRiKtmxTha1nEgxWA8RDfpE5jfMtgnNfBkFZrBknC1YPC0DrUP+z7nozKwjFpaPFTMonp
o+ga483SJusFXFp59owe+qHFoCAqtPitkh4rMPKt6WMUfwW11pSBWe8UFvl0ImLQHC6Gg3yYKk17
EotZH5Fe9/tqWmtY6rN5cJWmLdBnIvXWzWguseLRuu9klc+PS44PO1hJdmDwnCgoHXGJYCozptGf
4vgU9fX8Hf3Q5KP8TL7EOLgfHCsu91qS4B8pbWsPxMjck6cZmiUpDJo3u6ekhOcwDqSeda3XY7Mj
C4RazD3OM4l2HKoElPb7PMKJcmlIR2AFXEyjGTqAvKZzX2fJmXIGHxcbr+SVskG+EnGX0Jw23O9H
L3OMOyLiFf2Y5FHAZ4HckuHvM3/qILIlPXaQg8jQFJWPh9S5ICBagqRe4tKv+q7/aCK5so8XC7Ex
5nCAuBRzHVmkzrWCxhR7AhPNNb6pdRGHweYZtZPOvUqCDJkvYxFM7V1j/0r009xVH7B6PiPhgNbK
z6bz0anJgmumIuD7s9Z/p76sDwx22HtV84JuM1naOya6LLCIiYDChZLhcQOwsxiC000Ge+4dXTha
fpx7xTHDqRZiupVHoRNwCslRtY9Ex6E5FeA8jLFsgjnSjeXez7pZn+t6FQ/sw0i8F4nW7ZRVZJc0
9/JXNUZM9UGeHyGbFqeM+Mw7IyALlHpTL78UYx5nH9dT9sUdQG1UGusXnyg7x9pneJ+xWhhWXQZ1
uZlyZtY8WbQTCk8o4yeCSd1+TvdZyvxjj8YxDsU82SeSJpqDRIB3rZxRf8zYPprUt/n7XCeWecaa
oflMN5wo9KKoLcKM0cLVZQTUEGQoQr5leGbK0EJlKeP72MfW3Z7Mnrq6X/QXTpuExK4E5LifYDvy
ofmw6orUOY+9a5dDWYPXFVD0NMc4qjCDCNyM5lhon+tEX31UctDObpZ9MhPwyD3a1JDLaha/xsqJ
bzmnIrf/gEyQETDdw7hEi49guXpwipTqTVP6e6On3p0Lrr3U+mRfPE+DEG+TlGrPjPrJCYp+g+Mq
ghz2wm0WqUkB7TCKrifi9+a00d41uXKGLDPa573HgAWGYNkHTiHa53WSGBvnwbQeO3SCgJjW+VOQ
3Pm0cIofzRgeTQnamSgRDEZj0SPKhMIoY731HfTG3Jwxkmux4qIwpseooyhIJ+ti8QkF2ZI7gUKN
RvQvs0rJRcOEv82CMo0chnhF8m6M3SMmYrTu6DmPRW32uH5pbq6diPMLKXkOB4lZjCEhQhRucWKe
dBsxhg3VbW8X1aWoizdplr+0yL0NykXujYYRUlmuH9KkmqAUsQTtsn5fI9fHbDustwLZ+Q84X+Ot
pvraMVCMrwl8sRDK73R2jO/5xCZkGOwDC1mowvMSYphK6KXWyV+SpTwYXEjE+sULjmIyFkMiXhaG
shN2XPSw4pywzu6q+JKvqXxg32BcKpfcIyzKU75fG9H4haHIn5vLn6iqSaPt1fTa8DKRShLXe+ku
zV6HA+IDvs2f4oWKNupi++IOo/1kM7I/K71RAVZd0i81l0Rh3vbLuGzxnFbdGZSgFdqPsRB7BzZW
oM1d4ddiDiMymRDspWc3H44kNrGzZ92OEwSI237Cf+9TdaRn0jWAiJkZAkwwM/4iuZvIdKnH06aj
OGSwscBRiW6z6HU2OL85tNM2bHGonlZbuXvGVbDxJVvPaC05/5Tio46aWtsjcCF7i0Ak0Fat96GL
xj6SM2d86dCE7b02Ls7NvI6+oRkxGCNBiunkqXBVmfkNHa71BTdGgyFCZqchStV7XkX1yaoagItq
FM/52uaclQL9j111ybVDeYyKoF0DnaLth2EYtNBGg+zJHuqfVtIKxtHDdQac2JcRiwQ9+q7P3H3W
AncpZyqYamydR1IFGCXv0Bv3obYUzmk2R+9hkpP3Qv7h4FdxmwEBpIBVTmUFvUV+sHCa6wZYJCSw
9qUOdRLygu/o5TN7pZw6oeo+8VjaPmvGaG/T4p96ywyJBtHOupWWAWzKgSjeoT87Xv4sSDYRbB03
K+RjbX5pdcikBPKtlnswB/k1T6ZbNelGSEjvi+tlB0RIz4QRhGxLt2uJdXHEantPafili72PsvSI
vU4/OwYb+wILpc92F7Y8KMLQGwj945qprnY+mTzHXX3yXFYNmENJ67TXi+wSAJHCxSWXu0d7ycFh
EuMSRnqVnqahiI+WGl90Czi0u7CyMAsavJXskpyHo5YnHdl3CCMo/2GZWU3ah4NfEeeN9LORM5Ld
cJjUaJTFUOhHspCjQ5070WUu2IJrJHuEHlw8kqXazLmmsRnt3NnxV8IaTl2RF8fUORljcjEAg64W
qXQkA4m3pnGGq2471lua2eRydmrwAmEyOD3mZQkPOo8Wd9y7GVDUtU+bd23yCh+x83RYJRPtkoSh
S1Lr6qVxynsu9F22CH4/0SakFZyHsv1Vzfhgy3xBZR+7OukjLvHNULBafHkHRkzNKXMJUW2Rsflm
3mGfMcnDQuuKZY3vjyjAMR+wb8z2B5vR9qTI7rnDjxIHMAYGqH5v12MgCFQ76wephv1oRYj9jfrD
Qv/1rAhxpMOZveWpBFpj7lxNdodBkIAxpRU2hUnnR8++aU9aoBdMGrnAGALFFfsCu8FGssJdIvfK
FuAhTnXkYcYvUpuTXb86Z897mfUc3KR1X9LiVA7pd7K0fi1xBwRCb2oKcbOdi52QcRv2RlcfuDa1
/SSK2c9MjW2MVk6PY85iY+doacjNBVlPhIiiMBgof9Jd4pbx7bhuzQvlsNMfol+sFh61SoDyctbN
xXNhFbPuqLUOrVJfR3OKu/1sWfmp5Tp46Qx9wdCffB0tc913tfaOX1ncwIcMn5qwmpBf31U5ZYtD
A3FiecygPEm0l9mzHmqrBY4263unbuS1NTHmZsL84ACPd1Jvxbtlleh1Ern47mK8l2ij/Yz15X5F
N0MNve8a9OL18GvUMZooruad5wCpzZG97NDk/M5Rx8gkPZWgE5KpfG0JIN3lEADSVuGG4gJH/dIw
v7eORbV8gLuzeXu0PEinCKFbYRdkd8WyPxR2+pBFqHA8Y7hPXUGpR/TTPenxRhF1sXdm1OdGoVMv
GkyM4L6MZAymB0h35MqmZsEoz7Af51n2vluglcq7LPJFJQOz1wMJZg41vaHQiYGG1C/NxKIlqauX
MWNJoKpz5PVemKIRkqs3d34/siIYa6N8jdt6/iAW7YwCLt8VNBy7splDNKiodZrUrIICMt4pJTnq
oOWS/aSRmGHeG+rerir+FqPswKhofdLyvyIm2E93EyuJ0f50mHPhhaT9Myh9TwmTIei26orekoYa
KzYcY8cNbbPI6E3GGy5tlnVj3bxbRkaKeLaM8S7VXMCKDZwXAJuECzZLczUdJma0DfgynVW+kKCc
wv5Y54caAyWzTFO2JykxOXXaTDabN181xIustzLMPZYeHxtIhYFjOmwe28ZK35SY7UeeM8QNy3WR
UX/NInuFrKwz9ToREOkG/Nn+o+9tUtvoFPGs6ovPv+n8aNaoD4kQfPGi7KU06+To1FlzJH0rf9cq
Jt+t6O4j6oVdluooxoir9UkCBKDLPU+drDSGrzYOS0w5UseMvVInLKuDzUTX2uq0NlBJ2mn6Kmp4
gAun+Emmsf1Q6GZOOE2iMSIGf9nuGN9QLU+z5V6duBEEczmycXyR8fvAOSo/wbJOkSJ+Ooy6iKBa
zHsFx/Yp6+MWa/I2D/d0h7wxEn5z04y/5Cv2wN4l7rmy5NwEfZqRC6dFPWnP0TJnx4ngp29dRprZ
kFviUFNpUlDlo1/a3MjpStjvrnMaEz/psJC6izkBTrCSy4VwSe2dON6V7SitR9BryGNAVRmYDt08
R8Rcl9l17inJHIwRoZoM/TI7ccXTWZUgdedFOo/Qj1Lyj/o25I9YgW6mw5Ve3nxP8VNDJJTt7z5p
KB0ju79OHQ1TpVkQPCsR3zRZW8c2YVnZ9hUFkCHRXMWYh0tfNaW46mrwO4o/ZM+oNTKmFFevE+YL
mLL4XCym+crBX91GfKRHFbcDvruubRH/laDsAC+YAiE26cU0/w1Xn7PuF7vFTivakUlYvZjJpys5
L4gvmfI303AfRvKvGWZO1T1ra4lUzf4VQZj6rlu44H0TK9rPqEjLV8qQrzCQsdnk3RMOuVfTy+E3
bwOvcZ3CYSUtLqd2vhAjyOOKs3cP61PBWl+rz0akTuiSkL0nbEIPVI2DNGY86MfAzu/6iHeTPcKA
ZYmQQRi+AA4iBBt7E4T0rqxJDUmz5tHNLaJ329k5DsnwphYAFLrZfUkNDJPEkxJmbAr5SIBh+kwU
T/vNjjfRrR450xGUug0tyLaSXSNobOLoFeIn7ILNXhqNaNbd8TKnGVxsOWfnxXR+p5T/OysrBz9n
BMVJMENjUqPrvcJ+5DLpV0wz42BUV7lG99FZ7zKW3lNCJvPeUEVzqAfzR5W4PIwCZCwGvQhj4JaP
nC3apwKKEEQ1SsnBcLF3JgSlCtcm+rSgCPMsHFlAR7PTrEwj3EyDWWOeU6qmtwwI8CNW7zYkzzc+
j7OLagFHQEDx/jSkUtvNLKZwaw9Xg0K9dwd1tFamkoHCWXvK+0pDXjMTkA29NmnwGFc5wA67I84n
0SRuJNLEFuiwW3405Evrpq2tfjUc+BFuJLKz4cIdNPLcYzIkc1bH87NhdrycHRIiZ5qMMxDYF2Jd
7AvUxRedl2iHXPHQKccLsDe91kX2uAyrvk8kMbEz2n9jt+aGgypkXAEhVN1wMKlwOAsZjdrB4CnO
5Ama7cXD7ZYwBejY4C9TzLxaciAbXte8LZ4mf9bwGHytBuZKYQGB1hP9qeYxRObegNxe1rw5NByL
D0PSQ9te1/W8DBKUhjcU8JSyNxHLJ9ln8BBIS5eZcSnQlCNXdY626CkFF+vJoy66IMTdd1Ao0rJ7
X8bsQ6iaQWvfoMqpEdblT1GvEh/Vh/fSAVnYmxpWcEuvu0uLRslXsUzeBYHRIQZ1Spq5rwH8uX68
Go7fJo0dIHHUjuVAEvT4NLNreoinJDtnvGufJUGZ0b7AL3i1ByK0WfvzBsSVuBojbPIdVgbyt5vh
HJNE5s9GdzIk5+nOFmt6JKibajClWthlzsJ1UhYRuXDAzxg5yupotaXHxwjD411vE2Drzkiol4uC
9bvBrIH3B7vBlb80O5N5+ja4jKgKzTzUnG8P3oLNfa+haP+x5hRm3IfTUzqtCkhElYPGhV64yc8g
JkWlRcKaId7nqlD7mRl7Aqgi6W+cC33Ld20X3+TsqR9Ea9HXMTTwFEuhPBfrpd9QXkxv7fFdDH16
U9q8iVyRYdfsmKbkMSI1cNmtQ0qZWTSW91oYsj8lc71yXOGZ+DrpjngbEwORROEwpyLAFL8fRgBU
qqzeiluMSZAcpGIGIYGQHmG546Y2NmnTSd/GYupOrKMo4zBfpAc6ajt0RnQkO1k3sKgcs1R7L5/U
R+ZUP5LSwkW9DD9oyzWg+ynR2Xpr/igo+Fi4rQys8PUzEulH/OvKHFJOipr//LGp+odF1gklpS4+
qiznXeKX9f5Bs2T/nZBmSBq9GdWHZlTiZ0ZBfliVLWEvx2gbC0arY4eQUyh2wp2chkOTFuJplJvI
GaU0D0qLK/MwJtIKNS3q2D8lhKy7rH2YdEFf7y2U1LEYsfrMRDcaGTrRuXuWs80akhR3UMo22qQs
yoqHQZPzC5O15NDCw19X5embIX3zc+fATnj9MkCWjsTv5xiR+F7X7aACu9Dbc68V5Zs5eIZvMpUN
nbmwbsWk5f3ewf7MKhoajNWiy1G2sdetGAl3N6cHNorHduIBjlf3s0qIAHfbKLvz4LfBqnnjqTZr
86ar5NPrN7FQSk27Gyf11W7Idutt6Cy5vd7HRJEI1ZTggnRSkwFTL7BnytVvl48m9fNeb3dYKR/Z
COKrHVvjLW5aH7dQR+S1u75XKtH9Oa67AN3Q5M+zQQ5J0Z0J3KPrcNYupAtMDr2lRc8jsldeKvlt
joZkCbIKg4fuqe4hwwMRzIzAnlFMEgWRkcQHWQzAYQLC/WmqpvQwzNr8NRqMX8XK0CHHSXsjsaB8
r1LujjpHAoQpMX0aAYMflZAYSjuvTdIdWxS57rM18i4pY0m6DpAZr8moD8+OycInMMsUFEdJYMFF
eAslQezahh9b3MkCuR7ogvllXnIjTMWojvbs0aCRFscG8UQgJatTSznBdlM7NB4kQiCCbxAE7Bqj
1d/nsUGgOW6UnUEV22LW8MFnqIDgdZyoMVUKbMGjWzcgaiAJHkqAF9DTzG/s36LLhuO5IqBFV9/S
0CxpuSFhOGpVlhXBwu7vocDN8sXR1qCM9emAd20J+2Fwwrxpukuzbnm/Y68/J5OpjiwZGHMOzdQw
u1nIP0P8FL0kaibVhdeSv5WloNNWNkx2z7jzU4UOIUlGeMAxJPZs1yo8WivcUlx07nqt1tn5vSwV
zjy2L/SAbN3m89SRWu3aK08Ps9TXeLXHmzU2dy1e/Ypp3kM7D/JkF07mkWcg6ktcxQzjWh3doM9a
ZTwQK5bjvat/EyVhVLtJslJxamv8WSAdOAxIikMrLvj36r4xjwaFwsXW57Aol+Ezx1RlBOQ3Tw68
hyp95/P9hsQ0O84MEbi62KvvYoRr7EkiX2b9h25nyTGxUzj3k5GIbmczpmO4w/5O923bIkB1hXAR
TLlkpdgZ6rKsUFQ2NeLXYbGWO+YyZgStk+2GhMagQyDoVKLvd40UXDbszKn/2yVJnwfCGRkXZ711
s2JO6KHW7+waDunE81uK5c0oRP5zhb7zSmCA85MNnHcVo3FOx8xCgt0hc8XuP8FigJxfEGMA5Q/f
wwImpwUUUFU4CjND8/Xcar5NHlEfuzlSuYkFTDIKpmb4wQyUzsNsrVts6kDH9Tmr+eDKG4v/+VQn
FfSyfrb1C0YZXu1sYMGETSuoBu1r1M3dN48EXwnkQOkXps/cNioT2Y+IYSVtgj3JozUZWYhmx+MD
GtsvDIa+wlr4Ps1ewTUuuzfLJCs2bQWqV67T9MOg//wyLDprnVHXl3DqqNPpNXq6KUDwuUvP4sde
qoI8n6snLBvrPqpceRvK0glM3E/hWuX4OZn0DVgj49o+VNDm13jaZdFEJzpooAOs/Z8GJ2cscVid
7omNl7Hr0pr89Szu59DVIKGvieYetXY2n2pbV1cMdNZ54Dx6RuSh7Vcm/T5F+3wvRGyj/Bvij2So
rLc2xwlfkhXCeVDoiDk0Wx37cZuPa3lnPGbmxNxJB1vBwosE5amDJJMKxEROzE2QVguDdpViODQm
iMcE2171scBRX5mIfKpVmo1fu0QMyVZWAcj935mRDv5QR6QY9Blyhi7HFWVaxqvDbH+f6gZcHk7T
gP1uedUK8y5UtR56WYudKVbnkYTZmn5/nr8rdPhkJLuT+wShZIL4KVbvUUf5/syS1nsxNXu+s8CW
300XYoW2SPZqla7OWecsBEvHBWGhdeJia2HLuFjDR88cOsdK1K0P0BDQTo9pd+QqRe9CVjNUmPIZ
8V5+nam5wgyDrm9P7jvyYfhIeIA2gfecvbXode6TmkHr66Odvc/tyo4AVBHiplQ1ezxQDxiPKkTa
EULocnFOfZIfkQwnZ1GmjCMj1z1nCLibKC/90ULJX9VLdWKWofZr2pS8EfN0NhqEM2vWMd/sHAdG
irvoH6REoPrAav9Fk9az20VvkG2me9KRMYEdgFxzJJo+6uTEL+fsKWFPmKKGCm3X4f3xvOWyZA2T
12KuHvNadfuqy08W5ewTOVvMDWiirh7egBx4ubQeGserQ+Z+P9y+ebX15RLHLIxcTZyrtmRpo7vx
GGYQBj9wgRGqBQr1KGy7fDNGtPG7gZ30qcqqs1HL8cJMAE2ILbD5GaS5Fzk/KJdQvR1tMlaZjkW1
zvKh3450ULItAeaHuI2z0NT+hb0z240kObP0qzTmerxgbr43phuY2BeSEWRwzRsHmUz6vpuvTz+f
R5WkyuqWoAJ6LqYxgFRCosRMZtDdlvOf850IW0fRYtsRFWmfRCEADO0oxZyGpbebMoN7lmkgeozk
hzU7R7FhJimOrex+lLWO1tMEVNtFPdJeyijyjnXLopLCGA/4CagM94LhcQZzEED1+53XutMDFst0
PUU+kpSn5w8Vh4uHXo0Sl3RWvo1pF4f0qg/dccgEhB8C1F/2YMCkaZJhEU5cSlGk/SrhzaemhPGS
9wKZacQvX6AahIUGkFcmawtn8D7u6TcC5ifv9ciO7oy8QSifwrReer2hzmgD4fe0Z568iMqcWCtC
JHYHAOaj3Ziv9HAMrGdTg2o4WMd2grO2HJMhxbcVMU+wTO975Xsmlex68B2RkDMEjETm0lV8H3EJ
z7gItNbBVa+zFPQifFxZ8CCFesOOL59RN6I3/GnTCW2D2Izna+up9uIfoWbqD+NgMznwi/TRj/1w
zViA632ujQvDK52LJXRBbqKysO/b4UNHOU6wLMEKHlQYJ1+FbnSXnO2VwczonyoPRzfeCfo7MhWb
ay32/UObGQbhR/YaLs+5OJML69+QWexbRlbpes5fJzzyZnNiYmBespYLOEbw5JIU2kfc1O7Grtk/
YUwdwmBoGOdY9SmoBv3dIqmw5uaMAyMvlGBPjODYljQJEaOX+yaJtQXyTPdASTUHQNm39SrNnXIz
1QgZZexBIfSk/iVj1z/i0AEYU2otjUaj34Znm8PBhmGcf8gK3sO+JloJa3gcuDqjFjCNkg990fgP
secV6wAjwGPuRxd2V848Fndptl9jV2eOwywtTI5Nkg5Pdh9Ou3EupzO1FAO45Fi74oycvHhxOSJG
a3742pkOmpuXxj2yA/o2OHvmQhqglo0DFJwI11yiUEY2jnSmd43KjKXHlXNJKzzbFbO+C2qY2lmW
M7v7Zu29FG3zhblmpOYvsC4T5efwMdt0yc+NrLmMvEOZULHVMaJf8qpSJmTSokmiEAovc1UIUdjy
Ih5LJtjZcEdb6H026QpnHEHV1vPdDW4yzpxBRLkbo5tL01HrEHSNtRNmJblVuXpvcakc3S9iDBY7
xZQ/JSGfwcyc3ESpXeyLrvfv6ritTwCH6ULR+f6DCaPgInFMl49c/8GCo912/tioNR1MLvVvacoa
9D/xisVxLNORzqbe0gmbFj+sqvDXg+Wnb6kaYTEDtoqeQHyT8MJ9de5yP/5GF0N3ZxkMXdBpMcMS
HEtZkeL8/upm/q92wv8/BMY3PAnO9u8b4RdR+F7/3v/+6xf85n93fzGEYVmE2MTVAE8U4Vf/u2v8
wuUb7BKOdsuw2LH/6n+XsEOkYLwzt1ja0vZwpv/mgJdA9m3bdj1DsLA7+p+zwLv2H53nUgAiYSxt
gqmHtGP9AdxbEcJucKka29LXzcc4MKdVO4b5YUCShVA7tNuuyt7CJBsQ3Fz3LaKD8oahQsuLwz/M
bY5h8DYszOQlDsMIl+Vk3+pe7vh7qptDxomyDtkOatt+IZbJmZVItX3jgzgEgaEYGSTeaG8Dhm4v
Hp7br6lw1Es4IZ4TmpbqBPl8OLN/pwuvEdoSPmWyYZInyfh08qFt+uoIhaE4jOBMywWjoX3QcUhf
6VKbDx+TNI+lauJjnHoGUXnXzB/pipzEnoYN7Shi/iCoG3HHpcymFTO0Mv+JWikqxy3NOtpe0X2j
k5nrbKy5ULsrZ4xmWph48q2xR+4zAn5vo2Cqh0+JIS6VWPLTm3spcEpmxaFuBmhLVLbfTTKuzUVM
8PRGZLFjIhh5nLIKh4ogZJT6npBR4iGLR0CeIAZuuszJb3PXpJxLIHElhEitjG2enswvNDXtwcc/
T4I68vv3Urcyli6N6woGl7G6C4fZlF8JNys3vmNy5whCzB5Ev8e9zTaO+MRIjwE35x8MKfAzW4eg
k9UAAdFB9TIVEcYm45q5k62FTDsYX6GaHa92yDgEf7NZ72INeMOi8ESLQVkJfrph65EtnFyujQ0b
J5f83FmPSpTkXnW22UI4m84w6s9RpVHEp+G32xa/x3e47f2brjr7wDUgONLXV9xjVJFPwLrqW9j4
scX6LBxtY5Ui1tYDc0KGmyZ3j6UT29aBE/a4Q7jy2P1JzZNtYJRgFUBX6Ul1bghU9QdLKbo7rdI5
GrHWr3UbwyMKd/qYgUi5mMIM+10hGaRFk4aDC9YhabHYQrUQ+BhPJebICMCGq26t2jVurIqBq9A1
OeIexr3SNkQNF3nPR0oMDTlK1zxOLkFLDVnidZBGiJlkYgK2Uudw/hPTfAMLZh/ppEt3wI4lH1Oh
e3eccgqxsJwcs27ZEYRf5o0LLCfxqKlDK2RWvdF9Gi0WLnjJfYOHkXOMDS80Grv6QSsYV7pjTKQ4
0lZWWX0rMd0SKSmyFcqZ9gzlYUDhKQ5iaLWN0xKfJQt8UmDXBqI8m8xDsPVr84XI9zprZbMpCods
+uSE8PDcHimh+o4jtLrL7PpS1eWXF8Guh9m/Tj0YEyVltmoy+1OGRd7Bg7PUY7tDCrOZyJCzPfkW
9hAIaNymN72USU76kUx/RGiLaz0YrEFAhqA1luNebVfLXhiIuGYWYtKaVAakl8I8XsPuifLH/Fab
w4817r5tShqzvVfgeel+MNLandnVsEMDbXC/tZgjuPtDtEA5VkH4HZldiBWrCYbAQkzKO7gTjJut
0fLhMFhJtYEC4J5vki/Cj1EYBIF5E/pWw4qn6pCzj5N8RkbeEsaLtc2ccOGxUMNWzwD0i84UYBor
fa/XzNS6Hu9iFmAiXwST7z85fLTLFlvZoi8tCvfwodQrfDbIFCJFYsxj1W5GyuluuTiLiwts45ur
V9ghJBjxYyYl3iTHT86+dP2NiIvoq2SUr5gjWOiVkxLjpueAvSZ80w+4d50ZDdC1byXa6a5KQP7N
0epoN/oRBWVFEuDtaxx5W9vCho4LaRDHVP1K1t7icRiZaPt9sMnKQq1TM+8uItXrVy1tk4OTUQW2
kjEDj6alhIzPvzkD/KTowuAY/REg13Pm9nZTYB05yo43iuTmay2DhsvaQNA/0S5t2SWEbtzkYQS9
e7IbASRKS7KtC9TxXOU3ZaT29AWO5JlINpGz6p6ocCZTj2FeLmNC9XsmNdqdaMC7HA2eplNf1ukN
M2t6RpLWA03Tp2++56k3R0uS5ypqi1s+5uQeaLv5TWFRSDDTiIEpNjaAUxAyYw+7EdKnDKYG8xA+
6R576bLB9ILza8qnVe8DVzG99ggxAhDr1FkVlNjpWGtgDzne8qOb+iTdpFM2XfxJQVTEX5q8uPj7
12M5qBMAV+MA/w2AbptO5RIyYvxZgW3d4zrjh5RpVnRJzYCnbP6z4SEYZwU+fUMOaNxJvbS/6304
bm0/YOljBjMuyb7nLWSkQQ1spLl24yDszHP3dIvxaou+WW3gttgbZlv9Q+g1VrBQWlBsXddN9h6A
xS11HeUy8v30Rcvb6QkfsbyZDCb5Cx0X7KE0UU+WeWjo+0AYn/hZk5XQ++TDCt0qWU8YC54AA6XQ
Qzl65Cuvqp2boXTjW+k2I8wJ1lb8Xu9QfyIeY1Ds+PqDE1Awg9nq5AeIEr2XfOtZT+l+AaKprYEd
FvcckXW176toeiwkhzdAeVl7EE1tk7tIuqch1j8BsRTTNvIbDYmImYDjNcEPp1XBJreRnBajRMgc
GxMvg9l7A2dsQz6jyPSP3Dz6d39wIhZd8unQDRJBY68TW+WTM8bpj9SgaLE16GrMQjheZab0tzCW
0t7VwM1PqqIXeWARHYg+c+tj8jmhwL16fkCjRrPj1XKPFQa6dSZxGgGa3OWVfhETP+cxLvrDWPl3
DGarhYgx/bltP6FNlKO8JATdSf56kXUc8ti+dCg3oHpaSRGIp4juxRw6kAWbjzLO7jC08oMaZb2X
pWZtK6J60GkJvazSKE5XOcDbe9DCDec9wdYKvXpDQUP/RMdwutFx5C3dXK/PqWMOT0kJiNhOPGsB
UtVGkEgZNBaW9ogrbj2YY0Tlp4R71ljZXY1pi6LEKH7Rx1Huuzpr13WXl595HSeYMJqcVuQu3w1O
7r3aRjaefN0uPrtGDht0nT5e9LY9XuiphQuPfroBS7EzgTXfhEVLgIZel29e3kzHAbXmCzSNvix9
61TKOjpmWPEPxI/1jzGnTZOhnguGY+ga5vdjp0VHaDOByUkyGb58X/Q3E1MAMEOZZt9hVmEhQXn5
gDUk8a41Lv0rGkSQrI/O9sg5Sg98b+MoHatB7JS3JAa5A0Y5Hdy+SXtuM3xm9kRIsazuSHsrzGBl
sxp1jeOAAhGLVza5wXuRLMa2v+HQGa1iLzdPBOUxNpYs64XQTObMCZ7Z6GZU4Qfds5+l7p2wiDWb
rFAU2ptB5DwUZYmPCxKKvgErfmRNzCjMYJrxmFWsq4tiHPJoKfo25hjhVdPRsVW/IbGnPbhQYsVb
X06uc+j8hhCZXXr87IvU/OKQVbRb5s76M5tUtQUwp/9wrD6oDlNWcfar3cT7xMwAMXmq2Y0as8NL
lFrOypza6VY02i30ZOuBw+R4iD2kJ0M02HLqyOM0N9u7XOpIaacPQPAtekbcj2miB7us4X6czwWZ
vYqPhlXad6wIdBtVQXZjB7KrIfYY0SteQuNGZgTwl5wzp7sajkTCpb9y3lJO1hdqieob3ler5eyl
xk1djd19AtsafKnDvN7UdPST0s4nufY54a7QZHRIe7jPLxNpSJycZMPemDlnNxR44TXA4mndGbCv
VnDfkZs4rGYzidUuzthNLHvZZA1Q/MbqIxJfVR0ADZpEoWH2LMMXkYRU9JYlvQihMLVD4HDEIL8I
TCvN7jrBqG2lmuxWdrZz7wbChJvjGMxmY4xDn+4Y6R9B2brkIRLnjblzu6cEnZEKU1EcsbDykhAt
n5YDzOoAJ2lDHSijLpieEffq3cdmpCIBBkI9rgfXYT6vCndjVtbWI5qxYuiMkK6hCS7H2K+3rFrv
CB6KLG9bYA43w23qYscfIrUNZXCGY/BV6V2w8/NC2w+xTwgGzVqU4RxIupuK3lt0dpmt4B+qi+hr
jQEJ/ELfSqn1Er5Bv0Cy1eYrBkrxjg9iWvbFJi84G/KdYPbPvwRGs1UUaHCSBnLMCQdursjJIiLv
vPKK8MWre2x7YfCoQqbysP2fNI4dC66DWEVideJ2nhNOcG8N2VSrDKOvEeER4zLyQVEw5LUYPo3l
LicvYm8QwTdVyGOAM2RhNbVcqdaxV1NfQeEvQrV3EvDlgHA7bKf+tILpb5BewhiboA2uoo4kmU17
BACiejNTRkQ6vFNRjWUx3ClGqKvCzE8TKvO5N7JibYdiIn87mVv4ch66vQcSux9rY8G9yTjEeRM8
+CUdvKaP8BtUXbuuRNsyBotmZawkPzwR7+RQqo3ddtAtghS+pftLN01GA324dcnbpqq+sXGXRCQq
+HzdmqxZMmjEQw34UdBM/OdWl+1rE+eMXGA6cmGJFe60AVhiuZpk192nIs7CtR2U3jNM+eGdCaV/
bOypt3a1D0isT6zXoC8J5inN8khoTlxw8JXr0YNdBgMeDsOYduUghgUbh3gJ8ia9KEHpx0IDsCG2
WpI2B8eBhrTo3KaeYwLli2mqi0En+FYo91HBlDiywAAAiUp3B2r5nQSvsUBxt9dqiJe4dDys16L7
Icc2lJxOhXsXtIa7446VK165Mn2DZm3P6h+9WEXtd994s6Ilnc5RBaI/3Gb2YG+Hka3aIv+2lyGc
pniSw065qARAPHRvHcm6PNKmg8Awz4mfQVumbwVs6G1kqzZfZ07jPLkcXEzmAtmMYyRK9Wv16H+1
rvbfrpaS3iqACTMP+e8rcKsfaRj9XoH72xf9qsIB4zWASaOxuTZq3FVr+yuFwtUpNYaazQvmSpde
yN8oFNKlf9KhGsvWIYnQHfk7Fc6ldGsGUQgb8YzfUf4ZEMUs5/2EK+GCSfulSZOrYSLDuX+AP0e5
VZKLkTTD1POaRlJUPbYg/F/DTnUnY+gfW63WHnJDYXom1lRSlMF42Cp1xF6rj9M3cjLdOyPJaO8n
XrtGYrPw0Xj0qJhKoTlH1v1gUwDLb4/ZPu7LcxBl6Y/Ytj960vSI59AkKu5B7AlmcS693n9kt2PE
iS7/YqCi4JjmaoTUwazTT5LzWJCGoSGJISBpl8EAW2nEtoC0QJNxEHot0B1VXIrCex00EO8MZguW
c8L9tqb1W7wQWDukjFZNg8mjHasL8MBwHTaMvoxSeQ8lRc+rtlXVxcxMbd0Q6l6D6SBzUJMUj+AW
bZXw+hc5DtYOK1P65THYIFoQhB+unQG8RTv/gJHYPBJ0zcgh+mwzps0uaXYUU67ibEDtx+GsfyNa
gnEHVXMtOJnf9Mw1SZxOLW6khsv8N4NDSwmE26LXqjI78UbEEvuFX3JahfVDhLDurFtLMcvnnJG4
z66WNsew0rGzGC4eabj5Rdsv/q9I7f9dlwSk7L+/JCxndHcUvNc/k2l+XUz4yt/WBZtXXPDq4W5y
Z+L2T3Qa3ZWCyxgrgPF7frf4xfHQ3flhQ2zy3LmK7zdx3hC/zEgZD5ndRfYWtDr/GT4Nf/jPywKB
HTzsFhqULUxT/qGyFm+dA1Ez5lrPTO4pwyD6WjnE1rjTcKiLvXp4U5r4mGmVP9zayL/xKvMYkzdp
12bTF2unw1nmWJr3iu+mOHQZ2APdjdJPC1Dzy/9/GP8pnDyDYZ2BzD96GP933ebv38P39D+lJf31
N/j1mfScGX4kjHkwwwPAvvOXiZFn/uKxP8BLAur+c40yexXRe55faEbCdjCI/PWhlDbly8K1PNeQ
jm1g0/ozDyVgk5+fSma5bJaWjXVLwlV19D88lVzIyhG8KkG4KML00BLEOTkNHWcrw29nx9TQpvEu
g1zbLpxyvn5Ebt5WK4r95J5WnXhtY/veTyE06ltdJEO76IaIfzYkiN7wlXi4eF36ANe0swQHwvHE
2q1ainWNChzcFRbulJ2Gr+6NbHyYrwo9ouaFXoiAhB2ABnct+Rs8N31gbnTl9BziCKmIsScZwfzn
o5zGJIFZaJIh1YpcoYXIwGWeTMnFvQcQao6O1fihJCK03FVDTG1PNnUGoh7ZizMptM5fmEjq2XK0
eB9zZtX3ChaNT6Uq1MQZacjpvdKqJloYbia+wkgU07oKsIvjidPMhzz0zRQKfxa8kiuTLaqbP9Iq
p6lzSTp61QxZPicFy55gVW1272HcDHsgVhkTo9KO3hjoNBzETRf2aSHE/dDbNYwdae91HXnLIG9n
L3CuSnRcnc1c2XJ8ZQ92FXYoiUQsRRHtpOsAVzGmOrGp+Ikza12Slr+Vmd7f9gM9ywaR+m01mdF0
R2K01S+yLgxsX+ZYBRvTKw3vpVN5tR9pZ9fR/gWK4ATDpqJGDcodLmrK4aN91TSWOLnz55Jg4zRo
A41T8FqPDSMdjHxzF7Fvl+WrbBghNGM3f1jhvlXh7OFCT+O3MY90woMpSlwkI30YmO5kTtjpp8Bx
A5DVDoxDTKAV1TKU3JgA8h7IX3zFYwW7Cs7ekrODvy80FGmQq5AvKp22x3nF7EZ/ugNfSnOnAasZ
EZcjU6KPmFktAu+c6XtzZXitc+moLexLTafYR/O9A8p3tjZj/9LELj2/afciif4uEzu/IVxEi5Nn
fepZtge7ue+HIN9C8su2XFrkEgEvWkMizm/pq8wPNo/NA30n2t4GlruMDZOPrqoA2JmM9bxibqir
boBQmaS3qeeefLQMHTs3HlMdbDudLfB5HH6qZvhpQkfYMujMXiIE7bvOSKxd25HOCDy4g5rHPJYU
E3gAt3TWRtoWD05tFnd1PsDCwie/nmDPc6YLhf8UpMMlUfgyR9qY9uhW9P44Tn0o7XDuOS78lTMY
tI8W8Uehx8alKlDHsKR2S4fU7Mb2UQpNJmIcRLnqdjC2Il21t1VqT0B7QkHLJRnXR860566st92A
DrpoLRysdRyqkx+mzdKaRkVeMCKtm3GJs+S2A4IfjN2DKXRsgY6GNaf80bbAmnpdLSz4MoDaqDfK
gT+cFPyDVyI91Ijxbxb4+/JXFtmSxch4NDuef4x3C+a+n6kebvU2987aNIkf9ZwvqYvyWNoOB+me
Qi7hQYjFNPfl5OrYUshE1k3jJ1+S1NCYIGhEoIPFlDICw8FZbxnQAk+PlLOZxoKcXsgdPKeJEMM0
GLfecbDCj9b0qvF9b+LYn9YhDYxbCq37WxcI6WyD7y+JVVxsyFQHwskOBpi022Biddbw8E2g7ng6
6yZqIMwjtZPLmYgyJa25GjMOxqHuM3vsqDbFrSsNsTRBAFBTVREoEL4cn6NYFYvR8MlJQMlc24RU
1l5oWd9VVX+VFTgrhrvVYbB9YxOCsYIKYEZLmmCzM4ZvexGohll8aiQfBVSijWA2zF++pyLd5La/
SjvhMtn0WQk5qzRUmFbuS08nwGeZdH3064n4+/CvwY/i/Cvh8V/yNjsXUa6af/sff0T6uZh/XJwR
dEHqJq6Gq93hdyA9LcZz14+Fsyd5Lmm+VgF6m1EEdwyIzH5pdQN9So7t0E/RGgTPQMDv+4yG7uXv
9vf/7Bsx/lDow3fiEHG15tsj/2P88U5Xt341ZPh69mNtb+OOq0joGf10X3am15xctHX7TOubY6wZ
C/UPHTytmjRZrPAgd7JYh2b33A8SN16Hhs/QLeZYQBemlVXvNg5UcwU4yHqplEzPHu1At5NtpK8u
5D6e53klz8BhfJD0znMsbWH1wnujbQaljIvseu17HVJynLRu8MTAo3VwPQXRq4oMWh60zrwF7s3T
5Hbihc7MmsxMONxXhR27K7Zw2KqTSI5mqOqVMRYEcrh1nXqiJ0vF7ewBcW88asNg3LYpcB12+nRj
DOmrNApxr0gkOj0dVnLe7Zx532McyRbYYWxnj6WlK1yzVyMiX/dLcuLsnQ6Gma/yuqNKs3I+Hdcm
uG7hdZzIPr0A460qIoaC6EA6UKI44E6RqyBwo13U4kfzqMaKlhSiKaSqOoENBRPMiNbgW3vy0RR0
frfymviT6NxT3Fca9fZUpO38AeeLaipP0iHHyzEvQ/Z7NEHGtehS3oNOfgqssd2XA4WVms8Hn0wj
1IfYm/NcUR5862iFhvE1hCT3gZ7d2qk7I7+SaeuHgwrXjJyzS1wQ7wVbpL5z17QvtBF0CHN9tKqJ
d25lRZEwmmodYVAxtI+07FpjjQALoCXM7Q+vVMad5OZ7N9Ic81YR46Q2J2nh4pVeKKeLbTXJGzPh
8t1yJtGuoOYbwwtDJj4ki+rmOzUNPT2+JnZavqQqXxH57PyTMDqzzdBqgy9ltCAI//FrIq+nxd+R
Wl3hCAdhRlrS9EwuXPMd6HcvbIuRszPCod3j5tZvS43UXNFH6Kc1ChqAandfuTUGPbKWWNzq4uRi
a7shkQUAkqqM4WCroGIZnkCkuy3szpnO1D+QXiGXZbLBvtZZx/07iAyEBFiJUM5RI4IR6rftDCdS
bKc+7Zt51qh3N7qbIX83xuB/p8zY2NhRaROpr5J76cE3qQY7PkA0vZRGeMqlf/bSQb8JfCZeLCIb
XQQX3nHjTmTTbUWL+NLWsMFvnAgO94KFnoxPXbn2LsS+3y2UrUAV6LHYdaWTngm9ibNR6J25Lkwr
eNQdYnVBF3trKHsaaQCj6Fm0cSbesbhUZxdr0abBOaXQgEqtxz1heN3aGtLkQPKSEpdWpwZumdll
/um0TbX2Ehf7eGqps/S65hmDv78qDCbjJPxS5rNDh4E+dfy3kOPo22DNlRR9VtQbHNvhNsoq8hhE
hxwOu5DHYmdkdOlavHL0CNj8/Wr6HMYs7j4zJuz0YLTC37bEKJmwNd4Yr0JZk2x3WgovbUDW937n
hR+Zbvpb5dBu4IPSehgSmWw9sDqELqzukMZuvyRdpN+xJ008lW5/l8KdPiZeqDEHhFXBb6eWuubm
D8yJXckBoayeBKSjpQoMd9FB7kYMKrtwY9PFuSS21wHhrNQbyZfoUQsb+VwhCoMWgaG9LLqKpYnW
8ns4pfAdQYQdLVYpqAGOWhccUtd9EDpnJ9Tjp5zhFqto6M3BEj6ZQ0SvV7rO8J/ckFAWW9sJBe+1
Fxtg74qL5/XlpktNfUERBjvRFDbmva3VNC/SGUjoqhY0XcVGrtwzw11KLcr59qFfLyK6GpiX+NcL
ipjvKjXHAQIE5XyF8ZuU64wXjXGytnNaa67XHY+Lj7xegRo8iBtoFs5zer0i5VLTrEURgeVcRKze
2PLtpHwLio7KYMO09eBuKpHW1/M+9mm2/QCMdJBMF9R8TYtxsLbMbADW4yhRBplBTMewUQDy99hS
95WsFEm3ChY7o42paBfKi5N4F7s2ca5xwmm9qqnbOxoQRiK8KPNhYJjPBYmlv1ZkVlzY7I9YUF6j
en5BJJxuhvKHyp8oBYWOz7S6aOfvutlYXNGPA6REkvmFtSuTsXn/xwvVHxRalingxci8IFRRfA1z
vhT/bpkSHOkSI+Vc4QUWjfEnwuw3ZXd//UP+lMT/z4l1j0XGf/7XT9Tof//5l82vv+bctHpX7z/9
grBRpMb79kc9Pvxo2lT9RaSa/5//7L/8lx//lDrCGQiwkqDx4B9pdeG7UlHzH9S6v33xb2ZaE9ld
mML6D9KIK36RnLU82xFce9D3+QH9RcY3f9Gx3iLYCbzhHMr+1renO7/gFUH647jIlzqO8WekEVTA
n6UR9EPLQabzpCvprvTmisGfnhI/7hL+O2wcswjlZtApDe0bjt1LukEnia5Nz9e6TnRql7vAH2Oo
F2U7rSCtDdq8HZjL3rPlTT4Xb9IyjE+/nes4Lao1Lslc0cmoL9wHQ3HluYdHTPdEV2uLWs9mSLy1
M1d9NnPpZ4fsHC7JVbvhSnH24SBjp6z4c1eon+ZYG/QcJk4obWASvT/e25houBRPF+ZnM5uKPCAJ
BSynnGjIH9XH0IX/PLg4IjdjwUhy6Q8BVywnHZHzc9lXd1ExwlHFwCQuvhWlr8YwBBeCtEAMhYw/
qmtJ6rUvdcQe9UHXkPVtCE3wlaqt33vuNMu5Tg4GCK2rtZHayyLWubgjiOTnoWnSUzlXtVJZmyxy
OTC0VeVazyhai4xasvumwdKc617RjPQP99oBmxctd33lRjgv5pLY3oZAh0w0V8cW8CnltU82duZu
2ejaM4vZIF9h9uvphMUPKeZC2jgO5IHkKV0KSWEu1Vxci0b0DBqYLltHDlECHIr2xPTadjsNFN+G
5lxaYqDW3bZzMW40V+SKa1tufW3OBWJJ7YCYC3UnT8foaQHmZSZJ38rSu7bv2jmrJ4RpdBQ51/Mq
t/cOg5eXb1AIaJDNrk2+9hBh7DJwmi9rEAavdJqBY8GnFe6MBh6EPjKwJnDV0xCcBFiu55065zzh
1x5hJ4/ll6xm+1leW4aJK+PGm6uHHTwcxGHmQmJ57SZGduSGyImnwQtmyDPbrXnj2zA9gLUU75jA
aDmm06XyjirgUVyCtCi/VyQz3xrK+0hkXZuSvbguv+kQGpgiA5tNtrRe1xfdMbwzIzLNX01l793E
cwFzFlYc68GG6XIJmLO+Bw0yPMO1YdeiWVf70ZYE1FbYUTApMqr/IN+Hg20Y+fdYw/rH5toGHahr
M/S1Jbq/NkZ3c3m0ioGSXvukNTUgOoZ9/+zZfflgqWLaG3BOeW+Taue4cy+1WWJcXRAMFKsKXaiC
NCKTj4CXa/5SWi0X5rXnWlw7r83OdvedFdlnIHPQuqQ592MHFdk4znkGRHIqc2cBcESe5IxERTUs
r4VrVCLAGVf3OlFiN9hNTYinnF5uP5XTWx9QFOYXBKt643vRzRUrgt6ID/IviArciYe3oYsx086w
0UBr+kc2aPrx5mLwxDLlgbAxPlprLkgJCNKtq3FoXqbGAcsdNMoE9kzZODCr4gC2A8HDmMvI87HM
uSrjLwYR4u9o/d7yfU/rYq4x77ikLjgO19t2LjnHY+o/e3BluHsbjjebxuylprfM7RBxSpy8tAuu
wmt3OiFnoS+zHsTJWvqJCe0irKIfNGiETziNw6NIdMi1lTIws2qm7F81XhR9U0mD3vakqtq37Nrm
Hmhzs3tybXmfMqs6o1BndL9fe+CzCXCprpVqoRi1kJGdK+Ora3v8OBfJK1iur41w/CUomM/k2jef
16zTXZrax9DDwbPmZkE3/eRxrlQyvp1cSXO9Fw7diznX2QMEC9/0DoLwIp/r7lsJ3JgH1nc1NMps
7smqgC81OdiGIFPfRTUjIdycmQxbiZUsgzitPk0tgA+u1S3Zplz1/S2ga6jonhWM1qrRYyCTmP1o
OjT7uKBWDsKdgxswDbFSxoFu4LDxmh+jOXcZ9VQVFVPJLmN22a7O6urg23DMMz4pQTgPogdRtBRK
I4prE+6KTMkNHhMldlhaPXC0gRFEXAZsvKxJi0jI316YzYpHs/piOuoeBL6Zld40TUsb5MDi5MFH
g1iUAXOjoGqV9lVFXKQRoGY9171XZS2fRwcK8cKuEgK6YSGfvLqrXkFQuUBMUwyfQDs0dOsyME6l
cvOTLT3nqWKkyscd2zw+TkPedjMScc9WTdTd4hIHUIAQFjwj3YtsNRSO/iUqobtHvkP84nZnzdXZ
7ui+KXIbBRuUbG55b61s55uSeGzd0/PE2lTfwHiO78gIUoDrAlQZfIDNy0GD97JIiaWFyxT0yEZj
zn4Tj77zMsaiB/40ZKckhlmRyooISl9EZ6DpBEomXYeOBOodEkH13AYieSpB9Kz0EQu2cIxHanPN
M2E1uWqBd+4qKxOPFeaxHzALKbOUgWxXpVEY+5igCnDLyPQfMxFw+yiixwK34NkvRqxVY443r8Pi
dNZiqS8Dsyzo1BwJNSzY76ZwTXfW/2HvzHbkRtIl/SrnBVjg5qTzZi5ij8jILTJTudwQmUqJzt25
L08/H6ur56hU1erTdzPAAI1Go1qq2Ein+29mnxU46/na1HryE4DFYSbxV8U6c/Q7Ak24G0nDiV1P
1y6IonJgchj4R05Q6tDTj/k1UxZVu2ChyeJ2pboFdd6cc0qicMx58Vvc1q/Iixj3u2Dch3FXMGbL
4/ewm1yi10N6kf7AAJzY+kH0qthVxoAvR0pwW8VQyQ0GHkANdtPY9bVPOuCNlPGcraRlj3JrYhKk
XaE23WMWYW5dN1SKHDsVt4/VPJSQy2t1HaQmvYk4mLjnooRUS5kaa7NxnT2uP8J+sFUeBY+WexKJ
TrSmqw77rEqlh/V/aN5n1Alyvg4NAKwI6tiXoQLs0NsPpgt/weoCijFp//DPZtR7D44Ag7zGz2bt
mR5gwZWjvGEsFrVXRbPQ9AIyCXTI+dm7noLwtUN0urS+FXyvq8zxeSqzlViXSguineTfGQRMtaHX
IuqK7C4ead5aCeZlPL/zITzUTQuzuXXLiRiVCFaccfRdqhlSABD3K3SmxnLePcgp3qZNIvWFsKGq
d0MgS+MGaKS6cqNk3mBTDMO9oyDMrZO4m4YjTdBNeWinxHumSs5+KvK4p+YOOBh1eNbtQI9ttW5F
Q+6hM1gePMDCe0xO7SsMrvK+niIDzmfUxaeuMqsrT6Xcq5BvEkiPznQmvDEguICBuGcDOzCjC3r1
oqwWbmE29Is5PVXOo5mM1TORXH0XUEq0Hb16vpGdh67DY8sdN6JiGr+q63gGSJ/7n6ULJhhghD3d
GH1YnIIFO1wDC+zXNbiCLYYs7+s8y9baSMSqd8BfUDuavDC2CIf9BwHKRO5IhHXEtFUAJHke7vu0
tbp/fMrK9QGRgEB7DXr/0UlaoM9Y3565OZmQVnGh7+SQL1PT/Akz2CVTOUOOLGrOAV5+7tkQp0jq
9viDqbGIaIzSQFwdmx8eG0rwrKFMUTmghyjFdwJkY+Xb0vmSUO97DqyyvARl6V16RjfXHF6yM/me
7MVYMFprD4XzazrNao8bfMHEeL64GaXXY8zJ8KrIeDKnUwmhcTqkgdUTLy1sZBLAYdOhJar4Ncwi
pInChOhXGAOby0j7uoSPIYOboormA92c8pthNd63KAppJuyTFA48jC1ZbzyaM+HC9E5s7+0yiJ/6
oLF3SH3Jy2wYxNFhqTo7xtkBzzbVf7EY1Fz8yc6IBnbz3Rw77Tdn6TGZamCiK754ejaGKLxAPm4+
RriM1z5qziN4qyurAhtOUUfvvasyxjo0uFI5WzMM/IDx8YRyPNvOLe2Uw8YE907QndobfudMYH3C
tZ+mh65LlnlB1SxWHjB9q6yzxYsZWRXdZVVLT7AZU4Vcmab+6hpVe2CMHV+X0I/u43yonmvy7Z9N
JYJDVqTWl56Q8bwepzE6QhejTtbCMU5dCErD0Qjc2TimRWUeoD0xoqqdyVqJSbVvikNythrrtjvD
N4XmnXqylYBVm+TMkSA+ePVgL27JCjR0yMjPosbnIibAxkTqCq03js7nClwSKOw1ihc/HTGwE42d
mI97BiNwiMDv3tFpNB/oO1i+YKdLYK43yUGKArzXABbjEnFlHgaAXR+ynPM3HwMCPkngDtmGgL3x
YHZ1d5cT63lOx2o6Av0GllfxwF8LJ5zX2moE/09vssUw7PKqMSFclkEEFT92VBmuy6xM3vMyq9UB
HlV0a5c5HyFNNbI4Yb3kvqMSpWZg5HC75ITNs+TOWJwEK1p8YWjNQlxFitgIwphhPiYiDC6Q3uat
K4lyrrOpAx2XVD0bkrJ3mlODlZfKn9l1p1XUeBp8D+PgHnSNwdFUJctDOc7xrLYNPw3beDMHLtGL
oT61PJHeYzpovXVBUIRcF0ZEXOjoaO5GtW3Yr2yBc3jGkg5ArPFg7dWJT2bDTL3tCLKbgDreN/qI
589cEqWZxzGnwQjr9tL4o2q5BnQXH/FaN9/GKIV5W6esJAYxgvvK8s0n2u44U7QS3h7RtAmemrTI
hHeWc85R/A62SVCiT/3mWJDKrRBW8/GLix+aGBkVMkcDJ8Ib/Le4WirTs2vCcJV9dHDmR89+N7Zs
AP2Bedt/Pqf6+wkUQt3XUk819P72f/3PRln/DwXBGSwtVlSmPv96lrV5z9+L/8J79l+buPsbSyp/
+Q/rmf1bYDGWottCeMiWS9naH5ZU8zdsp540EQ6JMZoBBrN/zrLwnjk4eCSGI9uycfv8t83H/I2b
hqmTIDTwuz3oP5llBctA8wddxl1GbFxIFv9BloF+8edRlq7pK3ELy6ViLP6OJf7Gr8Vee8FjEjJi
MhPMHpM/kl4KH8Fj3+vZI8ka7bvgTS0dprSDXIVq/pJ23l7HYmcZxjY5Q4k5tQM7ap+q57C/VoP5
hcPcPiWWpWexT+b6YGo2RSFwNxzXdLl0UDEG/i7hvyypD26VHVPPufdqcSM8Zz9U7r0bWjeQtmwv
+hgjxdkg2MqseqBY92Eewy1FnWtXgQ/PTYDBH3P2MBGtTPJ5L8h1+u5w7Wt57MiZWNq9Kdzxi3Zc
IGTFHbaqrZ6mPdysVVK31HmEjzMTtY0M3Ud454d6SG7z0EXSUFS6NKI+zIRywSEB1Iz8g6Mb+P2i
5w4NHnl2viQuXxkhj70TekfElC1q01dkJkDB+dmFSfbDlfd3IvTyI/3lR1wENuRni6uGC+nHeSRT
EJtSGMPdYiXZRKDdOYyeo6G6FdN069ek1RVlBunsbw0AZT2/zK/fgPtzsS3WRQ+OgUm/ERZu2h3/
/Abiiu0n2gg1cuwJtY7PsqvBzTIr6SeBUqpsABipt+/CmYPS/KUvYlLVlqC9GJbLyl99g4dUQ0ev
vXWfOjGkaXofqDY5j1l96KqU3ZOMSKAsjd5zg7tBgEGlYBwxFW5Us5JDth2cAFcaTcBlGQLXCZyr
asRvRB8W6kZj0+ETwgkc5/uOkjO47Naae+/Zqeyr0B+vobVfFZWqTmWlo6v/fCH9n62S//JP/UkC
+L9j5r/IuPzQ/3qNvH4HmPHe4A54/3GF/OPv/THqN38LMObifA2ENE1/8eX/sTzSASkw3TPllxAy
EGT+e3m0fzMRG7BBspMOWDv5S39Ycy3xG6viohBgW0TC4V74p+rxx53El/cLnwkO/z/fWx5llq5v
gbAiUsBC/dOlbXeTpNbEGIEbaLunogO0GUFDZmazcr9HaRt06zbn1twAI51rbOI9k1crQqkKDPD0
UMgSNoAFXWgvOXb+4KbvzOVPFFySTuVZJkhq5+jDkssBa4Uj3SY0ixPLp4BZ3wv2TM8GqavowZzc
obynvDFrNnESQ1Ijc8QyVBdeaG/cbKD/OlHMYFbt7KUQs/oGMHaQ2zlsNzsnUoj9B2cD9a/RHftY
67uVlICDqXUN1hWh6WOVVsbFTpVhQ2+c+3xDqZcr9Crm4HoLbm4447vIiUhlZsMHqIcTnAUhNzUU
8PCGWSE+JxpKTIYAqf2S0ErEodmAPYCXzCbbO4Qed2is4JPNY+0mZwz64ICw7lPtbqdjRNV730CB
hrKlHl1p5N6urlsAg1hjkECHPomTW5q5TJjYo/3kVfCvDdOZot1S2ZAdDBkN6akedQc9gW0iXEbW
K00AOMgYaibSvbeJdU5rzVl/ZQiwZC2WPmL5kX3rZ015tmqp7kcr0q+NZXwVdbsUY40pCmQaoJCQ
AWvobe88uQrcLH7m30aRYh/Vd6EwZHkUmaaNdy6ymeeZGbmXlFYInKNROIRrL+vcYEXVksM+b5ph
DgwMhBdHJFDHa7dlpSY4SMibQOfsGoeavBV9JvMAOgMuNs1y9UjHhohj+j3lYIu7YhwtXC0S+PlZ
MgZLV31ASx9bZujkog0YtTZTnAaU3aSkSdIxJ56Kq73DPlAMxYGZS9tu4ClgRIpmOH2btl+OFORo
43DHJKPPjiaONkqpcsBSW+VrzyaZqkccncqgBml0MNpymn3KKbRYe1Fdf4KQssYTVx1hejMPMfj2
ddtytrdKOu1Rvo9RhuS+YlQ612vTkLgROPJ6JzACzodmvDcylOpkvlVj1NCXTQJ0Wk91VJ6cgUka
w6w6PeORUfd1zIisSL0nppMQ7tqwMo5RZ6mTHAbfXDVWrp9lkVgXo1PN24yP7QpE+aGnjIxxJy9t
P4R1L9SqBF1sP8Z15HsrvMq0e3emnh7iwmHLT/r/uhfM6nE6lMq6BfLHGG4sU3vY2gWpjwPjoPw6
wKnfHka3pALFTPoc0z6gNUrA6DgCvD9p0PwBsyD6I9xHQJewrU07J/8tMSi2QBsBNLttocRGY1vB
8TMZkXXVAX4YV02Uu9e1trD7DXRWZAt4PH5rgxKghT9RrIGQjyPMIj4uN2WlcGpKM/xizFm4n32c
pvlYFp+ZJlLKkS3eRaE7PjOhydcVnlafKrY6hyEXcd/ooGlvo5KJA+C88qrAhvjY0MGjOKllrAVZ
MJ5i13XuapwyYEADB3N4T99WAWuTslkmafmBEZH7ZOVpc9WA4X4TeL2C7dy2FEKlY8z423dUH+6D
qRpwK0TqY8TzNWFykjYZGtOC511l1WOMfx6+kM+QhVYOwrbUVDsrmvC87FMLBUCXWZCDQgljt7Oi
4mvVo5bgvHDGaK944uhNnlKv6TOC2rokrW5URaKVcTDnOdhv2fCghziscVtNI4fBDKkOXkpeWSfP
DvWJkGvWkRrEPc+029R00uGZoHsp5FpdC7Nqnvtk8m8LnHzrwI+NN6LjfvEkk8YwoXZzo6w4FZqb
EL+C2Pg8BuXX3JgcYD6zsxf1wOWpnueYeEfbZQgQdplsgazWu4Da0I1qwL2xhBNGxf3OSxIKrw6M
/ED+NEjTLPsofadqQnd+LMeODa3l6nkL3ji80JBkPjK84xv1MIT020JYuKGy5XSO/YSDemfaHNql
LyAkuWCLmCuGZX/Aidel1+4yB4BCNoJ7XqYD2o6BhczL3CCM6dCwJMscoPIRJ25DO0q5sUTFlUhf
wDKEiILhKZjoWWe9sgBWN3zz8XbWrnefjYvtLoOIW60ZIDP0oE+RN2IvsxDaiQ0eALNPTZECCVet
FdUh9jH+fbIS5LFH1thNA6pCl9EL1m8gqss8piMYcBzHUseMBYKgWTCNdbhrl5FOAWTxE1p49Vws
Ax+jbylMGQFLfE0ZEqMhYjsUPB86GmN4iTZf98s4CemcyVIjYN1Ahl4mTuT+bbpU5PIlFJShmEOa
J3cEyCc2CLXjvEvom8AclsnWtMy4SlNjKvfSkfYIdxmHkdx1SE+D1r4BCxlfnGV4hpU1OKVTFDg7
cxmuJRjiYNnIrumvUxgdj/3vM7nh9/lclNaUN4wcmb75gzsdcieybsJBUa5R/j7mKyF9QEOFm1xu
ZO/LlRWPik7TKaGCzO0SHdxNv88Rof8qQOF18OqJSdxTrnNVOQk6uN/mly4P4iuQs63ahIUV0xGA
zTeMeuOQxNkiZo4fiQbNHmvWTMpQU+dN1LnM1pE9y+c27pzvjSZAodyxfE+N2cJzVcF9MUdc4qwx
NImQK3kAudKtYcwmuJXrHDDsaMcX0HX+yap8Ewu4s5xnwOFvMg6GK6KQETJbSLyxm6MAS1qFL8CH
AkWgPpxPRjVTNW1GtndxM6zab4ygo7PXp9TzlaAKgWN2TNUDkFhKDw5cPd70PqFNUC4aBJ0hKhqu
IAlF7tqEh76FQzr5y+nYv+kro/6Kqyv6hN+r0OanR8Piwbqy4anFVCFRVRSPmiIu5VGGgBFlKYdi
LaK1xyFsfXSL1vuoDIq794AIbOPUJ8nRcieMnxjewMoy9RZpbD1mHmBiYcHGunEYgn0njVYM7A1S
O6doVtHCppKB9mZhU8Rs013A8M4aSusAn238iOwo+ORUT61ZGQ5FvPdKq/yshGPW90Now2+0E3KN
JxeJqT3HRI0YDUdBB367D/Un0Oievlt3yf6EJq2PPJ1T0FeZVebBCaG9fwA3NlOlkhr5A01m6Fbl
iB/94tTVpW90Wp5EXfULcXOY7iffKYCmzeoaYxsuXTFxflNj3e5rxSOrzdocB4GL1XNtVyG3CRvx
9i6mC+mYy0ieioSOpxDu6C3ZOQhPeUvirSV9tA5LnW2xyUc8y9mDfNauMz6Jwlfbzh/sjV9GNrvo
Un4xjGI5+k2mhJ5CZrZ4n4o20HsW2uBxwt3w2fUV5OjIrYvbLmjQ8DhHks6YKKtgiM1c3i79bJ3R
sfdM9ML64rFXu2laEe2DDO11U+a1R+IjZ4a/NRfkzDhpVEwn1e5XHpD49qBSADmWwOrasHm36ypU
AEsyykEjO9XfNTL3M+Vii48jUGiAIuzYcBjxVHypoi56HOCMa/ZuNNJxFhcPA1VIeOfw8Nov80B5
CfSPbPgK5RJ+luGyGtMmNLInf7fG2VszVnxIUpuiJLQJBKZROMGpIt7okaG3+vmM8JZOO+JcXYLB
p3dsKrkNP0GP7+iitjVIACB4MVqIybNErU3MTdEurrqF+EYPGZhX2T421NaIdYyg+RBTRgC7yeVR
rqZUX2r43xeu/fkwM81HxmeWgUF57rq7mOqENXxjfWVmoDNtZlJkmd1vLkzFZq0LsAkMWRNxbJJm
Us95RR0KXBBNTWiu6yV165iYip2qu3OHcWPkGD5GYiLbylPjiUlwucWf06z7pn9LO2zHOwhu1KdR
7FwHi9de3FRj0F4GI5z3EWHlF813eyzILlO1QwFtecAoY3ibNHfjeGuSiUnXiD7Gq2q9zjglABuo
BnBy/2lwes/cFIlrUb9V9+VXM5MMg0IetDfItRzOSp+OSp7ewfgQ06WZQUoL0FQGMb8C6hvebN4F
7XWDwjMh+b7pXWfAtHedenwjqg3WJLZS9xZ5wXxkg8sKm9Bqu5vgvJ5CAIXf8rCadt7kZ8faCueY
GqjSvebQIMNTRUvMRwJGf7NUPosNm4zZR78OOsrH0nF8g5+Abm+TKsNsZdNRmgFFBDJPkTQ8PAdX
FjezVSGSpf0Ht693hgLL+FlZxMzYdhQwQ+BM6E2vst0ArgX4Egy4W9tkM0QWD4PvCY9Q6O04EZvO
JoqNhFMVxxuPmU6MU8aF6i9aHmDrue04v0IEwuUE2dWjQcYLvOmpDhvLPTBOo5swbgo8cFUtjr3q
rNd8LOSmUQzoUs0yj2gELF1MHmsNIfVtXRB8z4WMoHwB7yjW04h1ZEWarnlDEwID5vdi71m1+lLH
kgFgNGmV7qiu8O7nGl7diRrj0Nw0QeiFKxhcHpO9MUAyG6KEDSU1p/ZaqGK8lVoGah21cfAZM7V7
cJroiT6heiEd061dFnRu5Hr2dwTUzT3kKXmaGkzi0oWUqWlbvfP7ytzo2vNqsjQwYbdT3DWXOsQw
hCvGnzZxETdfk1ZRehrYQVsf/BbTH0f29lO3c3/L7IvIGI0NPgJzuQhs9jiZ7247mJuM3+G7S7PF
pVc84NmNemeXHPJ9oiOXhvJwuC4Bm0GxEe0qE0gB6yrvD6nrfW06NjypF/krWtiGK2hkD7Fdmfsm
ydjx9p7zjA/hk8tt5DsmZdd58WfWx/mxCR2AMTGU7jxhhwwt+sYFBX/KRcMb6kuUVh7DOwwG0Rt7
ihzffzx5D276bmIJBXgYCjb6hbOJqZ/YWm4pkOBM/RDqFklYwg5n4dyUZePsCYr6n5TnWni9a/eI
WRLyvQTq42G/2OgRm1OS185DbVnTlT9L8yOo3eLK6+3hvas1ZUeQ0PNdAGyfvoS09KjVpmHm69x5
hPuRB6t1Ewp5alOQjavK5rMzVTWqd4HcN21nrxLnqXPqQzmyp2eO7eN908NBhxPH/V6nd4N0phtP
uHCgxZBN52Hs2RXKoZ2/TQmcZwZGBR4BN5ePk/C882QDcPEayo7UmMk18UpzY7OT/wa5kNRqW/3+
MHmhxbqjK6kU3XWDIL/DwFjSqYUYHO6BPkeH1pr2VQZ3pmjVSDuHZviRerp9YrtbMaCYaMFGY+bM
MZIhrxqRfpeOCo6iLufLMCXzKyAe7wIfvgM3T1h1XdkuwOXC7CxG4CyXTG72JE2Ogx3pvaJL4bZL
XYsPRA/V2qZFh82Okbs7UiYh3rRWnPuM82nnu9XLUJtXPnlMhAfhi0sWuO0B3P0IpAbZbzRVLtdp
kb5grAA9b+b033Z1fTM4g0X4cLJ3Wizjs2bYQCW31uxoxB3VrN5WQNI7aRMumjN1B2f0byTbPCCz
vns1CdtiIxXMG1s4sBiBPXFG7uMz5HpjS3LB33mkpLC5IB2wUCVbbhn5XBiVJjJa06yE3g+8yIoe
QWgH/T42+/HR88YGzBkkL5wQnbiVpFcJ0SXedD1kIElZcSeSHkW2mwi2nOY50jaks0S3W6ZpxylU
zauRSPNReFVLZVc1N0/05bDbi1LnmayyuffzFHmwpBFLe/z+WD1b/BAgmU7ouGxDBnp5eyEE+xzK
lj4AM757Bh9kLC3mBe2cfwOgG+5ZH8oL7pqB7VBo3NByILduODzjmuxpTMyLDaqvLlFRRI9FF7ZI
mfk3WlDui02mx5gSKI43q3AQMU6+ujj6Zi2/ma1zZ4Rsu5uR2pXOD6c7OlIWPbWd1hbyNUJBz/zI
KPeK+gzysDOzqamcvS+enYtX8bupR/EkwYdwRYxD76kKoIMY0mx8ExJa+SCc5TzRdWF+H+rO4DwQ
iLuOCisosXN7o40pHa5VrxV7akPhd8u+ViSU6OR2qLFg6z19p32NAtZGkP7u+2pbmzl+ehO7kNtN
xa6XdDqvpqkBjjrOIrLZDvs0AaRJPA+QmIbu3nRyZ6JRxOKh9//V1/9RlMCnPdB2GMP/a2Fh3yUI
C+2PosL/+Vt/qK4kCHyPoLgnHMc2f6cb/ENW8ORvFtoptmgLCQG6wg+qq/ubT0LNISIA8eAf4YJ/
4rjN3yycyWxJXZtwG3LEfyIrLHrcj3qdyStguMBCjDQMDvknDhBKWe81GUjFVkD5Wc2wmp+V7Y03
P3wpf6MLLtLEn18GzxDEIS/wPZvP9dPLNOh1CR143tYDLf3WM+7cQX2IKO1p034P36Hf//oFrb+Q
TIhYeGQjUHLMAPHlJ7EkyGeSZ2lIwZM1opTq3MzUujMUCkTBMXCTYxV8kHQ0H9pQXrqBnDXLYz6/
FYzY9mYVJCfsFw5H/97ewuVJTiQbhus8muezNab6+t+835/iPq7J++UnJ76Lgumb/k/CKV7LdBpG
yNVpWOafA4Vda/DV/HcaFHTyUgbPIMv3iNzJ8rOGHPxJneLwZYroUhVdif5DQOKpKEe69EaamH79
9uy/Xie8vQUeD7kKX79ctKkf0kh+UDFyZGi97ZCsr+PZou83FiXl382gaE4ZfVBLli6vstYZt6Zh
8oCPmAjznuVBja7/bE9RfjuN6sqy9NFUxv0YARBfhT3+Yuy5ffrKPFPuqSKFAIoK8NFFVrrPp0pf
fv1ZXGwOf7kYIQ+C3nIcF9/DT5kZyZJptp0DeaLL1JlkAruYcbSjzailog2LLoOlBldsjbIZPgtv
oA4zy4uACEgOB2r0AuO+G8f21UM04pBMr2aOL+5lhEMAdeLar2ObXusYIEFmRNQ0df0RX7Da1lHy
qkWFcSkUL+xnnZvWAGdbTLdgF/uDnrz8mNaZd8Ojrjq7HAE5ACmC7cCXrXCncuZPYAz9LUrgUog7
OAziTfUpPRiQK6vj1MozGnQzHascdVmNiOuYA8Ns2wADUs5j8vLr7/L3G/enG5uwtnAddEnL8byf
bjM2x00qmkmQEXDy29JMi12ZDOZZ2nLvO9Z3IxnG226K4Tzko1T5oauz4TtFvPWHq6v2uooGNBeb
FosjtsBsw0Nt8FZF4Vtr0In6jjYY2oNBR5C90fn0GXSDBbQ5pF8zG40Xy0mjM06QiOinpmhiiszx
LNMu2bWdZ/6bC4eV9S8XDnfm8kiQrgOH5qd7VEsT8/FyEzRp1d9Eub0kJylbOmrMNHfULAW7ymI+
H1rZfF+TpbhyNKkeBBBJTffsyifBuPwbuFrz669/h79ZX+WyhNj8Ap4pvWV1+eH2zKIp7zMxiO2A
uX/t1OV31U9Ht6X31R/7069f7G++BgL39iKV40lnSf/zi5Ez8wY5tWLLfsR/MaH3LndxcvvrV/mb
BfFPr/LTXZrJJPYahyJrTBjxN7NEEZ26wtArhKlp9+vX+psVgUwez2ieqBIT0k9fH5dkojWoUXQJ
x75yjHz+5OTEQbR2zIs9Niy7RTnAZ0fvLe6CIqw3v34Df/OVQgRzA1+y/hNL//krNQYSxAx/YIj4
GFjxGFEDR+fXr1/F/os5RlpsHISQLOG2Kf3FvfPDZWKz5Ep6T+miEfVFN/ZSGzXtk7i/H0l/BvEt
h9o18L/PxX3Zqcy4pawJl+Jcyk3iDBNTmg7MvnIpSgCAvqcKDfbJeGlsJozppDAvxdRmmJ06ahKG
y9h1rkl9VN9gHv8bp8/P1wd2MXzYPCsJUi77KufPn2XmJFHRTedvKx47hPWJb6PdRJvZoz/q19/b
X742PEXLgw8aL/YPkEd/fik1h3bmd0aw9TMvOoUTSGyySv1VVHNocuiTOPBVB//mRdkK/nxXMzxl
vWG7xMqK7PPzzzVw/lu4SCG5oIG0SMrsMKIIKAjH4cXBWYxAPDYXI4qPdTS8+kGR7Pxhst+JDnIg
MhUnWNLxvvRXuL/uGq3NDYvbwnzUe7R5as/C+DW0m9eytzgrksMCxN6smpz8YpVxXvQHCFBp7+IG
acy7JajG8IValHiiN8gQnJxiczJ3DPfEtSxDGoVq86xtI9v5sB0I7tuwaHR+31XUsuDz1txAF6I1
2Cd40rnyATxQdzt77yiFn4U5N7cFYSpA4SJ6aeAm3RpVYu8GCtg34ZwwQqokzpTGT/aMiaigzKss
ecW+YG3GLi4In45N/2lnQb13lcswLG8d93WMbXz3Zv6odX9Xy33H54xJL30NmRJsOTzStWpEGJMF
U79ViwqzE9i8EJEDtC0AOMgadX7jVmRdLKA0UK+TqkWHcXnm1p39DYCUvKbYsNnFFiVwSJI4LLDB
h9t5gKe3CXlKvQEhH7bMCMcCNX2tM+8BHixNypWTR6uio0N4PVdquqod5d6Hqid3FE/b0TG3AelI
Wh7nvZ0BB/HAdHI4RSJuJzv4Pg3whYfuseq7bwm7yy+xTVsNDej5NpD9M2nGU5Nz/m/ofLgO7coC
PJA45A5qJvaTLnP+XRmuvGAOVoFT3efB/GWMwD9jAXYPBKhqrNoR3u9UYlq2DOCg9TjTNTFn4q7t
Zf4JF7257WpJ6CpU0XfYEMGeqonmANdS3zeZtF6KSmfPQ+zsqT0oAV0lo7wry1zfA+TtYHJCWhfw
iaqJMsF+esqiub13wql7IoKPH8ioUbdUqPe6NNIbQ1dkFEfgpCkbrZsuYeCQmLa5sarc55U9Taey
0W3TYcRsB7f/3QjplcbeQhc5cUD0Kiz3M23p96rLPurenz6S5RMOpjD24HrvMMvs5/IRsyxjb8hf
SHzXoeE3eyJRwxHaVPk1DC31WOJJZYzTxWzAJamPKrVOhp/Nm7at2s0ckCUqx0jc+xU9zynhyw1G
Dos28Lr4Lk1IGlBvphOyAVWeQn5jPPRamCQNMIuUgN1qOx6fSZWUoOgHWB4T2phyEHS6Rs1HOeAQ
7+roudbNM/DUjjJTYdUfWWm1XyKZeoc8qPJ9ACxnqxGIwe0PzZlYHhCEoPYOCVVyuxqX0lYQGVhb
pld8QXMyrmPe1QYsP384LS6ssDBI8mo4Wjjo0RuKaG/7w5nO8G+OiK5IokEiTwKvYPDmjCR8FH/A
iNRDPwZy24+9sUsdKW9DxLitVRoMoLvpo5GivGT14N3CedEEa+m0oKW5P2a5uJu16dx3Kuc3AQpe
YD0YupNrNQM3Vat2KgCf0+G1GO1Sn/1kMfvTPbqKJpWgVc3qqSUXwD/T85VpVnzAsmrA5rE6CreZ
eEBUaJuWSt6brujOfSSGm3gOs3sxlcN1S3R2a2i8tyojy+DGr5XKmx2uE+AuBtWerUlhSh/0mxFx
5wZKO7qCMWKgG5JuNcgqwSWETQxfQnXHeBFobsjRzts5ufvFCSs8bE6UgDcCI2j56S0Bp+5CMP8K
/WTdYccib/4I7bbgE+v03jFHhGHoh58muI6L7hN2+hJP1j5pbJ9qyLlINmPt3da2524Kja5cjc6D
BV5KFK5N9JRMge93e8xB3Tao7Y+ir66UJTbkyD6KGEk1Lnp3P+Cm2teG+VCmGtli7K8L0YfnoaOX
aiUoFXhhSmdtdDUU4VvE8axfqTD3qYqZWk7Xc33Vom6v7RxGUJNGNzAa5bq1B2utBgTntV8ylzOq
uqPQPShgnzFAZpiJVl0O4YltR7kvkyS9Kh2jvzMsdLElP0j/Ahw64TXlxfWqe5VaTCqhsr/Hbl2+
z7WZ7q3Qpx2LyiqEWDc+46BxXnjX5bbpUkEAKIZ5iCdnrzxNs7ZlJKdKmmAiGYpeaps8ncp1cOgJ
vmLATjgOZhO6TVTmR2bVMUu/qAiyp+Z1NugOCweLdxLX97X1PVXMEVYexQCPsiW71VgQ5WxG6Bcv
SuUVJTDLRN9PrkyX8LWbteFzge/rpctSdCw7sy7jknmjqpZnoQI24tZt/EZ7B5kXt6l2fSX9Fx2Z
5jFW9CYlTsTjVlFE46VqM6ZOdMdkp2W42pVnCovFVds34hw6ndiqsDcfbZqj7jGTOce6GeQZfDOs
4SCJrvtc8r+aoL+hAvlT5xX12sRA1zEC14FLdFt1zYfMhdoVGfvFlV8vq0ugFBCETLPvn33vf1N3
JsuRK2l2fiG5DJNj2PQiEHMwgjOT5AaWSTIxz4MD/vT6cLutJZWppbU2ZXarinkzgoD7P5zzneWE
y3FnC7B84700UgyMbgXWCMQ5SiMfOg5rcDTevndFWVo/DTqVrGLa8p0wahmStvu2RI7c1gShUxkM
00GqiQ3ooIfsYDgBgbyOW65rDZczzOn2jifYtxiM+T1CoJ6FnByDwrQIYB2hvzq1NuGT6FIdxAFt
vdVOyYMfDfgbt3PlOieitwk18Y1fPurGB5+f34yzEI9VkBVXnbbfbo+qkKGxTQVcdPiKu/GGPvLo
9c7fyu/O0LPiBwBc7nZepnwbqyQ7ESWOrslLIW+yoN8wjrr2cbMDtBFSqEX7LipVw4BgSXaTIFND
mcEIHJANHC2mC0WxSM09aVJussFl3N2gKUVvXueZT2U5GFdrUM2ZmO75Os9z/92TyETmcJskL6ri
LyMMR/7YsxF8+Sn5eXmaZjsr4edMXODbzq06E4FiY+zx8NkTFEJ7+W0FvXdXTv0iyKqqq10XeNVT
U3nVKWmz6acgeGqEBiQaLFE+gcgsaJuNZ6bmKzlvmMESCGTbWnJfT4x/WKC5kXFwVMOOwx/b6MVp
zJFffkHMXK/K+LC0NpHJfdS6zQZ5jN4gGC3eahnM78hoC2hHOAjR0iRJFO2y0U4INamz4JYnOcjB
XKitTTNEamwk5EfccgV5TVR8uNboHQIpyFLNsaZvlCqDa1C0AGAzg4QX6pnM3k0rvQ2opdD3M6Zb
Sqaub+6bJemv2ZQ9oaD643jZr7F0RoLrF+vcwdXCvqffR02iQ08ASbgkObJ/W8MLKNfws/W6MRCu
UN12ul1HRPO2Qjq5bQp/vGPLSzwKEad7z85INxUe1IuujGaWwmofIZ7LyiIgSA04IUo2Vq/9UmUX
wZr1rZr1ZYy+teM9+cp6YY/422yTEwgTRIv9ewIp6FjGonxsV8Bhb1ReiFDbuysmPx+2RZ2W29ow
cRfWYNhvpdF0W+gDGi6uYCPmFRZ1Era8ayC74Vn0eb41a5+AQqexxltepaxbe1fK37NCOB3yVxgf
2kjGj6gsn6O5tFH0VNXHrA0NkFKRv8poSf1MWTQ869Jb8as1xuqm8fBGL7G/IUp9+R5HH/5ZyfIi
dtZFdWU3B95kH4NvVxM/kqnjZJjEn9QD5Euktju3jqGaAFG0q7x5hH+HlcIM4LNNfdqcPMTCb0aH
Lo5eZYKDkcayQU+l6VkNEETQa9z0Lz9T7QoIus22XYTLxep2iRNq3YtzrvxsR/3fo7JGe4UWc8l3
nRWUd5OTAKhK3drbE2vDohSjIkeuU9uhmUIyrIhhfRYzRmZy2jr/FbJ9TfypZ1wYUdQsfq2Al3sM
DiKGneZE+hF/dzgFMB6gwej9bA/Gb95ha7fY+Kvz0dcPYjLG3ewFKP9m9IAnm5iNq5FgCd8YSD6u
RYIWoKP42MkkJ2TELGqsK366TW3HvJSx/wruEoVzX//RY5wewPAlz+hB6mctbdgxDVuktOQ47cvA
fQwCy/hMEBE+jbllXS3PiDb8kfHXehR+lnGdPI+qbKF0mTkhMhkEiiYTwaunh+HFy9GPbsch/eJg
KW5kwc6vykCztE3Z2+1N9DafAABaPkOSHxP4xncFfsybqeP2cerm+kw8l31q4nG4EVW+SgSt+Ffa
jBFJStDA4AJYF+X6ZCpRsP1C82frTQdtAk0cTp5dO8HkX0UObMi8CTIqZvx7JoPTW+4wGZzFUp5r
IHMBaYWqfzT6xGOcorvlSNR8cHGLwf1RZmu1G51V6aPNo/rY+tlSJRuhLOskPfrjpKCbPLI6hF1Q
pcRsE2JVHZNKZb/6vuw+2swxTCQ8LA42dasNyP6xyl5HU2JJ9xeWv6UgM9mDZLQaMEoDBhB6G+Ea
CAVQLxwnVN4bYZsNbWDSPXBNZvvO1gXctbKNw2TxlzdhVtUr8IeCzZ4vsWrpiOawGm65Nz96ke/x
8E/5eGz4CGLT+E31l3903FA5CBN35AAjaw5Ey65jjn2J1InEKXKPqUIiK3fCllCwV3MwGZgaJH4R
LZS2X0UTkQ+uJ+venKBgbwQFzy0iUO63TKLso5Ki6naRSeJAWAM2RS6aJMOhaG2KXaGXsb3UcEA2
XbwQFV8zQm86CFOKiIUDl/pymIEzHHMbj8RbGUX9X+jAgKEsJofV2XKQq4U0BlJdgiVF2K8jE2FJ
seSd2lJJC3FvSHfwLyZZPWvWmXwfy7k8EillPxXaDlBFpe2yKacajzMVflbztsvG39FnKgLSVMtR
oPWI/ilPg2RfVhA7hxp1IXRKv9ktfbdYd4z3IqwD5MLvXL/ONIoIZPwz0oprbgf9azrhhsdG4m5U
SxpDL/z5r24CtJL03uqsRV3+kWazpgMWXJELNyzaUjXhrfVK/QsxU/8XLbh7NbQU33z09mOMVA+E
B+nImauQY4DfjVPtlrH0uxv6oOXW1+4qtxt1sZ/kZNwxDYs5zye4OtvJLlIyaOrmPoXDcKth4X7S
WtIuehAu/mRZlzNd5+D+1Zp+gPvPVheEOj7pQUrArA6Ui72kRTFdkK33zkqJ9woeH41eWj9XU+Tf
RZ2M8z2+gD8F1gxb9dBgBoflCfNMKLP6nOfgFgAfQLitYGI+IVItXmaswHvbwL/WJL55T5gqfrys
GztvQ4pqv18qPZyWsrV2DdrogWC6uvtFmgd7eK6vtziPAYb7fuICLFNmf+50lv/GGmHulKqHI69q
TKLdaD5geBTgW4Dwgm+0RCTCYR4isGHzEvVb6SXckvOkryTM0hjQDf+xZOufmK7GF2uaf3pz+ul6
8WrQAmzQZpsn2yTL1we6sHcURygepfGta+L47AcNkCh07z+TV4Kq0XW63JhscTOUFNaYJywPf5ED
wrDpUrLFcRL89OSagJ/xkCBbUvVf678CWSR6XlzmiZMgObMmA7z2lNLaY9ElUdywFwg25oSLNOLD
wVuhBddvsuuQp+Ra/UlR+eXhhB3sfo68hykZ5HXgDJZ8rGibDpDLEPvb42Uirf3UKQcifrt8GPwp
aK+EdLY0JvnBHZYZREDsz9tu0Z/+yBwOGWm5RsT66n7VzL33fPQzOSwEeQUkHbPjqndMl+y3VZDo
iKTVmyxa5E2YM5nmFdozGD/+lhD0a4Kq/hK43RRGQ9t8LwVAR9KExSFq6HXFnDWh3aqBENcKggpZ
9bwHwkRaSUkLVprLSqEO5Uoecms+wOcQh9royUDs4BBs4tFqbr0lAEA7nXeqPSsmaDyJzefG79wv
RhlZsFUwUoxQZPNJm/1TGXXJg2kxFwxEX9ADjvY1ijDNZTyHi7vUMXSYejnyG4fsjryepasP4nxM
oJZNwbsStveWaNdFIN81Ye5rk9FsiZ+Iu/c8Zq599afR3fqUK++T6WaXEqxMSHHQ7Kx5WqG/bY1N
JVDXWfmQ3gZDLDDfErZ1Ff3Vo7fQFTsTHIrOC9KvuIPg1xSYQmzJGi1P4+q1BF/2EsejfhLAm97Y
19e0RGlUrkqR1t6R6FbDAMAnsUXj7b/5IsWi0xTW87BUICyWlOQuZ2hOpu57gv9sH3xJl0GqyAmk
dioelcDBnHVQ1JIHrmni/FLPQP+byyjZBokTU24tqFfToIX1I2QW7INaUdqj8BxObKEJNlh6/MX7
PvXGp8H0DWhvpBVzmvotqHVk9THeDCUe02LJbi0m2bPflgS+1cjJYXm6d7Bo2qOCWrjHxZBtYcfT
A/WFu4Xg0YCqgTpR2vYr1JBN1Vmfae3+DsjKQV0Img5KLwoaNyG2bFth4x0WqDgjRlxwHcZTU0ti
DCvbP5eLKq5pn79U0FQ3ZjElRM1Z5rPXOc4LqJzoROip3kE8eI4snAIYw9QT0YwGtAuZ32ZuUsDh
1ZoTND5FQsfPri7BIg6du7dKpswMdO0rFHDyDRG2ofStqw3LkI/RR11mxIU4oIo+TUXnHUYCz7BM
Dn8HupVvoD4hZP45HNHShjPsbWzvDbixpjwZVg1Eravyg5f0zIYiAvZ4wu14p1G2vwzjuNfsY20S
qU8rVnRnLP2X05doKBXKdX8cOglAYvUiCk7SivkT0W/GuK9xobWbZrBIs5D3rWxpxYa8AW8jYdbg
LUK+NLBabnZYLy8+vlDdiF2QgftPBVw0kgdGX8SHUczmCVU7/28ftepodGHdu3eWHo6iob+rh9i5
dG1yz+y3ZndQHuoke6yFNP4gyVYcTbTDlipnxvnTcmEA9poHxJyBrwpZPIRWmjLsm8YG6kR6iRE4
00vMxbc9RGmY290nCrY73Lxg8eO0Jk/KtGIsNg3QDukJiTKPFkjL9ORZaAw3ddCWzWao2GRRengX
KWaSADQNMhpEkGY2Ek/fhOISre2ENIP5s0KrfimnnIiGGumoPc578Hb91vDifEJYKv/UZeU8u21c
jbs4sZJuA7rE3WN7GY7FshBOTVeRnKWABXIg+lJ+dBP8gt8R/wWvZ9e49L2B+WI72Fg7hZNsky/T
Lue9bUJ66Z32/SXYs6BglNER3h4JJ3puGxtz0BjUgBR96xRIRM0+qbmttAijrCalluPkaQhZXsSt
6KEV33QAcbMXkeqMlaOJvvJ3nEYcxKa0vdDAvRdd3JT+JIxzl7T0AKLuYxB70j6xzkZruozsR1jQ
ZneFJL9kVW6HCsDCBqUz4LuY+9A1WCFwngb4C/MufcrUlD+PcKXikHOjOtgZPPWNiirMj27qeh9N
VYy/l9qS3yQD5CR/BGO5UXDbkKoDLLGQsu61HqzQbxdzOAJsqUJkxEwj0niiWyQFUzz6ontnUNzt
MiCfrDAH7+y5khk+eQhE/hEurYuba9TQoJr23s6sU182vxOjgITpqnvJ/R7X1b0NVaLPBvHsmJg2
kIBX8aOkILnyxCUfUZu1dMSI0PvYgD5FCLCcR7TaVnPEuZKyXVrI/MuCA5i3zymenmQ7vztEoKJl
xuq/zbTdnmayEGM/Hg5O1dW3AOJG6HY86GXKsDGW1iqyMccn7u6KGzJnSoYdu8TNXdKpDsKZ4Vrp
qfzRYOdCnCfEV3gJloHE3gxeRM/kTAYqE5etFI5K9RyQQPMaj43GAG0zpC5ke8sQMIA8u/a2iHbm
7Jlb008YUvR1FKHlpZHZoUprtyjvNZwye/hMzQzAUecu80UPvRFjdcszCt+UtXA7cOmWY8yRl4Q+
84Ili4PjYuCygGtsA33Ny/pmFJV8bsmjpNBifpoa5OqSXfyB2NU8LBMnLrPV+ZpiAIU0NOv3xaNr
K0NWWUw2XB6We7cr35Uy7UeI/FG87wd7+WyMFAYT1fHVCQb3fWkxlbDOlJTWuZYAXpfAuM6FMNqN
5/E1oAcT2aHs4+jeZjT0RW9KF6Kz6JZOccWggu+Pb1IknrmLpFm80sKRIdd1h3wh4qU0jYsTCPYF
/ZS/lkN77MZG7WWp3oa+bPkG41cWyIfG9L1jwS5pN+quD41l6ZKt7CQz7kzc2zErRc6V9HXA3oNi
pKEzmXjQNoVrdH8rnd6aFvm8ky4Hz+q2lSqI9swVVzaD/FD7KRP4pNkllj0R5eMTuOJYTbwPltKi
x0cN425xNfyxRgsVLsY7dSzpP9+NKmC26jrtysBtvwk/xVo3WzwgCstiuimBpz0XaFXnsDWH/JgT
gsdwTXt3ZOmUr9bskqM5MqwLQswRmr+XBxawcuPHpM1vg0fWTz81Kbk10LcLqyyOcxfgDeiMEYKs
Uyr9pOe0OiI8U/3WwnRL3I5BqDQUXdYJJNG/Z5yKX9rszLBCXPPsNtHEnHhu0ovUDkeY9KaHIWdt
NuGT3XFuiEuRWg0tU1s7p87CChK6UuU3RR1zJnln5YP3BECAIpkRjOui5mUfwDyQBMxXHgprfMt7
jR3V1/4udafuoHwzo6yzTq7XcA3icDzIngqKiNbButLB1ZsExzVONLCbjyRP91kqfmoSUMPOG8Vd
vla8SlvpE3o9nHSAvMK6LLKHTGv3yKtkP+DG1G9OYhGyEggAs5NG9isxPVi6x8qR1wTuZhnnVmXl
d+icVnjwRO0ctVgfWn4/E7XcfuSUPrh2zt6/7tbNWBuZvwrGDeeILdC2AY1GFq3tPiFRTglOruUX
0EUv2jDV4/LIcdFD5SI6IFF4X4uE+ABmSCSyYIOHACiGd8zu8tnk+XxMGpNHKbYBczm6fpJItTak
IbvwQ21y6zlkGVBNzslojZxpSr6kWz+X5XNaNvlhhFvxq40462rDZqGvKpRtm8XI+MQlHvkpLCqT
zRK6/J7g7+TLQUf7IYm3v18sUnZZJyLiR6i4qTNbhj5y99Ay8O7AxqvDrLKXSyJ8rhz48vx2VN36
v4USH5W//MSTZ19lYD/wQDGtZ5oUQhfMHhJhluN2zLq1c3CScr4FmtU1wbmqHw81hydG4K6fjjzW
LeWjzchUlX5ywpMZv3qtQbITF9FkbOugWGaycT0PyYAO7qrJjI7SK7svK1Ybm5l75NnDfSvK5VQZ
sxfmucA2MihAPptkSKPHmGHRM09X+iuvGvNdWTbhyV4f72Ih431UR/rereoibL2R/jIiv2o7FKbx
jupyeM21xWDKJ/sDR5bpn5IOoiKysfgniLW/bSKDxB1XL89t0DZ3FfSwPbdFQTxF15+r2YC3pDHP
s34x/+mSx3C2q/YiMrovKy6Ks1xi/HtDQIQ2d4gd6sJf9r0z6RuDloGktVz8zjH6vNk9hXZFk3Ts
iT1gDuslhxlkCDFp7q6w5vFbYBs8pQqUHEBCRXgE1M87kqTnB57IgpLa6T5Ia86+7IB4mC6J9bPn
WRMIEfqdZruwPkbBsGVqDMkj4z9zpiQvC8CzER985c+hMQ39szmX/c0BpyBvhl9N52ExieuVQo1Y
MgLiAFJI0oPOjYfFTnw6Sbc0j4GZFLvGHdComA1TPQgKLxGGxBsuBAoR02NoU1iK95lXr4l7lpi+
Ll6TrkRCIpBQ6b6+ilq8epUAQdgVL2Uj2qd6dCL4hXO6VrU1nOc0fTNEN90v4Bxe7DmfnsharrdZ
9qgYte4tjMnveH/6B2na87sgi3EHt3G82HXq41eJxneOlXc3L+zrItb6QJX5DZS4dYHQYhyKOCkf
cIABUJdT/j2Rwb5vFVFPXTmltCoGpwMCqyO9YRqHbWMNSYj8Q54Kr28PE9yPjzJucYkMi7a+Ssia
7C0aOKEFdfIlS2W8raCNHVsCwLa9+09CxGiFLWT0A720z9EUN6eycZn7rAY42xvPDczbMHFN810G
Rc1Zy9+qBHNZmo8MW9MLNj+yUHgr+VO9eV83Rg5Po7AfGq/td2UQmFuA2v5lNBlpZNVfxbzGnbkz
CqLJD5TRwWp1dkj8ysjMisidPrYuU2PgTR9+knyjUvrxmbaGMVvsNDL3M3kgICjc7NC09U/u4owM
XGCaKU65ck18z8HKAoa8i7v4Tnn12wzAyocIAVWQxZAwF9x4cbLjlQ1H09lOqWeeiql5xk13RDEU
esaUHJesKkKp8PyT/kUVqGYWWf7IuKfsDfy34qiN9lzYznHMljunZfq9mC4bIf7IY+/P2d4ZYvTI
jU5pJiFNfnrA8fYC/OzV99L82WL/9SIrOsZap4zCy9o8/DddG9SNrO53JNzHv0WSOFdaYGOvCQU6
VH3av/6jmFvRT/8zFuvf8UX/Sd/7l3/8t5f/Y2IEf8J//sS//f9E4gMmhmvhv3aCHNPyvw7c/Pcf
/g9DSPDfDcIxkWAGFvaE/xXDJ/+7DIA8mQhrHdMLVkDff2D4bHtNmzAR4OPXsCx0vv/JmSIC1vbw
bAe2a0rvn//pX7hS/zfOlGX/q+oQxSGuEviApErYOBL+VSSKgqlRoEIPBA1U7HZ6Wph+TaFrxNJ+
OYNNT2UkwZtqpX9whcI+6kTD1lNZdLLcFqUKopRjPkEGAm5zD7yhPDiEYH0WXe7tcVU1Fu1Y3n7R
JcCuxqcNdGGJb4K26AmvqtjXYwVY1cR/+Y3WltVB0ntPjZAgQxIDG3tU1KWz4chJ9pMo90swXnHO
FxcU0uZ2VO5wanV8cl3OV055Y582wb0xgitp0EC8u3EbfOeC4R8F4BKheonGvV2hnCVLoZi/Y5DX
nyOm9zPRGcwM3HmA0VYnR4S7y2GxjOrQzy1dnlVcmRj493YRqd0CPxuZnmGycRzX/YBjEAPW6weF
XIMpyZwgX7Td5UAUBosFHaXN66Tr+idtU/fKINBGmDK+6N4IwC33/oPtMUneWHJK+VZrIvX8tGZc
wbYczSuevEX/E3x08BcqDcDo+Xs/LsbZZih8rnLrC+0Bij9EAeBfOXhTz++fC4rXk41qG3G9NuQm
zr30T+LN4pcVxf6lTXvnLvb76E8zTwAj5l6KvxNH9rVc/Om9zqzyyi+cz8kWaBPhWo6l4dyUBPq0
Rdpchwsa/l1k+H9nJyeDw00A9xbTVJ7bvClWAMUX8zMEj9QL4z61rSjkgXf4okRF5raV7QsdBdvE
H433KW4zhgdFewwkd2Ez5uaVlVN/hP7SbiHsTQc/tmATxTTzE3c+0ARlZ8xvoje/Y44E7KV8cYxi
2Ew9l/egE/sDFgK9ocX+Y3K88j4F5OGFcLYUiDIwIB1jp60X9TuVe9aWaqTbIYP5sfhKInRSjbyZ
5pSdxtbf8EtH6joY5Z2qdfAtGyd+nSeTgYeyy7dltoqzj7kcpQZwXhJqg/bOn3B7KLyfj31rGxXl
oYDHUjtduXHoGb97p78PnE6EMIeaPTkT1k3bS7nPlDvfMNtCREL3QAamERSv+DutdjtjntwLsq+2
QQa+TXTV+KkpxC8Cy8HTWDbehXhbf78oo9vYc/bdOj2AJnq2ZvG8t7wh+jwv0cJ0zDlkR2CWkuRu
zVFavSL9CW4Jn24IJeEpMJAVbs02yeLbUBvxg6255ciisBPeMs3EvlId5msbDpyMDIqfJWNNVcrq
y9d5H9AViPYoZOfsWQz6O/YHD8Sdf/UQunwybEJhqK3Fxn3fIcMrJ7s5+m3HjIj7LGnFlvQYC6NF
BvPIStz/p8R7Ndv9b64g07aIOg5WY4fjcgL/y7G3iMHhkozhocj4mRaVHW5uP7Ph+zQcoknNGkq9
hFJ+53UjHCekQWrvTzPdYNshoNmIWHbmTmo8qYRNRfMhY9+z7bJi+mETE7/QTiwnpKBHZy5QK+l2
Dq2x+/QBOtdJ11Io9WersLAV5+lX28Ig4QsuH2aGxSeihlqWocV4JrUlOVttWTphnzPlRppmr2Gv
NqS23BhISSS9JlJ4yyd3ovoK5vIBBEnwWft59blMRMNRY1d/EOqNN2Ie2htkbjSVah3DDsp7r0UX
nVyi5R6WFcvOP3r7To/pOxuF5MwSQ2+DYPB3mkXEQTFEOtQuGmTLV8sJyRCCCbZNEfNQK36mLs8m
AA1xj802UaGd5ck+J5X1sOYf7HNumh0xniM4aA6KXddH3dtgSXMb20Hzltm0YW1ROX8B1sZstfL8
MqIFZ5Qrs0sjcX+HwDTlm0Amfx9oX8A2UBYMJpqcjfaN+oc18Pzmitp9k15dPSRR2z3Qgk5nAzHj
0Tad5C5qje7IjOBUdv52mBIfWEs3hK2/zui80ZwfLaXU47xW1JMiVXqDkzw9JA6RPaChGeEtbfc8
IjoPDUvjIK5NC2uTHb3UkVMHJB+9JkOm7HDQUiEvR1T0ScGtrtq2hjtQDgmajX6+VLHv3pV+bu99
t0jvPNg0HbJ732ZCTvDDJqbPDI1uQvFK6XzfC4U4xmPacgARyMqqdIstNi0UXaj1dvAf84cRPtsV
M/M6mqomyEV2cwbdHjwm66vEKIo72zsJWq6OSediJc8rXapVQLJFvLBvofyFyEYMJGcl1Lv8oV9f
3NjlFY7WlxnaU/JYwmD/i1qw+prWF77o6OhVB5pvSgl+7gt50P+cDoQtcFI466ExrsdHtx4kbBGs
lflg6d0AXHEI0VAEt2U9fkjaTA6d5cznSq02cfw5y3sVTf7eUgvHmllD+PHa+qIZK35KBesEN7i3
zQXBTFAwOR2z9aD01iPTLFAOIxXjIG3jPMW/YekqDVHfcw4bQYOdIRDLgNbAbL2XxajlPSt8JyLb
g8M97RKbbTSiGHnoDbSAYmpgzayXxdgRcZD9c41UhIf+UaQDcV7yTLPMtVKSfKFUGmxVyvZY40En
gBNjE+K89V7TBgjweBE9MxmZTnuzbD14lD2/Iu+fq3NZb1HBdarXexVDDDdsTrITeydPbpP18gUi
v4mCBGJCmYBbJGPD30VinC8Q1YESBGI+RbKC+F2xmmq4/7eI9rNTNo4WYzCf5ABzClhkkcUBIK7I
86sEInGyEepfs7i0fiW169yGXvpP1QIKF/tF0u+tpAt+Wt1YD3OhJCSqcXpI4Tu+ijEbniMCrPpt
bJB0O8SJIKO0E/O2NBwGtmagfAhmiX1zhT0eO9HmTHj5Uc4Ny+2YAVjyoQR2cm5YE9+GcSJAp1Fe
92fupnfDBdEW+ILpeG4bcl9Gvnnw5yl58WI+OFmM1gnJJzOWBC3BSxz4oMibnsALumHxIDWAKKS/
znOZ1e4DCnUIQV7K81Gm9QsJJgwCa6MrTrYgpHhbIqusNsnkZ9w+DWywYM76K9mW8c6dVHCkujL+
zIEevxB6rOEQmhUtVVls75XS0ti4wEmYQJl8jQBJ5SHP+MbDYnZTlhFNflGdL85BOzGMzeb5nHkC
Hb2TdgFCa0aoaSyMDxOzhGa99IIqtYSYIIoDEWDpmaiXfuZL891HpIv5Z2a75FgZhrShspTDn1hO
8WczMj0zPFBQQZ2TwuFGf8geYMJfWnI34Ce9WE2wenm8odjVMHEeBbBD8hWLdZYnKYVgVbnOQ8rH
iPKsCqULUq5u2OJl+scg0XHeDGswKmeiLbaNkdV7Px1aTAWW8V73ucPAtR+v0mYDFZveuFPMGPlh
T7N+A9awQWzYIkvx511HIbwpAvdM6s/fUgV/EBTaiLdLUI9BVANzwLPC2w4hdVNlbfyUADw4cPJQ
XUa58ZbNKXS7unwzUTS+O605HqexaH4pKbNfUW90Pznv+zZginWcBozegfFmuwWRFIxV3ZN06ivG
xvssgBQ090C98Pi6O9hQyHuiAgDazphmbAcs2FyMtY3TnMCDce9GuTwHNuYcPTTZzuzk8oFAo2HV
wQBmVqSAs/aMvqwudQ4xecsKNfxa2+oKHC0DAMIdErhfYwKF0mnF3jWRIqVdmV5gaMbLBddj/eSK
yXpJKOLxXWPy/pnyhprJznv/rkIaZsOQtLNnguuJzNIKdUNW5uWe3J3m0LHDpD5s8CyISLpIwTCA
8KdO6e8ixdwVeU13tlIsQxlhNBtQYNFJjX52qUw1hD4fdMEwJQqkknF7n7uEN1WId3cKku2hifRM
92DbG+jiy2lGtXFIJf9+mNveexmVECsivQRXRIjLXhIttLfN0fskdss8EJnNXtUXOWG2xcJb2y0G
TokqyYZNU/enrOg/gmi8as/4u2ZD7hijmr+HSXj3QYtDxmteegZVMS7poX+y4m4h3yFN9Xdma16D
xH8rh4rKEnvSFkWvuUVjrg6+0fabBSvNwRhd1ItzYbwNMSovxqgcxW03dRxJZNzGrFAeGy8qCQQE
MiC2pBgOL/To+sVtRlaxwJLG0PTknQHTdsLtYxQPwEGta0bfuhFR7F5tB1b9qNKB/QuxCdWBIBHx
jAnUfiDuTYE++hP1696kmZHmxDpx74W7OMcuzSmLRHUt/WzjGC3Sh56VIZLx7OCmY8spYlFoz70A
I/WNc7zIkGEQ4sXSrCBDN2CFB/PwjpGyBsmYXwZrukljfPfzTwA6GPhCyxnwL1VW9jeT8S3PS9QW
+MkfPRm1HzxfXF7uMtwr7eHzSarm3ZiITQG7SiuOHER0h4A3+kPLXr26ZWB/MFaWv9zMZWdGCNKp
F0Z25iZI7twCXZafYJcaowI8KzFxIQGHp2GN2AFWisRmHpPHNGvcp8WIlk/wmxrWX1yeOu0gfsyQ
B0LXlcUR4KXU3Kfe/D5y5IFkq+Gb1Wv0YOzI8lQAx9xB+WEXLRAuY9GGjyAIvoOI4zDkq7MjvCa6
uYRKdilYx02pOcPwkoiwnBqV+AbTb/QgC/QTTruu9mEl7+DVJa8sy9PDhCsTMOvYHn2nC45MwxNm
bSmxK+mqouDvYG3bmEi2CT/JO+xBGbOtwqBepeVTXHGIshIUek9G9wxEL2kPppm/Fv+DvTPZrRxJ
s/SrFGrddHA0Ixe1ufOgeXT5hpC7XJxHo5E0Pn1/VxlVGZFAJToXvWh07QIIl0u6Ttpw/nO+Q13P
qfAZMxRxy4GsSGHckW1qNgznnqK+VttFt6RAWDOYg4O/3QYZnieghdYk1qTweQOBULFgLxgG1kLz
ZvGjUI8eVXzFOFATYrBfvxhgXWvLX+SvNqm9Q1qwQpDdp2dtEIZXJasOtQugaqjrfuWERU7GvWE1
m6ZuwgUQUJtVxGfXiePrGicbvqWfAepEXtjHpOEr0hjoQFysgGh7WyDF34cq9NepnOxtGSzmhMxF
pKuPHricrt0INycoScJBgibz67Rw6ZicRsn8C1ZPNge0CroMulZ9WJQUggaSjyB2jlPfOB+LHrEH
uqr+BBM2r0ilZ0doVhaRwRiDrRdTKljXeUEktCneCDsh5dIDFz/41hhd1xy077irDGc/C/TRNgJ5
hawRnUiWP66HJGvf6ATAo9qWzTm3Luky2eaHdrLDAx2d5d4f++6q9mp1UNm0bsE+2zPtWzQvRsuO
5I+z5w3zngeua3eDBba4HmW/zSoEgDSyV46dMFe+hJ7c4DSrgwn5PHUdYcjUa2KN4YNbj9E+n2T+
IqBfAkUvyyuZqZBRnBUc4ym/Szwx6dX/9+KtcL46gdFT/3sB90RFQJHSo/JnmI/z96/8m3obym/A
mtFGJSW+iLchXIK/4XxC75vnAf70PY/ZoSQk/od26wbf3JCUdYS4EMICCv6u3brOt4gTLRUqks6B
QIh/CeYjnX/UbgWDJqJDlEfzMwbiS9v9U8Dfruw8iS2z7Kk4h2heapspAWqvl5KHCzR31CAWr1R7
2SUOBsGO2qoiHCmn7xNnQxMezSJxi+FtsqfII+YwBDtWmOo6nPWleCodHho8/qBeGlZwiicB2Brq
u1Nymmd+oGpT+RT5TRH9s9cmCKf5SnCgPrd4aTKynjohZixAul8QujLF5iiVu83RTB5wKwZmtVSG
knI82Z67nTvcCftGpuzlDVW4vBxJgKAY5jkvYERAEZU5zh9GHXQHch6SRMtcfw+A4ERrTWv5B7+c
g01TxZcuMk8/SQIu0xqXMFADjBvxHuyC5HwwwXjhJFp5JETFSL2x10n4f8BMG8wUcXaTDQ4cjyLt
/GqTyHYhclHE3oU0hpK9okgploccRIp98AkX1Nu49zN5MRIJjmtpbf2gEzgCtkiS86qJ6avqKp2B
ckVaWvVNI7PzTBhj2YSlGWrgM7KH8NmTdF9RZxB+T6ZGv5VuMflwA4fmt7tY3mdKJM5aW1jCGJdm
3NcnwhCEgFHU8TdEAJ6Ddi4OjuVOd9Zijfc594JfXpUy2C/yNIHj2E3Wd9X5xtpgKmN66TP/urPc
IG43rp+UTFTVuCTQbcfyqfFKOLr2YA/g2BHxGzrPQudTtFyy1zh2yrdFDl6801aHETOWS77Psj7z
QGf3GLByWSxE7mIrOjuE0nZOS0Ow26vurjVWe5eOfX/g0tk9pHlow0DN8CDkpLSnTQnPYotvoH23
1TDf2GPu6bXp8N40rSxOVj+4F6wUmcq5ZRfLQpTgxdRmP/hds2sCx+zSpCBKbchx20kdgdEu1Mvc
Ntmrz7EYzO8SAlGzw5Dz6rA8Os0839UJB2l/mMd1wZX1Nmcn3JYFiVDsYsW1JuG20/xde1ly1Y0d
fGxKDSHeidq+9Nq622npMRXjrLu2dELYJe7jk+MMzcGt0mhXw3LdB2AEX3quK5ifvWfh+ZT9ChfE
fkRYbjyPLq8ByPXM4AGkzjIasd1lKb/ppO1wA6pWnbu4B+k+ZOaZ3ZwglNbzyRvIJKdyGdcdqFmz
EgZNxql8Pn82v+TOCZzl3nNHGjDrfL7lWff2JO3Bu6aY3T9DBLx7jk3uJteB87gk0/JC+7E4lPJi
Opzyju3Yg1z5wqHQffVJ9bwUOIw+ddrnLxIDNxuxPvh4SW5zO2ZnVMUg7oxbdW8dSaX7uvKd9ymK
UTPg/kSPbqbxp6VlZq/zSgecCFlTgGgjAG5x7C/IgcJ9n5aceFdrKf/Zdbvk1h/LYsNRp/o5J7m8
DZFAf+SppeiHCOIE+VONEM0l5cEtpv6MgrgPqWLsgVxzXQyfVmBuc1kT0o/svP1kqOC8XB6EJ48y
iE/OK1NLs4VdPi+dLe9NNV8aUK1xNadD1a9l4Ez8nniDcTWFzpvnIXTg4p1rrlplGd9A0dInwxrx
EM9Z8rvirksFyDibV4BezCQUS/PBEwUnrdyLvc8CrCX9HjAY0pUqXDAPUU0FNehgTrJlkDz0VVK/
I73x9hOZwbcatuWdjTvJxdXHUa13wvkqgMpLGetySZu1Ax4QwsIICiR73JAJAI1tnKR6Q62bj9RO
Rs3vTwyC8FH0ZS+cTe3oBYdqGECfNKm+gydTTisy4XSFC8Lw63Bw1QOTLyAizUzKntSEesxzrI5C
YGW0IQGcuVTHD0np+28xNuUTXI/4hzWpR7ut5qs80RNZJ9vk99xCi+rQTNgfqSV3uWV7iT4WM7Fs
2ryMeyQ4612JIhyuy65ISUyKKCVKMkc3kRuA0MwXC/teU/rLPdfeZDq42YD6ZGflU0qs/4ebg7cc
x0SeMTPaeAfzib6ISFyVLiOprNAVOr7GNQe5MbqtaoM/tpmDE/3WVs9LNqKblfaUWduBw7GFstER
9Z1E1F3zKrjPAlHgnjEVHplhFCc6V6v3mTTNO22vet9Rx4qq5Xn9hzMMkrbbzH0anQzt3IfzFnLA
w0vQt78InU7vUZsvBZncYGACYIG2IREy9QdBvo4M4lAiwDj1Z6yanqM1p40D1aiUXnaeZTYuWKnj
EM/NVT4hIDfd5RM1IJzJzgTNbiAkcEzTsbi3pG9R2W6HVQsevmC/Dduou4lSlpdVB47Nwfc1Tu8W
0y0yt1gHH9LB6E9vJLdx6xQY/Xju/AJRv5L1dZz5OZXX+I/7yuTs7L3q7+tGVtFaNSSAcU1Lf10o
tjqaODEYi1EUN0rNyU6mVXNK0QnwOmK+/ZA0zqoVzrsJs4bnZZSjmCnauWRjnoUssxf27CJb91k7
ENyImvEHgbTgXJZhu49EED1HKU5/h9lMjT6FDWhduPpiBGTOecxGVT9hYCLs2g0qPy8d0elzCunv
FV+JmDdz0B8zJcgowyVoTqOaujM+TPdhtkP35EMV3SEgMZgLsWcthE3vllrxgUQsuhftbHgNog7m
Fqa9V3vqBXQd4MlqCSlZXML6IYo7n7mR50JbEUq8Dm6PQXOYPI5DAdfW+AiOQ1xnaZrdlHFXvDaR
I645sHX+njErQ4eO2qCryOjwLVrgGc+Z+G77JSBS+hw2IMh4nBOf0Qyy1BNhgOKYoggg6HqtYlIu
lXzOsTHV25bM6z7FI/dWJ/b04rJ0kkR0+/YcpU60TQcUxBX2sZlCnjI9kQLTR2NQ/ampEfs4tna0
KaTdyspz0A3ZNP4wQBRynIPEDykZLt5C8CZf/Z7hoWcSfAPmNuVG7Njj7zhQ0VbPOa7hCZZIexFe
PfVeM6E8IJgWKz0UwdkZwiffxJgusZ46cmxfe7/s9yN4hGQlR+T3JR8Dez9biiKppkxKsM+j/drN
9swdfFwO2WSN1dbxnOzBXaJxPmkriPJ1g5Mx2YLI9b9T+mB+tjgtMnySGeDYqYxY1fMqVvqwKHDu
a/omqQRKsECt+WfGK40tnlC7bsu3rBMTH2JE/62BpyT3ce466yXVxR1xUt7U6FKR3RjLuqNX46m8
1GdfXAVP2VendnOp19b+pDe0XpFgaS/1221Q2U/DpZI7v5Rz503S7xKb0DISnfc0+UdKuPIdYsjF
KRRcq8q2rwhg+9sJfPRqjiADyDqtjpXDREOaOblT4dBuLOHcyCpzbgRHZSaV9nQf035yVVxaxYuv
gnGuqHgJaGMgsch8Um5oXnF32DbyG2ee+6uEHGmxZUhBe3lFx8s1uXfORj3XmZfgq+l8+Wo9d01t
iTOmjuFFJ70IN95MRTqeMPxgJFIeWpoQ8o2nOSUSFq5LHAQWVtdVcClcz3sy65Mx6R2GTzJvjCYN
mqaZl1PYj913JRzxTJzEoCVJDI9+PYoXBdPnnsXOARTe2ekbL7C9A8RQc4T+aoW/9MPLS1N8WwQ9
Kyo2iU20tCFqp5V+RmKsmI2BqATxwXnzWGNNwK/w1Ubv4zsFZ1xRUu8pD8kTGdqrWTWNY220YsK9
Sihfhw1vU7+MWpCQ1tNKZltmdoFLgsS33sFcqEcatxbGf5zZNy1Oy9tFlvqtAaFBInU09TWMDKxy
SMlroowccQx2/dtQifJNUVA0bFNsv9WtqlMb9E+HkX0TpD7238iKIW4544yv365TUBVz69BKCSCF
mvnRjV5jqbnojDIGgFpIHtV1pTvVYMb2rQIwtWF2JBbnVSnLT/aDsEPSt9MExcdNsmdYPZW5r5re
oGrlEEZV7ycN7riqN7vYHiTRVklsYVMmPBy3g+dz5SjLhq6tMHUWNr0ymtirzAPvDHAMNCaMKikh
mp7VH7f6eOiJT51niHyvLEvBg2DKhdIcR+d6NMPjbApVcJpaXhkhS0DgKWIiy28+rHuCGgxTO4H5
7/+K+PHftiP+P+tvE9hV/5k8cn7v6/fhvXj/qzzy9VV/GNvCb0HgElHFuOZCVw2xUPxNGpH+Nzpl
A2ZPGCvg50WYL/4QR5zwm09oyrYRaBzYpR7/6z8LFJ1v+NkcdBaXtkPXEeG/Qjr+R8ajABgISw9N
hL2TgdLl//9JGhF4mVqJY3nLYenA9fBWxMWnE2Kyp4nBiof7sSk+OzT6vz1Qf3FC/hs5v7smqwf1
H/8efqF7/8xIFYK6Hi5VoQ0+g9/F/et3TtLA4+Bd6q3AlPo79qW90shIhMICDENHlzkRGyiuFASX
jMqlWbVYRIgjLnASVPuJawWLV4HZADJqwS21CQ2CpOu7EN0zc5EkEva3Ffbz8M4vO14Sjdd05wUx
2K8etNIiRnmykoGCQO6Wy6q+VGswcMGYJPrbKSFYKTzvV87teEN+c5dHnrMm8QI6qqsfTFUx20zs
rbAgykLrJwdFpcODR3EC9yH6Am6cxnLuSoC9N1LhGEHOz3FFh/llAsv3i82s9rMnqnsTNNuiza+4
26nrouWjYH7qLNQp2Ibdu8j44omewDUMiPGXJyz/eZAKeqyiVO02Y3J1xTQ7AMiBJ8JlEEJEwCU9
jCif48nKk5cMyM6DCMaZsRPM9gRghgPL5N40nb+JmwFBGt01WRe9b+2wy3gYbUYrvJ0sNXzGsxvN
ZE8ijEdJPkQfQzshUJmJHoKkj+znGUgh/+nyjG3i1ksfVNOhLtW+gc5RcpzqVxUgZ2ZMYXp2PZts
BuCEK5cTzNqzAnEzZ5V/a2cL5BG6BIM7pmZyLXxlX2VfM0dU5Ls5mRK9XjiBoMB0mMyhCNLq0sJx
2ze+nq/GPBx2ZPPq9SWrsMuzYTnXWPaeuzqUet21yko20guaF5dT0sYdaPuhNGVquaKGlLDcJa5H
/UPqFwSUcLEM8Wasu2rtqzbCLoc//SBsm7oVDI3LS1W6cJGQdJIBgwaRu5lQcmhu+XNTR1Kzdn4H
lqS5OOHGtB2DIbpLxUQ21R4xRa01+JJ1ADrwqNUIbyysmxzm92jTEals14PVKIExNEkbvASGgOJ2
yQ2zbDEyQ8MjHQL27BXB8ka25hhXShL+boL2monp8IP5FQ9S0dnfCT6nv+NBtr/4ZLIHVdTRrSwC
Khw6Q8PbNqNW5LtfM9QnJJklO5eQCFcS2xnvsNXxXRY3xRQUFxGTEoZFPyYwXCfB7Glex6gNzIzG
HGpb6jlmC5vP3RGHMI9us3gPNfIQpkRau3CDcBapVpdz5y+IhIL7fYJXZ4yd6IcKm/SVO0xJr0HY
NxCLygJwYERQYhxgm0mN4WhLt9FMof2gnqmuK106cHrx3mV5V69aMOEbx+lFsBagPmxCWZ3z21KZ
85gObfUCnyK+F7Mnv9eaSy68QCZvGBkp6EniHHeP7zDY2+qaGE4jOn+rMKsymQfNyfUbbx0CmqfR
QTOsXDmfO80lGzFLd5WkQizYb+E6O+lIKpkgBp3KA+Fug9Q07tMi7R/QYzpuHYldnhcu1c6FXcAq
UsBLoC6rnKxb0xpig04RFi+5sfB22DYR87WoJQVFdo96Bke/OnBFQ3MA1yYNK6Er6dTjkI/6eWEm
tXmY31lVmd65gww007gApujCuPo+Q0l74Z8UhE0rKjKCYSu2sS/6x4R7y8Zv/QlvQlDdY1jI6QDk
0oeyMXffPYVbkMXMNm8Tsv8PFnP+RUGrWOgx0oFZRp7GgkY5Jjn3dNQV8tNhNS8gTaeB893MT2pB
8dCJQCDnJ4y4L441y8IYI3XhS1rGm2kQ00tpYxpaL7BaFODkiKwotcTuWzaoMVgnOghIWDtWTRzN
2DmjZFffWfRHPodmJmyr4lFi8SFW/n0ikfzRJQup+Sq9xIBwhlIKwe0ygSFXpgsO37A3ydGJQVOs
pOcVN5xA7fQOA9YE+ohxwqkZRZLuVekN0clYGgnZQLNpr/uGgsMN1FPrfaLtNV4TqekVpSR1vFM1
Oc/VpJio+l5Hp9jULmicsVdbPhJR3pODI/wGBKmh+A4/GJwcKCUmQIsMFH/ECQj7zj3ELIhcFV8S
LqcoH9t164bxNU9S/0NCTLu2il6+EMiqTiN56/NCuMFinxPlQaSGHbSotXmtQodFLwmz6QbidVhv
K3ounxfKWImAoNl3KwDm8qOphXicCxcDLbIYiWIiJbDNtOw/jR5pcBVem64zGKXb0Y6mm7CaHJhP
BOA9cICvNTcyIHBhk61zybaTiDJhalkv58qlVc6SWp0lr97W4yd/B2N3g/8uXmlpX8YajnB/JnFQ
3vixVtNWk365WJgwHzFeDKR9iJnJMGHQYfxuJ4Y7pBZDYa4aYagupyIxfQWvydSGWsNLq+M84zxo
HX63OU7Nd+wO4onlt71DPRP7xJ7NW8P+fCXcZEa1K93yrdK4V1aOgt5HIzxdwOsxp/IJF6rTwbIx
BdABWln6H5MOhjuGCyPdJrF7Z0sFZs5MTPDjbHkOeJF+kYyJufRAiUHWKvcusdQW3YUEPiZvbPsL
0VlKgzolg3VEnJGrghLufcZA/bFpHH3UtluUV1SdyLdAp+knHWhVunbSjswi9W8hH1yeLlRmUa/n
+sdl9qHPNQmzEAMy6Z3dJbsXjpPOLFvgxWh40v1SbpqhtQYbtaSQt/gIKM8lk+bPBJlqyD30S/qM
vXSwmb1S8RIQ68FAwTTGjeKbZmxeIR/hxeu5V2FWaNZZpUy642BAd6geLDmeTeoLMmkebtaOLiwm
7zEaWJvOcAaRmPfOV8uwbi1aXSs3/NW5g3euUxHS6SmdpGeWQh8oPCNxpX3nrbv0FTMo93+GBbNw
sNI8ZtvIVXAUHZdDAlAPOXxSgwSmqdNy1FuG1eGD7YmEUct4aUjGtAzpJp11ztvpUWG7miYwdCSq
Kg3RMMR0Cz2IdpuzHn3/dRo6nqgKxBQHoZJaZp9s56GnRxu6HWJVsWKDdz77AmIH63SZfM/6mmi/
hbh9K74Kn21Tjds0o9BhBV/HgUA8V+aEOGr9jLNe4+9DKi4I+4f2ug2K4YfXjcwhSk0rbWKJRqw9
ZXJAcx6rQPTVB+6A3Xqs8Rr5h2RsOZv4zjI9T8WEJxSDJFxUtHSPCdpXfXVBY05ybTzbe7C/Cq5L
JnhcHZey64GowiAbhCs/4FhDz8A/Avqo3PRdG629S0t2AOntdZrdC6Nu4cTWx4QzChhqq9E2PUyq
mZEoDh4E+YHqbeMk7ZsdrBlQYqzxLYRn3MarZAirnZ+BIASjzdV8aflmLe3d+tLjnQgavSsP7yeD
BpyEc31IomDOicKHPuVmloVyU2NmVX25lVHss+WOmK7jgLSqJAuMF6f6FS2u88qT6H1Omcq3/Zh5
vGGNjO6k7vurPMVext9YyofFMRkOtSFKHy3jVNcoqXx+vBQvM0oTOrYHFHofqty8xn6ontRXmXm2
BLPZaArKnZVjWv1JblX/8lMS3Ai9ilLmxottuhu43Xx6oSKjupAeA/NoGrZY5sWEnz3sYe7FHpG4
PIVQSqY63TjaTJ+ZBeOgXTq6ORcWlVVbx62mFBEzJDnmBC5GPAyze9C+NzONKmZz8nkQOfTimuUe
wE6Ls4oxQ+CTymQbq7vypuI0X20KRED7GDC22CaOyB5prbQeGrOAQZHgdCASLiEAC7IyE970dRPl
VHUEHfryqqwFGMAyHtnvTQYkTaYiwq49Mm0DO81JkI2y7ICZ07BK23FHx2wClAQdntmf2li+4aOV
fvPsDHSz0TtR0ItStPYZMnY6MiyoI0U0RpWvCLaRAgOp09+UP4NM6ajQhpNlVRwRHWrZB0IrbvNi
a698mvAWf7hQ+A4IYXN7BGlef6+5GTfMBfr8PQeZYe+4xga3kykwHHlWXUaYxmznHCWUCK6iOjLA
NOsw9DbjFPssDj7RfbbhprvvQUZja6l4DMF+wIkS2uKao/zevnMl469zGfbDuDO9bz/JGlVxssrf
DMhmealMwyXaOzIWq7Gy8uQQiIRmanz8Nw2zD/y2wxSFp6wK7RNTHx64mDf/OORBf6dIfzKFKnxE
IJ9269U4twyHXd8+TmECvtFq8g8hcWiSjM6cM7fk4B7kIVObxSZJ1Rwr111u5rQAuYjFYODytW28
ieCijxm2gb1A5Zm7mlxxq3gBbjPacuA5DZS5lgzYG8nxo29GRVBFDgXtKQsXC8qRNwDANX7HyYZR
3Wf7unPqe6afFQbkHja7w6kRlqjpY76N8curhvZhar+4i6CwcriYc3HrRYHakcQ+AB12sMpP20QV
010tevvFritaQ4mPRJuqV6+414FNZRQCj/hKtox8cERS0ShTayb7EmgBY3OOjvBZ0HknqIg4/Kic
3jA/yM7YxJC7+ywkitOX9Q0Ut+i0YGj0100cYZJj8f4dKrnvQlt9Qjkt7pKRxOswYilqrDE8ydT1
vrs4iz9CNtC15APSfdnwR3wNDaPNYnBk/I2FdbcIT0pS3y3chzFV7VPVD/aBVlxQdFNkQNPgIziX
ca1XY2S1B/zq4zPR3OJHrO0Fj4VtiI5pWasfXsE1iANANrq7OsZOu+9zIJyspO68GS7Q4WOGQvhh
OUN/ZYAoM7xKIzawfHZsTgMt5Wm7cuQ0WeRhdE8hVpjvnLDTOx1MSPBEAqEIaEA2MddMTgqb4rJn
gkXMAshXIQtVOHlTseGMpE6Yt1l2Bn60t0EwEt/QHBDbm5lqOKRSIhwBWQquCdTYeHBI3UaB12il
Bq1DRlD8GMDR/W4DGkk3vhsVZhOqMDpGYzRHBzDpKlljX+UQPXml+B0mpPYzlJyzmtR0Y/J5gapj
pxxMtZMDKat8Whb8pMuAdPrNYdCe9+APNtOLJLRZEuMQEhD6cUJlQKvwZGeVNAHGCuKDNOBR9s5M
zbWvqIqEODOMnJ6GMEWfbax5+EVcOxz2/6OPXqzD5sm0v//j398/qoxQK4yu7NfwV6WTWpZ/qo/+
7t/LfxBHv77kD3FUfvMiGIska8PwUvWF/vhf4ijrMZ4t4ruuR5PS351jjvtN2txeIp+WKingZvyX
OBp+o83BRhx1XP4umtXEvyKOuuLSwPZnkRJ3mggcpuYosWh9GNH+Io9Gmll5UTjFFtckQmXDaE03
JJHWzLj1VZ2jX2Fvdc8CFPIBqOdwpGi6gFBaRS22TWt49SdOkqsam+930bIx8KDXzbGMHUGSPixo
IekQtHbkEsJbOx1EeByFmCi3DLrml78E+qxq9L2TtgXygm4yPWJTgJSM3SgVxXZgJcQ7m7U5oStu
cITxy+SDUGZQ4RYNhbcJvbwHGVheBpRmnOf6PKGuPeM1yKnz4LJwFSx2fF5U12vSmbZ47ZbJZUzi
hk8qtaZbso7k+caLxEe9SHIa6ZW7UFFSFa7CUkcn1ymWG5o86nkFQIiAE3AZfzzRmU73DZyp3joJ
k7qPds0lalcUUVaSB2ZetioSB4l2CmxJj0CRzvFtKpVewPoujKzJM5NDUGSvplumUlJdgfMfFEdR
PKvrtil8SaLFmXFQcYwA1Q6G7bObmPgz5c6IeGSmv2pMbgdkkJXnrwVFq1weptxw9CLsR3rDzdId
p61ywIk8XAgnEYlLTLNt8avAIN0ejaPLZmNUwTfwCSp8tzlz3hZWjGOqlv4TV4nxYOLY3HCVj+7c
aWTQS2N0P2+Vsptn1/Nw5+HZmuO9SPriBAEWLhQu2fkFpIi8R6UTv1jWvGyrhQ4IjuuZjyYEFcx1
PBfllhGr+9rpTL9yMPDJKpY+PQIhvkYNsEx2ZwxC9SNoFtCDedgxeG45oU9Hfx5Ss46rhIvb18IZ
fC2i+rKe5peVNbissepruR0vKy87C4swRHK04wLQ5A05zZRTFOt1oh3x2/9axOMl4ISERsPiruIl
OvqjlZtN97X8E6t0+HPsCd3X9lAJmy7uaYkg14mvLWT62k7M19ZivrYZ/bXl6Mvu031tRFzk1EmF
y1ygTV22qu5r2wLerT/F12bGjlTHwLEumxzgHNK17mXvi7+2Qdur4/vqsje6X9skkhvv4PS1fTLj
uNTCuuyqHZXVH/prq0XEwmwVB7rfoCCiiawg3YTFije6eoyijPIDbh9kdGC2uFx1OB7mLy3DWRqQ
5m2t+0mCiBURBekusoGW+MIM2f+Drez8pXYncPC1WbYy85erJFIlV2Y2/m52425NM47EFwpI1Ll3
+qx56ScCOSOjSwfYFbwWjwQNfouqfkzSfDuUyoz7PEazIJ554REWeXBt6zBjBw9re+IbUJezsiFE
tT89GIdX7kicbc2EodIny40L8xL4YYcj3JB9TVaemUWxGzWYN659Y47+WOVF9jO2uvRh0rX4WZQQ
bDYczEGvTyQpltusKB16Ynll9C4KWnKGnFpnrn3kYL3wKMh/LfC7OFVeW5aVvwxmANTVeUPACWXm
roARP3W1JGNgWOZXsUpR44neE5Wyuu69mdtzrS5QcrugWwAsFqK4x8VZk3kIAn7b1f8K2sjYutUE
fqu5vVPuOOydti12/7O5/x9t7pEI/+nw8/r9IzXv/3bXv3/8VulfzgV/+9I/zOHutxDjNbs7+yhL
+V8noNh/L2POy2D00jD3n+5w8e3rOBBG/oVPISN+kD8GoLjDwR/gDheCYU3oRf/SANTBN/EPmzy5
doFRggilkCBJLkb0P89AM4dIzFIsaneBCfgbu0f5BQaQ3vLc2i9pMDivYZeE5E8wKVxliH7OKawB
OoVTRrjMd7PbHgEcKWoy/geNZNHTUg8RAZImccUVtwGdviTwaczKsprwBXc244vWdTez5dlMe8qH
jqv+swyaACuAHm/b2n5BgpnBmNfTUxa01VOy1PWHDqR3SwlyfnBZF5nCLCklZ5W+q4q5xLErAwLy
VEdUNJKl1oLmbeDHEppmcRvQZEPbwUmGFmXuIypwqMDMRNmwUXcP9Syq5WGMFC6cCyT2sbVD7gG0
uoyPldNUXKr8iWFMhDrG5uS76XgEejV2K2+M2w/LCjUmja5m7OdVLBRXeq6j6DTGLs2chltNf29M
0X74eDWzfRLNxQjRPYk+AFvPPylvb+AB9VFXbQfJhpHkkyVAeUao+BZ+0Oo2CGV9gYkH4+dwobty
8626HyU67VMjsEl6fRze03VO/j7PMXp5nnVqrbS1900Zip+GnOF49ARcoBX24A46ZCrsZZXOLbiJ
EeaqkydYOdlBUAZZV57gtmdvuvSTD03Z1q/ZVvKmon5MblUIljDGIuOvMWBPZ8mEa4+hhQwvjppq
z6dC88cQUB1cqg4uX5e1ywHIFFEhZ0iuPLIDxY+Fh+MBE4vFsm3XNpZtNhyCrKSXFiZcK8rouefR
B5ytW131K5L96QYZDxuQT0/BPocqeLLaPLny6+IX4HdayOuugAlQNcxJsyR/BKOQoGHjIbNLfm9k
dLHOrcXBx+XPzTucz5ijo/Y+k7IKX0Fu8JA7NqmpH2mLHs5IjrZWPf/0nMZmfjVa9IGDtcKDS6dC
vgzpZqCQ4CyG6qH1chx4dZ9eBYGh3UsG0Vvfl9l1gkYH1Mws6b4bZMjtzmXyCVW3/M4RSGvsjQFQ
AZElc7KWvlsBSMW4U3xhZxCrKJxqT6r2LPCtC2M0UybqaorHbEOk4IHcqL3NGsfv9n4+wIX2oic8
tuNb7wPPtFtUjDXZ6iBdjyOZjh19fKF3sKHWvgdMh9JXDMdpts7mlIQSijRc55mj03S0JVac1aQX
ADhNZWf10XFDcszkRdPvaspmCKZOMmClZ7IxX3UmsUC0FBNxMNyRXrrzCwFejvOzc6uIyEkGar14
w0ZN6pvDnbTifVxp/9UHx2XdBL5K+10WZKnezRffxMYHFWTW5Nq9YDeZGY5WDv8Zm6tdY9Rfgbuv
Z+r3YHVeE/8n/e50uQ1GMOJPPaThhB2V9nhneh14ukJMSWUx7+LEgvKSTagD69pcutjaBXLNkGbD
k52XwRGXStI9FqoxMB5B2eW/p9G0VyPJZ15s9vkajIdTvsA7hGWGy72gHWeIei5Icd+CA8NEukkC
WQK3sBd0EAVytiSZ78Tjhob3zz4C+kWAbEq2cd4W6siTiTzaZozinKj371Fz65uassMPYc21e6Ae
NMpO2g/6nx6FINYK03i3+d/sndmO5Eh2bb+IBRpJ4/Dqc7h7eMzjCxEZkcnRSBpn8uu16CU1SgIk
XD3chwtcQGhAXV2VWRnupNk5a6/NTIZjP+RDwkNitF4oMxIv5FAYjZmZcHZ55jCNM2nFW8c+kTpP
Mohfz9RNWptQqpTtazzHaCQ5liDgSztdrvlXVBtiGKHBX7TZqOZjBkKeFvXw0feFT/ufLN5KL504
l8thYpVlAXLXNnAEk4Zxy3MoMjYjcvuDK9rhtg90cA/Ox33RT4k34OQfH1DhTmuHjMAjzTkwcgOM
BtxFEZU3IRsXkPIcU7TQU3JqW6gzadT6GTWF/aZYk+5EzWAZFs9lEDowKFW8ItV2NEwy91Gfg1NY
Y7qN6G6cmZbM3d6cuuBcla2xJmBKOIcseAfjUFSUrJXdF/uz8RM6xHltaLK6cQkP7sy6Dx95Wyb+
XguveS5FOv7SDKV+IDyG56FWw66XxVPAY4msuvYC8gV9+ZSyDIHWBzA5atRG5p5LfHTA32BvFFvc
fU/sMFlLp8XhjyCdm5ef93O9QmH+ERFk1SCERXPK3Mn/E8BR0DVSOiTJA/OQti1dlJ6C4Ci5rg8s
hzt7m/e5T9IgLw+KjgskH/A1Eo0QBBDNOeluomOSh2vEbAqe9dyFqY0pu0BbcJ6UDXPX1HP5ovMh
92Aq1IKs9BXFxU7Xn7IshuIrPRJlCDjpIKNXyXnou8m+TXUW3BV1BrgMVPXNq7k+o/ppPiBwmYwO
41gdCRlFJwXrze9l4kEl7bF+VAk+LOaKfXDH76X9JM9vvmaiYVJM/+b8aHmcrxM5Ve0mdL0dlZ6/
Xd/KYb1nQh+hStoLP73iw5xJRY2yxURSt3JfokLcoNP/AROZ72PWMBdOLpQYBIViM8iQQgdGgvy4
dBhFiI4yFFhxvm8eXlNBWuLBrJYbkuqC6UF0xlw9oSgxjpZT1p+WKPiARU43s50otfI3pEz7ge1r
0/5yde/Ab1T9w4ijwL6RcZG9l0MURXeT07IhMFOn+EXxTPsdkpRiUDGWTAOaJpzY+TABTnf4n72n
wJlYtFGK5R0rbDnxCjaA/5xiaeAijBCIr0zD83oG1gm6BUvzF7OwlQ9OSphXDg1PZn644hWwp2i3
LZtzpCCwuaS9I9bBlRyT/TQP7R9ZBtwlsp7/37Tj7o8cWvoVB1mdB2pzj8jHq4esLPsZvmHSuIjz
Pn3JkQnsY62aUxLT7GW6IT6GGl/BivtaziqKuDO5toaXDSPynuqBrOd32Mf8xSV+HhzqVDVsRCd7
/tIBcvbttXcsmYzwu21GD+Sk6RFoRL5D0sUalzG1wApFVV7Kdd7iby8omUX0tGIMUtxp6gQeOZjG
G2I0FmmBxI+AhbocuIF/JmWTQVp+BmQ5+L7ZxbDjtp0Ixh2kwFqCLUuzlBshjoduhLeSJycMwy+7
65otHuelpMfBcR6VpB9WlWBl4fFb2kY8Myn6wyH01vqR/p7NknYZu/TkJYllD4vKcOwxLqdxARiK
5zLAALSqazpGSz/pEzRfSXNToKGztyTpynue+tOmrj36uDjslBXYSxi9hCJfnjuULTuNhcCWFD3O
2zrk0LSZyhTXtT1O+tNPUl41vhHMdzXtTNRzEpf/attSbr04bcq1oq/2zk6s2iHxoURGjZADxy9y
b7xta8FFsmHu/hLNbfCM8TXzaXINoAun2DyQliSJN3qj825iWoufsrEL7rUDOrTlAeODwBm8PhYy
BvCDNzPRuEke47wEgU5U6x/A2Y12nbHFmFYRf2YHM0HOJtsW15gUtfeAXR7rul8M1pPLW2dTuVFH
j0abPNmT5d8j/+PcFkMLPORwfP3ODHAKcCQxzImTfe+Sf+sj96l3aaimcYZIE6au6U7aOvtm5GM/
6ooH9cG1S7SBCZTdFi7d+OGJRyFy3tDGMPnpb1Y2+PtVLF8Y55RiR6DDfTS7wcWHAAixDmI7WeMv
JGAzTMAwMUVgH5nXz/fKrI1fJdqcJ3OK6RywmlYtiLL3h4hwUp0RXKHknBupfmwmUa/zME6HfM77
k8cSLNk4XmymmO76tNi5TOenTVLwFDpordwD6QnjxY2mvN/mTdXszVa2J0VAHoo/MSG8ZGVvxdRR
nVlYqHfNTA1U8BDGfJt9ZrWUJ1QT/1tPe0xEk3GH1Lk6tyXu/I0RJfV2KCLipVFj3gjVvY9my24u
KpMNmdGO34ilP8OSzhBeTeihYiYaSV3x5HEi5yFh2LOVSEiwPkxEZE0eXmwd41crEz7SOlaLfAqZ
SDXBn9JDUOra9c1Inmmr/TbfOUY87n0sVPsQXPN3CNJ1B7TK82/CwrKqR26HaNf2pcKCxdLYcTbU
pLiXKCjLe5J08Y1Oq2YnJqM4iAaHhY687nvI2urBM6bQZzLH0Yj9ZPnM0iTauay1DiQ5ok+OMw07
3/gxKXg0Nx2/0WnGcj0wQSJDUob4w9CjVXT40X/TNWewCd7UaO42QzJ8c3tobwTKNLJGaOC2fTG0
P5lm4rRNh9y/oR7O/6Q0RiC+1W57xK5HEteYanotEBg4ZZYeA/xsX7Ovf+aK5qwVMqnldcptrIoL
DGtTXYNbWTPlWFG06+OYW20C0XALCF9sY+9aUkLcsI6YnhHgcx9aZaKr1UQyTq7O2rNZxcxsqUPG
TC5r807OEvutkbpnuwyf+dg/uE506seOWOPgAPRkDLFlPgN1wD01YghW/DgBHbKI7BY1K/FtbLT0
CqVTl79CD4EcRW6AnEYxBA8K/eKa7fiVVNl4784W0RnTbdPbaXa9g2uRUClDcvF7c2wcHm+suj5c
y7zLqqa+yxiH7sOmPXTCrjkBdmiVTDJyn5w6wzVeD/neTGX/q5qbWxXn+tTkqVoyQ0D+ibKjX/A5
5q+I4wYtk2O5m7rJv+WgN596cJpldts9qZhfm2JBCfJrdTtNLgjBfI0nQc3KupTI0p6pQ+g3DLjR
5XS50X6wzpTHVlj9tlDYFdvJpviUJsRdHnjjSQbh8BRGlCqYfmvuBsfn7UaEf2cbwn3zCx1kK6Rf
Ub/p636mqHv273M+jXqreo20qOyE2mpDS8wwWVfAzloebjA66GIKHhxUX61hV58wBEJtYqPr/3g5
/CoqqxFrtbCKgptJS21jy9vkp7YMLHIZdUOHdE6KzzGqGU90tgWYSoFBFd2rtDJfw6QvOX5n8Oqp
bX1aseHe0bQmMNIbJZSLk1NlUvFzuOm43ezI1nGRICOTvGZ6HCRMI37NJ5aNRXGgn9bfVhGL9K2f
6/m9jyuJhUn3NyPiPe4LWMHvQYQs97AMSL4iaVCIlM1LT0E/UrtoOy3vMLpVjCfRUJ/RDj15wLGr
nuLca78sxG8roxHqYMnks07L+GSToqa6sYuyjTkwZ+Fel0OghqV81t7UsoiYbes2IoXTsGitabuz
Gmv29og4bWNnjwbmIH8Ba17JpFrmvuKtaQPo5MuREW/zQPCRuiP+INqgA0xv4LlXKd1pfypz7C4+
Aas3c1So6OPJDoFZWi99T5BAH5ngFExsUw2BYwHoHw0vtdXzsCTGmWf32PuIBjenMh6J5M3xpLbk
0OjEYiqxb23vI1BaBVvN9W1vM5zzeCIl9CrZQs63XDrrT1K8c7kbBtbWWYQhh6uZ8Vz5dLAZ7tys
OUIS6+6IPvKVS+oLj3zXOelOpXcitJ3vPO38NyYzEEe8jzhJV3JfZHl1kUGFt7eOCLElbDjOo+7E
TgRx/kMDjEG3GEY6zBBxDeQtZkicVUYYjg6YmoEBG3QLH6JbDXgZQZeH2zRj0s61sIuYR+Sgdisf
GhZQpim6YVUhX5PwXUAXSIOWJU9CKJrjcBqDf4amau1Dw00sxdE3+fm+99Dl15lsaaSpq+6d/uHl
qEzOlXcO8dDnjHGgJB+Qd3cF1xf+W4UNZx0rPpgr3tOZe9Rs7L8IIaHu6eKIqAR4DCccXlGTBy6z
Yl80HoegWqb7onrD7O6/U6bCEg8kx7gv/dye4GDAotYDZNrOn0iJ7hL6iW44iVO7N1dsOimkb7je
oXPV6yptK+ix2I8+HT1V+8LtXJKb1FBz6VK+sWvhSjHQ+vLbZf5hbFIrz06uk2cFT3nLf08bAwmr
cKlNTLVr3ytJoWquoAH4BNv5Y0FhxmEIbXg2gq2aboMgIvkK+V2cRbrQLo1WfEkUXjsqDEhp6X1o
KaOHPGhDVd2kQR12206JdJ/1Hg26OC/GDzaupPFgnJrXbgIhQxgwwioN3oKDWlk7A8RijqhXPfjf
V5fH4pmsMUyT0/ou54Qssk8E68F7WOOmXxYbTOYWyWiIHY0AJGRVT4LmGHjd/JYW3VImoVKigFk0
elLgsRrBCQGd96qw3CMDES/ZFb5dENEw8x8iCNYtCBOL0jxbiAtYf6rNky5qX5FKpG96MHtSolMI
VT/MPiBhZniQhaD9AjSPj8qxncK5WGHa0uxK+yh4VknNbX60ePxMrkh/hdPAYrXDIWCdeU7QjgY/
VfEBzYg/3/ijrot95Ae9fRpU382bJB2975p92UvuWjGXsQTjHCIFRnrksj0aemKX2SN3ASPbZl0N
uwgIZEdfI14rtB714jsMUv+Cnw6k3eP5yQM7jTRaeZ7/8yYrQGA2smhhQ+i8YGCD+1GbCOT76kJd
8EiXJ2jchxumCP483X3wTaqtc22a3T6idaA7V6YF8T4Ynh1sDLuJfkLo9ng3Wl3KYS8sgMJ5LfFc
GYsxVy+p3TvHOShna2V2hOjWA69Jh8qDYNg7LvkAw1oaTXpS+mdCnSx1uUUa0dLoqeHr8jJfiqaT
+QEeKKv2RB+oBo2yoNlok+88Ri0nvB1GIxzWdZvOW22mbJoHVlc8UM2gpfiOZ2e/Ap+nBmEwu/M0
SJp2FvfgvM4nqtPXSW0yTGo8l+fAHAf+pZlxSbJ1zxRXMBD7TZimQAo+WkSX2oUIysAcIoZFU8lv
ODLGJrxtCDqEu1wJ+lEN/7H2PcHkMYX5d4yyHWk1SdG3yDhHTm3kVU2XG4/NaOW22niIuGr4r1Yy
TyhPsfnjnWk1LxfRGzuu9U7yx2HT+ZlzIJPbNKHbJR99/DkcXDWpUi95zEjJHAgZx/0O/YP3WsE5
neapj15TFXOShndN73Odv1eGHW7LxPOym5SXyDZc5JyRbvtw041h8cVCx/gpk2p6TlG0Gng6QMFX
pGba6ZTzKqQ82M8VbYhU3R+ACJhlZ33wzWGu/mWmvnqZKRMmr02YCXDOiI+GYNm0bolS6lUbIki1
XRdSLc6d38LQw46phb0bGSicGOk469SW3X1jTtYCb5a2WM3eMB9sPriPrR6qRxyAfAPSTCSb2Iqs
p1o3PLNb6KPnjEDceIp1V+1m5ivRbh68nm4rChgZy1SNO+9Ch8TLwefjSySppF5jE2JnSy8MG7KJ
pi/Rz+eKQJ97aEZps56JW5/2m8wSN+0UPyHlIXo+iukL2cjWNnD24KEEZtZzPnyzkAEcD7T1zpls
lLzb0th9QgbK0KLMoNmS2o2ea0v4z5xFyU2YQewZa5NVlMGxTes31zPLPwgnOIvaNXOAtd+Y6rfV
YP1ZQ5zkm8IdGfZDLRAGtkZ7tZTZ5pwoa1f9f/jq9//JftZyAxP06b93d913Rfr165972X//W/4d
vnL/CmzsWyzOyWK6wEH/gq/sv9Dm8mFH7EfCkpTqvxaztvWXFERSA8z1QrrLyvY/9rLBX9KxALlI
Cnmu65rW/4a9YibwX9aypidd0C9CPo7k/xyUYv9cyy5TP5eLeLHvur451Hg2cCIgo4h8NNys0JrT
oE3akPloM3bwY8R+RXRTjyg6QaLEmsgQRZ/FJH+CmvQ/hSnGjhU1t+khHU9GVsQoRwjV11KGR0cx
QYzG+cvtHO4ICYl8fCvuqE4GuXCoIEAtr+ToWwcJ8oamXvdz8mqVzg/fU6KS6FazptJ7urzEEn5i
16KrzltzqknoVffESy4Tw4fViPOjPTsF4ftpviuEp74p1SRj4rssKROEjfx6wx1kg0HDjcFWueLC
+mqZpKCona7WDszMpg7C7BP7CFzOzK8achvk7YuD8qc37R5DYxm9OaoZboyipCjPFUSPCvVQJVnJ
vC9uj6mYFLpAf7zrDN+na1LyFW2akswInVrdfcwD/GBkbnEqo6Ej7NpI+J0CLXXcptYLLD2nxHF8
SqjYvDQxEDOd1eXeUN49trT+pQ3M6LfOk/o9cQfnAS8DlK7pB/eJr+31WNP9qtwweepTRSejNb2m
Xq/vY9oJniBj5U3Hn/WpVWFyRj5evA4kYffMfRYHLa3dfDTWNZzTF1RKconjpaoAc6ogCcFz9Al/
lbpQzEmqmHHInOCobzpXv7vMW9Zw6tW3O4d/pnTy540XjG8xYbMslseus7JtUgnx0FO3tk0Iidyn
3hC8O+5YnUkCOCcbrwRtrnP+42QmykkERbT+pLG8TKwoL8Vc+Q0DoUB+Q6poLlrIOpsxntgo1cMR
2XN4GZgmH0CwuQIKn01PYVi3evJ+h/VJWO/Y4M3tQjg+NbxUjrlsms0cFp5cWWlXbWFekWYqmo4p
uhAYFHnDZ6hq5mYf0Df+YmGw4EbAGTZySv0GIzRdchQ8m8ikJHuyMDNhriB16/V0mAl+QKwwLDy0
hCJoayur5mDGIQfUAkY6N9w/HRd8fNNMvDRk044zwLiOS2u8aQEpLy6SCrbmehNwV9kl1Gnsmqn2
noPM6HdIvvMvNzb0ym1IaKwl8ShG0JHYpjWqDI2AZzcX2NrGqaOsdTI18H1pbp2Z0ukIY+mtcukd
tkj47HN2m4wsvLtirPeKlvoV2+DqNvRDZyNTfy1bd6HPq/0MHU5n/KpOyeb1FGMOVvlLxtNeODm9
qJJ7XNWZ2UOFbnqHN4u+wgYtu8goSuIesbewrJ98y/Q/MqwWPcfgon8QiR4e3aL6cFz1qyBNIefm
DP33nRIJuZ/DzD9UxlLhQNCJh8/yT0Scb68HMcApzo9D4zz6hLMJe9btRlN3+BQFcJLw15gFE8VB
NGFKKssLEYRx67ZWQd2FS3QDoy6u8YEjKYzlvs5c8w5Za7sup0Kc0Bq2xxKwcdu1lfe7Rbi3I0dk
39adzZeJ9sBtyIr0idId/lRHh4XtFIxUDy6pMVniUp3zpcYVNwjWqGp8izCH39A7FyN1owfZMr3y
OHpGshycmn1PSeRNVkpONaJpXEw+0bwPu3C+96NZ7iIPkxCyKq7wJNvJifDTnjI275J1JaHVuN1n
gc63RujRmjN1zt7q0D+uAG9/ValY6NSsnM5tbYq1YqbGTLcM3zhpz2vOJAxvg4GKAj0WR268/iFG
nfyLA3J7GmLLXMJM5iNfckjVJGamCbDmJuuRkO8Luh4PqGKxw2ZXUWwI23ehT5O0QZzQJZD2KaEX
rk8/Y6Be7EHrbTUlewPCjStXc8id0tvwwpDvfWE8kFS8TAn/5pimY5bV6/pqs519N30Hxpm3KvdT
xoUtFRZlCq1e5/jV6L2gfriOkeUEWHK9dpJrAsrJvi2ked94+TYzO1ruomBtkIggTOWdu5QYLwFd
1sO2c0pnSHcn8J+KuWcMd5XySpqpnxhmJRvVDT+Zb2eHocRZGYY9ReMJckMX8D81RjqtSCkljens
2nKY9/ZiALYlT3C5WIFH7tRci+f+Nxfqh7j3ECNhSlthFcQflVXTe5Xy2FhFoUrloXeJOTaLghjx
4QYBc82kqaFdYpEUJzROP5ouY37+6evc77GuRB9txlM/T55t27sQ5tmWi+wYUlltm9YwV3JRIccj
UuR60SOPoL033qJMDvk3f5OLRrmx02GTaB+Jk0woaA6rJ7qi6/2kKbEmU7xImNXiYyZNEJ20O7V3
Hsb8U4mJ6rcKHM6tIAO8BidkNovVuZFuQK1yEzw2LrsxrmFb1+zeO4uEZ6qWUo35IlR0W9LGwGsW
fTS69ZZrp05K7IIpD1W40iOw4pJraM4spdZqJI6NdptLfWoDHqX7WggmfDq1CUZnLLDE3N6wlmFz
5FcIEPwIM036mzlgIHduQcEmyJBVP9nRoM+V/5sNLYExJI3IH5lUD6G0TvJqzO6v9myI9PZr5jX0
O52xH1bcgJg9xmi3J/LbvN64rj1zoefKcXV1c2fG2z3kiX4A/Ww3UyXrW2MRfEsEfpLI2mS+8uhJ
N7qiraXRBa57axr2poUoHHUXMselGJ1EivtkQGzfKH+aFWQzkfaNHTfPVQyH1Gj/zjdkV60Y+7xS
IE3yuuSIEpnV77wax+dKeTltMZ6765yct7dtq+DBd+iP8/r7siDqQVPvpU3qndtxHWnt7p0gzEs9
K1YtRWY/CBmUuyLAns5rD23xVamOwNV7T4mYrUqOFZHMvtPY2bMAw14FTpF4h6FFMDUMThFtZkdF
im9WyXYbC1ROkrBMEcMJk1IKbnaTYT5mZvzNC+11qPufRjr7ZRh8YbiNKlA4FBIzW15JgBjeu5zC
wngrC9fbpJRI3qIYWxr2FHXYk6MvoYx3OQrGeDOMXrOhMb67RKYzr7xKD4J5b1ptUsZdzzx+/fM0
N1zX295wthzhYY8Ep04nvmCHSE5c4o1N0g/2QVOM9cApbnoq03zeOf0g74W/tOilPxjWed+MTkfA
lbiozrtbl63o0YhLY9VImWN1s2jnhpg6higCN5jBxoNt0IrMiv4L2UTFFg618uDjjh5RoULmobLW
DWq4co7luRlC9CaGo4++11uHir0/nQPpSRmj/ugYEC2ko7+x+iTGwj0ZRApZzD/WwNx3QSgEoF75
5efoBCWGtu3A24c4sHujjYTBo27ftVt/6b6Um8RiOjIpvSf9ndLKKIw3SajuvVCDsU1AHV8Kp94o
t6JoSk4JnRT80f1m1KLwgQv3geRgtB7TgnIvZrjoK3BGH1qtD1wt3IONf4A/VBWdwaOqe8/nJRWV
+cZui+6tilt9ZmRJ3WZSik0mNTAVs0eDB88CkwwZqzgadPjsJCEbZhWu8VNQV+BlwXom2bev+i58
wRupH8zI8jc61uGjXVdUfST0P3IGGx5LKy/e6ogCZFthszVA6B4t0pCrHsfhT6kE8bXELf4EyE72
IwYOSr45QWPpdc5YgsC4ZqNQX0xbwO/6OWVKPfjWiSh38hRFnPKYYunkFdLU4VGLDxYBfHQRuWnu
ifKZF8HQecNckHaWuGluwqUHiEhG9FnQTLMC4bQ2DO3VD0H14MIuRL5OQhiI6QZcEnZHHUFD80SG
8+CpJEF8HHwfMCAVSc8fPdW3FTcBAqkOtcfN8nIt4ocmdXZzLWMObA1j1zh0DkYzDhcPnHTtDrq4
OA17A2VKbzuH4e+hGAi/zXRG7Ap8wbtqxKqbza7/IcbapvBe2Y/D7DbbsRX6FDWpy/nTlYeplfKT
K6vezmQ8f1dtiOyMC+ANLZflnRslyaUXcXKASuJA7hT6WNqByVvDCXbglL5AtH6fGUOxZftibv0k
EMfEEGSeQSwu1lzfYY6wCOSjweu9Vh2p9aLjvbKCm9YjBC6HOvvDv6jehvTSn+ABEDTkLZvxIZ/+
yHD+blHjrPCQMkkEod+Imigsv0rCtogWV5UX4SmMo0ufZZwcRXBrkWnYEJ3vMcjK5C1ZshfDnH+U
Pnl0qE/vturAROSMhdJU07q0muG0XPJZ5RW/GUztIcaCU9kGE0bmmFYVlu2vcWwZmJaoTdrEfOc2
ee8CZWrMLl1Xi7PDEQwvrVW8RBzg6c42+9fIlO7K0OYTsfNwR3mrP4R7kensSMneQzq4Gy8aeLhM
HMlNc2dEYqLEaNY72njHJXRwlzrNLz6eIzszhRkC6mYjp5qBacvafghcZ1/Pwqa81sTiK20+qDld
O/QjuHdM4T/m2LzgndbbHPB8ORskWD6JkPeVYW2554UHn0nxJqM75qGv8oTJZqMPfRPMW0Om6sCb
Ij2KnjG37pV/182Ts0cEodeFjG57zyYawWk0oq2hE8OKhR4sQZbCbROqpKNoDqw3Irhk6f21o/Ml
HIJ3kXmikVFIJA9xecZLBdoV9cNZ8ShkJ2SM/VMj0+KDFD5fHjsWIZ2ExWyswtiD2DJjhI1rbM4P
qhbG4+hI1VL34PRsqZcqqNXMDx4ILCsuaZuKT96A9aUycq651KWt0frTwgfqA0sLzPLe2XP4aoG6
bHXPvWWFEpn7qSooXYNfE3vQmnbPbNd9rIsxO06t291IQuxYrBxn3/VW/e3iUkI/QxXZR1kG7feo
FGxUVfFl7Hl48kcTnEItyhuwNv9AaGha9S7pUOqL2g3/AIduDXN47alQeGIs6lwyz6IQTBTlvHLN
+s7mZ/pgKYvfDJPR18gafld5am25CVHnY/bijh49ANAxDNZI5nvmBpItQVMY4o63rdgqh+0Hpw8i
yZNxBnyDcYTa3tHvA8gtNIW8+ZIys6BrmZqzMLyYVeA94ag2toGyBg7cpbolTbW16hniOJI8sfoo
ObhTn8F5sZwP2vKZjMxXzaZvnhIk3EPyk2VOeuPpmlq+2l5j6tK0K4xvDZcfn++whxHpFqLus9SF
cWTzED/8X8ml/D9UJ8uLxPkfJ5qPX+lX01JH8J+Gmn//Xf/S7Vm0wRIb+VfhwN+BUjf4y/G56brS
FI7r+M4/ZprmX4JcSMCwnHg9aVP+0n8MNe2/TAeVHCFTm8ypKeX/Zqjpu4vV7p+BUmERSzXJ1QSB
Z3v+NXD6D99eaVajURhtszMVKtq9ES4LGSuXnPaaoHRv2AWwsmnGvnH3wXWVo11K2TZq2fA0dWBw
ybEoJbV6lMaDPWKCBrhI1tx0WA95Q13hULqujdJOWd05YJnUXddKmfaGdj/ViJkoBq2ggwEThjX5
t/CW/Fpdkxso3Js4aKp623VKVXsX1cQHYl1i+ILldLQFM+cECEEM4mgWYXRGCeL+srXutpHHmmzs
A2q5MjHfatxqW1XN2TpgvLmtdJc99hYb994yja/punAz89D9pbK2eLe6CAkMixQWc3jK45iIK/u6
3vTSt9xXrGP0dZdXDeA6e69X41Oz7PmS68rPXLZ/01SFSDWm8YO2CZaDQ2FWoHwNInj19/rwukok
OBGbm/y6YnSv68aeVSgZ95qty4rql+qOB6/mgSK64KO6rizB51lfJtdV5pDpLlppp64vIAvywwcz
ZrE6xAKtU8D3vGnspVv1uiQ1vGVh6tP1hQe/YP95U4qCnoDlXNl1LUMHq20bi56kfIGDRgrSdVqk
v+y2y85z6lT3zOecn1iI8SXooNmXJS973GHUxbHC9VHCIQwo/fKhelVNATdwXf8qSR4WnaHG3WWi
GHmNr7tiEMdoo+eAAmw9O+WjcKNUw8o242s/tPl9Uen4ARo5rXchCMGBUECzt5fldPr3ohoexcOw
f91gY9Sb3xg79fXRFYMw1ujZ2Hd3RjxZB5pi0i9gRTbiNKyxHRdeBe0Fj1XwM2NVuGIgbD6TjQFV
Ic0/VSsOh+zzK14aIcTRsoQPrvv462q+y4fxA1Wzf4bJgC9Krmv8/rrSj4OJwtwmcyG3oHELez/8
vfcfuHNvaZlZoBlED+RDgu7MfYziqWbwX7K04TaACKvn+d8otQ56Nd9DZcMZgPiUqy4ggYnU2L4X
UJmnsYcF2ees8HCUYMj8KKwuO3lXjkGUtftdtaa3EVfOgflbe0xCOuLW5ri4aWQxbAFl3I8gSgEw
lEgEI7jOANrlehDAu1QW2BGY5Y1vj226Y+jQ7cySRTTZWQMQg3t+9OjM1tJFGafBOwJ2/Zaauf/L
7X3n5A09WkRzoTvShfOgs+mt6xPyPChBuDu1wvkiA8H4MAK8dZlRLdBIsPAjupiHCTtE5xzrHiCG
GmLubTuuKN27LOPmF5WU3CnzK5hSXyEVK5s7+5BNFvBK5Jr8yqHZQyaELufbk77CLixuAV9i4v/9
eiQZG6/Hv+GYKyhDIorI6zw6YmNdUZrAF2FMH4TPyp5zzsRK0gxAbyo+sF+lYyRf2RXLsRZCh5mP
QMcJtVPwDecObTbxNxBaefEWvmc08TPGQefCJC0MUL3QQP4VDBqvkFC08ELGTCFEWjhLUqUMzj75
rxc+UenCG/OpvGJHvEymj6ybcgoyfbCk2mSNxBInsvZStEWwlV7/ndbOuPeiRkOcwzcVV9SpSwXq
M3VFoDCJzk88bKR6zgJUZn5q+BfrSk65nB+OTVRl72COrJdwvkFZmbky3vSCXrGwNpnBM99n0V7B
ZnE0ZkXM9/tsmlb509oakiu7Ul2kLTL/1bnSXt2V/GJxNnkkjxcibECc0ECdLaRYvUBj3oKP+VeS
TCxQmeKCs3GupFlzhc6gz6IWDM1egLTWqrqvfIHUugVXsxZwTY7SeHKuNBv7ZK9fWBMot0XPuOhk
+i8ZoDc9JAsQx0YANq5nz8/GowWYW9A5BP7sNGjN8beCDrwCN3rrJE+mo0baq2kDf2XaAInXxX5O
yjiw6UGwIPUyZ+b8Sapa/DDH9O4A3+1PA735PSJOqvQ0eGcOL5jcU//JVIHaXa4qthyKz3RBBYvc
HaksXABCEKV4HSd16W+NWTMd7/t88J6jBTyEVbHURipyhvJvMrEhFroOaWtYO2xnWnJjIRxjhNyf
LMpCN8p+orlRzuF9d6UfvSSEhPRbj6eWswCSzYJKDnYWHghxmDtL0RPjLEhltsCVZMup6sW790zO
g3ZX4ffbasExw6ztPpqJkQudt0s0wiHrlOOk72wDCYNXcO+v7TuwlccOvn1j/xt7Z7IjuXJm6VfR
qnfMphlnVEELd/rsHvOUuSEiIiM5j8b56etj3CwpU5DU0qIbKKCBuwnc9BjcSdo/nPMdu34uQwwX
iJo1RAitSxqbFZxigywA5nPm9zFKyCZDQ7KWVgUesa8m35xixKe0r0HtfGCZeGtDU9uJGABCG+Az
XXeMrDFuh6P53KY0XJuyQlCFSl1hXGIbOhgH07aY9TLySqrDYOKSBNZTYuMxNNti+ZRNRr0OgX2T
xdG4qIXGyP0OiKnE9iBa8RShTSTJDsONtR+QioxXM5fP9wDOZrkeekodM0IRtrRy5dlsYQXNnp7s
UetqG9nXmAcjRs/dSOoMRmQmbZkRJ4cSL8omShLnLrXQd1p9kPkADBDKu7H84cZB+zVzDeWP86Te
NAxEa0YLZuwPRHeCByUe6sphs0KuG1xXtggZEDSwnKl9npJS0x5NnB5kgQ59XK7dtKsLX9ZxP1/V
6GblJueCCf28Quy3CYPWEJu+CcdDFWvGVY2OI0aoAU1xAwIQEpFDj3nwZkN9uHXAIsnOBq4dck0O
eU4SyponQu8g6tTd63lGo4cbrPEuw1x5Zx3D78RasYve8koZR6tpNOKY+qh9q2SLd6+Fwf9NR3Cb
+PhzFkCQ5s4k3gLTcZDrEfiKXQoTxwGOI3FZkwXzL+VdvogGU+OqSw3HXsnRPqY5EuVKlrS3uN7U
E0UU/qAULsu7qqfmpQMpfMxyywUcKJdAAQ6l8QpY8GKrYx+vrYnECcRKGSK57hyBhMywrRYThBbN
vkjbxj7TguUHqxFEPXY87NCANsvpR4OO9njU+Xkyy+cLpqFYrkfEDGQ+Zgz7vLl8MmwDUpPlxuXB
xTj0kgx1l+yhndS3Parg0ndD2UybLuZbntkPTXi4RRBeiLLFUmCgY3llPVDfyiq37wJFpiZjMLtl
AwIPjalMJ7lOegtSQmpknY40M/FBiUEMxku5pE1aza0VWsOpCxYJESi9eSFQzNYTvGF8HWEZIZCM
dUxvGzcCovocWgkhNrhjUUi1E4+LcFiqo4TMR1TiXZu9UigEdxBcpvDsIkUG4VXDMuK28VijpHns
4CCoE0YrPKAnHGRJ1D6lgSmIFOCMvu6gzp6Kru833ALNR95Z4m5IwVj5ovKy22getUdZ696T7Edr
J3vP++gg9T2SczGcXMvSvhJCiWYuqBOSZcqk+8rzl3LBrFtprnMgeugXF9r9kOvuQccP80wAJPog
QseyZ+QnuNrMRWnNQ0BPUoLVY/Z0JhmxYOFAXGRUyjp7H529m4stuQiaPfuG/Gg7vahXZR+R86Sk
nW1rEjVJtY043VCxRvVEVGMUxse5tdOT1ZlTTZDEov+Kk6wml8DLvB89O4V31TCYXGcgLeRG0Us9
mckUITuPhrEROz3CJAgTo4nMY4yADqU2CvJka83D0MMIBYCtvZaNcvYTwlW3JDQhs7CaF8ncjuu5
p91ZooVK94U1gXDvLNS+rOW50ioTVpywnFUSdK+wzfBkh3ayHVpkuLBnnE2I1U7bjYVpHwzuJy7M
GYzuGQ0lqLHOMIGJz2gaIXdhSFwhwXnQOW/mYxpMwS1o5pqE1U7MBTQwjIjyjEcff3HEVj/b5G7Y
baRu6LaxNvIeuDqsP6thDVZAga0v0VxSHmGQ7JDGiCo3r1ogX8HREqqPrt3B6WwIl0Ew7BPFmmDE
+XkLy6PWzq5FTfIwMX2bdx7gT2OrxjmKD6wUY/ThIf6jvdUErPkxV03qWz5P+qsXJyl04amzgm+p
HUKzdsZQOOcwIycNt3o8EAlM9BFaY4myMkbyP4Fg88NJ6t8Mu1fkHLQNWJR6CeMKcEt6Z47vetin
ruiO5pQL5O+WEnviT9NdGzKapQy0x/uowFRwmGJM3tuIAbwLoLwLk0tpOoOzZuZd4hxMpdriLuw1
vw0He4dN1AuORoMmZlslLmcXBEwnOBZ1N9USqStItxUnA3YY6KUE845LHF1Vj1N+yQysDcg3I2vO
V/bQuhWpT7iu94HroQhprdyJnjikbLWQegrKHH0Yzux1SFgkDFz1+SOSTjN5E9zDRCp17YSqrgJ/
ygoBha6u7P4mqT3va0Jxh8x7QgXgK/4cZOdNPM17EbKZOUXkmpKTHliOyZ7AabeOXLAxs9topzhP
v3oJi5JVLTBLEKPGmWgG1TfNGBkYZ/p8k6jwLulrvUPonsJwI78C/PZs9GioR5vo9DhAry1b8lC4
orTgB4IbTR6Ek6DwZsSw0NeyaHqfwsYwDmoQrBnQzig8whhUOoHStiOHkPPfQpPUG7VmQt/J7rqQ
THUfaGR6CkfuWKqWAKVJ4E7M50It7N+U43YLsMDV4XLaTb4oD+hr9rFqQhuZwxQ+KaD2fB7ushPJ
4pBhom1k8oJArA99Xq0zZi96XfPrpPQK1obRCLmh0cfdGBbO95pHf7wZa6keFQKSBbZXNa85geQH
pJraOrOd4OxUmYJgmM+CpO7Qglgx55ZxbWWhcceu2NwB58oPCZvVGZICb4eN1fTEddk+8M57exMy
OK8vHVGSj6cOlV6Mr6HSw6dpitvnqQ7bZIe8XR57QyzMb29C3eaK7GuIiJ28ZbgNOunZQs/9obcq
HfsVwdRXXtch1gFgkHtbjT/sqQ5T7+SynMxXIx7XAaltMNTM/8lEU01g134LgIBANJyVvT+Ai+CJ
XXv25v/K3PIfhon871/TRNSf/3P5OvwofXI4fvti8ymivO0+munuQ3VZ++f//Ou//Ff/558+/hUp
pkAs+U8Hl8fXPO/+9L9e8+o//nR6BREbN7+OMH++/i+6TMfVDcAGhmD2aCzRGD+heMYXx+apIeDU
EJBqL6ian8Acw/yyvMbUWeMTqcoj4S8zTCSbjESlgGpq8pRnLvXvzDCBxvw2w9QksSOkceC1+12Q
ybwjFDiEqQuJVwRlE7C3jpYVNruB/qoCeFFuvAAoJ2IfSp1VByRyo6OPOE1jHxzKZW0+RZiF7WKM
fObljo8uftxnywpeWxqMdcWSqNxSmfQ+JiQsp8GSTla2E7BTx2BHH03Po0fAOnQOHSMudlGAe/W1
QLn3HEKa2yROGe1yMTA36TCXeKHnHRhwoOVeotzzImqOeUy8O1VT/OoStneienRiqiXIHjw8CYV3
mbzt0Grk236Chos+HLXasATJM8nHJMcj2z3PXUhiKJLz9iN0XDJ8sEnKh3YJpW+nOp5OPN3i00TZ
fK7kqG0DyCM7ONnfzWSeF7Unqn+tIE2gBCMwrANqBFSYdvCeWWnvz7MpTzXod2gSxfxVS/tkM86Y
hESQksTnRNNDR8Oon1SoAmPtZXRDG73LP/m5uXUpGpOuTMJxLbUhOFnkmb2ZS9RoqyqN2leDydqC
ZfCU3nxgqU6fHagDz2HsdXvdrOQLTcgIlBM/P/RaY9rNKOzbdYUg4x0LCidiJ2y5ixx2OyQQEbQ3
IBwo0SjG2oOGCnS8zKYT8LqO2osFDvmJ4yyXmHQNo6YeVq8aYlQOZlgIay1vWzhfGaoaWPblKsbD
GVL2NO1GNaO2X2YWGyC3CFAye/Kj5V8aVEnUyHEn78ipyH/UA5+CLxuD2E28VazasHSHj8oYoFbn
vayRJ9nKEetMzxEymakbXue2Yxy8vI5uLBZQa0EvywgKHYPkbWvKaV130XQThKT+qSbJNibfUt40
/IqvyBvAiFtg1X3mrFaD2bAFBKcN5ZZWivOx4KccIlObtjk7vh9TZfM7qdyzsg375iUFgUslIrGg
lneOrYJXTydjZmWBC2GuIiTrajwZPtNNz2agIYpzwDjWR5FHY4GmuIkVVcXsVSJGxlclazaR8V3M
GfXD0FN5m7aaideKv5sydsx0jwGem51su6mNY6AK96OMYWATD4v26lFFoHXIMS/CdttShZqrgNzi
c20vLc/IVdzs6YyGFcyL+gm6jbE1C5jEtsH9gWIgXHWVGr6bDFepg6x06C6tQhe0Sq0gBheeADD3
0FAQM4rxYyKGeDbeAL+PwJmjFghKVETDRcErMHzlxtoHKQfzPUecx0Y7DQlQG2hvNGSa6HaadgYV
pTjNV70JpX1lQvM3KF2t8S3oCOwFlwSXzi9NO7hvnLp8qhKGxj4zQgSR9VhOFwOmCqmRC1aSFKKH
OIyzYdf2MHYU75i3y+GSYuStpSAWQcZS8gzqKEXd1G0I/UD8jklOgPVYLb4iypnZ0HRmxbjfN46s
vGtX2s25M4j2IfjRJAMHK843FxAuSxBii5nFjFO11Q3Ne58rq3hvA+QuLGQoykn/meZHJAo6vZ4O
+CKHW7Eu5vSmSPN5N9GFwFkKaks/sGtwf+hUPs46n2vn1FaN8YitdzzVQ8wDdxSttWkBd2jnkKdY
yo6eNJNVW1at2GUi76+kObr3EwuPczdkWNbTyiXarmQ8sYIDgj0/iTrxmBvN8A19DKsGoZPOEzqq
xL7VD85tTqrKOWtmmznLTPHaaOYVqgEHSW0igmMYsqOYidVA4x3H25DQ6kOLHS8EgYA+0tGS7M5y
FKZQSvxPeUfzoVtkdF5JEAOvmmsItWrJYEAAi/IUy804nqMYYA56MxjvumueZzfvv0oVwq0xqaNm
O4c04+Xk6ISxG2FlCQJ8j8IsjnVqVFfoNGnmZ6+WH0ZfLsBobtwUozVmT3dmwNq56j1gj4Lrs5Db
fqi14wxI5wMlGwRhmqL7JuQBtnJMK90ZTugeCYpJX2XsoewoPBlew8nQc9JymnhbW1jWQ0I0EI2b
+A1V5XQM64U49bk++MBGu10FOms3maUdYbdq4kMswvRMgNJ4k7iRjRUeRaSy3Zp3s60fyThp1jkP
onVIYNWeAF11N1jNvNXcwHlQidcTG402bM4JsHYpbk6uZl9FuiB6c9GTjZ/SMsSVzhmOfoh9BIPJ
zxLr5o9VJjXX35Rgv375Z2aT/Pf5mvcSnlpMJNPvr/jz/6TazpC2TQn0j202D695nP3p6vV792tJ
9/Nlf5R0rv7FYIPMw82zXM81DcwsP0s6+wueGQnMkP0yE+yl2vpZ0gnji+npHpsww7Md6VrUgT/X
0i4IREvyKhO+K7Un1p3/Lm5/+4woi39+/WsY29+GwDmeIWEwG8QDeyhlJKXjr04bTgS3s0e72dCy
3wjEO6tUq7/lJnlgDdNBrU2PJp39vlOg8X55p/7Oj7aN5Zv/uhF3dd2xLUw+Bjczf9FCZ/xlI87S
UE8GWqiNyDQwMAuWRmvB1jajGleL8YB9VCLJAeujXVfp8bml0XmnjQ5BxUNhIJ3V5GTywAhe9Rbq
FuIGrBPbG6BcVmwc64a+Lm6UdzFihcqtmfpyH+DsnfaBXqHOrpxbRqpWeqkYBq858h443+CMIFK6
AqgElWZmnHNtlujlfM6XC2NJooTjFBW+1c7bzDaqFlmdMq4cc9Ye0I8yl6rgS92SMiTP0lXagzOb
+Gdg018PBo5zxzHMC3oy1qEAMh6TmNCp2oE/BWmLejqzux3tonXy2P/srDgeDzPZeItxRtMYewKV
Sfemg1fXsUgd9Rst7vD61FZpkH2u1dXOdIxgRznH7lFjK0dk2eR+wyyRAEuQlbxjLUcUDfVIS3eu
8a4pY9pPfaLOLcJ9Ju91lN/iKuo/iG7Rv7IlU0y8La2Y1mDdeClCn+EF0FOUAkcY8vvCUM9drVnw
gzAJebI9uYV58oqi2odJo/Z948a7pNa+2Z3uQas1R46MDope1qlOrtI06QAJ8nxveXKN41XH4o8P
K01PvTuCVIR1vZMwkbt1UrvluUBKcsCkxHaqj4aHkOC2HVsU4IcNmwUFdW4zd3zcSqT6K9EWxPQV
lQrWnpOPu1TzrvOpHs4oJ8JtWjUVFQEDSelYxcoamM04mnL3Ar/7xuPOIRmn7cR5ioeoWuNzdtaA
xoIK+wii26zJ563XgQ2jD+Bk1qS37U05+3bbqWfyINxnJ031S5VUXNOhdXJFjdVquc5b6o41E1fz
YkyN99ATi0u8dNf6A1D7jQEzhOWTV7FjrSOCp9mHPzgYfEhHtpr03g2VJ/weEx2ZPKBj0HCnAJtA
7jFD+5a4nSG2Ffgwoj0AKhLmqvqYu0UMFoXAPOcsxAbK720ex/OVWzjGW2EG7R3wZCZMTtJm1Boo
iwcjcD5gVTb3zqC8x0WwgFMj6rRvuHvHc9zl5oOR2rrwx3KsnSszgpOwIXevbFixWAHIOk2rdzZO
9WQ96DFn/5jW0O7aNBzeqmnE7NMjqjsnjWjEN9dVdA10I2uPdBVCg2c7eVNjk90MMIn9OuyyBxVL
C0JTfVAFWyI3G37MyyQVGN2wTQsDnCWheN+JRU32U2jFl5qI7sPckGgpggr9RFgbPdalqDrpVsy4
pKNQerQH6b0ngREctNKefc1ivFOoAapQqHJrn+p1UvskT6rLLJpoM8HZeDaCDPFhNwiE2bP1Gsx9
sQXkFv+QthAghoYCZEHvIor1xGtOWsoNSfLdLogC3sLRVY/M6Mtd1pNz2I5h/hIlVv0EocR4dADj
HiKFpqFiPBP4NIV0iV2XDrtKqQxJZJGR/0jigWje2c8W4SkymhBtX5K55qNErEykG698aWZAk4y5
fwSBAZPGnHT46iLC/rOXgzbjOo+TaVPaUDymiG2Sx7TS9ZMOSvk61OFx045MNmQczWv8MenjV660
caIEhQWCgd6LdV+DoLGZqggNa4RpB75UNeBFh3yebzoQTN65rab8OBu4sre1mTKCdjXpAjx0xTeL
GGq2pXN/qHUneFYG3Hg/0foBPkQxEDOPmYXbpie/5JV56ILqwwp0Arc1PHVJ0ToHAo3igAleOt8C
wVzQkwZwhiAkMLBIxuqqxXYjj1Hueptem75Og1ZIH7xWsCv6TLsvOqP6wJPV42iiJRscSaCU3nUI
vXGQtbjSprx44eLH+IVFBmklyyyYPgDo0AV1Vs0qvB56G0OLUy8UhbbGP28Olfg6Vj2ZM22UCtpA
vSBYsavbr1oxKHPjpJX5DAJIf6lpQEjlmeV73LUSPszs+V47N1sd1un1gHriuyJg4Arzk5fg2gHo
iWtvDqACzEG5m0Jm8mv+WUzOdM2aNKwc4wEPFgXlYHLTr0qzrVlaNPwCeTqni1FmZpM8CIAdMLdh
0K4IFa6wF3Ymzwsob3G2K9MJkj2kny5fSwIOxq37mZWJKc/VVgSmKJ9M5/KJoycIfdIEiJsrx756
TJfgzRTZ6JaPDANeQiynmWbjGUsJBx66B4/eigDPviSCHg7vAkojwbC4YdzawdjidkBD62A8otnA
dB9F6DQdA8oZGCzGsJgba1mciaNhMcVi7ZR7NdHjKds8hjNk5KzxNUPQ9ZYoUk0QjMMid1b0j+Bg
lxsdh8rcNnIT6p77HZwn1203wRFlGOOpHw1tBavVJQNVbxndMImlEvKWkFS0pqYP/6691dJyZ7T2
eBMNwrub0yF8ottinLOw85mPIX2qIsl+a8lljZaEVhWF0bVylthWaZPgmi1Zrv2S6hp9BrxKEu7G
Fb4afYbtDxjagHl6cefoPJnAf5qeA7mr1c7US8JjHRk99CO8SzAsDVwes06v5GfebJwZV+YobFBx
WPfuxraF8WG2+ikKJqYKeY7Fn+n6kmNLwAH6dgYM8ZJxSwH7bvaa5TOevk4ncnDzJRHXTCp+Hi+0
t32QO0f8Y2TnQrcFvF/Bua2MYRGnFO4NTDN0trYSBklUcgnixb9YnkpU0C+ccgNTei4q6iAKoR/5
kuQ7KZhBBzr+mSlOYrNhNmJif9mj60QARzkdlUxNiHqqaz6QlBDcYrpx+965S5xL/hnt0jekvGBA
0c/pZ/RLDW+VGJjPSJiMZZVCBJwHw2Exj/OtMUy3xJotgQksCk9qauduTaSVcin5LM7DaglaaJfI
BfzlpJBBUWVnTalC52wv6B7ddc14k9TENoDAcW7NJhiexLzAYpj5pUcM6tUSbU71tWmWCIg6JOR7
Iz6TIfLJ825qVc1XKZjVfbNESHxuAXQpE4D5BEyM2Ln09fiZO5EyKKwOwRibqJpzm9+EKUVXrReN
TbyqLYxfXortAxqPJM/CWKIt8OcvKRdqZC1bTEv6hQ5189xpDOo2U1iW52gJymg/MzPQo0GL43NB
1wSDHxEppAAeYnT3ljo3YDOG6+Izh6NBE8Mkgw3ivDFDSHPXIakVhZ98ZnhUn3keyWe2B212a22t
JfKj/0z/6EjJ1TdJL2V/9Oy6d7fENlF0EMp+7Honcyl79JEK2IaeKCYzPVb46xTVGhkkEIrlM6xA
mx0yaZhHYeL3yJfckvkzwqRf0kxQf/aEptvo+chUGuqBhSuaXh+/RkPJWpEmMBeZ9kq2QDz6gTaz
LHd0yqjNIAvCVCSdQ79tdRvhIZ8JgSsRmR7PGfTPpwYKYXyGr0E4i9UO4SErm44NYq196CIJWMIu
YS46p8phGlnArMsl7QXZHUhVVmHtM592dSG6L8nYMhrtgZkTLYjK5Gk20b16VtCecxxcWKQ/I2b4
0zcTv0SHcM4cr6oekrjvRAQaEu9BNq1febX10OqSCef/oR8Tf0tdoMv0dMHgk4Qud1k//N6OMeRv
uyw2oa3AmUM3E74VcXHPcvDF8PJ7aRUcrA6mEYrMbwpz4R+a9j/2Ln+nH1wCdX7rBvnxts7YhuqO
cY2+/P9fusE0UDJPB63dNIGqV5BoizNvfnb6513nZ0f7tz/Gk0vHqfNzrM9IgF9+zKTmXg6zCZQn
RChE8gjzZkczNHdvRjhl12lf5XIlvSL6XnA8SZgRhO+tBNqwFzFOFoTBojvbVd7epTisL8tbtrbR
ll9pA2ZZRMYVg0u226ClE6e9YS1TBv8/luJf27Xpgr25wZzgH49kLqBAqq75dR4j/vKyP0YynvnF
YR0G/BC8CLEwi+j/j5GMJ78QLuF4dE4mV6P7y0hGWl9sj9UbcWpCMtH5ZSQjYaYYNvkWOsYDIoKN
f2skQxf5+53AzppbQTjS8ixLF+Rn/H4nWMCCKk1PvX3SxPkeJi2hCLF3NNvZWFU4qMI1MryHlIN3
Rww3EckIeB5z3NT30PkxE3r1RauhBGPZHk+OHPo71Zu36JOhH5MAgEPQjPdyLPWtlSswI1ETPJnS
zS9tqh3YBuO26dzuhP/9TitSLF8wmN4sLZ3ROFJhyT5jPJkQCwmUEnyownCNFKgzt5oTe7NfWXb/
ADTNxTqKpBuJcXVpEpPF31Ivr/OoXAbDAYmHHKF7rfBMa+8pb7zPujx6iavqI8XT6PghClcSROPk
G+zst8GTzNlN8yopeOTCUklPA/4A4rlNpALm9EPHB+mbXVFfjRb1hkLZcJeEWX3xMGRBQs9QJ0EC
bmJwJnMziDWSQZ1vFL9QTNkr6mG8RZ97OaWGejVYxgGRUwKehCICLli4bWQuIHCRcgdTLq/u9CH5
zlFp+hoI5bURTZ/o+0EtQKRvZPAiV1VB0e8mWYZQCszwvofq3hqDdt93TnbbZ7a2A0AdFH5lBvqt
xSKLooskak6LQmDHFRxA1IyDHuC9aFLWDRm9xD5u2+k2WHaLbW3mTKAKAqY7DR7bPquiUDs0c5ad
qK+QkwezXJSTVBYEfSUBeZak7XhwQhWlDv1Wc1DU89HOm+L+WLcW0hYw4rXNeGGy65Xl6LgyE1Xh
H2XJo7/btTE+gQoswJV5is0sw6h6Wvd53nqbSSMHC4UQMp+8Xg44LDEW1eiAUnOFzDp+aZXdXOa2
BdInyoTmB0uheR1h4hR+O2hi1Szs8LhqWsB7RX9tmYYSt1PaEl7gJUpD6W46yKYGU7Cb8xoxDHdJ
4wTRHgZIVx+5wqjYMxe4o68Yk11pGDh/lFWcn5wGr8mmxS5T7Xq7Vnzm2NOPrUprj4aosQbcp96t
6sMDu03EjtYiubUIWgMR7PfuUpc7TrgxjStkOi+Zcm7GhMFgFusSoEOzZxwJiqjRLxnp36vSKO96
o38LKvO+K+zNJMzpKvaMvZWnC3SlPidh4BtpebCji5331YpzP/UrkFstrPO1KQfLb3OEMaGeGjeI
xLUPLme/dFmd9fqNbGPNL0b3Vtfraov5FmeFpW+xtVU+f+oPhpBUySzVeI3gEM81mdzinTlUdoS8
tWmA+UbOoudObL9Mte9mnKX3HgDMla2pG5d1q5qAstVDE3IxuOE+s9AdA6V4IMY32qUpeLIhM8I9
SRQEf9s5E4QJjLHIS7WeZgCwaVtqryZ6YGJekbjRYc8G2pO+IhugcGll6wVRhP2jXieeUfoBQruL
Hif2N28K75F4xn7sym43gCvllkm2aAhdXxhQYzsKy/fZnNWmEdNGuCMJcTLBWwrGJCqy4NBbzj2P
vkuYELZt1JM8prG7bXNrQzwwKGbMybvagyhTud0Oj+z3DB3/arSnjzANrsmzLuE8mfaW7uBBm3vx
gYorfevm8Mcvp9PfKXukvdCs/lqRuFBybWESQ4QQz3Edx/kb2lVRjb3Wx8Lb4wmhA88TyegL8KEf
jiTbRiVO5bWGl6faWKTtXohuiV9YrlEvj3TFbAntIeI5iQISSzbJpzcJgn1vE44p9a+KwZysQGix
4ov7dHoqm0LQewbcz6IZhmDNAN5hFpvPjQ1jvWPLOVZNf0wFGSm7KLS15tAIi4dFUQWnfqIT31qf
TxPt88lSfz5l1PLAGQG+age0ao7cc1/2ftQ0zBE63dS2LtLmuzbRJmeVMew5wHDiMTXY4bsMKtQD
bbjF4N2ds0BtiUYwth2j75WR9GfdjIaTpRcnSXD3yYByuEkkkXLkgxMojbMbwqhHCm9n3CHkIwaP
x9nZJtFtVzMqIE2thRFSxspfYviMopAoGOCCCLcsHsGolxvM/EjEU/iheLVS0Y27BIpyt7YBgu9I
ueNusfWEDbZHllW5NiuRpPf4y8RwQnSbr7METDAULbkZPbthmqPlvueFxVNUe/MNgQHmCkDeVVw2
yQkoqHnTmQUrCjcIi688FNQ6q515a9Fb+045o4DM7Tq57qvO/R6SmbaJi+SWVFp5tMmi8WFpJOKi
gy26IoAHs1fbtGxrSX6a43PO9vkUjRqwJDcnNqePTNjdPUJ+LWvJI2EqUTph+I5Sh7t1jOvu22Tx
9OrdXl6Tgaffxr1NarwQbyZBlXSPLGhVacE5kXlzk0Um2w9L7rK8BKtUi6M+oLV1Oq0/kQrg+vbY
1JshgpGmJPN4xLzolM+0hC9RCN2Id+45owtFg8HUrgyxoWvAVFeyEg/sI5DeowkiJQqbR1btcJB8
B0U6YI7S3msjKUiwgBUMluEIKcOPRHLOpDipPHgOQvo9AjTKfniD+oDG2rvSsXOspo7YyXHuvi/q
vqu0Nj5KM/QuKUN7Xzh6s3VHKv9StK90geoYuViWFK3kd3r14djbrrrNmeuwb7fmVVLFGLhyfIh9
r94pFolAt4zvvZktKrvGXuMOQoku4vhkJhoe9TxESK+LK8jYl6QhQMFIOwneRJt8A8nfFulzgNKE
SVjPGndtV13nM5dk4MTTiqzKDcJRnyphC5yrvWB8afwJdNbOMSsiyEfJOjoYLxmIkAMqluKsicmm
+BAQ40dH3JJZo24ssiUMr48PWoslLBx0qLlAxeIjY3kJuw3m3Ac46H4jO1H9SPsQ+xVyri2pHyXZ
LZZcGTk8cCzUoZ8YabKrh5ElfAYk7+toOb0ClTfRpU84AvFS5voLZmvwtC3DKlJckuRHFMTIf3IA
KOsENyIhVnJU1U5b2MSbsm7yU7Cc0eg15BXaHA7u6vMQtz8PdMPJ8GO7nwd9/3noIy+iAKjCgGJg
/CwM2I9RJNhLvRAtlcPnE/r/2WL7tw35/yBLtrCFy2LY+KfqxoeP7LUIX4vX3xquv77y5xJcfEG7
aIOcRFVjcNCxCv65BHe+0E05Jutx2rQ/qJL/vQT3vjCfxS4NKkUiu3GRPP5cgguLjgtr9vLEpe6y
/r2wX77jb0eww29lGajWwN1C0TJo/X7vuOLUjRWQqZCBb3tnU6fu83aU65IJ+NbT8uEjcScUP7bn
kWoOWANegyKjwDb2zOWMrYeOTt/0TAEANbNluyXWp90K4H0HSrmcrS4OGCcI7YtB/NcB5W+5bVFl
f29kUG4JlE+IqQJe+6aI3laXhKe7vmrG2H5hwxc9tVWhLnXZsFaDgxsHUL119+SMM9EUw9BipAot
L9snCZnlbNbICu5MkhJwnr4H8dwwUHJPDPD7F1vm/doqKwmnUtjxzESRkIrGhp5RM3BJ13ljNgdW
kMljkfOQWRPmMGAzyUavWWmmqxXrAsfJdQoioiTaHUw0nH7PunSBGxeYLx3rsWj0/quHnobzxYnb
Q+UlwQOeLggXUk/hneCrja6mtEEL1Wkj4Oo2MuLrlnnbU1MQobhJm1g/YfLhqThMVwLT8J7l2/Be
It9DnE6uHrFRSl236ajBVCqg+06ZsJ4CfTDOrWFoD1Hq6C9aWaBZwAzUH6a6H257zttNY4SEvU8Z
b3hoj8svnhlYFPjdu4gFcInarexkeYa1zHqcj7l4s7vKOijUrngYqfT5JV0Pn6bB+i7VE3GNj49V
R+qQYhLQ0WTst4x2jesw3lELljhzRHMwo8D1ezUcS0cBm+gkdTJ93l03QpQYkrAXK5hdLDagkxBu
283DaxjVyXEgSvbCBdUlVOVupYHt6M1NmDnwSBrP70dV+qmOZtajfNs7Wh4/VapsfRw99UloTPs1
zcmx6Iz1tYMfhWgRxI1aOxjXEdi8Dby6cG+jHj3xiQYHqal6m8+p/q2e5/kYmWFwUxoFoRYJF2oD
YvOtBaSHfG1U8ABBlgIYe6hJvhu8psQe2UU3aToSd+811SO+zmAbdq75GotuOsV6Y2L3IW/RtkmU
cxr1rOvV1zyCjigcRtF8TE/qv5g7k+XGkTU6v4pfAA4gAWQCWxKcRYmkVBpqg5BKJSAxz9PT+2PH
dbjtsBfeOHwXHbejW60SRSL/PP853/EHUvZFjxVxg06jn/Np3FOMcqkEzndInbICN7gg8oICXPUT
8WRQyv3eLbqqWqOkp9TtAQp94XOgzlQpyBv3f1nszW5KjhkhhfeWivEXkm1lGpS2ZXs7/iWN+26y
c1yqTTY/k4Wq96Dx3UeTl49bQYeOgY6jD+DowCDnpXRei8RzHt2cTkGruQdz5xyyT6hG/WMOWbVt
KF3oWPWG7ReZXq7Cfe/5L6qwWFB0mgcF6WnKuXmfzBfGqvjKGgdsTgLiaiUWL7pUsMXZVeIUuE2e
N1esHrG84BcaPiqdQDjQznicqQR8JGbP+mu0BxrAHG57tH9YN1/Uau8tte2vwsodXjx/Er/6XI17
OU7zl5/p/GXuRNnsKWV0vnh/659YDrZNJ4pVE5CZRfxpcU3ApwDrgThprBTYnrrYzGYuyCMluV1v
0zKpd2NUEwS/4xt2VZ8WT8z69ssAreIYNq54TvPWhu5HxB0JppCXWPcUfAhZWxuzIWe661FXnpYx
sa7YD+UOwkr30MVV/ifhLcxvNbTFK76I7gFJykaeXuo9gpw+WWy8KQzMCdhlzQxNDOuLeZJhZe1Z
C0YnzOTJg+WllCaSYgPp2BiW9UIfEthvJTNjw+dXPaq0y68ezr6bAxafJkNL2vGR3QOA0yw3SQvj
dPszLiUs7JwgtTIhIq7hOq0B1B0T0k985pOSBm5/GoiPG2W60/lYtxtunPHRBgG/H/3ikTtEZ2CQ
d42gsmnLi/3O2k+elV9l0o1rlw/uhouC3jX8ZWWNS/HcDqzlu1az19b+05Do6JxOufcntX19HqMw
3VqiXDA6dcMpkrkALumaX+lSp+dhQOdKipAW2NxVJ3ap/A5FRCmtX6f4bxJWtvSJnYp5hgIJ9W7c
qDz/stqs3GSW0extp5BvRlxvpde/0UVe7fjoxwcrlZu4FnFgJOnwTaPrX8QhtZGtMYNLtzTETnxK
mV3DyqKa0+1d54As+ST+MSWH0rhaiHv7eYmKQ2SERzNqCGiXcjKptzbm97m6m1BCK2qulL3bNsRf
o9o0jgjY4rws+Mu3ucsaqYyr98ycxSHD0hrIRn/djQPZkeUjolQFeySgpRUXBaaHaduFznCzBic5
c9muWGdX3WMjxEl57u9+qvbsatFfWuKZLGl7mCrcFrxSPFiIruSn6VAHWdT4WJ5GvyRjpfrkJOwC
DZQNzxyvJjfMdjo2+b996eQ7rivHJg37ZB26cz1Tf8LCI7C8jgAO/owKU1T2mc8ZEUccXx82ZDaf
qOisz9BDh10RWzXFvbZR3+oua3ZLPXrUqTkecwIFRtRhRWQUuJJFaDSowktv2H/zLhr0hiMeycqp
uphhxoiA0I5kNNZG1XIOaNGWND8JuhbXeOvknwIZ8EnJbqTVO6aAskBfUSOHmO/TVUmM7VyW3hM/
Fh1jeJSTF7s1oTiHfoc+YoXj9Ar68Nvn7f6xuDJg7DlTAtJvuU0nnzwQ65uWbCtLEm/2P74+fii6
88DXiiuGEvINUW1CkMmmY2I3/gj/YKnX5thxV/Kb8UzKwP1qRRr+jvjGOK9x7Hq+jbyYG2qL5b/5
Vaqh2BNapi1Mwfdr6ESukjB6TV04NvkyurjiVfZOMrbaCkV5PKH5Itf7DLvbfix8l2sLkiBwYNJg
K5cOgwtnwLgjQzI8knNcjoKB7FXDNziCX5yONWa0APINSlrudhxIyn3A/lOKtSc06lPDa+Vi4vgj
cGrvvQjvvg0WYNvmVEVzPXR3EKd3S5f+miWaOsGrQLkjHSp2E4jWDZSJKuNBoIMJkVNZMjZ/bWdk
nit5K5K7I9GJAs6DOMi7EclbGgGJiKthY+8vy9E5AG119zoPy09ECax+DiOF2+bE2bzC3JLkQG9Z
BEoJmdirXAzrIQrpOCA3Hp4LnCE0soQChl7B5TNs1lgpxWM09Cch5h/LaunAGTimyL0wV3/3WQu2
2SWRIRi1Hv20dLZFNNYnerzinbGwHm1HThWk2uGlC5vu1+wQ3Zv0NGxHa3o0I2Jn1IgScKCDF98Y
yYCWyM0mDQ36bJzK38JYn+K1bU8ffNHwoHO1fDUeekKYmMnWQTym+yu133i97/q57OnsqiqtUJRS
Z+NGJjkS7cRHFSp1rWDHrELspHQwhOmToLD2jqYLryZol4ecWDbccSNFBa9S98InFG8IZofmgXsI
nv5IuH8pj4hA+YTFkz0J69HthTz2Teb+9ePQP8vexyE/xvrZRuRCuZIg0pO60B+GlXdnHpvZocY1
ErS1+gPwwd+rgtKEyEn6x86xvA/HIRNTUHGM1YeDnrnITqozqD5wFg007UOZR22L4lTNPD1ANiCt
FNuMq9Peb4BoGq6ab8hkLVUqTX+ExhIGheEXR3tC/4NXWzxNLFpKAowXM6xSwtxevbdVpYM5tXc2
WU+8Akm9VfrOWMO5GMyxBaBaJZx0FWV2FXPTpmAbRsBakvLIU/fN5CrDy+zlT3XPA4/5sXyPMen9
9ossPVoR+wK3aR1gK0RVV0vUQ4iluzO+RgK7Xd7LfiOqZfoTzlm6lppzL/QE33lmOd/SFPgwob2f
SkXrWjdEb969TEXk8u7LpfK5iQ5LlO4QkaqDBXscD+Jw4USd0OwZeQPT7Vuip0ZgmjPdr1AfVl41
/tF67AGzVPkxae70OsTNg+1a1lFNxKdFm5rBlAPsGGNv7ZtgotgRAX7LvsfB9L8jr7IPScl/ihGW
wtMxa/7MUJBOEBTRku96+laMpLvDfIQfSf3oljwaL58zOk+G6+F2jNPmQia9WFOuWH2ZvGEe+9Qa
iIyCG2btpVZcfRgnaHHdd6BbzrlvgtOJ9PwchrplXkiyz5SwDD8KRuq8WOI/XMYE8ndjBcRwndVA
RvyXYSzjLR0W8g91YVsfhSqN3zk+gy1LsGqPz4+llvazCnLplHPp6Tzr0rBfo1KwZYcA+Av6hJ9u
vWrG5eSPGCW5yVHsWbX8vlw2F++gvUbeWUSnS2xuuAR7vLVE7NEFVYmOBG8FTV1T8MvAP3T+AzXx
/Perbj1BKAx8UA6Mp+YxlY25yVUOsHLaQ1R98fD8rCky0BfNkYg2WMz71lPRdnaamthw2R0wS3cf
tVnSMDgQAvdVKF8NtqwP5VyGfyC8cnzOfYHdp3F9tj8RdN18UGd7yaoH2Tn5h/LCntnIdQ+lyUgL
XMXgFJwBBVr4bcy9v7gTIQ/LwMxWFDzikVD9HYEotN+xJPk4T6W3DZvE+2P68z1G1brzas5C9duX
hlQrg47O14oRaVOR7HrsAHe+1xOlizMC2V4Ke/qURZxzdqSFRaZ/BvqFUHyNoNscU3eZrgaLSRpE
ITesYcyJTZiq5bCgVNx8uEWf5GL0TjZj9V5xvvGIb+2Dmp18I9MRNxl5dRAaXSU3fWeZgQjr8tq5
nQTmSurnrwk+/8Uo5KhWbIvbs3RhRQEHolEZ2pP3gcm93qlW/Oi0YBcdxyT251nbF4+eK7DStqYZ
HGN8Y7Z9HFQQoM+TWsSxCYXYGvOcv/duyuRKRO5CuaCkTSIrH8NmcB+zhn0ldaHLHJRxMeYsGkV7
SVVXPTFcJ6AVI8oAmkTwqKk5RG8RqqEP7N3NWGbl3g7sXPOcVMywVFCn+T4XvhPAf/QeRGRhzcqK
9pc0DUxpdzQIfYcR+AdM6WETggLwlyE5jIUUK7cdl2POeHas62V8h/fBIpsp9NqLkdNkSexXIlb6
6A/0ZkWq5ywKx+WRosmK1WxlRg8N2adz0Q4s1a0CpTPJ3INZDZjdF0yeFI0n0v0cKNupAJDZ5mcu
oaYiHizTm5MSOSBG6bcID6in9Ybaz/5kLK21salko+cC89J2xjx65hyvPuIprF4HVbubpXK4GHhd
u5o9UT7he/Cou0vV0WtcfIX9gLHPEPkj+3dGrOS+8cTmrYd3S3UycM0kfgqdSeya1loUcKVUfiwW
WHaXdeGKYreMzhSXqZM2E/rYeqfeKGjP4AFkxK/W+6xGFJA4MXYLotXWnLmD83PgL8Q4Nwh7LUOP
pyvmnrRdF3ftwSJiu7c6TOyNQf+WnZnAd9O2p3dy6eSX4XC/mJaEcYk6O1heyqhZc9tWFZpwbos1
PzXjLZ3qzzpMsrN2XP6wYqKldXKArv2/1X//Pwyt2468l+r8n100mPk/m/9yaT6//7bxv6Xd/3zl
f2Tde/KcvSXSrET7JDj9L1mXNDrBS9/BayW8e5D9v8fVzf8KHhGxlcsbbh7X5ov+I+vejTT/yrGb
MDT/L7JN9/jQ/9irKsfyhUtgndg7WCPymvwR/m0oo2WTdVzvDjvKCf1nWk7mp4LPX8XNQjdf9D3j
IDHJ9a7/9UL9bxa6lvzHKfc/f2fHwebvueTB0fjc/+U792yQAOkMw046fbjVje1Wn9BmmRH0YDn5
qq8A9a91M/bvGeGQZTM5Jeqrp6iApfdgNOXOzCoLV0FjZx8hyA+UJAt4jGPNUbf2GmAkZluF8TrN
8U3vR3GHS0LGMzp0g45PQFV685eNjcXuKPrmmLLVRw5b7XMuhf+am/StbeBqDtcZTFwVpB1qikam
1oxFIZHiwRL9e+HQRkgVFBSzPD85utQoPdt5XCBsLMUXkZ513NlE1kurDNqw/DNkjfXQNmNy5fqt
3ghw1Ds7NJKHJq/oI4y5MND2EsnwlzFkOqHSxigPPLKmdRHOfxkS0h3wum1IKOTQiSkB1x9fvLhX
22ECPczQkq4Nq3jVGh17rDiPrRGjqWcwJvmCqqKaJ0BCXQP7yR53iO08FdUIkhcImbDNKKDQiC9s
andbVJIWgrudXlaUGjST+CTTQ0DEd4iGMPLEGUWIdrMrwmw7NkzhdQh2CjltR5C6XbMPzPiXSobQ
sB2fxgY/B+7c7rCETUO3ZNvTttHn0FgoieIyjx0wauGLjFptUo/JucUctevcqD8Is7W2jrbdg2Mq
sNok1jdW0/fQ7lu9s+k4WS9kw2i1KsQ+RWPdhlWUE2pIAcUS4Q7YLOrdMjbgr4EJAdKxouzAltH5
rqwh2vcOc68ypPHIE5VCAYaV27xkbYptioKriL6BZOVNIaXmrBDsZO16bC4DxAbHD3AhE6gYMVl9
QlFMSVgvYFrWOl7UR9Q73hl+lvVVDCL/Zj5FVkdacW2KMMaeYzp9MCdEaNwmpn5MhF9TUAei3XSM
Y25X1TFe8vItx7LPa500KKvm0sXLBiuOXtatT73JyiTlLHnoy/KSZwPxejN078TVMoW0hg4JLJ6Q
MJ5pO3vI2tzaTRbtQwS9Yu85d0l709DnmEEti0WQ2rewxC9KemezweOxaut5uAqjm7dOFM8ROduK
UQT5V320ncelNhS4lWtll/G6Bvh5m0fPPNzXGQWDbZRjRC7FIbXIhAHEwCND+MB5KZuGS6bHXmXm
xbyjbSmCGOFIySp7svNyePWjGqM2i4TxOZWTgGJvOM248Vyk1OM8dtbfsq6ITtm59ZratAXuutxy
fhjPQn/r2GJuVnZb24Sjl9k1bh4Kzlb6NeGLluoqrEvgENjegJdd2ZRzv/QCdisDu3FqKpNwGP+j
3jvS6tajiFDCQc3XNlsM5oD5W0bpV5vHD6inu8o0nG0/Q4CDpJDth9i3n6RDS1rtQE/rUmgLqBgP
fqfT1WLdE4pck4J8Mbp9UtWPBUW9lzoxv8nB0LdWNvk67LJob4KlOBf0O25FxE+k5hxZP1f6EodG
t5vI4J2Q7cSmG6fya5HNsJ1B7zyaM5axgGzC+BC26fSTs1UGmDQKffJjeiV5A3sgYZeCpCdQJNf6
UojJR/qvs5OPfD2RAWTN01qdjSeqaOXfupzvJQmqnGlWKHButJPx3lFTU3Qtw4q03F9pPKttWwz9
1cdUzGSn2eWg2gzHpV/+VpgUKTcoHQdfOCBinxTIebAd1BHYAEjCRrQZ84hbexfnF8OkMWLt2j3U
8HIMb5SBpUjlxsLWmrmJi0xENKQz8v6xHQndbmL4iKtJd/OT11ATOXelsFZkJelZdcPG4GkRfXmE
NwOjcL297YFDgDZmrjMUCHybQvzyMmqkXX6PVIIQaSN8BvxxTB+HEOsJGvK+z0S+LnOKv7NYnSsh
42Mv3R9OJ/0IcqDaZU0dEe7gndIesABM6yrE6bBpsHixzmsjqwiMuW6+tQESkVBRYz4oWYDJFzB1
203cGBizgNfD2IuHm56j9K3T+O8zZXt/wTj0O+4RE3wtPjA7l4zAsK8qlhKbYRi8RxJV+SssBzyG
k9XsuVEV3z271ks71eHXDOHdeca7w2O2W4q4C8qO+OS9xbJJgorpgIkVMXlD1nMhv7vYmBDMr4oU
3N39uuywkAyAYPxgaop3A8ppfm8jEsAP29SmimAg14yc37N1dCrPYzlT6+5lJORyV6kT51G1CjrC
LDFOZcNYX2avuIY220vYOE3QVrlxyTrK3yYD4FJKEFV7ztYELgUx+M7ArSPQkNGBpo9kM3pOQ/8x
J5PbDCubjCo/QnzG7vddq+nPzPOd9axiVDDFfNCLH69pXIG6TNJ3pXFEBEJklAdlE3muxt15A8Ny
GAl6cmMYO1RxUyblRq+RTWqv7rCqjuHI4xkIH5ZWp4WXYizxLZ8qcoGJ3kKQ2WjuKNtu7sVDPOE/
oibeWpk4fb+nSHB974funLV4zLRhAU+ZJhoQWkyk0GmaXaVQW/gNjRtmQXvdWgU1vtPyC78JL2T+
TxUgL2xWF+GZEotyF7bVr9GNjRe/LJp959OCxagBPU823a6ky3LHE8ijzK0CSZ42cmOC/6Er2JF7
EsQOuFP/wiaCj28unCcq4TeoMnDjRDNMzo5WQ72BbhPtGo9NtG03xJVabg8nxoX2A68hv9QYDWAL
7bS9SF35m4QsMLDTIhw/fGVmNwWU4WT6WfpD+SpiG0fOwRr88S2hdIT9/FSia7pmCewbdFkQKTP8
MeOl30sXRzTZWuyZHLPhzhg8F2VcW/ElMnxOzjQazCPKBAAykdifPmvFh8EU0xOqVgpYsip8zeuN
2Bj5OVGpYUjyYyR6il58yz2Z3mC9YEgL/2aY1qjCwwK2Y62lUx5MVnhIOtM9YiAtTCSeBH+gbWiW
U1ML7iSaB1bDCBS73BTWq41ncQVXjiJANiH+GpxQ9M1izxzAnvmq5JdQ5BeyXcaLUDLZ67idT8mU
LLvCnId3x+0o0arnwoA0d1/2FwWNcm2PBNmZ+No3bgx6JU3m+W+fyJyPKSu6WwMy/ebTQ8h9WEsS
zXnYkxoWapuEafvqzaX5GMZFcYzJp+CpBrrL4ceyAme0pEXbqR3sgGZG+ZgxvQxj7uyHQg9X+u47
pklJc2hberilPOvUFZ56N6CrruuoLt9tJzxQgOmuZBc9Nl4iSe5HBj3NhjtI3mcOfTwsd9iZLGxn
ofLrBwrrFwwOTYPYhYcGXJWe1qrmZrHqUR0zfCCSNxMUnPwx9BX+arofV2Io7qrljMmkM5YDWdl0
XXiF9cuWw5CuyqYjvRniitwsuHWtC0cE51sfKegyKXtJDFmACjLcDyz8CzoZ7YIEuqRkqqeRYq0y
/zPRlUVfNU53TQPqTgzU4dR0430ztNDAJ5H/11Sa4cjqp7nY5e7YHKp6aD/40C43w2+ZNt2p2KUN
38QzTAFXy0s3bo6HXYIFuJRTIx7H1hymz9IWU30lx11nz4YcIxV0iCR3SxugsjU7vGSkeKaZQszM
A1gd1QMcwMeAIdGtyuSWO2P0MsEx+llQ3LGgS+yYy+hEux4Z6VrNwvroS9956adRIOA1gl6TJaLE
JdFEk6LciL+nUSZHQzr2Z+3gIl1R6635dQBdupkMqH8bmwUp4B2EnlxP9W1uLJ4VC9ZQBrbW4qnm
dnVEvRdl6aumtXuyZrn5mYbK+eVKUzYvHhm47jEsa8feLAmhsY3VkifGh9ls2M8m1tpzI6JZfh4p
wKO9NetDZfEmDACF0RTYu22zwcgtLdrn+PQ6c+JZQcl5eCqtBOtqatcVgFwV42YxWLnVRqXoBasU
NV7lUEUHEET2R7aM8a6w/Oq18kX/Cao1p9m2qm+N61y1AWAZU1JQtZ536mb8kBHvQ4iN0vxMVDz+
jgo/OUi8ea/JMhjvVlW63kb6s/NBN+p0HLpx3tLhUD6JxZbXCOMVIKBoCvcO+Kt6rtIDE3X8QLJw
3NfU3O97XsLPQUUDWA5DXhycd1uWcjsLnOGTVsl87CDT3RNWya1wDOfsd3b/z2aMlkfKW/EHeTUa
p8qA05bNApnLVeE5ir3ffRR/g/SerqxpQkx+dYNbFTKvIGsy+D+9V6l13Od66wiJN30U8Wvj+f3b
mPDJychwvCVZFAXhJO1zQQnFUdO5emUz9RM5sbkW9BveasbZC5HGmulKV38dotecoKPYF20qXxb0
5OMSmeaG1r7xNbVsshyU3j22oZtccOnam7khp7PJrap7mEJnRMmi00tGeXwdEAACu9LwQ6BFVJee
O+kXDnTnGuMJ2c4LLOPWK5unAS33wErjrTcnXQYTgCzGg9zuN1MJnZuVhNimfbcQfs/wyEy9uU4z
mxmIIt73gS5WtvyoGJlM/XeNJPc7ZP+yAz7cHmSLTkrik1ZGZrHHoouWzdKG3bknnfHcMeWxys7o
hFxg6x+hC1bnsOUtP7Q871VV9r+1pv49XDr9OYOScFd0KKAlFojmSO8JZqiZT5fmVAmowqR5yOdM
8Ua6qdhgs3XBm0BlV3IuaPV6zTy3PbokO18NcFirNpY5N8GhCFgnpEEe29ZFwac5hopuWmPosxcg
WeIcG3nx44wTyU5tFgJkfdI9mjln3mouQvvbi1JuWH2TNyczagkgLwDa9wZvNCTTDJLYqutSCjfq
tIsCer2qt26qCHvghbGeU7B3L6oR7WdixGgr6h949+TXxTuYhfBz7EzA3n7E8+XU0vJwWXj6vS7/
oL+TfzDg9Lg4zTZJ4fpH3cj9yu21/TXIQr6WIl+QdVX5OY1WhdhuqrdSItK4eVc+RExqcLF5dvAH
SkhMF0Du9aCcm2/w9LZkAwHdHdqnxmqH85IO3Wef98PJulPOW+GFeLJ1RqjJhoF+p6GzDbFWZaSr
90aZwLbS3Li5WQo1KzdDzFVrwk1DuaaIpPguMfVNjyCQY3dvSJxULlTRedWPkfUKWQMae5VO+mcw
HW8LrnsmLwFPYBWyuQKRh13kLeUOGUTwd/et0gDp+eEjZoJ/iO8ibp0cCXhoHmZziD+Er60XlRS8
gbS18Gcw2vI2lx7YRCPCI+/k9U/7D0++VnPxucAM/imZQan6NHgMoXgHcV6XgTsYmN/g0qcRwpYF
4qtXM60E7hx0HM3rseso3b2D7RnGXlm/l0fqxJ7NcBS7qNfGKUoA4fsRSHyiYG5gSCq6+ipkSvdu
nW6dJ/gf+YMZOSACbOdO2J/ClNBvUZxGnDAHsG28HWjZcI9L3vTUpMX2/ZjKsUABivAV0ZjSb/mk
Gctp6mfvrKM5DhA9mp3lh+ZXzNvnqyJaCxuP1im+PqtPMjbd88ANaiszu7sls7rMS2ztOJvZ1+Fw
Btxu0ULVG+64ywwfmjSi1JMrzKe7JvRh0scK/qQaLTtIjSJ5YrLDxWbyvDqDaJSoXa0bU/eBlY9A
KhdPTI2Lg/62dIE9xdkrvZmZXPljI6+MBpmzTmPyL9AcUf5H1e7JNMl1wnonwPpBiCuc+VxmoQ/Z
l2z9tsPHAGSpL5uT06AlEh0U4VsdDWLbNlX7kcy2eYakjwVLxgYPcGdwr7bu63PNd1uXNCJfYsu0
z2Zl0BODM1aderZbe7uk71EQszjRrlKdtKM9nLkY64oRiGQgCj6n7Ia7J8S1ttu4dstI4ylozPVg
zONqcapkEznzH8JsS9CJyF6DsjG/DfbEh4GF/7PkybSSqicrX1cL+8nFS7cRFvVt45rLE5YEvYuF
wq5iJbl3xmpeXRdjgk3a1yb/yLCLvaRRl2Vzpo6VWyW/6CfjKQiXrUZvlFSYIF5ZKz7UsDzIWbzK
GNgbO+iBmQvnrd1ymHUkcyLCa1z3yEs0wvjldbjqkxmDLFXtQHPMKp42yZRNVxUK7HizZxy6TFZH
ozTh/xhF/dvUDCBGVOqgzRPNw7jdc11nMZbXT9A5u22TUk5hsdudV/yte+gcIOPZpMatnXGcBkWc
VPN6hvu7cUgyvpEXQm6Q3hzu+rRuLA4e2nGtzG9f6WOwXr0RHiNLygRyndPAPxhkojcqg2oP/0RX
LynFOuZWu+2E+4n9fbE1MrS800DdIJJsVeK0yxE/gJWCeXwrEqc9eiZFDeyZEQfWcZwMN6xVjWbp
L/VzrBbqqzIfQ+YKq5E7Bkmt+59EQUZc+lH+TsUib97kl9ZWkfevN0mCz3Tr0gGLElLHPuWLJCRp
ssACfmtB5qa4VjWtvannV2+9Yydfg2HOy9r3RtM5THcu8nGhbuxFO0vxXtvhuDOSon6aQFVE2KHq
9gpoGs+YYEF6qUaEOHtwMECk3YdraQhjXpvSGOT7v43SjrcQj8AC2Mo+tp7IX5P2zmApsOZuexkL
bNpWhpDSHXgVFjb71URPaKuAguIceO66YQpoWV5ekC/do1cLdbFnicSQjPQJR/1iwEuE5/aNaiAJ
BReClb7ZsDowpskgpKrGZo+GXC/rJiqnd+1JDggk1Pnc5Y7a9PFVV4oESlRI/yXF3vIAVpeojmzS
QNAscg4FJ8Eec22FiQ0owhewA5ibMTkNPLJUgw0rVGf3ii3CxjQzzpkfaDVTHNCRIXGDgehiGtgA
u7YcI+KSOX53tWexvCGcj1cD4w4hKwsjHdCxHbxa+5eNm/gJpoSz0Z4xmttSC2KJsPefoD7P3MtH
T/7uqjTGGiSzU2dYw6UxRFojQVqxc6q9ia2LZWX8lXCPS303U9a6U8bwPrNqRP5nuN7G7pRQAqCn
J5zuGL2Vk/p4unkhriXBHQOujoi+QysGdKMdy3qOwjtlRkPdfU40q3gKZ7lA+3JxOU5bdw1iiovU
lNvuYwM48gb1yryJ0S6eZsMtEmjluv5YqKl5lEtCPnKoPXk2W4PYqS7a5B7xra1fMvbFCe8HwLAc
n0a8anv0T8ymsFiS2Qj/aLign5XPh4fUFQPbajDrexPFQnmnnG2ucUszZG+824ZhXWSakwDVc3pq
TTv8Mxrd/QHHhwifbPamlC0OttUtZwqf1ZEFPxWxdd6eeLZzALW++d06fRMHfsnJN1Z0n0hDV1fo
geo44Rd6cMZuOCx23P+0vYMVgbctOWrPr+lN6qbpr0zCPGiyPuAOkSXrTnbFnppZdXR5bgeDKrNn
B57R0RDUMy3p3H8XSW1XcD1p56wygs+Jo6YigJdVf1oVVNdN1CtStrRObSUhiV/pYHtXcvEZeBal
nhfR8BcySds2Gup3Ko2wAOOEZd2hVWscu9QcNz2v4TNYpu4PJ1DurRI1+i/GYtnhusgboTdlG18w
Trc3UCku2wOeLcXK6R0Yd2bXXXISSqfK4ousEIobqC91kVOBmmDOef97QVa7H8iDOHt9225Dxa2E
urkxu0EsSQFJ++Q1cfOUyxU0O78RhpsH09TyynKrOGSmFd9a4VZrkU7uehhqrhpO2Wyahij/Eo/h
Uz7M8siXRbRi1sbXRMfHmr99j8Mh3Vi6BCnvL95jr5blMk/5d225QZ72GCPikg6gxJ/PEmPqsx7t
cdeUimhH7D/PNG5sUpndnTtIl4euNYEc2eMEAAcH4gvsH+YKqfjwzPd+D1jeCQbrdtwOXF/Z0PQo
HAY2xEPH2P5bEWS9hKZJlt6xp+bmMNBzE8hckioewezVME3VUQ+uTZunH7UfUTo1D2xX/5Sgh1PA
By1h2Eio8yhL5zohZ/wuFISHFYSCqOO6y/om7nk3jeY9XTyRXNCFB8gMTQEfnPipCpKQRDFrWDZW
2Rr3VC0vIsXO45yvXUaEU2+o4s2OOLLi3GdkiVE4U0uMVAWwbSGwYlWv7FO7A2TnEht0V+6nuPEC
U5n2xgMeVe5M23U4TaOJpVXX5b+lHRLeCZd+A8Da+wF71Z4wQmDT57j/MKHbNDiTMs9Yp+YAEyd0
GWRVwt7KXnpuMMIi/toK0Hgir0k5ss1B7q3cz8p1CvDJFBoeQoMIoYNGoiG2pcu5m1wecr6qKzia
bfzsFux84D6OL1pNznc5ztOXZmx9oS2r/2/sncly5Ep6pV+lTXuUYXDHsNCiERGIgQySyTlzA2OS
ScyTA47p6fuLq5J1Vt6rvK1eayEzmVJVwUAAcPfzn/MdFbrkeXj/xxeuSZCDv11h7X7rCuaXIW+F
5BmJlK3JWnHGwyPHy3jUPuB0ChwdFppiSM+TYZrfS4d64d3UxoQB1MLCtRDMPcZ0oVzxpYyVW13N
m7R1SORI3LdA3oABql4SxmwTu24pSSmXl84vbOY2aRDZdsuaX3cpTBrXbOJNE9tGvB28bD3rLL60
Gk12cfICtz8lcw8FSRaLRzIzz9DyTCZ++GUbVis7a2EGW8FChXuVpQrKgINXKU9ZxUIiCflIfl07
3XUwz3wM9a4JlB5KbzeVK6ynclTMUey6oArQm5twiA3jiMhegdlW/eX/MPHQ4SrN7Cdmtg6oCQai
oJlrKT8wydU3LRPULyxe7F1KlsswJh7UHwcTIsUWsOP8it5M8W2RG4/J5XRV+eBFdRLMw0YwH9xN
mVls56w0z34w2h+FwG08IPdFRlzQSybw+MSRxEWwCRCHr9bKtE44iOcbkFFQwK2LSA54g4gN7DPf
dy2erJGm5Hz6IgyUUXiDnK77V80m/LTENWQuykp3A52Q22npxh9WK/OzZjtxQxM076+V2nDPM8mc
jvCI45H/jaINMlOW7s1XE9bSTQ8h9EzOy941g4mBErMbuCUYdq+pbtcvahzr64bSYsbolrETdlwd
SzK572U7UotzwVFXusGZtHa52rTZlG0pg1zfoW6nB8BTZMjXhmYaTSXb1OhE/g9k5/8JsuPgXCEf
+V97g15+9MP/Cn+Q+iz/xRn0H/+5fyJ2zH/ga/ZNHAtkKn+mHvtEN20c+r4MrD+4x9Bt/ukMsi9Z
UF6Vl+R0YPNm4Z/+0xlk/UMKrEY+7RM+vhrx33IGERz9F2eQyw4/sCH1gP/xPPcPIsNPDChPkDoo
Gc/vVaqLqDPzIBwTN9uSPvQRrJfjT5fnrxxBl3qMn/1AfB6bQhtgM1eEOOuFvPXT51HMFTvgntFG
adHZJ3aRX/TG7sto1e1uXtC8qnhlDoZsbvYMNUbGL3kqNWpTXG54lzjsbOjH3P7N3/UrgPnyd9kE
a4UpbfDU3i8+pcsJV8BA9Peo69+Gmr/DmhDoCUkc7EGcAurU9g2CY0Tn0LxNl7MkeXr6/R9xgRn9
em0cC8HCtF08Wr96pTiWuvGca3/fos7vmfTEJ589y+PvP+UvfnHBV2Uj6QQwr4PLv//0C3hcZF72
ub93GnmgpeDFx9t0mDJ6G7upn/7mwv7Fd5IOGgu/uLQFN9K/fpqylWXOuR/sg9pzo9kn+5prKqt+
/53+FFqmtZonghQ0Ywgk2F/uKjsurA54kLeXKeGlrkD0qEt9P1bZ++8/6C8uHtQr16Ja25NY/X75
IGmsXNHL7RtnKECVkX9iz2FKR7enkxc3/x8f5v7R4C2kKc1fPmzWoiGXJrx94whsDIDqwnRk+apW
DFtz7h5+/3H25bf45f7DuIjjSvBGgET+y2+V0Z2zKi/x9pRPFaGC/HE9ebF5X4LjJGmRQuRBMI1S
dhqHtcmbiK6l+DtqHWXMNfMk5F8FVqQaQfm41BqaEkeh6/jlVkr224PdVu3WT2u8TyBrWf8q1vaQ
sm64Fw20wk1LqcWWEYE7EotyvyjaQ/6GrGf9xXMeyMC1AxvR9s/340QT5UTBhLdP6tQ+5tLwj8so
KY4a5ZOx1BF5qf5Yq+TTc9KWlbiwH8nO+X9zqf/qfg14cwvYZqZkhvzLU5EDMyUmF+zLUiOvCNwl
phuEFrmfv7Fg/vmTAtDynFd9x5dc618+KW3ZzjCOoC88zqrNrInpEcP/Rojb3v3+9iH6+eeng8mE
CcifIQkdmH/8+0+vlq6yHMOze28v2JntitHILlb1+Y4z0nzvGtwIdjc8cpqpdjlsnGI7+CZVikDJ
CTE3pJuDvgW47RHG4Hwv3QfievJNoggcGD0M5cbp9PIQ9IO4RgNqrgoapva1om84bC3KaKLSDyQj
V2qlzcrTR9IH/qFNQRcFigGw0fXdVqnO3jlS4cnutFla9Lg2Mt5Pg00ja2VRAw9/+raW1oyVKe3d
XTLONidyP7uNzSp/u3BujgKXw84sg/WwBNJgMtl5x6IbvNfMWcXtZPPF1x5PkREz/paBctHz7Phs
5Qsu7sHZlXFbIetnwGEo3MMqottHYav21dZ1++Ynph+SeaftLV06zt7NJaRLrUpUkyA6ZOaQPxhm
2936ZgUcfGZ2TrxpZmw4T073CkQpPuOQip+hl2X7ser8d2K+7M1j0/laGPlLXdoBXgEQ31f5oG6J
Fzo3XpVu0XIPjjCqQz1a9HuCBLLv8fY2feikrn9lwha5XUGvMubo3H3fqWLP12k3/shpCAo4kuva
6PI00uyCOsCk7jpAwcZtVzC0wRESaw/9vsv2ZTeNP9gycU1Qgq7TlBNPQ3kjFqeYAgDp2JpRr+hf
LNxmz1L4YMcr2QIqgyocPLNtA7THtGbA01UJakXwY0xwlDbKleK6G90KnIoJKjQjmcQUfmXpZ16A
TB/mpWj0thh9wH9JoKLa5/e2+5HLNxo9/HIyIpRzEoUIzdHKdqKV8mva2suVF9jiKw5Ek2O6WaS3
I4FNGfojvE7O7SbsXF4eFBwpsShG2dUUPDNyGMpnx8FOO5pm/t5JkgKhF0vu+ACv2kOJ9opJMJ1a
up1UfKoABmHj8j7XhJkYid0McdmkFDLf+3abQ94p9HJtF1V3Wt3BbbZZOS08QnCKU4a8e3tlgxPy
Pqi+u44cA/g/WKEoZemOCnw0+ZFCH0Yii2d3NRDQchhA+4YxE7SmoqroSolvQA8lB8RiSvoQb/h7
0wnrAKIh1uhNhSkuCClgWK/tSUV6tLoTPqFLlV9dPTg1nWNMIqMZs9ajbQYzpTbtEPX8bYfJaJIo
6Ibg4Euz4vedaUF1Z+6PksFeABtEu5HXMHxDu/KunKX7gROl22VakQSnpvNbEAMQY4PqdEfDwlzs
GrkN/WrUhMRXxkIG/tltV0L/KnDwoDLVOHbmhRFarZCzxIV/1mfVm6mSHHqiNRGeV/FH4awyptVw
Ao2RU4cBlmt8iD3HPOSZUe6mBcabMbMKsxVV7yODyy920C+HYDIqkiLa33WkayJ41TgLaT6YRzaI
82qJq9gGXTRfOuCVzgmgtSdQ/D5DVL+D9r1OkGH6xIcWET9hPEKkVVZya5AyusI3G7whTDtP9iqH
HUN8R4YwCvXFRhIfbFM2h7Qa6GWEMRRK30hOWQH9wm3ZHCMxp1dJO776vmKW0IDNZNWjlFZrTb34
Wp+HEjfuphXTum1IhIJgoNuLcAlipNA5A3g48SFZ3RuyTuluzL31AYpCf6a2N/s+Z7xxTWw5xFms
bN91xXzXj81EVg+oRIvOFGoqWJ/cTmDoV1Tw1IuH5TDIX7UbEIrrgZZRIUrlLUJYWd1jhaLYOa3c
46QdnMZFvk1WQgOl9o2ocdzpBy0CAxJGi0LJs2ZYr0ynnbMo+/MUU5Dpt4CY5slcNrZYrGtaVEWC
uyYtI1V6HPjLZooaEZCztAYOFLiPQwSv8R6TXZ1FSnh9WA5oJHltfM4uBQKTJx/ZJK173TFyZ+zw
PLl4rSzLlbtpaqyzqIcvbaaugXHRlGEZaLO8wfdxXL9ZDZY3vNuzo0gSJkkTdgI0DZnsbZqtlA8B
49s4enJuuknH97UZVzuQOPjGfHEWDV6A4FL/PTvuHE2T7r7FQQyXm1L3jbusd0zW/CgnpTWFLpaf
19pjJmaVyRLheygcDJEMpDeCGja2VUvdPrEvm7/YdeYcaGmJ9yqb4FvzsrlBtG9DqzOCh5Tv+5XQ
+ai2xVwqroZbuTOv8w6/qlXqxtviO43NnVxUMe7chisS0gXg3ZWyBmECd1W9jKnqv9uQ1UwM4oHS
x4QhiR+5dVVvhn79XHBeU0d1sVt4+o25cnPkv47YN8jCKBcgUQjRdMT4y3ve/VuTl88ND2G3X3O8
orYTFF/hKXUnfNKXZi5qqqzlYiQtkzTKMlyMluvzGE/qirqH+RZD8fNoU8yQBAa5qom0C4v8nYvv
IuqxRxTMdy0MlbE7cecWPaRRT3QPtms+eFnfHZo2N0LC6+aBlFh+mpdeHKpO66OmsIK3PHzVvQtY
eT92NpP1pgTXQShyFytaqacW9+kyVPadbstsW5tp/bXxRb/rhISLseSU8/C2mPug+WRBQkhGBj+s
rjk+ESIkIZLNcvqhypVK28YE50p9DPx54KHsGeUSGYbfUPrRVMcp6z8b225O8xRbD44VdBFWhbtM
jcVpWSUg7sBBZrMsY3weiyL5lGuhdim/zW2HTnv0ZBdHoGfV/UpZK9H8+EMFnb6hmi+Jygynouvn
WNrppikO80gp7JTjQNY0YGPlMr90q/A3vZPaEczoOVpjCRkvEUl9yiV3gj/bZmQ5egixcq4RxMbi
SlAzUIZDpbNpwyyZSg+Q3+/2bJdXcW0XQ1QPXJHAzct9XAfWUSDOUyTgXhVCvy5qbs5zM9/MZdN/
QDbQVCo47TaxSqD6vn2jHXpjgrjv35zeldg4u/FYyWVfNMYz4Rp8+lQF4vmt4/rUxFW+S1ty3Yl2
q6e5n4cbkgho1xf+3twmp3qp1JNoUzAw2Oq3XTCqj66eVlZuNgXIqfBJkdymbWvzbi4aN7nx2jr5
Yo1EmZlcupALbPrnYZ80W4SM8Q6Z/KVdIOI0hr5OQQjD2Jh2gDWIDw1FS5XKvFUNA7FwbNY97ius
poxme+Y4Z3tlaECJXPaFjT2Fi0kew8EjBBPWjm9ja6+f+9zIotard2NBQ5SbHfRkDUfm08zymMTh
JgDc6mMNYe2bxWHIJM5v+HE6wNrfSC9aXMKsBP0N/xQ0JI9sJ8ODUD6OM5mAjkz2liMU7bpJu2cr
X+z8BAe1m+ZUbTOv3jt8fqgq+T50Mn71KncIW4Af5rS4eAbXA/6bp2XowYWM+OIM/ezn9qWtjdjz
qL4Gg8EanRrvlNY/205xprDgAZgH0YbKumVKD5P0h6LOco+5UUO5Tx7pI0hDuuDwHXjXmbTOhk2Z
Qenpnk4+41pxB+FRDYp9PDmMUGYvjxJs/qxSGE7bce+4XfWyOh9IcWXk2521saYLy7Jr8bHIxeAH
7LNHDTeTt1j9pFb/GSol/9O9FW38bW7kdUoNsbDlAIFRMCAsFWPdKn1K7QDEbfU4+fnX2u6ODG9L
kqT1jeMW/O02yQy3HZm7MTunHxIerG3ofCsk+kXa2QSXpi6a3PI+56k6Mu74juxwdKdla/idDLG2
MuYex22Xp/EBqup4C5NM3i6t1/+AIhYgmskj1pnqFGTyUlwxUVs7xd9x83Mw57j/OHQ4cy+HfB5Z
YEDv6Wq1UdUDp4orGanALE9LUeITjKf0spVyOzwRWFvS0tfkQ+p8Sz2lCoO6PtuCiUZfz+xVWrjZ
TjXhMk84IvRTVnCqN9jD8IVz2KW8CjShIPgiBOb4vTm3NuFkeA++m9wKZ8o2rq2+jVRK9QP7/Npl
91kVWN1kzDsf3OGmc4L7dHXOTh6/DEt9U2H+CWvolnRityaDy1Id03QFBizqJ3OgdkyNRLHmvH3N
qRHfkjBooc989wzx4pbmAAabNXtpe340VTy3tqMBXozV84wYGi5SlgeFK+wgSC7vSBsuYdv1+Vs2
aqBCIiXHiCBy8urLBMvrKNKuwJHggf1WM47Yg7zlm9LwRjERHGerW2DbOvh7nVJ/ehQO3TKZZHdH
K3e04AyJDKYdECjMc82ZJco5/5ymOmZzRGhQ2upODRwwZOt3rynxchg5sd4jsTx0OqF6tSVWMyY3
RNeG274zsFDy7tiJIHbPTQACmzAM5+YMU/3NahP7U9lcRCY2SXb/6gWw5brTID4iO4M+kNAztPEm
d360icSHXk06c1L4D6iXat5nvtTJU165pcqXlIul24OdGnrPemvetF1KwIZ42qnqDvWy5vSP4dQ0
l67cJQzwzwX57Ofeatxnf5Y/4tmiY8AGE56WjvlCxG041FZuPLTtqL7Dp0nuBoU5gIgM5DDodnvQ
PuN+hrVL6h7DmdQwWgUyDj0RqUe9TqYSrJ1EDtn39d6TeQlNwt10IhOcCIAjND7IPj2edp22+thX
ALdxrH9dOraK+FeLd1Cd9S7rLIhOiq3QcLE7BZjH0Kpz9kq5SZqhqyXzO9c9Adxcvmqy+xyY3F3J
4xvhq9bHS+Pcbsox6qgqme8ypsfsFov25HnpuCV79SVFiAIczi++gls92KO0ohktpQjzSdPJ1mdn
MSt1zOliqYNpjqDqSs5S2D0Jp4yYwBX7SgbG52DSbHDrMt3IwprwP8TpsV1HhY8OzHNVDpRIVcWy
01CO9qu0xwMpW/8U+0GM5tIwa83YzXMAe5h62/lW1Ji63Xn4mANnerWKhEnzWp67OaUXJFs/OI6r
+4BeCLyPysASYug+sgo1Xhlm/2Tb8oWP7U+1Co4wjcWO/p8G59tCtSG9aE/gT7OeH0rRdWoaaEM1
vvNdpU20oMqwUB0zau79mtunadpIpk1Mzj63xYtOmFdzC7YvY84yHTPDDf1aE04lJzZsltytv6BV
1E+tMQUbFaTtG9Bk5z6DXHhnd52zSxeOhljdMnVX2MF3qi2Ce/Q4d9NCLcSQ1TZEglbMGVSUIzBp
77roa3WNMbTYucGMdW7Gw9N2sUs6oqn2Bt7ZDabzOoRom52WFFcNoJfGA/dOODav129TL8xDQuvi
a9ooLOl5rlA43O9MUqH4ymDZCMdKdoxv29vSiaEAU410zXgyB5rv5Eduvy+ARVvY8HXSHWbmf9fJ
WBMfbprsihBzBrcfT+p6VUJt8TAeOOOXBWbTx5hPnX0ysJLsx4mw2cZxV++VILUJIWvyZrmDQZt9
kmigR9dpl7y9TpNhgTJGWJC6aEPFO9+YB7EVhQIh5UJjxlvISW8d1kfTBl3XjiWr41KILVOTh9zV
vDMDVbxXMYQCfP7z1p/nZGfWbr8p+lY+xUV9VQyQpSpLnUoP/0ID7Jjb0CpXyrsrEkee7/AtPNpa
w5Thd8igt3nmg9RTVdbNa3F5d1pNddPUQxHldetdyzSwImJWoJmo3Kq/tk3rnAZZ0SUtiDZuBZ2y
B0vG49PULetDEY/dY1Y44mzCk9lNhoBeA5U4BN+Oyt6XbXmw2mBWfHSmYfnEKw1Ii8U78ZIPojyq
hLu4QlDZJN5k7DJMktQDpNSilwOJd4DwaOlLV8TbApgJnlOtjRarVV8ysJ7aNwzrNlW9k1c8erx/
bnTl6x/QP40qpEqh3msutX/N+p0WUWar+1j2vL2Ke9cPqn0wprCn0C/DNjAT6Jj6TiRYWlBygDfH
oxsScLhBcCcVDiSoH2NevMwRIjy0TP4LcrUeZIkLRHGjXbHBUkh8ci4uIDDYeGeJlyksuv7Z67I8
3aaFQxFY1bpvLkepQzBirVAKn+QEbIhZ2aDvOVLGPP9Vvq+ILO/mruWvGtLXaWH1s6Wed4ZVmHuk
j4+1J8JHReIaNuv0rJf00E0Drpt6wSfqx+ZdTynRzgl8EwimUZDjxCdaD3W5WdKiOzl+RnSo1jvs
madYkK7ecLfAv0MV3qHq6LPX5/b3ufEAbFd5VVnswRdvPyhzlEih7XAlPKX3nifBoSTK9D8wPwR7
Er7tC/JH+6X2++E+mfzhlTbbHCg4qKkS6S6yRuXdspejJaFL/Kji6duao/1jSOGoBas138qVYr2Q
bFz8HQ2WHT56eXtVOwlhaAoocBSPved5EUkyg/alpAM0UDTBMHxS9GXNO7KxqwlDbmbsWMkau0Lv
tMETa6kGsuOUqFly0RyDKRpU63EIFsjxuLsYqfpQrdfGo8JEFvlT4Y7xzkr97rpP3Gkbm5eJS5wZ
3xYYoTM2uF15KSHp9dTfy6kVe/AE5i2yiMd/dQ9ZJulR9KSHVSsK2MsGeBc6u7wFMrarUmrymPTA
LFAUp7VivI3LckthaI+jP99xAoo3rWo/9aqe6mEOnsAi1Sy7Cel4fF99tfWs9bWq55e1h3QohsKO
SFBsjUvFrk+/y6ZZsuyUNGhCDHSOSZkZz/1kZBCS0C6R3Yl2pWtGUdZM4C0VgAY4dXWJzA++GXCY
hS+D8JIq58gOFupjpqgPi8yBVTFseh+MlaSWst4of8hDGnQBrvoG1qmQqYpx09AH20QmQHMYR16Q
PmBYlVds+pojPW3NDrt9++CO4E7B1LiUdLcV/PANgodL2QuA4rveIdjKC8xxH2nL7g6qSDhEKk4r
zdaJhToRcjIhWpjLHBV+r8IuQdY0J8995XuthE0rUAmdpmHQWUfsUJxYSrxjCYEa2J/Ox0K3vQZp
aAT0YdVwMlAW2yd/ubwssQAiIRdO7HwKt8BiNhFT3OfMEFje0EtecEh5r8OSetcqX5oz+V/vnsGn
d3Rtx3kyJQiArSuNNGdXLeAtDWUffB0Xv7lEfKr6iEN4oMVGmBlymotopyXIxTCnURzWAO1BP/Bl
OU+4jE2QxDlMda8mTTAEfXVLIh/bsyIQT9t4IIoPEoYmHW/Yak0mIw8ZDNVkW6RGz7rTuN8WT3i3
GMvL76W3xiimSXKr50bg03Fw2/Y6qd5yGaynlnpC3LdTgAxRGhyY8J4qMFGkvB4Ckl4tAW9hvfXY
rA6TGsaKAFLq3hVmjBrhd31yRx8o2m5qRDY4qmezD4bPprabZ4ZI8UuVVM1Xg2d/Z/Rc+ZzLWRAx
8ijWqbP1JV6a9BU03gUJBVrtq60M9w0VWHwr+6XfjC2FlvHFMy16tvBQlTwg+MI6tYYQLClNvqOy
b/4EezttDHSbTW0KShPwaNOlDq/s2cC8dHRmczlTWRF8zfEzbUyvhy24+NnJRWYGNGQM9PI2Kn5b
EVl4AJqy+0oLenxa2WuzqV4BaRZsALHEVX0aJaN8ZPGqf4y1bu7I5ph7hg0GHjKpSJFlbIKswviW
IfdgxMdGgXZj4q0FrrEfac68wceB0Y3XfrdzMJndMS6j/HNO0LtkVrIpqe2qfVj6CVZVsVBJw5EK
EVJQuHK2h6k8imnxjxfuxinDufUBD5PBYAObgDoUyyMnYvtZ+dgHk2luCcE3Z14YFAIAC3bvbJi0
zZ5j8kx7g91xiibBn9O+C3SOfbbr2e9WrqYvCNbTnWnG3YPEYPtDdro810AOYRfE7ifVS/45hpx8
nQjPMDa2NTqfkkjCDyyXk4Au0OivNdaT11ypnuoOx6MlxKc3ot4skxAxFj/HPXCrBtuUAeljLzv4
kX4jYaWIuDfvDTWI58Srqo86Uc9WgCpa9+xIxoWkKNm/xCL4QK/JHR7+5a2C+UHFMtqpZj9FdN9D
el8P/YCsJ4OxryKOAVxk3Y5sMAy3Xc1TntKBtE1hmjFvmOPsZpkHSWCIqSvviKT2I4eW+iviBMrb
FugV0bR23DpVPVblxvZZbAD9MYhuSbuex05AiOCWsG9M7SHYeQMsUul6yZsG71BsE9W/guFp8y2V
r+lxrFRzn/JD+ZHwe/HUMyBcdmbVeR9sjcQYwkZd3nP8vogrZevlh9arHDZSODqXiLs57/fkmS/K
IE5Cd+MFtfuNIBEFri1b/qskdiaIh5eVLXCnfbIaqPYGMdBT4i3fKfG5NIpzUUKO1jwn7JH4BgwT
LNslXMOSi449M8eB1lKu5YdKphjJkkqU1F2wiljWNUXm1N4pyAPu3oEblQKhXmabng/FwMPhHx6t
YRx12C7CqndtcsFka8trSIqkGdJZb+XvcS/KoycyaW/KZKAR2sPBvKvKuHvHCQq8ehYg7UdGN8tV
URjlBfHqvlIzxfKRJxzeKhVXxUGVhfORl4N5tShRc8BdF2u/jBSzOMXo0rQCqAVHcsMwz6+PU6IZ
lHkM0+5cCuETZpCa1aSP+/c1by22eLahXki/VmAc2E2ADP50Riu4koYITjluq7tpdcD88bX7S1xM
nZdFG1tmtZzxF7qyXagZBtO+PWebJt1yam4/O3900jAoc2Alvrwtmfvu7aRLHtOqcqiTBBF7yCmp
HCPm9mlU9+JNNuZyb0C0eDcuXWlQEK6JNjcfWjr5k+NRP3NYpyZA/BXdK+QDXJVJY92UbWPcJ7Ql
/40R42J/+FfLS2AKXFAs3DYpfnGxT/zkWEgL04No2vmXMz3DU07Md56L07Ic2ox1m63q7WgZ+RMN
KiylvzdMiL+yS2BBYQoKlAvjzS/+ntU2oHwEs79f3GS4DdxWHUbVM0UwGdvjLjdBHKQsrVAYx49p
ZUlRWldROxZWqPlli5Z4hQ8Yd1O2Jln4mgFTjaU+mtjGM2+2rTvwsw6yTOUCgmZFXQ/KFc1pEjnO
6B5fKln0cJJogw5OrXKjp4IQPVnblrUeFilhNXtfzYURZriDtu6F+6SVFuxQ5OOsORzIabHuusx9
z2vIUoY3DofO4IWfNyCqQg5jWKVmkBi/v3T2n22EFF7QlusAy0Ad9H4xsVXcSlw+wW4dDyXnBvNO
iHlpyPUtx9rCsjQteDMcSAPMiDTA/V4vUVDu2AVcPAaTvY2zJMCWnI4UXOvK3dG6NR5NAg6bZjbo
XNCcd8uCDbCT54c6p4j591/hYiT99dYLJAMtAUQeP4N/cc79dOtlrCXtGKhgb6o254gTjGu5AeWb
Xq3GcG/NI71zLM4bsK/pyTJN/YOJlz4q8+LWQ3CTFmxfu58IItb4Nn7/1/3ZtnfpGqH1ESxdgD/1
l+uboOG5lgvVE54k79DZSYJr8ufqbz7mQsX700UIBI5HHgFe7dYvn9MyMBZ93AZ7xp9LwfLtGYcJ
gth2nkv3u80BnndkQfuGRTMggBX3PmMTOm8RxkHWDXZwS/SpwDbDw9LKurolWA+Jp4hXbNSZ+dgO
Rf/8+0tj/XpteF+bFnWUWCeBf/Di+Ncfriu7FUGCe2/sbV4Kq13LjWciDgLnIMTGMeQ5KG4bM2sA
FVyQCJVtbtKxTE+LWOCiqGz5kHkwX//xd/1PN8/j0v749397+6hA6mT9oLL34WezNSNf7qr/2qP9
vxnEvr2nb+VfMRz/4z/8T6O2d6ExUvzr4721Avl/m3mCi+U6EDwSluVZvsej/J8+7eAfgqeD/2+b
17jwbMiLfaOH9N//zXb/QSNP4GE58y078H3nv0Nw/OPTf3pUmOUITjim92shD16CLs1TMz36mJQG
igGnyiXo3Sy3fV05T1NDCKUlBA/k3+nWKqzVWD8Sflp2CsLuh066IL9emsmyKCFkBTDgv1CpY03u
wGERkkI4cd5sqWePycXC0EENr30rPUqkqOl2pmleIcwh0fSuU9wvJB1IdRSUb8irNlv9M2+lgvUf
m4Sg2x41F2l+4IYfmiCSK4VbG6aN5m2JnmBuY8+dzgHe5uM0ectek1C7gn2IdS8FaMd5aIbA7AWn
ACt46NucxJ0S3EoSxMNzkBucRyf6YpS+0GUadMDNwE96aZLII2/2BF4CRsWNWJlvTcG6HHxXoc2G
ozWNJTN6zswbpuOyumaH5u9az28UUWlvOfUXNYpGtksmFErgPc1fGNLJB99WS+9wkE+Th26iOx5T
B26DVrJ3WfUlBGQ1YInot8eW4t/KwZUvtdE6WyR00p5METHMUr+emMuwwwi53PkTMRGjc1eMIoP8
hqdYbecyhzZA/+exXOltn8jhglzD/fXWjyRUsGTEZNgqNlum494NcKzuzcEtnxV8CgRTiSFq9TRG
DNWZ+tz2gXuX0ToCqMG3z3IN6oPFLXPbeZ31kCXy3WvEfN+knfp08ATdBALe5Yk38FDc0U3Z56CM
FzU+lYugWgJUJfz9Ak/0PiCzfkOR92hvvdKC6LUZ4kpcvEGcLM85jJ7TZBExCgl2V99aqQGIz/xY
aWh6fpIyXGjZ2adrzcdRlbmyHU/Wt66xYEG2hmrZJK7leF5HvvYGR3UW5fyjt/OSmenbZHblKZs6
w95Iw0pNMnNGcT/V3cTJnahttjNVwYG/KKsBH5OV45sUSNP9vr746DjtFsyzST0mNzREBCcX0YCI
k/DjLzVMtFekN/FDN64+kObFbgTxWSCGd6DcCooWobTo+tAuASxnxvP+vJs0CE5X5sWZKL24SWNX
3yd5AJqnd6zHrKLtsVNxcg/TByOoY6r6YQXB8WitBGn9LsMkvYoS1JU/jUD4hWS85/fedVqUI6IU
Bec0gbjNlVVdUofCze0tlHvvFerf59hqg6+qexs4qMxJuBfL/E05i4LGRv9rGvZgr956Mx0f4ECK
13j2IL6Sf41bEKqMr+g6rJxv0Fgt9JNsim2mF938aHHsu87xpbPu15wHQwp4Jewbunx2wrzgkohl
6girq/uOaMwxztADB/95tecd9UHYZMQ8LN9MXxk3k9lWDqe0WNLOaQ7pvUHH6Vlob9qaqz1+mJVa
s4059P4LZwHQf2ubUg6U2WbCqj4tcVi2M85lbg70ksEz7a++UtVDO5vqiRYlCfxYYBLZLEQEroyW
YTWafNXrLeCNmf7GuCPnjza3OOdZTOl3uHxgEWtmpy8dOSuS8IXXr+wl2D5cLTNPH2YYj3BznLn6
lOY2E+xVsbHFSKy90Bqs/kDntPFEtjm9Izbtf29ma3jwRwl1vvGwT/HDJeO0QczBofB/2Duv3cix
Lku/SuG/Z4LeDPpvYCIYTibklZJuCClTojeH9pBPPx+VWVVSVJY0BTQa08DcVEHpyGCQh2fvvda3
yGIUJjbzwiYZo9J2OY3hcd22YQ5WAyJeumzVWDkbEznrNlXyjxYSX+1LSzQmoB3khBntH9Xiju0G
jwFE0RGnaBhPoUJDaa2bvYOaC+dIuixjEd4Vko3tOo2ccJc2XoVlIA8zsaLcJEZVYHpEfdSnPTie
VNxqeTLRZyoQZGdA2WkygKdeealLeEuroGWlATehaqgT7yxxA++yjvRiP7Qk8izspkbUYNjGqlYD
sjUK5mfUuW7b1csp8JLH2lSGjZHzFPoJkUM8kEXmfROFzC5sbk3iYYy8q/yaZASCP52sp/2RpK2+
jGImNWjgeovkTLfvnpKB/Cym1mRew+xHn7LMg7je16McteUYAzJB+jRekPBTPKSitHJAjozRz/tU
Rtt+0q1HxK5OvOrGrN27tEruK6nj8BNG8yIRW+e+wmBJMJNNwttxyFhn096JdnlNfUARRk7RScjo
HBgexugd2imFFCIjuql7Wz+i79PWROpmarLxOgWMUli7A1OXqD5zXMK8skhMl3acS7yQYRGgFlTl
Va2bjvRhYwU7JmzQwzVpZLvQHtgMTx030FLXR/BR3WS08IrcftxgaDceGWnWO6gb5Z4pEP+iBzB0
gXaOeJ/arHjrR009u5GFIs8VkrcWcWYN37Cutt/DilShRZe4ee3HwArxQPJ4Pg6h2wNsKVpnqVu2
8PtCgbaF/MzhzZyMt+GQIJPnCnoxWThV0i2MKhoQLfcphmXB8zUuQwDxYBVcsUumrr02rSzRfDOQ
JdsB/CGMJRSw55pmilNXAeuXCZzfndvJOwI0yB7JldzmxqvntamK1dHwWSGNY7zybX5eAWDrV9Th
tBekoDdbqKTDzkCvajVWEYoMXiu0pGdBPrqMNvw21ZNx3LhkV69cISf4x3mYEjhTu/VxkyAIwLwd
jOPRABkp3LmIFaNVYEKIqjx2DiqY2hspPPGMPcrdqQSGfLWsNLolVbMjr0FXh82gztNpzWw3NsqH
3Yg4bDkpRfdCCwFUVWCY4DsAdKL0xNSi7UDkgA9K+VMJLZdztlIlkgl3XGr0QsolvDTrm0nscreg
f0M3tq+nowmy3k62A2V2D7thn+FE8dGSYbIlZ6Fcd1BpIeVNyNDA8taXhmLFkme8blY8Ma9RqrZ4
mvAQrgHsF3TdUlNel2jDdlKdGlYXZ3JOY5ZdZjIZSETWUfFVt5kloI4nrN0SPOel6xRnJUZFYo9o
sm6lFrTwAxAr57Y2oXB2+wvZGNamEkO1RZ+rwdUPQ/MkQoi3BTNp34d5w+1pDPBJgklLT2pysZ8j
qCjhYm4BEqhoW9HpWLv6TTnMkNhA9i02rmbY9GnmnbFPKZ9a1D2EmzFygDIy50SYpumddHY4HtE5
zR7GsE+uPEZjS5bMZqtAIFjrlVUeecwYkCiVvCT+eyuu/wdp+Bq+dGrwv6+mto/1eBhx+uPv/Cii
HOeLBfxTZWqKTw6LFdUzIvb23/9yzC8mlqC5dnZtTHQqx/mTg+9iOUP6zczTYBRKgfV7FeV8IStV
9bD30R+Yf+cfYPAt57DfgPUUMjH+Thxzv6jdARhEeppGBbnWbNYptwizyKciZ9uZJHeh3Xb3TIhA
htsQMVlEA5IwJLBDNRX9tu51b5cg8rliXgVWpHcS77ZEKnWnD4Wzh4hp3sQWjIOBsnM35kbyVMaK
se/qUO4K/ru18xlIzGgSVpvQWvN7yqYJr5Po2j0yNP3aJIsCwhvDtZdxxr4hd8qudeQMvov16qiY
8XDgF9DTzci4dobHYQ9HQTcD5fIZLVcrbnALJik5TZJ8Hc8AOlehBity4a0Qv2CDSADV2Q4AFCtl
gG8kBitZ5hKMFVqCBoZdhnsvNopN3EDiM2Wa+QayzxVEZcAYbe2wGgGf6zTX8xGm4+hDLjDGtnrC
E1mdGlGkHMmZp8ekqt+DuzTX/Uza61u1PS1n+l4yc/iEbjZMdIn0cGZAXwaweNe3nrpgQ4yQtrP2
QVdnexuvPEjKzrvXahNwlVL09Pt1E7CnSM+ymQFozdTztq7GRTYTAiHCstdG0rAuM5w+ekReeUvW
CsLs1jqiuNNRnlQvBTGZyFjbWsRMCNPhXm1leEug0nBHDE1z7QVd8Ez3ixgQ06XiARmuMbIZVd2J
d7baQQlnC6De5zTSmPDAmqoW7uTIh2QUg7lOAzM+L9w+OAFEKI89BZF+XQ0uCpRpcmO/xBjlj8Sr
mWimDNRfzBThW1cd0afsefIXbZTWNiB9AEEKNpht3ZTFiUFJsQqkJa4ydJm+KXJ12cTOyygT5E4R
qDdyZI1TJPG87Wb6IzZR9EQzERLwVHxbkoPnowm8JOmyOk7gRb4oEkIEMQg6DaxOdOyzwhG7gJ58
j+BPWjOIktoIc5R0gmMdsIXfDQVGGvSqmgbCfCZZOk4Fu23GW0a0FPx4asYjQlyds5zdTKmkNzIq
QLQMMyITtXzxWM/YzFEHoBkSDHlSz1BN0JArfcZslkqDPc2Y4ZvDjOFEFTKiSrbJm4PUdx8Zte2u
UpQtd84M8WRbk+6KdBgecg/E50Bu2iKKcsNnwO8e0xRp/NjDIWdbF7HUBGAqcKFel/WPCdF1t5Y0
IlAvYEWrGTA6dUzNqfyCGSMYx3hMGGUArzNmMGlDL2iBXz08JvO2xy9QV2eWhI/MMLL6SmQSQ5wo
RxOoC2JtMSFWqJLwswGFGMk/ZO7MECMnhydldTjTDUtuWxmRQxipOUjPXteGWzuPnaOuZDDoTEp5
GjitWNhQLs/oteC/KTpt1UZsOJveqTV6F4mFXLaq7NM0ClECBhnEfEgY2rPLgOW5wy1yylxf1v6Q
U6QjH6WMQ5lRCYSHDZJdGHLDTVwjr9rgn1CzZWGRWOF7aJzAyye2WARGYh2juBWR3xW9dQoTCdUN
Es01JgDWwdKBp+xXJhmQyyLBNtsaTh+vJ0dx962riWlR00a9xw/L+AAjGPrM1Kox8pB8CcOkz1AI
IUKFk3BUQ3Y9IVJgBhHPmG4g992FVPrie4PrWS4DRusPJlE+1qJArHsvSxdXFgsiG1uy4xzIwRDu
nfuxMEkNg0vn3mBXJRdWaMMdioOpOGLiYtiojctxpwyqVRAngGwIFFqsPAED09ldWZVzR8Bu7q68
zK3P1apzTw2kKCzabBtZGCUAKSIziP/tdOCfTMtVSddM95R7O5I0snCzIjwZtUZitLORim3jWK/q
pQEOZA/xCU+VlK0hV6GugVlrlCGpN2MB/Hkx6FZ5Fds9BoGBiawCIKsmOLeeiTNdZ9sRAhRLb6+q
SFWOnXrK111etfXKIUN+hO6Wj1dqmKInwrzc3aOAhYCWxwPF5NANJtDvZiQspVNsMPuNFTAgzZhT
h9jQe+KtU+1oTDJ7p2kt4pjGiOVLrdjF164umw2sypE5sWnNpGkpsss4dYKvlKXNaeaZL2JU6kcr
9i5NKREKTBaT9AUuDXvdIa476lB/PYxujz7JpJP/YL5aJkPEqDvVDp1gEYNf3IRa71wGqTu55+FM
fST3MNcQoTn1sMbIzAeADtxu2Ba25sJ2RntYQrRNbpTEkHO0a3hLfC986S4zQQAzNxkWg10Pz4zf
KFzmmTmRepG6iqLBOlXSnlE+UYPMSlFKWDuSznjuax6Eu8rK7OuxtZkz5A4kzJwUKwk3njJhMwVB
z6w61G46Ir5O09xixJoqwHZWhV0kd5aDLZKRvkuoqdnMMvcpDuCVRl5zVGaZ+OraCbbVGQ1cLQMn
HyySeIjzpjdJPnBa8MWR7q2Rs642nCBq7uy7ICgGQ6ZIpn2h9DwxbaBlX1H6dsesodqjqrXjV/IL
3V1WoK8lf3lKWHsL8hcG/mkofdiM79kMTxdNbwTYLVNv2DiWpdwjfZXH+uiqN0B5eemR2APgoPBu
Q8Kzb9TKyy5MQ4bwbyQJOATd5Kc4WgM6sAFXlkW3PUsCky6Sl0Ttbd+bI7HbsVE+UKtUO4/WNmll
RmVcWTEulwWrovJUiHbEykfyM5Jrj4QWPAYuWwWva7NHdFVTBRa+hyvNoBt6XxLTB9/QhFOJpKi7
qxLlxrMTmW7+VRsC1VzU4+BcJkYShWtnQGlT91SiizYt03Mv0ohFbgNbb5ZmaA3HQUtPyk2S6GJo
o5joExdSXA1VR0um7InvCu83RLoK+27LW6Bveb+b2nQJXwjtZkqMIs4bofGApFVRXijOLK7ShaLe
VgkYx+XUmQ7RmZNNy5CgzRCTTe11J06oI4hIKVlo40dWe6aKlKMPCCAYlqdRcBfYEh8k2cnAEXEl
nIWAlG+BV9sXpOV4flbFfO9JXTTnWpZPpxNlHMh6bGWXHTzQy4EWDZ8ZvsjarjWXJz6M810cjfZJ
QuNYLE3ecNwZ1uhslaTT1lqJYH9p9Cn+s0lt2dFqEX3DpE7OiPugO4n0Wn+cUDjcKsKjj67Zjbq3
a8kVgftPzo8quUKVWcVbTYbuI10Q4xszRU4Ltycte00OXF+k1j7TjfAbvKVsa2eddxszH9tEE5bt
Rmn1PQEhyWk2Wgj5FCubCL5O6DkaZgWH39bI8MuTWbxZJo1HNKF0j6XZoh2ZdKdN/Bjq/sOQpQgb
yLczXshuzJ9JHDaOrEAJn6ZWn1sUzeSd6NLYR3gbdqT+8Jr/760Hv8n/9a1ErETUZ/ufm+dy/5g/
N//xrkr8z/c/Nj9+Dp9L/7F9fPcDqSxxO16gFR4vnyFAtr/XTfOf/L/9zd+eX/+VTyZwGlQxhBV/
XzSePKZN9Ph9eH6u3k7ufv69n4Wj+UXTDZXMBFJEXIO5+B+Fo/6FolG1VSblwIpeS8qfhaOmfYGf
AfbFcOCVzPPYPwpH94sOhYlqD1c+5YCtev+kcpxnf2+mb/CRAO0CSFI1m7g2VfNmQcKbaT0q0QAV
aWEyf8JNlTcbjxjqkzCvH9BRDCg8VTaYQ8HD2W0CFw4Xhd4t8wD1pGz6O2NI7ruq5smZxo2M+m7b
ivYcKRQtN1ubiwE0raLCd1Vb2V3rNtkCw9rdgHjLwyXHJFpHA033HtbkEkv52Ztv47zMgJsXvxVd
PmP+2ubf/5qn7D9+dfedn+YPB/VFY6SNnB7b18GHw1QStaQ3mbi+E1+zyKwOXoq6Olftz1QPh0cy
5/KfbBIP1KtGf2YOqntzGUOl1pw+z00f0w/a4gJXhIJNFkNWFfoff6h5CvzmUzl0H2yS7+b/GXMv
Qj/Q9gCEHXJojZjP7f6bEwgCw/NidouhfMdUGvTMFTO7T31V2JXvgKpfAvLqF04oIl7uQ7udumpj
xs49f+q6KPJTYlQnWDb1Hd3MY0KDH8lmNK2K3Ei7fKoBCi8rI8K4XYiT0QyJSLXigVagSsJX1+wM
cCJL5HuSKUo8+FEwPtr9dC9E/GAIJ2cQoVqfiUzmb+7Pb/b1GjB/Vi2aKxZeZH2+rd9c78DCYDQa
NPRK191ECWqYXBKvHbXIQ4ONV95Vuf2oIHrTI8YR8x7F7PPvmRI9f/xlvB7o/Yk4mmboBq0h4FOu
dnAiWG1AlYYWcvN2hjUIQYaR4ty5YcPwU8u+ZR224IQMpSw7rrvpurTGiz5InI1BFt0i9/QLoyPY
VMY+xe/GDJ3HKQkf8lFbT5l1+cnJzsKrtyfr2DZbftfE6k0fiyXk/VUrEnTSKYXZSlWRvlpU1Y46
XJu9eiUU+7Rq42ucUjvyKrYTyI1YqLdU96SdmMYikhEhdAnaWNSI8MrJlo8QGNrXQ1Wbn6igtMNv
l/NEXKADteBRsljp3p+nFQpw0LGj+Ph+rioYKeshzwlHHSSM7Y7dcKPx3kQhZNpsltN6eujFdIWh
edWxH/z4oh1GTB6cy6GYTbUrLWOIE/hBwS4VD2bqaQTUGTRP9A2Qi08O97omHXxHbCy5m3BEIVNS
D24oh6mBO2WO5zMewX4Z4n9w29rvctoAo3mFNFlfuyjzQS2TvCzmQDWQ4ztTjR6ckRD2BFbLKhyY
wgHVuQs66J2Nt86T5hq/RnqsR7h/OnYa68CKLzxqer+FjacY04nbMuFMsD0sSHJETtAzKNZLDRdH
dwyiLGGeZmFDNMVJJrDQk+IN/RzA3BbaEVlSFvUwETLJQq+Jdm+N6fzjL+L9Essuau6jIiSweVdp
DiK59zcFkHnyz1u+iAnUxGSG66TaQ2DDE3T68YFeqWrvvwJHtYkJZoPJgQzr4LVhTTatnIBn2kgc
itL0GWpSyvddkQ7kGaTANNHXRA5XpsCh0o2X8K3vA8zUeF+ChxqkRWE1SINJs1Rnvat+3bY1zv5s
8/F5mn+9Nd+fJzuLt4ugSuhQqFe49vBunYzasG5Sh+ZMkt8FvKAZumKhjqo+pl8Q4fCRxWktIcC7
FZzkiZYfYHtlTx2nULMLY2tguDxFIQuTgXzgrVW4wSYUtgmQB+swNTbJkKLdw0PpF2YFD7xq6Ugp
OrPYwuPAMB5wiE4jbSFh6gsGY3DJidBelXrbbQqz/Crb5DGIGOtIyOEPo9Xd4gewfbSB/UuO+20p
gxAbQSfCY7q1E9Pe7Pbja/bXm4jdjmWyMeA1bfAGeX/J0tZju2EUnh9awb7FNmtBIYgNxJyVvv74
UK8av4PbaN5zYJ3RDQRYr0LJN+8omagCuUTJ0EmfjKOum74yhDeOq5paPhqA3mWCDlgxnjbhS+hg
0ijRHi8gWNWLoS1rH2G0zZdi1edQbT85uXmPcHBuND5ewYKovBAKv78OWdJrueVi3ktynPCUlpZy
PImbT67A4U7FsaFhElNOpin6Mn0ef7y9QWs9DbvezkIS1vA9SUduR/ibfmC1mymOSn9susshrKrH
TFg3yTBeWJhkExVximNigEP1BfSwjgs66fKcoOvohGg6CCWBYy4/PtVfnakNEBJiKdGa4Prfn2mb
GAFBIxjqXLtkVYnzdZ/kyHwr7L8qEhc7ctZYLI5dvf1kwWcn//6bcFx2MSAXHaKm6EocfBNIVdqp
BGbl55VzGwwOS0y9zD1sVIV+SQ+OsCDxySG1Xx0TbAKcH6INWOAOvhcvHxGPpxZjDhFsoHiAoEa/
dFTh5/IBy5yUefctSvsbEZmEjdmP+qRHy0B5QsMYLiOlLPeuLMhlMEiadZZxcv3xl2H+ZZ/iMpB3
MfyyCKPVfT3/t0+OIrRS1VvFb6AxxHQQAytYBwmPC21UMkbTKTs2uYkGqb8kFlmWk/3QYDxet3Zw
X4sJyrRtwuLvX5IoWucSU38Pp15J4/PBTjdM+XlVAXJHNf0NgYlLjzFc90T07Up+e4IedUS/Q4Ad
aXxQzmKdWs3zmKvX3Wjeaw2TBoiKPXo5MwyGVT/jkD6+As77soyXnavblC2zyJJnh07S+/uxiOOW
aiNyfLrh13puXUxgcUDlKfBLEOLQJKxX6HROsUSgksGbl5XWTOTOmlUbNpdtPVyaNZN6vEHuMk7N
pdRrXvAOQzM6TY4gUyv3mmGhGfVJ2LTtAl3i6Auyn+sBEpmTp3R1SLyKg+DRtUoyFEL3qjcYVunx
qUb0GFkhu5ppWZ/Q9R7IUMMXOH3HgVP5nS72dRf7yJSWkDSZZckTmSQnKWlF9Pmsx75tfcUwQuz8
w6ZtoTco6UZQg6yklyJFIlF2bRYGkQuGWJUKeXzqAG2+zaU/og1ZRxAIDWnj21C1I92qvg11eFZm
d87EJLB9/uSrOHw+Uc0CX1UdSjvVQCv7/pvobHA6DkMC39DB7W0tZ9uXW0HQb/lz6/dfLXT+H9RA
wcIwF0R/30A5776zkjzX9fi2f/Lzr/3on7j6Fx2PmqnOBON5iM5i9nPwbqFeBiaNjQMt7I/f+b1/
Yn9h6sJbXqcq98j01P/on2gqcGoXf8Lv0fTaP+mfHL43bJYolyYMzGFEK/iw398dVuVBX686sVJc
6x514pKWKywwMiuW2ezLTUUn1xgyTqrC+PbmSp3/eFn/fXODEvjg0Ae7P7IjGT6rjVgxtO8AlSFo
JFRmW6XB0yBg+X98tL84U+a3uGag9rZoFpj6K2T3zZqckNhOsVWQIJik5lEognZJomk1J9ql67Gp
7tQwSTZ802IFbIIJk9OTd1oxQOvt7m52zi7MKbxN8vR8bJ1TK5Gg4jKLrm7wlYQoRkukRYGuSY41
A3v8x2dPx+3wMdbZ8blIgtiJ6dxQB4+xXueNY+ObW1kpiQ6OYeDlLlsFYzJd/ZXSThY9KID3U2rI
c69L4iszAJ8pBWm2uovaqxN36URKS+Kq2GRBexrmRi/Tp9DBGRzlMQwLrNZy4M/q+ZAgNYfjhsme
jBRGkEt3FLtQ6Oq1gvF1To+vGQdnPqGs8AUuCD4lqSBe9VZ0aWLyDsfhqWG1TAcYhUTMy6Bvl8S8
XjhRelllI6XHd+xzHbk/iwcZy2nDwIiYNCN3TsvaowjTGDx7bkf0fGQX1Kk2xhqXDyOx2pq1Zmx0
BK/XdqpeFArh2JnHkQ3RZydMqsfHJG/pSXsJObWMZI/1JJMLUyBPW/Cyqn2yCOKzsXboD2aD2CKh
CtfM06VvKYF3hDwyOEGjNi1ML2nOB1Kot1PekAzblO6Dgc6A5CJE26g6ZjpXFXZoM+wHmQbeyhoi
/amypv656lr1qNeOSX4cUNtOJDypLuEqiZES62zr0xGxj9NCtSe6/4U2i1ur73GcfI/DEtwiqlmE
hmLA4KddKE3FTGeMoKlk98zlj4QJc6Cn+ejw1VjNWG/nvM8lkGQ8SHmQ+FneiFPN5RXUldcA94of
phY63fSsf/Hw6ixA77Z9rkWFzyNM79fRbeewiUdKnSYqeBurLssgoQIrK4GsiDaa02IhkLFdNK6Z
rcqTKeqUhyiwGLwh7u0XxAqVJ0DQb6TOpL4PCK/rOvdZFu54ZSDH3jD8bJa2hzM3ImHtKyIckBEy
UF9en6n/6tfVafyNEWr50r7v8L927f9HTgXmRAMq8b9/qV3FaRrnb19oP//Kzxea+8UD6c402VZf
rWjsvn+80Fz3yzwPoOdz6MZxmSFgz/HARuHQ4jX4x+uMQAW2JjreHloiP16Cvw9Eft6GzFL+9rY8
8K3RdTNRslkUQPTeaH9YB/vOAOEPRFJd35o9aqepJryYxLlTEyH0kSMHB3zbhD2dQMrVUIXyJh5S
UIJa4S0EInhf8xpjkeu9+y2JGs3Hdu5cFjj1d6VStae5Qzjamyv7i+fofSXz1/M9fP8qo93G7qht
PXjBW9zLAI0QqVFWB75aqZTTwlNPaXMFnzRf2Pm9e4L/euiD929lm3lVV8a4BSVCHB+9jX2aQjCd
hCzBgCulP3kZUZRanS/wpJ/JHjKSLbycIEmP90hlkfI6FcCBFNTM5cyyceroDMI7i3bF1bMNOcOS
Qtz73bgEwINboy7UbTPFl1WfrOosvkkT1cqhdykscFXm9ndprIyTj1JLnJdRziSS8T8bdzUE8kRc
T5qR7ZRVen4EFag8tVCHnNbFNNxH3dD60F7Lk1jLCKrLJ3CbVQvViEh6aGcsUhulBRyK/Jsc4kFT
b8yhlDuHuOtNRsAgApgQV4vTfUtqSOboUvXujrmuuokKJVmzvBHxHgpkDpFF5ISe3Fh2cNaNw4VA
ergjoGHIlDuzKbzjNiP1fEy8r82kEyPtVcf1aKr+GNn6STKFp3nO3LQKKVZd3B4LIllxFQM17F3n
sc0BLvYDxZDuJUfEPyoLlCxnEvbGuiG1b9XRu10qkdEeVb2kC9oFeGazeF8Gk7GWtbqtw/I6M+VR
MI0BKIDK72n66grMlkQc2VpgoSlRBZmwpiTSaFbL4fdggOuaK32oBLS+kSiDUS1XfDCGznHV7qza
Vh+GEOiEHTKaX1hoGqAcxxdAzYwjnhqkkd1xMHpskly9X5MGeS17BQFyDjBPQiJZVHa3piKrtmqk
XMO3GlZIYNDGYx5bQLqJzryOtmsPkvuEJFC2OYmGPs4Odm5hqxuILsEOFaO7dPUyWomSmRuVvYVe
rJorNcLaFSmORBquFLhDyz7KiXmrDSJMiRSPW+5maQFJYk5HRJbrDURZYj8mLxYMSUzIHLaoJ9Mp
rlsyl+qZ/CQEWayRe62qnt9gSEKDw7W0BmhYdtpvAS0Ny1QYzrJwdAMQqDtjDCp/ANfW9R4JHnyb
wMqCjW3dEi6fLnEAuQskmag2M2CSSoC2MMgSdjSCXZzjJhuRDZeYbdRjJTR51AY54D8bukVZtc7x
WFbpFZJQxYfDv5GDeZWWlvRBCCtwSvFcpV2yt6G6LuDG6H6LGXLZJiolp6JvlKHeWLqC99YOLztd
QinKvePQSncidy9jl9GPGOV1K+Njq4qXbRvte3QUWyAZ/uD0K9ncTpk4c4TWYKntLqOocm/QecZr
enMr/HAIDHDv2GF9Wqe6P+bFdaPUK116axHl3+DmrtqJzhkinn4pdNzTjWHuCVOPNho89zgRF/Hg
HTGFPJNOeJRAmz3NbfxkC9wAzjokigA2AvzYJ0ZpFte9UK9kM64bdoGXSqPSzY8Zp+DVlt96doCg
wmpEHqgKvMcoi/mZj7WTE4Y8eg/muGTLYdDmrbI1YjzGjVFH81aQllpXcbHTU3RFdIhDiEApYZGB
jt2pJ7VsboluM3KJjwzWRR8m1E3OJmfJ6jccj+rQXdcQqdZTa5LQGyrqZoiwJTF/iWF8F456guBP
3UHxrS9FkHfnQ2dU27jUgR1D2djOZsMljo0If2KtntgiOKtwQ9Q6HgXLTq/HImmPUqSd3IImZK4p
QrrqQOAaQ8RRM5WLbna914XbLVU3iHxYWIjya7bzScp2fk7T2YXOnPWiwJKBM08eqkrErFc2Frwn
5cgJJta7xISB7mKvH1wws44NnmBgHKBo5YsTFlsVhcOGUAvckoCLt40X3xsKnEMzDi4cBMpLLQqU
NczeAbtO1ANvS/BXVUmxn+rPZoJzq+/PRvDrW4yqCF+wY2iUr85BQ1xTTJK50kbbkuRIellub7FO
Lbo4so4/flNr75t6fz3SwdaCuWMRwdMztj1Mj60ZeIiQG0xEqk5qdWo/2TrEAmmZQNLmlbeCVux/
fArG+033j1OgV0DHc5ZkYGHmYrypYd2yGJKimbQtqxXOYCa6CkUoqUxu5ji+UjNxRAydXrVT1W4h
mIl9MK8kUe+px2oSiGNvaCkkmvLOpit5QXXmYSTD3bkg3rnYWwCctqmmxn7SZ+EWTFKx1aVsVqgj
WAQL9agWqrt1qvClsB3aVxRES7xYF5yHsgrRh338eX/13b79uAc1b2JmGRWqpW0Vqwku0cQaQBdc
DE5Q2JcfH+r9XOXnlXVUCC/8B/bH/PtvriyZUkHeplLbxp3zMnvOACGZDwbNEL+2qruPD/YX0Qrf
oGu/Odo8GHtzNCUO8h6ypL614h6qkGV8NfKo2yVD+F2La7EUdtqedxFkArfVITMrkr52irUZDm97
6iXdNuGb9Bsewwwd/jppunaOZTSWoaTajtFwzZGRxN63ieVjVyvO1SQqSE1HV5xJgrh1PJCoSJUT
OW9KxLw9gcL/ySPzfr73elHZ8UPed1AW8HHn2/nNxyRoAzgN75GtLSyk1djbl7lBGCJycAUbtKLD
cSYU4pOv8lcP6rvDHuyp9bZkcSsHY6uYFo9GbX13UgLuhxpNLeRcBXS43JNHWZ8TuVuunKFNP3lQ
f3kKLErIrzBbuKZ38KASiCobUhy1rRHje2p4JeKlJBfRBpDWEkyTVfaZ5arsNw37gVVffDIe+8Xt
DPngz+MfPDmz8rfUihCKeNY9kKwh920RGNB+bW5sJfykGTBXCgdrMJ9UJblM1XRELQefNhpiEFql
q25JOE9OtCEdFnEDffLjp+YXq8G7oxx8psZQjR6uEqz/VmqLgQ+IkdoEdY9I6J8faf4oKmlsVKt/
WQwqrysmkP/bKUAkObja18wGk0uEwMfH+eVt8vZAB+sA9UfX0knDlx1UznM8INfVHcz8HXEJpKUb
V2lItAsCYbbH0CIoBaq2+kQt8IuSGfEXPBnXVekxUru/f0qDSA4CFKex7WBvA3mq++tKN7VdHEtj
Wxnypqw8mGJ9CKu0H9m+kYC0dAR+bidXHrHvpisgUKyY7C6gwoT5V7s2snMt1m+TGj7ax9fM+OvN
htufqDDEoPMZWwe3AenZaZBPNaeGrKMYLcB3EezncoKGbivTqfRsuao6dds1kaSBifuHIlRZw9Jm
+24VmCxyllNgHDjBimCFW4bRJTVNoxC9TBHxUlVDuFNFzhbOMI/RxWH8yh3Ks9GdGcRxu6omSFtt
FeD/zJ4ZOGoYdkWOSq03T5qmuXz9yP+/UfWJfHWeWDHNfnN/zBLZn9LXWYP773/97+L7Y/5Y/PZY
fP9tH38rnx7r33ZNxo/N2/7VH//Sjw6WZ3xBOaEiHGDNcLAvco/96GB5DGuQzqBPxPboWI7Lw/D7
SMb4wq/whMyiLnAGsxzipxeSYQ2IMuY0Dr15LJH2PxrJaO9fmw7SesLnODPmdR6LKf/au9cmeL7G
LmNZb6IBOXxi5U9QEbD5OWD1oqDGPjdlL6wLJNt46RPR7ew4SwUaKcwwTPezf7to/EBiXgiG+LYv
eWjfXORfdK0OFq7XU0Txq+KbgnvDw3hwirQlLBXmeL1xc+RWcDn1FauCQenp4SMTj7gS9jashybU
0eKTyvDJKvA3J4ACRudSOQyZ318jgHCVO0DAgU/FCRiT7Jfo3AzshQGZ13BcOiDNNOfZFkWiW0Dj
bD45hfevox+XADUi5BEGSqprH6xDjQn0Ocszsak7pPvkCV7jTNrH4rNO+0Gf7vcD2RwGIJ6HUvP9
R7WngLCFsRSbomRy24att3ba6q4Uubf2Ri9ejjZAcmHTuewhjy4JjQDOJ/ULi77mSR64yspQjOCx
SaxhVZP6cmmQR7Wcn4uNZ0mgBQXOmTo305VSUS2kKUnbFs61RQ2LYMVuf6LLpJ8LBSlqFHAhR2Hf
o2HcqXXjgvoUwVFYKO6spBpp3k84xoObaTBnyx2CUc211qYc5F426YtmTOmq6bOnQsldH3rOfnK9
Z7o1l8bkfP34Lp23HX9uS+YL96qBQ9lML5hN/fwNvtl+OlOhZmEsqo1lBO4qluN9EiCQMet2Geg6
SUwR/SdH9N4nm69DTS0HNi0DQQxDDDQqLCPvD4y30oH0Q0PHbaJsBfc52Tnu1G51nYDV0GjwPTpT
vyxr3TrORx7ookmqpeMWfKHAUiE/h+vObTy06jxTr8nYXkDzs4RztMkSJpdzex56uVJ8FhZ5ONeZ
z52AkZkth+SfGuXgtlY7SEIjuMcNxu/CF4plHZORPXtRgPAPHTn1TpttWpw6+0q6u/7/MHdeu3Er
W5h+Ig6Yw203Q7fUakm2ZMu+ISzbYijGYubTz8c25owleyycuRjMAQ6w97YlpqpVK/wBjvLWQh+w
edjFpX38FYDMOcR9xUb3cud2dFo8hYd2Fp4GV1Jovcb6/b/91gDJATowW8Al2HyLB+v1TFGxViyi
SZFAW1G42IHsEr9etLQb5LEH/DLg8ur/VfK7rTKubOpgXjdPKTj2rz/2oJcxTVCJI9LYNfsRTWX0
VPvunZT0ddbz6yobrouUh4cj4Ly+SlWg1qO0RRGli1NFjmzFlYzT53de4lvg0uVhAP/rMIE0qpY/
NM1KifMFxT/97eIldmIJcqzzAARURrfDk5pnU1AYYZrbB5W2UspZxYuWmOs9UrmBVQ0p587i7TVz
xJeeSgfzxEQ9FB2LHBs/VOlVBX/Zyn1QbGXB28Q56/Mij9k0AIRFuBJBsM0x3pj6AKIVPvC1Fakz
8c3SUBHOWk8J6oy/1qWWdmKwBLEDSRno7vy82bou1FVGyqAy3V07z8oBwQu423rmhUjVV7sU4Z1Q
17tPM1wOsmkaY3GfP5dr9mzlxn3ZrPFV3IAnNo38RepDfYBG6MH5qA7K7Kn7ATpLWNTZi0xi5CnR
IYc/5wCTGD0WnMb6rpIOteOmeEbfnZmzSB4ZOK3hWHgP0EtYgb3gvo37KvNQVEyxYzX0Hr8Hdvu0
RW+0vrrPzWx1O1ORLnKLFUaKJhcrvNz8pqkLYVnHOa+YsucumV0kAFoduz5UcjLd+lpJLCmSoQR6
RwUMO2/lIF5tJXCK/AW5eTC+Se+iyc79Jn3/AYjjT1twekJFPCUTqiijS+CehqYLBAeIn88rhogS
SrfadCjHSG/vpYbLMN6I94OJSDWxrIqElT0zgqp2VosXJfNqRHYX+pSlWZ6sovmYa95Di7AI21D2
vojdNCL5MThYRhOnFz5N1Um0eFbMm5vhlgQjip3qGdolo5UBhK7iAA3zZr4m3Odmjz65vXcLO2zb
4gWPNJ3J1IgszXi9luKlcCovoj/c+YnJg3ZTae0m4wadYn3vVqPrgxU5i7jWEWjiDMBlQvj6ALog
bljn9XZkLjX5ldC41DKKFyVRWLF82cXBp02r+SO1tT6NAshEBRdvp5tlB8oheam3CWKVEq3hkri+
ktanGb+DjdSJEuxaPkNSLG4HT6NaQeriIx3scM3TZ9tQ8Y1cVHltx86D2hc8I+npyc4Hcqvtw5AZ
nDtb9gHSn/zbtnaXiWWjNp6OoDDa8U2aPbsxOaOVGPeGi41xvxTPrjoiNs8K1+gj7S4LV67cdwxL
2pnNKtBKO1p096HxSGTSVhW/tkDJCoM6ct+h+uxbI8kn8xf8P+bNkyzbsg2F31eXDZTNlBWEvAd2
PirbpRlqJk76mJ5Q41ECeKDZvnFZtHWfPV9unNsli6HKDnNg1hFlKSANa+g+D97khSAniNcNw4PC
SRu8kTy8RpFE2DswToMVT1/NBtmIdwj6tz3A/nweT/UEbSgXcR7OfVwxxC1elG4LWI7Fz/AcLF2g
u9sHLlXrXi/ap7phX9lz/tJu1qn45j1fwsXgiJceV1EcZIkEVZ5wgc7eVPY5QRobaVGp9d2OgWO+
oxggH1rJp8iSEeCgWUm3Oj8VtYtGV0tUIlBhS7M2T5Zeny6nE44gqMLjZBtCj4qvUHx4WdQ4vtNx
7gaxiXWCDUNAdhW+OrPuE09/VAXBxGAu7SMKBP27yx67jn1sKvzekVgr7JoXAj0Yy6fnnvxqC2cL
0L9dWtjnS1AaLMJL2ndP+cy9ZYN91ms6+21h3VPvQJ7X2CpYCj4vSoatjSFzZh583Es1kW4Ji50Z
SrAdO3btnC9POC3iZdsSbWbdb0eBY+v3fcONXb5Bo3tYWSoT0xiULcV0cpPc2mvVtmyQwNvFOnyM
WpNPam4i8i3zF9EkBd1mlopUWYyXSOeaBBOLSVy9WERU9K6AY3vTbeci3Dgr7N+cncmQYeWnXFM5
FKKLr/rt6yDile1BppzWpFJ9LH75T806X10icTZviZidFP6EZCA7GAf3ZXVByzQwQfgJmztx57Cb
+VMXo1xW/dCEWT2soSJKJq6eKnzXajh+OiICa5hfv50rhuCmui153rQtNBx6MEZZInyD2IgLL3Jb
YTOqETu4BPcAeZsQOyjM2msWnfQIPPQHWaYYKGHhzKcxPBKK7evCAH7KUBfFMZCoTxVURW3CL2wR
aAkv8bfYouOm/hBVQkPgz6tBeyKaGGxnHMgqA6QdqxrKPwnZKk42/rKADAg3yJELzERJh4cMxY9h
kuJGiYvlUU1bEGclu9uAarlTZ/F8WStVXz7nbvpSrfMDLhIwqC1JR2TkVW+nTewRF0XPFkDfRdzM
ji18W4HXYY4IMZg9oGNLR4hvwLw+dMYV6wVbZucp460y/yA/Rx8LzHR6QGScA2/p2zNRsr3OTBRp
zKky0Ncs7R0yIbM/aCviesPkBnXtwQpo4VXV3bRMOwjdzMSbNXlOnXmQpNNmFo4aujG9m0EXRbSA
2gCHpbZ+imXVhzOV1XfFE+tHo0CLBSOC2U+a/mOOs2JEnZP5eqxpT8wSQE2US0VGbGR+OmixbxiY
kqLqh7wqZRI8xi01aMb6KK3UudOGst/k4vW9OTHWF0tbH92tgBMpeXK7yrOhYZXimLN2hUnK86AU
s587kONpeRnQS9cuFCDJrrGIZZ5eEey3Mq92GuGnGtNVjvcutICgHTylbM+ZVQimy3m2n+qiDyxz
06RBLwLph8QkRwGLlZaCk3fhjY26/JmvJGw9eonwAPEzV2PwE/Qjj73XPhUeJtUM29fdiO3vzYgL
9U64Rhc1msyB0Jsxl4fHWPX8MvB1/G4UEXeZpg2hHKyroh6/JkUy/RS9TLFrdWNEC+IUjJv9nVFZ
gLjN92EmeUY/lKCFvgIiuKiGKC328qwGyQSzyoDvqSDIzBrl5ljPbHD/tPlzjFAMBLeDER02kuc7
BdgPLWnSRBXQAcTuwE34pkl6wyD8OoOuwCKcUCCZrqQN9MPNIGp4nvKzsVl8zqQLRteajiSA8g2C
jct60oxjv5r3mGpgRsxsViqIPVUJIVPNh86XmaYc2ixV/W4u2bVb5bMi9rFTV8JSNmQv2ozsbpqS
P2kxkaau0uXR6M12+8IrNnmcQGZlxy9TrtR7ROmLT1U7mNfmqj5dAJyK1j1VMS2OUrTye7J6JuEN
kgk+Gqhu1CTBKco+4STImFRqOKQZFKSDLnHcVMTJUDnnEoIDROA+wDXDi2A+81NbRQ9GhXBgsE1d
rHI4ZLR7Y3bR4KwygAsl67beligFc2RO07M3Dm4kqvE+dVkxsYfsAvJPBE2Ogu0+R1e91+g+RB0C
nxg98LMeafagpc/Cqp/wcCVHttT7bp1zALQOKzTt5itNQyggU52B4WlyVxXTqVm0rxSQbaiOOJl3
qi4fcZz6ghDKOQHh2eqLdzVJghrca4HMLXfjklXtsIYhu97CKUYr640YOPFGF/OVyXIfMNJ7bpby
RIIx3yEMJckCDbSUyGsUzTtp4EqoG11gEPoEshRxLU+HJaGn2P7oBc+aSftsTnl6p0qt+ZKpvHss
LvtAE86xMFlhTcFqGHACJsHinZbFNoqDM/GpNioM2ZVseihRpdj1kuWmb82rLAGTgADafnGJa3FH
niPadD4r+BBt0oNbkN5QuePYkHt3PVCEiRxTX8cmqjJUPGpZH3AqiWIVRrPm5S+Vkr4knPZScg51
lXVODO7zcqL3M0XYlu6021rFvYFxmAniKCEnoLjWg9xYlEDhhnfmdmZWS13gK07Vss40iBzbQucs
kU91ydEzTsN0mzRsKUZDfGyMwCLwXvHVQmcSWeRivhV2Lz60w4hJvaoFSqKO+9lJye6o6IPLKcf4
qDplo0EaZQJiTlxPOyUNlyl01vCcGuvXEhOKHzhienu6FkhXezBDPQx+94PCavIWiB7F1PFbZPmi
rqr6XMZjdUK1+fmy+qk3gx4RtyuK1ReaEDxVYX9w5yyy4TBXjFgOXczJlTfKz61RZZlrexgSb7yx
cPfZLciXHpyE9TnUwFY7ciiCQtLcS69C5rP30OnGj2Kvq+kZE+UNDGQILIOwOBFWf6UMiOmOTXO9
6OsamC2X39x29rlJgpUp+m0hR8iyJohkBWqdD0bNC1ntHHGICO3Hyry/nL3ezD5Nzfjh34W/9bf2
AhwukJugOVR1U434vVU25qMzIikqIqWi6IQ6lO+svn9qG5qCuYrf64ptC0/BV+7XYg1TvRwINc0n
C8mctnlQ3UxjD1PobmnG4KhKgKTggxiTO1WfV0xn8Q8AQDXgwKmCE57GO7vE0g4jARLgPnm8NDIv
NRI8vB8YGqUv9gy10erte02sUHSUXjvp9jJf2c1cnmZFI6Ebt6TUoQZC2CqjXhIgUnqL3Gvj3FyK
sAFKwIfB/ZErsbyuutZDaGbLAtMMi19qXt9K3PgoNG3+71vkTATAowB2hfILW+P1K82xcCuReMLd
uKPkcJ0pvuoGOhK2TtIFquhTdgm89PERfWK7aRNJ478/658NUHwQGGbYpmZs7J83vTzIEK2VITYV
5U6HV5W+pocOuaowtbFCFApC06k9qvuxyIx32lWaztO97r2alO+MvmFpmugIvbk0OxuIvfBQ4EIm
cGcR1P08U7QP2WSXCO01zdcBQEoQqyu4Liu/q8dy/Og1erQYs/b079ewdeDe3AtfAN4sfiTw8dQ3
feBBH5BdrCcRmVsQ2BoGZs+WhpPZB9Iy77OE6PrvS26P9+aS9EchazCeULVf2NvfWs9GBStE0pSK
uthwg6Jd3KBN+CetqB/mTo470MkTZhmyAH07lod/X/0vu5k5ATfAkPQyynq99EpeqtFXSh+1mMeC
EIRuVlFQvLPC//Ja6TJDdMRG4S9jKk5THSD2RoXVMnM/IP/q48T7VVm6c+dh1dsjxfbv53rr8LG1
Jz0UaFi4EKPo7m+r7rfX2lYw82cIp1GS5R1qUTTMs96UR0ICrZzJfUg5Pndwdujt2clzORe4qs5a
s5uTFjOeMfux/peE7MstMUeE7LjhPP5YXIhgyMxDiC7KRf61bqzl56/kV+TkeMXcnt95BX+OnSxw
FrD6AdRDfn2Ldxt0R7HjSnSRmzlnCVPIrxSrCmpULSFLcgBro/3NLPLHRi2Pheo8ot+n7MZsuhl0
8aN3J0worWx9B0TwVvWB12BZoGItljpb276MRH77MkiQNkuCTHJUeiN9moLk2W4JNYMKcHPQ9SMO
xqeUJtlno2+azc8ei7C0pKWr1E+anGlMkceBi9Fx9aorRANt4zxpoNX6PP9udwerB8q6mqQgvYNi
i3EPPPplSNJmVyZDDgEqCVKHTo0D0WbfV8yWtqmjsDHC1dUC0b3NeQDZPGprVdWxC0V2WcWBnVdD
K2sb210ONtS25PHfn+wtdYt3s02SoUoYNno+9tt5rodsG2oSahMlyFaAK2uTvdMnIAenkr6Ys5ki
pwbq8n2JTcY4qpfHpLW634RHSQgdWrUxJ92aS3HVqIMSWCpTonHLm1d04MMO7Xok80qY5S6dUMSP
3otnFxDI64DmgEeCcG3AR1Rh9r7eefQyiPOSZJOktNvlnqv49NSmXeXIp0EHhIHi7QkysAy03IGp
XGQQcaEv/PtV/rn44ZBgRoQplwFmxXwzdgbZaTQjMkARYl1X+sSL0VkJODbZ71xI/zOEbppSm0sM
BE3deRtpmILEuKmKJooruoI5eY+2YMHVOn31Uqz4paCsyuLdusto4Na7CmTdTh+8BTFRjHunJn1G
COE5m5g3OSX1nqAE5P2KoN5qxorinf72CUw4jdOCNpwSU7v8+2397aMxwHNV1UKMC4bpm9FUReWq
o7DXREh6a75eIIcrq7nZlx1ZJ8h8vCGm4cdWLy2C9hPWFC9L6b4TsV5D0bbJlQMsgnkiIkPmn2gG
VD87p9G0JlLN+qfhLe2e18DFCqnvMZd852r6a5Tur8uBBPZUFwCFCv/89UI18KZ0oSg1zC8hg4sG
udZtLImncbL3tMSigUtCDUCbI8I1k1s8gp/quRY3dklyb6rJc+Nqy02BNsphpPDeCROzMbOkslfi
brzJjekdka8/z1Fnk9hgUOzYRPS3QAI0U52ym9lajrKAY+oayOVYW0L0oH6ilQ2BUy3eGVr+JeHn
apvqE5rghO23O6kgdZjqVq+jOKex2dbI4u/6GXoK/jMQO3r6qUlVUtEORzx/7WvPoFG59QzptytB
qdeqn1W0EGIGRRh/jh2NUEO7orWihciNBo1BiZnalN2G1T8h70o3feuJVBqF02ZtFvbOFs0yi37t
Nn4x9SG7F1RU2HMY6QF1ZzNKUK/bg0x7LFp9xUuIoV6DAiguyiXmPc6WzMeTF1nbhBKO2f2FvHqZ
bdQFjBNmbt+3StjOei43q0wo4q+GMs/7pummEIRf9X8TNuBEAuBhJgzP+E2q2bjIgkiTsJEsfXoH
AJamAOVLqFtmj+wo7KTUpMjNPP2ZtjndbIsPXU2t60+DXqBRKqcrZ6FHdIn1OMAwGl0y+Dsmvux+
3+tfLqNNs9E8MD+lvCoZd5/TnI/w79jxZwLrEl9JXkGcqLr6VtVDJiYjWOlg0ONwGA/YQ29eomwJ
Mx2vE+kh1Oyu5RccehwfUWHxzpm5qdG/SaAhvUMRBfMCHEp7C6Hw3BkR1LmqI7Vgilbrcr7TBP1+
t6ATbuBL/KlqrBLlm1Qc8fpB5M/khJwV+tjZ9k+WwOl4UJ3ST1aWKWcXEyWHAZC9mF9VbbgSS/2E
nHWGmS3zB1obmkKfL57zIEVQ8MlqtmmARZM9pykZqeXW45u3du7aZPeyncxPaoG2suqd5KhnO8te
rRC7Wbr2iffC/xl64Nzy08TVIqpcADbCYdz474/0l8wCoREgxui9UG5Z9vYWf8u6RmZ1VT6lddQy
pLgMCEpzGwlrTISajG249sW0w84JXwmh7taMjAHnZIYHzfEyhlnVAeCU9Iw9p/V9scW31n7AhRI9
6L75UjHR95OFWYSjlkv077v/M+65uk1Gwb5XKVPflohDrzRdSeMlUlwz0mLmi1uoEAvtyEs3qojL
d6LeW2tH5MiAUNFUAotOJsPB9Pp9wcWJFymoBGltI40PrQpIK8fxZRbTXT7vwFBoJL6A5AA0gpE1
c84eKpgBVjeQrRSBBZhlB1TjveDx9qC83BxqKRDIOQFR03l9c/aC8K2CxHCUpa1Ba5B7wESFKQDj
smJ7K/9+/X+53LbFQSoZGsXEH8cOdAJ4U7WIJmtbtU55WhQSKrNj7VA7vpdBXpQkfs8gHWIcEQVE
J0A2FGHerNVUjkwbZZZGaZpaJy8DKpua2B3PphcyavJQoUe6OsAOjDODNPSQWVN80DSlOpu16Xye
zNK7y1HotI3htoPoFrR2j+j7NLbBxB716a5014XbVEiALjbiXlV2qozcA62COW+29lXYZfzybJSb
E7dyjytTfswHuPeo1+KLXusoh7luc6CGMdM9rjaTjywxIjRGOmKCPYV0JNtAJq2J6FBiXIHlQCV3
ELcdekR7yjYjggvIO9RkBnlLyf04F8ltRZ0cooo/+gVK7P6Q8geprjxrG9pOm9rhfiFRC3Eizn0H
2eObeGMwCjI6OoKStnrGnNqvRGlcAVC1wIEJL/ftsq3CqjGzqyGX4wTSosJpUImNyHBaFz4x96A0
MRZ9ysemN2+TNNN9he7wtQtMmvbPqn2FJ2BEPUpK72w0422iDuGDJAyqL3UhMDz3TT/RS1rpKQWn
PAgK93Cpe4wC1EjVqUy2yaU2wejbpm0rhMsmc2+sC+zTZvuAtTB9V/Y28wu0t6AUO+gIF+n3Qs8N
hANbGwHDyaalNJrBosBPQ9SSQXglq5AhgrnfuhKha6zKw1JP5snbfn1e97d9qj9YDmiTabZBkliD
EQyyhOCUd+47Dae3hxewPzYUO5g8hkCjvlnqRE6MZVvhhqlcI5kuO1pE7+zet8HzcgkHhKHlqVCk
1DcvmCrMohGQuAAG8savR9qvo0QyVTQrYJAe3aFFUd6rit4mBVyU2ImmIB32LWy8iVCJgjq6nUon
bGunDRh+yT3u5i1jN4GbqsFITzGs7ljjO7Y3MXh9p62lvc3tEanZEmR0fumsouPyJrdf2rJA1ax2
QhR3FebyecfXNlY/z7cLxpZ3bLzejYh2D7QdRIRB4vj476h5QcC9CmPbPdAiR/4ATWxvA4j/fuSy
baSjo7wf5rZA33Npu0NpGjirIWWDn8KYeQieqd03FMDjMy/SPNczqNOq192PinBWPx0dGEE4PWMP
sLpPaqfzKtuO7C5twhI23ocJZ2EY1w6P06fOqW1N++Q0U/tJT0AloGKrZdHk9XeGkzRw+5TineTL
0nmGV89IAou2h42JM41rzubXz7ig3WW2HKHhwK46TQbCZGqTaHtvrMery0N4kNPu1ClxTl3KHzB4
jPfeqq5+oYEdWUnBfINexN5I4+TgJanrO3WusK/VDhau/tKAxTgoI3SowYXvniXGvdBLI2hkNl6t
awoVtrUlCIAV/ZnZGZlqw221EATbxC2Dwu5XED71NmOvlLBskP+VG7Ed3nkoZNudZ34ybOwRiEWa
fFgwitvb8VTcLWvzaZU53njpcGVNAzeLdSKi8el4o2dO/6TU1Y9/Lxnjj5OW10kTHkylQysYKcXX
r7PxvDhbqZvCREh6J4Mi904+nrJk+ojicgyD00Qtt0dQMbOXeK/T8drnVuMeBLTOHabd+V4wX4a4
zDbLqzG9huaufmuX3GG87K3X/Bb7NI6Ygc4o+xxoJA07XrodCXXcbOa9a6o8da/2QPasvjPDVm8r
QH263Ct2/WkoliEcZ+WhpCHti1W+l9m8Ffp0iRnU3OxYJBvZwBe93N/y1BxBdCRJCyvURg5vF47C
V32eGIJx4zEnKDo1Q+32UT/NSmgoJRz3tU2vtbx30cTIGj9P42FXFnX5iIki8I6MbSdgc4uda+VK
qE8NC9NOFF8CjvNVyRpBvDrHDNDN94PqasGC/ve8pBpYAvPjNBpPpqIVu8VzPsZp9oNaZ0B/Qg7X
Za84B2w6xhs0fty7nnwySAsMeL2xoByv0sYv8aqIbHoDkcnIL2QwyUIfueTsFcY7PZy/rR0mFyZN
b+LOH0nhMmPMgD6BB4DUeoFt4N5te0UO2IggKTe+08Z1/ji5EAGzDBBqdHJ1ZDzeJMjlQK9KHXoi
LHAqHyVe7wlgWXrdrJW2V9dyDg01zs+p3afXuisJeJL0S5t46fPYksFj2LBnmvh59OLTlNg38Wp1
oQbKZ7aR6cxrv13Y12MO5JW/u2/ICX3FY11KbCx97LqUkLT9pe7a9V6vAfPhUjP+1Oq6OwwGe6Ch
KDzlnWoHIjGSMAUS/4iDsPzAwD/2cREb75ssQ1JJB6chTI0Wl722AZ6cmNe6s3dkInvfw485eGIh
cqzegNBA5Zwk7IqbSSUsd40QYbfdDhPTYkvEx0drYW11I8eMkqJ4iVmPk4d127MLeyU/62q9OV1U
6lfsiQogMhrj7DStldCTJW1npBnDlhe5Sx3NDlJ6QWSgbIj1nazgL6uFRUIvZsOjb6fk60jT2XYh
cBW1Q1cCyskt3p9EpmW/1mbtOxYb4t+h7c/rMVUEkU6KRaFuva3SbVGBDF5rKyzKkgSkYTcAm/OO
YI7cQ7pa7Tu7QfszsaRsu9BaKXgZ5nnbHf0WSVzgba2OiWEIjskIMgRHaLC49ikrGURVq5pez5sV
TdLZCKkPEnMuwoWNTkdQl2x+B7udvTk58X6mckY8hINKHfnUaLZKQAlaHzUtj5LZtfxQdoRrq9oO
dyuWnDxZcWdV9bdlCyNJZcUgrll0tlZ8A7/YBujLEd5xlvMTepMPEGK742q7N8WY4kyN/UWLRoG/
TtaLcAok6rl3Re3ncHHj9Zq+lh5ow+aAVcsHJHKIVAqR/3K0NoJUS+LT/ASizAgwUlvvNUC+YETY
TZ7HKZmyBK/rtFCvpx7zy9reTtNSAAZvyEtExjkzlLh2q9teXXTihyyH5blaiW9iZJ2vLUtcSNkd
QBZz9gjCbiea9lOWCXRTKs7MQnJDjYMHLB2X1cc6jSnAAv/8158WrHdYq0qIDgHVfA0yxB/0qd3P
QAt2y3bq5qneHU3cidgshItMm8gHMJDkJc7dMe1V90ZrGeAPBf/q9Yl76Bx2aJXyV9DnwzIg9uC9
14C/wXz3kUw6ec40UET449ScCzymgqXteVTW1W9GrQuGpd6k4GPvqJcZ766w3KhY7Ud7cb6X4HUx
pTb1I7tzPMGpMQIiGKvYWtxobAtSlow0+rLdPZvXB9KUKyicAo1HppOWvP/UM3qKdj7HZXf9P+N9
bhf6j0LZ/yeOJOiDURaya//P8mM32VrLb6/0x7T//Nh/CJzoUnNIuZyLmyrz/2ZvbpWnSWRA9ZRN
9h/2po7JpUFI5H8EECS0KZj+l5Ol9j/I6G0KKcIYPwvd+43i2D8VyLZs7vfkGSYozCKDzha9Dosb
fx2hZq3DRF0rx0M1mjVOjlVDh6UtI5lrZ4NwdMzi8Quk4xmU/vBTj+34JrFA9P72yu5+Xe93cU3k
AP9yHzo8BmsbFjN7fJPEG16i1Fodo1QkuuLQO1poGgLq6N4eOJquzfbQ2ncxMOYh25gEFk4AehLf
5OmMw6s0HoYWuoF+WFH+yc641F4bOaOjzO0tWoP0q23nusEcBOtkiAFWf78MC108tEgsQJS+OjxO
aAEsUA7nuArysrubBe4HAriP0aD7aIdxV342y+RWyZsSlqt4GDIDUWAj+WY6ovaBAW7+HeOMZz0q
VsHMhfzBpVGA/d9T1zUPxkKyHy9wfIw7BA822pdId7zYzjD6p9TGKDSpVzVEZH5Xz2TIVamFVprs
Fx3F3jq0WwO2y2dFrHjD5x9hUF7BqDkwNcHPEwcUkYB5az/Os/UFDp+zW2Zxpj4ddmYyWvvZrN2D
YWWf6cOfpbte2bP1s06zg6t+RZHo0Um4fO/cSEt+sGMtQpYiwFXan3S93em4fO4Bnu0X/Ds3kkZd
jD+y1rAPw2po9HrsF91b42Nn6bhdr0Z5aMXQ+rOzXvfadKO4tKNBoxW7ScModLE/lkVylOqHDuMa
+jFI0pvTx3ZO7ji3Q8a0OW8Ls66iWgLAjb09XbW58VgCENqpCnZt3Ufsv1/G0j3OnfplBS200Nre
pVPzBIM+RPX8Wm8Ni24DustxDZLOe2R57YQFh8sw6XjRaQevFSzqeMY78Clu1uvRNj5QxVKxOsOj
hq+ypv2oy/LcqeP1gFXp3hwSv55XVJx7i4pMr/YiLnxv7r/mRr/XTYo8dUYWmaXZpvYjdbW6g9z6
o25lDNW49OsOkXMdsFmZ99/VHh2bWEXkA8kk/N8DR5v21ojVQak9mOVnR8r1Nqf7+3lcy+tOmPe4
GY+Ru0yokCFrdsR2xGeUcQ15yLfb6oCW5ZON16jA7XFZbxvrsTMxR9RaJYM6pt7rvVPjErAemyT/
bGrVdBhGbC3Aha4xNmNz64P/CkfLuDWXe+k2N0zj9p1MUcwzl/pkeuS0A/50g53e9XNcBEneHygf
QQH0s8V8zRIHN70bE+1U1eVeeseuQlwJau6OcHCXbTw42M+fG6ilKwJE8Ypb2FQV9PY0edN6mmTn
iIJkxggWZNg6F5Zb4YatuKNe20+Ndo8Sna/VZlio6yfs1g8jkiwSE+sdw7HPyNTsTaWIWBqOrwL5
Oxr1YJLcqsM+Hu1zPWhXqe7Q31wfs1G3/BaDxwxe7F5kFpQXCzKbQZdjvgXDHgHk3Fer61wjuBdQ
b3+3R/NOi/NtO+m3njrgj9Jbt5mXHJn9fK1Ee8wG60cttGNOMUCHFYKAXpehKCq8HdRpc/EgCXcY
eABB/4B3F/YWsXqbgAUMKu1OoqyqdipvHiBIoipHt8luyqyafBsiGFOPMTQXcOV4XN9ZMr4vcX/c
LVXzkLlVNKYx/q9WisZI1zzXSM2bi/2pRJ7R5j/4ei7CgvITdfWarEs+Oqu8Bfr6ZVjK5pBqQ0qe
5H5ap+WjM02JP3vwH/rrOol3YykfcC6/XY32S19YX/VeD4c6PqnL8KVdxGexOGXUNzwHuJ1FqQM5
LsHqZPqHxVQ+eC6vB9/FwHXQox0A/QwwSnYtiHiKC5kfHHc6YjYI19iIVtm8GKKMqiH/5ibMdKYl
PlYYs9+0MTu/gmK111r3J52LT7NFEkXvNYBjHCIXDp7VhHGHxyoe5Fp1cFfvmz4Axm07j/XXqygP
pepez5VHvTZOG9kuYIedkYT93HoV401ahGY5VJitdt9yjEtp3Wm7tJ++UBvewaN4UCb3pI79edXB
9He5A3kcyole4/WamD9JR62dKqHnaFl3wkkBiER8I8YplHiX70zMP8gpqa4UxXT3qWS0L+c4MFRx
zdY79tpQBYOp3MlmBL6bJgJkinJjYiwK2Dr7Iesm6tbiA0w7CFxKct8VQ4QOCh5UqPQ5IpC2czN4
xrFezaupm0h+r+y03wuA4Sgf49EJxNm2vgyGeIzLDolBGYll2FFh7NuaIKTWcdincdRI22/qr2lX
nUvP+TxK7TgXnt8X5vXU9YdpbHCiqnyN/sKejuNRzeZ4J/IeZ82PbTz5MFkOS3Zu6/7zUjIkmYoD
bCC4j9oT5nK3mATQCcGW1/GirI+hznTxYVXSrSCXD3bcf5NiiHcpdtFXtvzson5sFSDKIYdWnn6Y
igFNutO8Gj5UzQwYv7xXVuMGj+NwbGZ7h9gU5EvLubPm9GezXCejE9SOepvOLyhVnmn/hzmCa1I1
XsjAKbeRNhwK7Zr8DWh49pLp1Y80MW8Nuz8btjxkInlQlylQcUXdWdJ7cnNILsNLTybeLoROfF06
S56tdmYT1k9skU/tYl05xdfRBfk/Vl8T5iedyE+DOtw6VAIGYLJIj9MbeoOfoeLd48h85SA4MEAN
XJrytrXKr2WyqVUr5rPntOdx0A/1vNw42DBiH2Tsc087lEZHT2X4NqzDExSpoLD+J3vnsRw5km7p
J0IalDuAzSwCoQWDDMrkBkamgNbS8fTzIbu6b1bN7dvTmzEbs96VVQoyg4D7L875zgwMLfnGPOwz
t9Qp0jBHBOAxTYZOJRRIrIktqso8A4qYuKsxfgRLanEoROyNOJZ7hr1dziS833RTvhuty5y4h9HM
ruSM/xjcYWPBJ8BTy/1ZMlGaUOeD0YlS/YJzCOKgV59DO31oColtSN76fPAjdGNx3n2NLgWo6/Y5
QTph1dq2apO7ipkqDVW5sgZ2vLEjAHOYm4JwszG5Z/Jc9M4um8Z9mbffES6dojjdE1sq/cY827lp
YIXMYBMu3TPxFBMrJke+NFPzCa8w2HS2TRTaECH51lr2693sT0n+PAFfeBhnz/Bl1CJ713UKm7JE
yDJYPnbHY5pkftqR3lvY4r6K5FeawW9m0L9CgdghFs1Xjt28NCmwyTF5SZxmg4PJlyBJw4liZn4a
OvZgHLyYhn1L5Le6QroXtDtliI0zELsXXoZRYJ+OpjOjVhAVpe+NP7Mo95GUdDUOETaHQRdfk/ao
xWotM8efbtMcbcsWLXRxrQPMkxoaA2B4EfdHTF/e33quorViqJqMuxnctmO+hqN+i3ud88DdxeFT
Gqc7dHH7PrbvZ9Y9VdOfJz1/GIz73OIBwrg1x++aTu5WTQBT2YuVSj5HAuzkaJ7jqgmxN03HyWsR
z9fyp1e8RLybqgyPDPewGZX7wKORqGpkrnBtVbjK3CeJrsm1u48Yxwb6jX4tAj1eudQPvea8pp1V
Auh4qecQp6x26M0TYj0MWhxZNiXpFMhjnctHI38axCYslT36fZvW+F+RJ3FY58+h7mh+QSr50WMr
3AP7pbRsZ9iQRXqpXImTSkRQP1FWHILAwvOnN173Jsa0fKk7cJ5zLHpU5Z36WXSde+8ltPVNag3f
h7FMN+ip9J0QCb3DLIPBx7rvm66YSOAS+jdZZNGDa+XypNchaeYc9vneM6v0pWTbtsmM3LvNg8Un
qXXRe041vM/Yj8Lmpe/fdPhQjqgTzd6P9JRQOwtH2pTFB8NR4d5pbP0HX9L9xpBu/tRyEF+5UB2m
mcR4LMFWgTMNu6sbIS/UiyQ/6ZrTPNLvUR9TmE2roSnahzpPrSeglJOveWzqVRKNB7Ra1akc7PDQ
a8rcOtis7wtQBOtAGS7gfM1M8XPiyO7Lqr4UZRJuuGsqfxLefNBwXy3h3cGRCXR79HoHkg+bJjAF
jcfnDuz20rFa9wtTXUrXxM8dKj15ZGTuvOiNrr5VxBOckk4G21DO4dWe5vIrkA3vLrGK+plGh/fH
bcP8001k/6YRFj+uKI2Tqz104kkQD3yDOqEe2tGr7oyxEbfBTqZrU3rRSdkvA0n0rTs0O2/upltQ
GvazZttqWBWxMr8KVxu3Uw2H156n7KEZnB4X5+ycwbt275GInX1e9i7j/Gn6TJq5uO+zsbsXmKiv
WW8khzyGasAIfNlaxBE0YLffGgpgc0hdv5JWxc53mOXKCkzDL+0k33kRiPl8abCLlPjvVRQGjHuz
kaGZFYlXC2GwP3E8vSciMwGV9NbeThzjxFRIcaYUIcuE+L6c3qeohyMcCZ/0a3U18ZOFqypXw2PL
k6lIAG1Vvith6a37ev4mskSj4217lD/B8BRo8tkt5qus068yzva2yA8RKh97hiZrd/Fek9OpjpNN
XI1yIxzha7obrm2NnADF/as7b6NWHwaVQJYw7O8y4zIzkw8blYliWMtedduhwsP3OHIx2GJC3A5E
8M4NbX1HzvMrqehPZkFgte7eZXaP8XL2o8TiO+53Q8pcunkxjM7bVFr7xlotWqkwpqLM5dNgD8+B
ZsCXZfancRLFUXpWk3YIXcWGJhwOlVHbBCKY2T4vls3ybF6V26/QbWWgpIsNsfOXOh5b1BMU5W0c
o/O2t0PTbYtWM9fVpu1fe/TZXdmeACmvcEVtw6z4WRXt8/887EBH/adhB0t2gWwGWTKJojazaO8v
Qxdc61RMQo57mb3S5seneeqn6zQS1caaRx11WdR3UxnOD5xP0W2EHP1kYG27NkEtyUGWxfDmpkP+
6fx6VdLlrVHL+yOWNyla3ql0ebvq5T0zfr1xy7tXzmH6OFpQWVclr2a/vKPu8rYi4ZuP2fIGB79e
5im0Whg5qXYMA951tbz17vL+48gONzmw8gtxRt4OL51F8DtwkUMSpGpdYB6/Z7FmbqvlbDGWUwZa
xHgIA04evQsmv7ZH68kRinPJaKnPwyjqHvWkbB/1ss0J/JLNsZobMqtnujFvOenMJcAMVazOx8U5
KJYTUSPQ4Ye5nJKN6uJDRGyjV9XRJv11mPbLuarFIXa9X4ctuB9o9akbvRcVdUalK8Llk9TbRPA9
XwYromEYR45vPRrlqVZj9GB7pfEt8LRpkyPctKqES/7XJVD2qbEbl5uhXe6IYLktyuXeSGJP/dSX
u6RZbhXmOeWLsdw0iFy4dPhplocQcsOmXu4kd7md2uWeYgUTHaapPJfLHRYtt5nBtUaIqhmu3Lmd
vzMkPMFA8uBum0b7MjZkSrmq79CExZn5qoTDUCvvTfV1BDnCW2MBda5CBlApz+aml0OJ9ZsCzkTJ
ubKm4s5ps+IOZVOMisWM7qqBJ8/CCF7RtO2lRr68j9gp+LBzAVSG1cBMc1N2xrYVutOgqv31Fa2G
Pt/JXaLlp0BzCh6mIoKVXZbZfVkk8sOtTfOUJxwSOwmbmfg9w6ZSYGlZjFgm7PTT0quHwcrYelQI
f+ttFFjUJXQLfl9rKQOvHAFt0jlM1UQ1bYa6vkV0m/tRs782ZNKven2gk5ipK2ceX5X1OZfNtPG0
4ClJ6qesi/KNNibE+2lFTrBJgSiThv0HTcyrBiT0YvWet2kr+3kg/ZswWdPa6PmQcsJGRHnVYXZz
R6mdXYCMGy56aEJ6Gj85xC+sWKAkx0jKp9hInlzs1Kek9tJ94VBm97l+DC0D7tBAlutWTuRCMpbD
1wtCNTZIqnSN+KdSGjjseo6oitN+YxrqDGFeX405v33kwfATZ3gTvVEeC9bV20JONtv10tzVxIGu
EU7mq3a2d25UYhgqRtj0gF62DFMZq+jNR9brD9SF5kqXU72i+niuyukF5VjxOBIRcTXdLNrZfT+4
uGlT5L5OFa2zFJUjDLcKSIVh7KxEVlvXmeeVaw/tdjB510qXuWbQkummhcpZhVP7PhaDcyAvLH6L
5+JdGJC8c1E1u8xhU557Fuy7Oet5rOJ2Vef55DcGOQ5dJbuVCmZk9nBhIMALm9vRyyktKp12/l5g
RgNCRsVE9i9cGjcoX8qg4yes6FpxBUu/9YYn/pw4hJbIuHYR9j+3rixOZScCsh08nZQmFV/KwPlu
IOJ8Apc+8xRwoGh58Z0u5idc2yeWI0hDjNhZ0gfsu6pk6VRKPrvMi74jvRWrDK7KKq3bnGjeAoqh
ij+VMt/G7KsukgtCfp4IQBCqcO5no4QrnxY/ZTvflFFKSuEew3bWYYnXUH4CfojDu7Yxh7WVcDga
Oo3HULhcVuz2Hgdwr8+4ylq6V+PbVOrWRtTJs4MDz0B9uNFYR9MZVw1JcUZ0Dh3rpJwxYpbM+zU1
XBIgFuM1A+k74Ifw4HunrPdxB9wBLV+0D8dwfkvcpckMLbWdJ7yvq6lFM+0n3TC/B3Garwnhinyn
zzTfFgy9nC6pPpJIWYdQk/opGr3kkHV2ew1Kp7snjLW4F4E2fQacPyfDrJ39tFRUw1Jb1UuVZS31
1vir8lpqMFPDG6WNpbYOflVnnLj2M+C56dYsxVvPJ/7r4v1/tqH6fUH1v/4/yoX7Yx+FOuKfr7Ge
mrjqm4/fMaT/9cf+WGOZXyyYdcsO/ZdV9rdNlvGF3REiWba+S/ToIqD8g0PKJkuIZV2F+AxQubUE
mf19k2WSzOPpNlYLl0QdHVXgv7HJQpfzp6qK6FMcazaYT7Zj2Dw9ffn135btVZFqGpE0PXhiWzFo
pBFnZrfPB8KZgQW9oY8LV8MUZURQwbeZy+7HZJqvaGjf4OXqt6BGNyPq8XunOARSZEkMQmS/1jRD
w+5WF49ppbenxXq+HIDFemZhyyI6eUDfh5gVgtSeWpKjNKzuoJygbIxVRGks3kqKk60ku7ikpcsr
cMMK+WsWCqyugNJgb2jf7dC6s7AZEZWp1e9IRRg4sU/acxJLRjhWwFcNh/eY9RgihjPL7SFadSOc
k1yG92wxvDVINW2j1zTehpUUZyBW1qlL7PlYaZU8R0WAYrpybLK99Uy9BB6zrTj9GDEQpAwWQQZ3
Cmce8p4NvU+whHKwLu4ZEyam3d8gme3SJrXPFetvQidEv50DVa5DMHfpqjbQ/aycXhGjkAij/2n0
3l2rQrkxGst5sBGe+l4VbaK6TXcKFA6y7bq4OEkJZW5qg0+LEepeUnYco9as1oiiCKoYPeeQgq04
wsaUn51U783kRb5FCbrY8lvf9EDJkfZXffbS0y6BHAisGGnB4m5M1oS625c5bfotUdk/EqMbdzTB
zrXRE2TcIZKuPjFMDt/SZVTq2Js0ggIzenXD1GEyby7VV1VBZSoRe1+ZPqZvVqneyKaO4F8omPTL
bZ23+tle7u+qtCMkBtzpKZdKXLjp3im9d2+59+XAb8fgoKLtaDjdZqBAKJdKgd8FvKZqolPsZE8s
JJ6cpa5wlwojDydC4gOIZqmD9aZFSYflgZqEVBuXMpE6ZU49azMutUtHEeNY2NQdZtGXPqlfeV69
H9NS8+hL9TObxBznS0U0VC3tYIABedrIcoKWQfGULFXUsNRTLG4WXIv9NSsmfZ907c1Yqq90qcNk
YrXbvC+7Fz0kcZFg2dugvCfQKPeFRbtJx0N7Gtly1Q6MlVbeALh1mtplWWuZdbPLcbMdioB9EJVa
U93bcqo2htC0ddSk2dUDMbcpbRZcAOmrreQZvIZdOxzJhoiRuqFPzqKI48xrdzN48cWYHzFfbqwT
apfk1ia2u6OqBY4t2hcjbKfH3MsZUbFu3xtdWPidLWHpJOYujYf8JUvS2OdHRe6HUANz7KQD/9Jr
JNuW1bAJUrM+A8gMj7MawdEHA/vrlSEac90HzY+yaop1SNnLNJL+S+b29MAg0FtXEyyKicAUv2vl
EfiqddWbAN9ZIJBleGP8MBoZpXrl9lc9mZFAanL+1imPS3qmUB6dktVsQvxyNRsPQdoBjaKjWaqg
cgtwDjBOGzCzlmG0TrvRhSxRMeo3owUZnmd5wcRJl2tv1PpX1XryuQ97Z1+7KnjFZo0oREcSJgY9
2cW2Ex1wwapT7Yj4GZ4Xc9yyltYqggt1y2ZDuwOZM1PEZcmrLMxXPaJrLqVahS3xKlU73VfdYP4Y
KmNYiAnjWotbVDyIDDGsTOV8dCONgT+bKbqj8cdgtfnVqazxSKLOuKd3YvwQVIwbnCzdGnP46tpZ
dQdP8oTj2Vw7ctWF7CJBl5DIoKzSd7X6NA0B5msjtpJ1TpYh6pnIOdlZntyPc1CdA6NLrpHOoLfU
+3Mv42GX2139SvhPv2Ivx+qnJu2Z0Zm+7mP833mr+DiTOXkePL6NbFTzLYjmh0kU+dp0YUuWaowP
VdI/cA8xqSwDwFm6CD/pgua9kWlP4VTrm9kq4MWZRXctU1cg959jsqUJVi7M+Dy5BErWoV0+iERH
Txqznm8MOj5kEUtnhrQLOh8VtQbE+oAMuF93Wi3WQezmO71JG0giHVvcnPSyIAeQMzgWp3AsfgAj
KtaepHEiU/chb+S32HSx9yZsTljdstXWKwRYA32s1bfzZugDjpcA90JZBC+YXbkVl+8B2au1CWPY
e2Xnma/uwNucETqwwdPtXUD+AOw0B4EHJ7XC8VMD3klaD0rcJ7Nyf4o2ueRjz+kLWJAwoQ3ZsNcB
zfZqGlJLw68SjTdzjBDwuqm2ElpycwAesGqWyUuFG31Tm2gwvDl6yQu5E9qYrSV3QgEr3/vKlhdP
s1d9LyceKNlmT0OdOljeFHCKTL+bh5m5RK18brvkGRAkPn5N8/xm+Um7qQq21kA97+YcPSTTf2cT
/Eld/D44ZsCHSpDRJkPqsHFQbC1SmPgIIvMef1NzcfUQZxqu0tiQxLowgvDLYjDXKBtQUs5FAXrI
sfbtkDZPKD279dzi+5Zdl++tqfzQNU4hMCpropk2shOfqmCZZYvvbBzBnncGWz5L/E3J/Z9y91+A
+H/VrdYS2vjPy931x/fm428c/o8QCv/+Y/iRxf9H9fvrb/lb9etYX8xFkoUjzMFR4f0WjEwda9gI
PNF2oS0l7fi/ql+dkhkGAOWZIBrZRPv19+JX/6JTTOvkLCMB+yX++jeK378oWxk2wx5m4QHjHngN
Ptg/l75J0pEdFmQBKZG8jeTISjvaMl8DUmzvfvuc/hup1l95//zbKa4XleriD1jMJX/+WmFOaiFm
vAB+crkFxHRTeb1vU2dboKydvfprrgu/G189a6s58zXMZ92PrLeMN8+Mp9OUcanz9P+L74pP8ncd
29++K5TErkW74cm/IqGCKi49PGbBporUpkONkckRfKHpbI2w2czk7zla7ssGsTEMQS8c1ipgQxgw
mBcd+uvq4X/+hsxfn/lvyrrlO3JN8oSExVSLAAcan9/bkZxZigY7Ndi0cx/tzMQ+IMK1b7ZnBNcp
IgGvElp2rbKhb5Cbz5jRWRQSjEy1nQ72YY6Kd60pxAOnQ3ayyFg52Tb3j1NsWRA03CnjuzN9y+hD
BgLlZVlcJMvWdFxN7oAwRMB3CFdEF22sFuEDvD4ENez653XN/gCT30WvtbVXMSm0i3WS2Rcv7bd9
FB+ldhvN8jYH3HsQCu0af7JLaLPer0GHswcwj6EMdj25uK009zG1Rt28qVw7aEStzMOnVpwkYwPM
jtaxolwz7X3qvQz98Dr0KUBohU++mpyD3b0AIwcqOQC7KXcWqOW8Jfq4Cx9QMcROcpdx++DT8V2h
oJMFRxFBY7YJgAuyRaz3mA/F0bIcwtsshIMhK9S829aJq7ZLyCdCkTVOUkTw42JNvAyR3KJrnpwR
rD5fMxup2IetVZerVrxK1zsmufCdIj0YJGX37DaNeNgSFIY2vUSbPfph1vLx8GU8e13V461sxAM/
T7Z51r7vZL6axwHlOmwNJo5G/Rk5V7Ooz8XcreLY9aGCLTvQY2XzZg7uRk9yX4sf07Hca82dqpyt
9KKPgRLetj/rqXxv228F+KUQ+QuQ1muLLcZT93HDvBqGb+4625hJWhi0/R3pF9Ujkor30Mm1i6LI
WDt4PTUm1zeYfSWB1jxaZhewXM7t8lto1QGxnkRq+vlQJSx9i+xHq4rowZzD8sOzYuouSywvTbDc
50F0cEb70TF681mm5kCEaNh/JXQdYI7lhYzEHQ/8eqaHL3mVFvC0rWBlBAXFLOBXWB6B6PNHbmGW
ZbJ11l0zayyVRnjqfBdy+hCNyvaFyBFwTPUQXqKhis9Wb11F08qHZh6cW2fmf0RP/eeS/NeXJI//
Yv7655fkHVfjEk7zl2vxjz/3x1BIfDFJNcIZiFKaQAOJO+8PebP1a1y0EJZ49hz9d3mzZPJD7AHL
P7gTzGMx9vz9XhRfDC4zSj1uW5LYTOffGQqRNP/ne2GJ+bJIr4PARRiBdMy/DIVmt0WupZKcpAdS
KQvnI3Rij5exye8iWwXnOGM7SroHsVEpAl4QqrsaFefHZAvnkriE1UyoJxIBfCOqRlpcunK7cJ9D
/N0EgnhMVPqFU6CAYY6pPTwMDQnBo2k1UHX67LGNMF0nXtOgjbTRAzGxaOVFtZwIroiBQBFs1w3B
Q49tXoJK3uhpAPU3CZ6nKHC3zeJ1cHJxRtIjPxzCglmUsq8oTSbRrjdfsnzm1hg7xC6YTVYDohpI
nuN2bAfSmBPykdlAIsToc2td51QHk+EsNExtXXrjQx3ZjFy879yTq7HKz3mP9aw1b/hTTmVThT6Y
Ex+E5E9hxNNRi4JFO5W6886MmseYz/ZKhiVVwKxVu8mJnyfEI1Ibz73gw/S6yjonin9ybKV3dgHg
TQsAHaIosESPJkwv8108dd9o1ue74KXlzFm1NaBxMnCOthFld6gmXqRQ66zuN5lNznJu177hFj87
Gx+mJzFcoT+eXAn0M3mqkX5EFR1j4yBihF+50lk3rbU52Wuqf9BMMSAWaqfnPp7FwXJygrfMaR2n
5UZVqFMnpw7Z/YfRI0Yh0tyHz0DQi4WtnW2nSbkYs3P7Kn6hxsWMHQ8sg6/Qd+3cDicHVg1xQAet
nqy8vFlpbSPvtlhzJ3mkHvUsmJnPt121w4MVXidJTrZ4hnMLki6Rxf3YaJoPUOsS6vY1QmaWpvI1
zNQdWGfldz2VXDI257BpDxr0aZ0+eQyht5IwrYSK+VG1d03T/UyLRx1ANq2hZ+2FU2W+YnK36YyN
PQ2+jk1kVXuW5gfTTA1i1ndq0M/EL1I0AAxxXRenmFqE1QgFX8ysYmQYYXGc5PK1k0Ota6smq/Rn
IMexz90twFOuzHaLCB11mTsauxrecyGMDzvQWG0b3s8s8S5WOq9sPUeWU99bncuuI1mXqXlr5sj4
OuDB1iGpxRubRJJHT8IKCMCCr0yFDMHCtnWdI0vcG+PcbWPPiHYFtsBvlV33J8jccee3Ssj7rLaq
oxW06pTYjcuNUkeYporwpBFVcmA73R/Io8leEwtSqk/vFp8jM9IPURI2e4UK5ql1JvLWi65FPKyr
r6RbgDSrx/I+ktZwcJwie6ePdB5nG9depqcpY5dCniJZeicsNpK7bRy3nWEsypp5uiD6yJ/mLp6e
IBX3x0Sv8uecAmhbDyYqhqbymo+OmdK6NqIBSq8nLiBtqzPVwfiAJtS6E8bcHzvQvV+NJOuZ7ZUT
zG+PNXUm00MTeeI6N2X0w7Inbs6WgJ7vGKkY8bJO9i5zP8YXLLXjWRC5cMoC12AiMgz6vetO+m20
hvoOwLNxztMyemb24KHEFs2ZR8U5W9qon6kVunaF05mVbF45O+LKszv6gxC1YKcekowI+39RzFu/
RvX/VTuzKIDjg+SSW8BldUCf8efaOWXSWFrtHB7cMMzuKrsph0PSDu0dmcdoWwLgepUxjitlGv2a
BEdin/E5bgR8/Q0Cxmec1No2s1TNW5Asa8bWKGGnxvqWBXyLVjgOv3ZkkU88c6G4l4WenDo9v3MC
ia259uZ7Ztz09IGbXRQc8BVP0rMIpnLVUOrv4V/lPsN/sYqUeGoalCp9P+ZX2YcQHkbVB0/VOJoa
gVWKjVrrzHWxjgr+4hXDD2Z30iF7qpixCfstBpsJYg+c+80AKvwrRPE6XlMBlRsxG8UzIGH3Kzyw
Y5t1oPxNALGOBkW5K3yFdaIiVNCvO6dYQ3bGOpaTpmURpalyo+O7sm7V1J2jqnkMCOjAwap37EDE
EeTd5M+MYcnnQDNtgfz1nTFRhCHjNpjt4RQ05dmJef3jWKGubUN8c2RHJ31DLc44fVWPMvwWDWI8
FsNobzUMbwD2pLgrVcI+wDOyrROlya2aZbiu+jC/6+fR2XkBjsV+Zsi9mkkOOo+VQHvVJ+0ZupZ3
6YUePUd6aJ7DWNZ3Ka3vrTSkfh+lcCx8SCzdiZ/1dIYRGmOB7bwLIxmed+ZN7Xfyngd7RVsf/cB/
XfhTE0zbZnlT1PLOuMvbYy7vUb+8UVnr9scomKy7VCumh6qO67OtF9zPUTvcVczp1zCuWrzrOaYO
in6I9ssb7C3vMrHS01PgpMUT7r3pIgxuH8TbIxMqzgEsmd5JzchJKrtETVAXy3NQu48o4bN3PA7D
YV7OlXk5YezlrBHLqdMt58+8nETxciZ5WqUfUpQC5yKUHFkT9t5X3DuE76a5B3BhDE9Zh3x/6KT7
kWSmOlWBxrZEps59lJPstICv+hMFiPzGEDraTdg+kUrH8p7frV37OpS+gaxyE8dgNDD4qEUDHzSE
SLSzR4WSMnFot66XZgbIbCcZt6RvorZFjS9z3witRoGUiPLhrnAS19dFLXBnMu2d16aHXhCNrxck
x4KBWPWKibuhLxNp1YEGsNJuX4bNEJ5N2gampm1sN6u+c4cerXFBGkJTxxhy9FDDZeJGkQrXnppq
JEizmLmvhWC20NjLYK0qkhJ6b2ddLW0wL244iYdJw0aWeVa7aXC83lrivFPYLUGu74hQybINAe64
ugNWUHgJKlZQg6zpDT1gnKvGmSNt0+cZFRBjYSRyDsfm25yBH/Zpzg3OFpUkHo+YURugETvzlnY1
n0tRPziBmoGiJQjHW1X5nVnsW4CV28TpnrvhLHFTMFDVLwABq4sNh5/GTAt8atRoBTwh8LGT5XRP
inQaL5zWeVmNK8yALO6G5B1/7bhVyfjNKKzadxsLvLgy7wO9Hu/IrDF92TafsfOJ48Q7KpP1lXSU
yZiAa8Aqa3uVOPrOiUpETsYtQai6njIXcwsAoyh3pB/mjb7pa9s5dXKS+6wMQJfF1pGgoVuZ9tx5
sWGdNe7/jT5X37K21JafERJgVZEIEo33XOfPs1HFP4U9RiQioYcas3I+JawqVtPI8shwdbVOjFr9
ZO3PMwiru7KwG3V6AjkidsL/7P5/FB0kiv+7Pg8F4j/v8y4/wohGT338N40ef/Af239H0KtJYSxp
7vYiavxbo+d6X5hyAWChiHL++JW/b//lFwaTsCAgk0qLAeVvA1DxBXIYpyK7epYZC7zh3xiAmtZf
EUNcFcvwj5hUF6aAY/9l3MY6o3MFT+++8Ro73Jt1Cr8RsNLUsPyPo+9TmmVHnuepOjCx6x9tQ7nh
Ro5GMm+BdFjPdUKXWHSS3JdKpsPEdkYDDyHGbqp3uRZZz17rkMo1jvo11zTR3VuiYBngQPPCFWbb
ibdH+uaCa1NuXZ11rZwOGAawwIkwCjdu0FFfCvIuwXllnY+ZTnvyjL4+ub3Tv0HXykhvcr2NoRMy
XhfuTQdAhl5MvyNPc1h5uNsB+rVD863O6mr0WcTmNcdfGJ71hAgJahNjPouorcgIsqlJ2j4D+jFn
+d7pG3wlZmzuA+GSDyNmC5eOYl9oo24sNDWFGEOUfBgjy3tyS8/djUY6Ip/PPD9R+bCyEFxvLChv
tJJewTxRsgZibEpeqzv2iKynysFsVd4M7iwmXfD8CEti9K2fTU4g9q/FODzUQyYVMAL2u+c67rAq
BO4wQHcdM8T+XoEHdN0aAXdgqLE0w1uAGmkbGqpljDh4mvEwG8JT1yZE3/Vg2DqHDkinoNmnidYE
dH+uMR96vZPJMRhGz1qXSWAMm76XYt5aJC6+keZTiwc3bzCyGQTvEVUX4aSnfTJTtbLmdui3gWyH
ndPp0Xe9rELHz6vc2xVNb7yIYMSSFOphuFDYfnr4UnptrO/NwjXPZaMqSildI33PHd4cCWQ30oN7
ICByxc3ShUBLc1qhZlznqo4fqLyoSHXSKkpoapjVhD7uWrtov1v54OxLlFrxLsaVYayzUq/XKTve
J+5g4ngUMnu1zmGFPpLeoc6EloERmWKMmG2XPXbE9ayZy2VwN4toB32kPOoOm0wgkuFGj90jZZy3
oeCfn4IiNrZDXYqjZLm/ihJtFxcGjj6399OybR+VTShPxNTuqoVGsCUwPcxXHRyglZ01CqdIGTk5
oj7+/65kZXdmruOu+buatWIVfW5qGz+JkdjxE09rf0LNZoCpM1mogrSJk4MK07EiyK5fM4BAKkdW
9iEcxvTqubjPO362Ad7oAONSSP4iS/BxmuBDauO4pvgmPS13XqY4zh9qVe7w5WSb2sMimicg1IWp
kSPrOtVj3oct116f8LknaieTsP7qeIgRUD73l6pTP8q+x9xdKTNHHhh0e0IHkq2ED5G+VdooH8cS
gSMVcuq8V6pDnKfn0j6M2aAxH5h69DfsWKVm9hsx1P1Wr5saL44zYvUTmZ8bONqzCfW8jU9wn3na
Uc87yQmTTxcp9P4t0FvWtW2Y3YeeVR/bKimOuMw8TD41YtxxIEv110H/n/Hnv7gWHRskN+s3hpOS
/zBZEvxPN+T54/tHGv1+Pf63f8Efm0LviwlRASaRhwXIcY1/jEQd8YWdnwmRTsDg/5NOzhJfoC9A
5GeHyFYN+vA/RqLWortzXEzOFqcs9ON/66Yk0+FPI1GNeAsHVC5LzP9N3Xk0x42kafivdMxhTwsG
kPCxMRMx5elLNCKlC6Lo4L3Hr98HRVJSSZS6p0sbwcVBB5FMoLKQmZ95zW5SrUUV7OSwwqCsNeMF
C802JgHm8faU2gTuWqqdDMemlFjLGuUH8hvdPGIH9+pJY1TBWZsNtC8Sq9fRnaSCtmqHvJkpXpDD
hAwFtLmyhtuOjJIyj4LEnjda5h03VEWmnRMP5apS3eCzShZ97rhe/KAPWfVBkAy6mF/BtCYED3pv
1gUOVmtK3Tqfc7NWQNxEVBjtBieQCcUUuoe2GKSblgQZQj96EmgekYiWixJHvBjUS+KdocuMtiV5
Eihz6PGX4OjcMw4onVNOCfRjxBXB1FRytRZNJttXrVSm4SXmm42CbaLAx8xOT9WefkkVIfY/A50A
sc5ptHOBPcrM7Af93ErNkSORWAtbSQEB2HmhBgvkn8K7OKmQmFc8FXnoEj/GYwowxkmCmuTCgPB+
pEh+00xiACTnHRLe2aQpU/USylt4zXM4nOFFUudTqgzAnjnIXXcmtNKop10We9eJlMjHriLl4VKA
x8AHqVULBxABBebzSGm00y5EvCFrbT/GJSzzvancuQKd0VSjFq3rqXwT5HXZw+aIW0jnNRCSqsi7
W0iU3mlTWiRVodkgH4OFXAFk25GtamUDjS9OrNxrP8lOFxeHRWta4ZmaSMMS0YBh6qBedu2VeXKm
C39khFkZda7YcrI7bCe9ZhlFUdUu5JSzWaU+k03arjZQL0sl9UKTRA8HU3Gvs8GqPoZVRt0ycWPt
KhZ2Bcw89UbFzSTq5hIVWsDxucS/SLPwxSP/eAYXXDq1ibkeCQRF+WlA212fdZmkUWlOOsWoZr4X
U2+Ro6Sm1AlSvPsYGn2lH0vCyGUwLLHL6wGICWKyJB1VYaZ8JmnzkfMhDqMq5IOQFBRn6lXoI9K9
TGPfwOdKaREi0OThtgF/jlbiGMvM7VZ4V3WW5qeR4olDoKl2tqodgO9ENmGK/im6AMZpY49QR/L0
/gg2K7q9fDG6+kEZ0vyhKp26A3yq9QlJfIv6hwjLZB2FfvK5xZqix9hL6E+WHSdUPJwSpgdCpmO9
kqCmP88TxOtP4ProAhd2V9wMZlp8qK0EZWgTnUQ8fC1j0ce+Hsyw8BNzSE9Yy8l1aE0Mo3Q2dpuL
Czlh5uc4odkSCky2Hs07enUj5yeSnmgqDHAH6+LQHkxMEgeCiIWEUeu8MFUyeU2qZPjKHU2FPJDT
jWrnmUAUF9NMBBkIdzLRrVM5orydZGkLSyHDrhMJM7T2nTj31k4UaodqaEFngulZTJB2hrIUNQLH
y0IdQW8mQ7rXCCnxTOBMs48Zb2U5y2kQP6URKgSFGhGhUKk1ZpGTA+YNUIozawwpigJ7o4qm8xyB
BVodDuI4cFFdAGEuRNB5PYA5A1cQ6hOdRbrxIqk4DpGDBCivDFggVFS2e41UfwlMzexOcWKTqAU1
jGJ5JXQE1geJPRutWBItOUfk5sV9H9l1NR1oTFz0cgurVIWVcwytIaGcI9MehwqkLmWphJOag9HD
JqibuwWym4bwQiTpA3M41PAQnADhq+d2KjWTui9rBAAr7UgDanJr+hUCgKGdoGeLB+pMr6IUpr8z
0Din/A+nBB53F4Q1cOQadehYjRB7c8gqWPGy/8GUh2iuZLAWJzomGcdyLPQ58hHOXBjOXUezbSn7
/EpaV+UcuJn7WRRxdddDeYPcQKsYEW4RfnbL1PzgDkpJCVGLg6M2RZ1jkHBV7t2quwJhvO69irq2
DIdW9wt71oiOFoRj6N2RlTftSssi99gwspB5N3xghFAxkD3z9WUayuImLwbMO1I/xaXTl2J14cky
EElUpIniKjdo7u3Ql+90EoGVL5UutSxEWE/Zgkd3HYCDdYHWMnQPP6jgmAzRIUREdhU59tMr2kDW
IgpSY21AurnUMCk6BK4rrdMShFyLPB74x8BornIpAxvmW7jGoHBrzc2u8a4yxXcg4uFhNbUwHaCm
5PoRCVljY9GXUGlOEMumVeEZa7IoA2YXa9afqBg6nuqSWq8831PPfBr3Fh51Acy/KHf7mS7TifHk
2jx0Yhe/aKcOqsteRP41aIVmbUuufs/aVdaKV9iPeemVC/hEDjIgogcyJ7WacoOyT8WuFAaHmF8H
QO8QdaOsZGs4oFsq5o+1oHBsxZA7RoP0OoljsrQcRjtsuEORGdnMibTuWIr4sBzASBw7UkJqWrkp
tNFIrW+KXGYdkxdFCxkxYSrTpCSOgA1eeRgiTvo6E/QUINuh7oLHIzS87jSFsTLKm7U45QFJTa4U
zuqFoTXYbWniyTQLFekLtw9JOKywuOpqqTrptc4kKasN67DHg6GYRp3WftQjPX0sRvQV1TTZ8el1
jsKaTVo9hFrX/9/E0P+PCCOjgKdsELgKTdEF0LWxbf7z+tHbYLo//p08/DHbxJtki7PjxdmNn9+4
xVeknUBensLy9/GzfGCZME10oHZjoelbnol8APBaoYA8hvOAryhPvUIK5ANZg19go5W6HfI/4pko
34s6jkrKqiZ4b9GKoOJtf1dpysHUBvDWtbnTXtd9empfKQu0PTElIEpwprxpPjpT5YV6DRLYrqkD
X5e5D1LnxkHWyHckXJK1qRzGn22nQcOBoiv23NLCtIplk7HeS3jZ1l3faTMPrSbwBTd1+1n42KD2
aMHLOP1mEhCD/hyTRfRnjwDeFt00WjnwpMWZ++AhqpToJz3g8aQ9TQnhHOMJPC3MQWR3MCFXjEM9
ADIAh+aMHXDWt9I08vplbIQBQHYCTYRFdWlJ3FssYE2407SOzjroszbg9aS9k+0EfK38IR6piz4H
3URX4QuWJipZyX0VnRsWUPq6CSvSfnRW2SAjj5p6D6lRrBXky9xoOFTVYiH3YiVp8VEoG9EUUyb8
9FAgzbLzsiYNIP4E9o47YyCvIwRwuyzg3FPTR73WkmmSa59kqhV8TXPci+epTQka3XutDBc9FKAC
0HxgFBAay1PVr9YVJl2Ko96HprHuUp4V6WrYwIqgeNBfpxLGJ7E9d6nkTQLSMUyiKGsYDaOiRr92
Y4TgcrtEP85C4AY0WND9iaAtfvQ7udnzupPZck0FFV20/b57t8JGLjs/hXHfDfF1UeGtq2nlumv0
FZvlXBcUgSLTIDhNllF2rsfdUle04yoGX97LKklFCSfDQT1yJPiHkrzwaxSI8Jmf1I66VpuUQoV+
qWo6BsUBcZLqH+fJsVxryyJLjpV+oUjWnLNpkvnDBz3yVhZmx4Vin1V8hVnvP2mILejhJ4lpdtio
wdEsXNSlICFOAR/M8nYsuZV4awG96+AGFdIK0fV1oReLRtXWPQ4khuaedpCK7C5exl51FWRIkyoG
lZIjTfls6M2EdstRbiDXk7ZwJlM3J40DZGDzVoY9+MfGP7GgDuUosgCW0WPrLq76VRThZt2OjToE
7XCpHE4GLBMty9n0mb5IIfbEDAhjGAaqpPRHbBc3QrhnQXIliuK0cLRVqbRXSfd5CPTuOBN9SpNK
MT/ljgo9g9qhhCaoR4JgBLwiraHR7bdXuVo8kGBhJR735y69X8RNUh30i1of520+yYzh8ze76xsQ
3O/tvra7M91xVQZtLMs2BYEdaOmQyhyAbQKUPA0fXRgeeBYvnUL5nBceAMziSDGLi9wJz4a6OXdx
WA6QF/J9baKEZb6ochO8B54MQZkdklafo5XG3lVdlJZNm7oK14HXoHme/MnbrW1FHL+29UfYNDgw
/pFh49qjFO/uc5cZuJRGAd6YmwUSKIKWErCpQU+nXQ2epgB16USetQQRMctcA3oum1SOyBEw3g6n
jNyLsNqTIKMXOZkr2q68s7D8U+FT4kZCWRhghvzmko11qUbd2g/qy0xSrgcVIcBCPLg6OHyNWFe1
qhlCaNUEois3NkiYO8tia2zEE1pPUJOqSjqhrVzxMmYVJcn2wmuadWvVx5nhoD9hJCAU0V41DJtC
xaBM1LC5Qlz3vIm0YVLrGZbGgTfX1eyqraQn21MRzPKNJ0MCFGYEtzjPLoumjBa68pRF/tKjBG8n
PIGbHxbUEwYLn1hP/9jGULAtRP/M4q71JHBsOGrE7Rxkmiu34HnwnAr1mwQGPywwuI8oFujVqSz5
65IYGLEDAe3CXklKEk68ur4Jiuo6lwX7uHY7hPm163fntUiGWTPmJRKafmNFx5VXOAlf6l67kl0q
AVVw78jZZeRVR7VQZ+QiaGDrFHmttZvIh/Qn162GV1ZkXcaKICWJjVktk5IqOAy4+sL15AVf/Yms
RPMW/w+j82/wm1zBC55DK5vq/amcnlTOMAfJs6jsaBqZ/kQpb4Ph0qHLEvrWzKuP7Sw8DBLnBkho
sMSTyp9S31/kSby0wmHutbgb04l9QhiJXrmxrmVtlhfBpxzS2cQuA/wzaDVPB1XLJ4FhVogtmh9S
etgoG+WzpGhbZCSaNTkxPRatmUjiCebNoSPZN1oZEeemDxbi2GhlJVS9nRN89PiLJl1XebgSeCoF
KXXm1rgIqfpoAl7KAHg2H3Q4KfTPHamislQj193OHLdMOJluA9FCEelWcQ1EG84JmPQqvkaS4tYt
9ZOuUD9GlYUyq3GrD/lVF9fVnLf6MHfMp0Gox07tGfO2hHITKe5x30G5qmGMzuiQRHNcoU9Cl1PL
SM/xsC+oickbDR25uWiLi1TtN7h201Oqq1s5ovWsJEaK21e/LrTquhmsowY9ABoaKEyFh6HQP1LT
hD+H+7DwgiulNG5rUR/L6OTEsN9QY0P9LsLhvu1mnSyv4aXOQt35GNP0tQqc2TX7wqilUzf8NJDB
o5sztR3vrGz8DxA65z1vuxZkT4MvqM/0KOLYl12v3ogcea5qOKTPfuFId01oPWHe8LkDMUA7YAHP
9D4AUO3HZgPGWb9w7MeYvNC055qE1OlZppwhapnUF7QD1oUU0xeBxqhCWxTYdVrXcVdOUU6bpkM1
paE3QUgOxcTH0Aei05LilLcmJULdm/gdhZboiW7iTBGfavfSdOOlYRUII3yQKE+4JYjwWvC6SKeB
fNEJH8OL4UR2gHCilwBcauXTL8CRRNfiOXJcyNXh/GOcK+096O1pbKq3VU35pWddh+IW1cy4a7En
/SC7NQDq0LvJHRGiE6bPXP+uLUci5lMXpDSo7LtOVSPqpOUd7KeVX7hUqRQkrAI6jbZH9pba4CcR
idXtdiZ61CDsFNkWehkTiTLUzHLjjz7KgvNO9NqDVCCwZkl4mVGZXrS07qlJXnlubs6GQLmyQ+lT
2vc3aThsmZ+DU0GeAyQ2VaGOHrpViDtcZCFqamDJ1bTJfVoPS2swVxX1BiP2i6lsEU65XncpaTCd
Cxm1CUTp46DdVAbhsFIcGq0DUKhK0N0y7+KmObJb7xHdkys7AXeZB2IVBCBC0pLQBFBROHdMOHWj
xnnQVFeROhDaxQh7aidAC55CmcKHsnQr40hDXl5Ji1OaTuy+2qmX67RYq6Wl5gJ9O4T6C60H5tvq
6N+C5plVeoFzkmZXczRx+sl/ewPJrFkTpmW6vQ7FyAG26itfjm+L0fMkTj3UdEvnQvWUI+bGnzs2
8lMic/pJapoVHANYiLJkcRPEzbbRwW9o6YxD/E2F7Ze7zzbVZr6FHXyoH4v+4pEWcvVFb3r86Tr1
k+oq/Xu/9AoAeHugP74FPPDCJNX4BChAJd8mltuYeidX3T7S9nl/NUK0AU1RPzz+8x+CfosudAUl
A3l7kfyCFXNffmzaB/SMDJooELvG6xlD/80M/WwOfv3xnifz17+z8wE2D8i/ju3cwr+vdqYABtQ3
EeWX2fxxDr4b4uscKPoBBgk6lrLy84dkwN05sA2d4gC+BtuLPIY5f0dzMHa59pwDYfAeaJBTmYXn
a2cObHFgidHQavQ6Ga93NwfYyqpCpfv4V5bDT18FlgPS3iwGah5vLQflAISujCzIe10Oqi32ngP9
YHRHg8OJbtt47W4JFj8GeESJ6flG72gdQIaFQ6ORae33ElgHaKsgrmJQNP1xAkzzgO9fwzYcb8/x
en974vM8PK9RzkH3Mf07+6JKmZHmPjzft+fBODChHCm0nZ/nATrS+9oXOdU0S0DW2veFUA6w/bFA
u7+5K1iCmqvC9ii/vxXxMgOU1vZaErwKCt00ZgHe9Xgx4O4RCbwRW6rXwwPo4zt7FXDP2ndfUBWY
fCrgz7EQ9ea+AMBGAHZB3mm83t2+MDYa9t0UCBQwiqMnAHxne+2eDigHsE54P0DdbK93Fyi8bgr7
Ro1CPYABShMGgbDttbskOCYxfWbR0CHeXu9wdwSctee+oGgHpiJrQvtJvGQcKMQSRBLvNWykrTXS
aPfaHBX5AEUMC2cjRvp2VzQONBmROA3GzvZ6f8cDAPJ9XwHWAZp2RAFwOrbXdxuCdSAsuM940j6v
g3e3IbBEjefz6u+HSopyILOxIOu3uwuYFq+AOWL/n6f5HQXLmsKrue+bbx9oxERQEew3v3uW/+gf
T3v7+Xp3YQGKGPK+JyKxkaUJMsIRfPrt8tcPWPkWitcv8fH7e/PHRHbPV4Dlb43FEdnc/fSWeWBj
2GkD8H2n3z3rFTEijqY9Z0AxD9j5Rl7Pd2vfPqBfOWYNL68/P35fQTHecyN1aK/Dj3hwGxSjlPrW
FmDJhEEGJcbXKOk/WAR/YbP8Uo6den70sC3E+o/lW/Xan/3Caw3yx5+/1B8PH/75j7HOuvOLI+L+
+d5f67T/2qkqbeuD3/zwtV64vc/Ln798wB9vvXOv10/1+p8r/7HYFPdIO22L0y+PebaJKecCQ/LQ
+loXm4fH0vuxTvr1gf75j53H/eYt+OX4RZ1s7iHQvXULhL0Iqve+RVnuOkw+Vzf3HRaThE3x+nTj
d/pcKdt32NWm6DfJ5tuBAVFZHKx7j+zHP51pyF5jNrvvLY42cVz/8V+bOPufP443pUcr6nXQ7VsP
qYPluu9djjdFQrMk3J2kkRnyG8ZmKUTfDbwN6Pd96JNNWHqbh/bxMXt9yu2UYGvMjrnv6KebB69/
e5k+R+T73uD8wefxXx90fHJBB+c3fJnr+qG+9x6Lot8Z3FAV5fU/3mQjfTljfrW7rOsk2Ny9jrN9
6uf4bN/puNgEm7LyNjvNs5dqyL5jX/r4Le9Y4gJVGsP9fQe+2sR+9MfZ5qF+HWuckZdsZd/Bryvc
5d7axF9ign3Hv3ksqz8mjwmiWjtP/xxx7jv66YbNnA2r2hVxf0lp9h19ieciSjTfPveX7tLeY6c7
q3Ic1xC/YSvn4P+CPj7z79M7vt3DchQ0K3c/h4Km52/YB/79q0BgFCVVtnjOfafr14bTP9cE+Evb
DbrZ2c9tAPYc/G2c+LffxThLI7b79f/+/r75J9p1e36S000yztPrY26PwW2DaaSR7v0F/4kcw57P
PnuMPP/1Kb8++dgi3PfJf4r2f+lC/obzcMqJ9eAj2bsbyX/p7u37Eaaet6kqv/zhDl/7ZvveYnvO
QCfmg7xO+fZr+NqX2vcORxwFPx3/N+QjV4/sou73Mf7X2sG+z/9X6db7roQ3RaD/Dm/llw/yVkr7
BSvzY6L7igN66892s/jxN+6jx03xr/8FAAD//w==</cx:binary>
              </cx:geoCache>
            </cx:geography>
          </cx:layoutPr>
        </cx:series>
      </cx:plotAreaRegion>
    </cx:plotArea>
    <cx:legend pos="r" align="min" overlay="0"/>
  </cx:chart>
  <cx:spPr>
    <a:solidFill>
      <a:schemeClr val="accent3">
        <a:lumMod val="40000"/>
        <a:lumOff val="6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ECCE61AC-3C59-46F8-A760-B69809EB5680}">
          <cx:tx>
            <cx:txData>
              <cx:f>_xlchart.v1.12</cx:f>
              <cx:v/>
            </cx:txData>
          </cx:tx>
          <cx:dataLabels>
            <cx:txPr>
              <a:bodyPr spcFirstLastPara="1" vertOverflow="ellipsis" horzOverflow="overflow" wrap="square" lIns="0" tIns="0" rIns="0" bIns="0" anchor="ctr" anchorCtr="1"/>
              <a:lstStyle/>
              <a:p>
                <a:pPr algn="ctr" rtl="0">
                  <a:defRPr>
                    <a:solidFill>
                      <a:schemeClr val="bg2">
                        <a:lumMod val="10000"/>
                      </a:schemeClr>
                    </a:solidFill>
                  </a:defRPr>
                </a:pPr>
                <a:endParaRPr lang="en-US" sz="900" b="0" i="0" u="none" strike="noStrike" baseline="0">
                  <a:solidFill>
                    <a:schemeClr val="bg2">
                      <a:lumMod val="10000"/>
                    </a:schemeClr>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4.xml"/><Relationship Id="rId3" Type="http://schemas.openxmlformats.org/officeDocument/2006/relationships/hyperlink" Target="#Sheet2!A1"/><Relationship Id="rId7" Type="http://schemas.openxmlformats.org/officeDocument/2006/relationships/image" Target="../media/image5.png"/><Relationship Id="rId12" Type="http://schemas.microsoft.com/office/2014/relationships/chartEx" Target="../charts/chartEx1.xml"/><Relationship Id="rId2" Type="http://schemas.openxmlformats.org/officeDocument/2006/relationships/image" Target="../media/image2.svg"/><Relationship Id="rId16"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hyperlink" Target="#'data 2'!A1"/><Relationship Id="rId11" Type="http://schemas.openxmlformats.org/officeDocument/2006/relationships/chart" Target="../charts/chart3.xml"/><Relationship Id="rId5" Type="http://schemas.openxmlformats.org/officeDocument/2006/relationships/image" Target="../media/image4.svg"/><Relationship Id="rId15" Type="http://schemas.openxmlformats.org/officeDocument/2006/relationships/image" Target="../media/image7.png"/><Relationship Id="rId10" Type="http://schemas.openxmlformats.org/officeDocument/2006/relationships/chart" Target="../charts/chart2.xml"/><Relationship Id="rId4" Type="http://schemas.openxmlformats.org/officeDocument/2006/relationships/image" Target="../media/image3.png"/><Relationship Id="rId9" Type="http://schemas.openxmlformats.org/officeDocument/2006/relationships/chart" Target="../charts/chart1.xml"/><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NULL"/><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xdr:from>
      <xdr:col>1</xdr:col>
      <xdr:colOff>30481</xdr:colOff>
      <xdr:row>3</xdr:row>
      <xdr:rowOff>151236</xdr:rowOff>
    </xdr:from>
    <xdr:to>
      <xdr:col>14</xdr:col>
      <xdr:colOff>318655</xdr:colOff>
      <xdr:row>6</xdr:row>
      <xdr:rowOff>76200</xdr:rowOff>
    </xdr:to>
    <xdr:sp macro="" textlink="">
      <xdr:nvSpPr>
        <xdr:cNvPr id="2" name="TextBox 1">
          <a:extLst>
            <a:ext uri="{FF2B5EF4-FFF2-40B4-BE49-F238E27FC236}">
              <a16:creationId xmlns:a16="http://schemas.microsoft.com/office/drawing/2014/main" id="{C4A655BC-FB46-5374-BA0C-0A981A279DAF}"/>
            </a:ext>
          </a:extLst>
        </xdr:cNvPr>
        <xdr:cNvSpPr txBox="1"/>
      </xdr:nvSpPr>
      <xdr:spPr>
        <a:xfrm>
          <a:off x="640081" y="691563"/>
          <a:ext cx="8212974" cy="465292"/>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0</xdr:col>
      <xdr:colOff>457200</xdr:colOff>
      <xdr:row>2</xdr:row>
      <xdr:rowOff>76200</xdr:rowOff>
    </xdr:from>
    <xdr:to>
      <xdr:col>6</xdr:col>
      <xdr:colOff>228600</xdr:colOff>
      <xdr:row>7</xdr:row>
      <xdr:rowOff>22860</xdr:rowOff>
    </xdr:to>
    <xdr:pic>
      <xdr:nvPicPr>
        <xdr:cNvPr id="4" name="Graphic 3" descr="A grid with small circles">
          <a:extLst>
            <a:ext uri="{FF2B5EF4-FFF2-40B4-BE49-F238E27FC236}">
              <a16:creationId xmlns:a16="http://schemas.microsoft.com/office/drawing/2014/main" id="{B61AF48E-261E-75F4-3B59-DCC72218A4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21190282">
          <a:off x="457200" y="441960"/>
          <a:ext cx="3429000" cy="861060"/>
        </a:xfrm>
        <a:prstGeom prst="rect">
          <a:avLst/>
        </a:prstGeom>
      </xdr:spPr>
    </xdr:pic>
    <xdr:clientData/>
  </xdr:twoCellAnchor>
  <xdr:twoCellAnchor editAs="oneCell">
    <xdr:from>
      <xdr:col>1</xdr:col>
      <xdr:colOff>31115</xdr:colOff>
      <xdr:row>6</xdr:row>
      <xdr:rowOff>113665</xdr:rowOff>
    </xdr:from>
    <xdr:to>
      <xdr:col>2</xdr:col>
      <xdr:colOff>610235</xdr:colOff>
      <xdr:row>13</xdr:row>
      <xdr:rowOff>19099</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90CF9F76-4FF7-4C44-8906-92B25DA706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40715" y="1194320"/>
              <a:ext cx="1188720" cy="1166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56661</xdr:colOff>
      <xdr:row>13</xdr:row>
      <xdr:rowOff>101275</xdr:rowOff>
    </xdr:from>
    <xdr:to>
      <xdr:col>2</xdr:col>
      <xdr:colOff>579641</xdr:colOff>
      <xdr:row>22</xdr:row>
      <xdr:rowOff>78155</xdr:rowOff>
    </xdr:to>
    <xdr:sp macro="" textlink="">
      <xdr:nvSpPr>
        <xdr:cNvPr id="6" name="Rectangle 5">
          <a:extLst>
            <a:ext uri="{FF2B5EF4-FFF2-40B4-BE49-F238E27FC236}">
              <a16:creationId xmlns:a16="http://schemas.microsoft.com/office/drawing/2014/main" id="{C328C415-A34E-158C-FC6E-C276AE2A1768}"/>
            </a:ext>
          </a:extLst>
        </xdr:cNvPr>
        <xdr:cNvSpPr/>
      </xdr:nvSpPr>
      <xdr:spPr>
        <a:xfrm>
          <a:off x="668866" y="2471942"/>
          <a:ext cx="1135185" cy="1618110"/>
        </a:xfrm>
        <a:prstGeom prst="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281940</xdr:colOff>
      <xdr:row>13</xdr:row>
      <xdr:rowOff>160020</xdr:rowOff>
    </xdr:from>
    <xdr:to>
      <xdr:col>2</xdr:col>
      <xdr:colOff>350520</xdr:colOff>
      <xdr:row>16</xdr:row>
      <xdr:rowOff>60960</xdr:rowOff>
    </xdr:to>
    <xdr:pic>
      <xdr:nvPicPr>
        <xdr:cNvPr id="8" name="Graphic 7" descr="Blog with solid fill">
          <a:hlinkClick xmlns:r="http://schemas.openxmlformats.org/officeDocument/2006/relationships" r:id="rId3"/>
          <a:extLst>
            <a:ext uri="{FF2B5EF4-FFF2-40B4-BE49-F238E27FC236}">
              <a16:creationId xmlns:a16="http://schemas.microsoft.com/office/drawing/2014/main" id="{8B8DDE64-7314-7B5C-D7C1-1656AB46114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91540" y="2537460"/>
          <a:ext cx="678180" cy="449580"/>
        </a:xfrm>
        <a:prstGeom prst="rect">
          <a:avLst/>
        </a:prstGeom>
      </xdr:spPr>
    </xdr:pic>
    <xdr:clientData/>
  </xdr:twoCellAnchor>
  <xdr:twoCellAnchor editAs="oneCell">
    <xdr:from>
      <xdr:col>1</xdr:col>
      <xdr:colOff>185885</xdr:colOff>
      <xdr:row>17</xdr:row>
      <xdr:rowOff>66496</xdr:rowOff>
    </xdr:from>
    <xdr:to>
      <xdr:col>2</xdr:col>
      <xdr:colOff>371165</xdr:colOff>
      <xdr:row>19</xdr:row>
      <xdr:rowOff>177875</xdr:rowOff>
    </xdr:to>
    <xdr:pic>
      <xdr:nvPicPr>
        <xdr:cNvPr id="10" name="Graphic 9" descr="Box with solid fill">
          <a:hlinkClick xmlns:r="http://schemas.openxmlformats.org/officeDocument/2006/relationships" r:id="rId6"/>
          <a:extLst>
            <a:ext uri="{FF2B5EF4-FFF2-40B4-BE49-F238E27FC236}">
              <a16:creationId xmlns:a16="http://schemas.microsoft.com/office/drawing/2014/main" id="{9F7F38DA-5227-2431-F678-B24DCC706A2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98090" y="3166599"/>
          <a:ext cx="797485" cy="476097"/>
        </a:xfrm>
        <a:prstGeom prst="rect">
          <a:avLst/>
        </a:prstGeom>
      </xdr:spPr>
    </xdr:pic>
    <xdr:clientData/>
  </xdr:twoCellAnchor>
  <xdr:twoCellAnchor>
    <xdr:from>
      <xdr:col>3</xdr:col>
      <xdr:colOff>53340</xdr:colOff>
      <xdr:row>6</xdr:row>
      <xdr:rowOff>144780</xdr:rowOff>
    </xdr:from>
    <xdr:to>
      <xdr:col>5</xdr:col>
      <xdr:colOff>373380</xdr:colOff>
      <xdr:row>13</xdr:row>
      <xdr:rowOff>30480</xdr:rowOff>
    </xdr:to>
    <xdr:sp macro="" textlink="">
      <xdr:nvSpPr>
        <xdr:cNvPr id="11" name="Rectangle 10">
          <a:extLst>
            <a:ext uri="{FF2B5EF4-FFF2-40B4-BE49-F238E27FC236}">
              <a16:creationId xmlns:a16="http://schemas.microsoft.com/office/drawing/2014/main" id="{E8DB98AB-060C-EB44-7A66-8D560619156A}"/>
            </a:ext>
          </a:extLst>
        </xdr:cNvPr>
        <xdr:cNvSpPr/>
      </xdr:nvSpPr>
      <xdr:spPr>
        <a:xfrm>
          <a:off x="1882140" y="1242060"/>
          <a:ext cx="1539240" cy="1165860"/>
        </a:xfrm>
        <a:prstGeom prst="rect">
          <a:avLst/>
        </a:prstGeom>
        <a:solidFill>
          <a:schemeClr val="bg2"/>
        </a:solidFill>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472440</xdr:colOff>
      <xdr:row>6</xdr:row>
      <xdr:rowOff>152400</xdr:rowOff>
    </xdr:from>
    <xdr:to>
      <xdr:col>8</xdr:col>
      <xdr:colOff>297180</xdr:colOff>
      <xdr:row>13</xdr:row>
      <xdr:rowOff>38100</xdr:rowOff>
    </xdr:to>
    <xdr:sp macro="" textlink="">
      <xdr:nvSpPr>
        <xdr:cNvPr id="12" name="Rectangle 11">
          <a:extLst>
            <a:ext uri="{FF2B5EF4-FFF2-40B4-BE49-F238E27FC236}">
              <a16:creationId xmlns:a16="http://schemas.microsoft.com/office/drawing/2014/main" id="{6F1C494F-1E56-40DB-93C6-F415C9242F91}"/>
            </a:ext>
          </a:extLst>
        </xdr:cNvPr>
        <xdr:cNvSpPr/>
      </xdr:nvSpPr>
      <xdr:spPr>
        <a:xfrm>
          <a:off x="3520440" y="1249680"/>
          <a:ext cx="1653540" cy="1165860"/>
        </a:xfrm>
        <a:prstGeom prst="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396240</xdr:colOff>
      <xdr:row>6</xdr:row>
      <xdr:rowOff>175260</xdr:rowOff>
    </xdr:from>
    <xdr:to>
      <xdr:col>11</xdr:col>
      <xdr:colOff>182880</xdr:colOff>
      <xdr:row>13</xdr:row>
      <xdr:rowOff>60960</xdr:rowOff>
    </xdr:to>
    <xdr:sp macro="" textlink="">
      <xdr:nvSpPr>
        <xdr:cNvPr id="13" name="Rectangle 12">
          <a:extLst>
            <a:ext uri="{FF2B5EF4-FFF2-40B4-BE49-F238E27FC236}">
              <a16:creationId xmlns:a16="http://schemas.microsoft.com/office/drawing/2014/main" id="{319B53DE-2206-4CEE-8D04-57287FB3E9EA}"/>
            </a:ext>
          </a:extLst>
        </xdr:cNvPr>
        <xdr:cNvSpPr/>
      </xdr:nvSpPr>
      <xdr:spPr>
        <a:xfrm>
          <a:off x="5273040" y="1272540"/>
          <a:ext cx="1615440" cy="11658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514513</xdr:colOff>
      <xdr:row>7</xdr:row>
      <xdr:rowOff>39076</xdr:rowOff>
    </xdr:from>
    <xdr:to>
      <xdr:col>5</xdr:col>
      <xdr:colOff>353712</xdr:colOff>
      <xdr:row>12</xdr:row>
      <xdr:rowOff>62328</xdr:rowOff>
    </xdr:to>
    <xdr:graphicFrame macro="">
      <xdr:nvGraphicFramePr>
        <xdr:cNvPr id="14" name="Chart 13">
          <a:extLst>
            <a:ext uri="{FF2B5EF4-FFF2-40B4-BE49-F238E27FC236}">
              <a16:creationId xmlns:a16="http://schemas.microsoft.com/office/drawing/2014/main" id="{339FB4AA-F027-4808-B0D9-EDB49204A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419100</xdr:colOff>
      <xdr:row>7</xdr:row>
      <xdr:rowOff>60961</xdr:rowOff>
    </xdr:from>
    <xdr:to>
      <xdr:col>8</xdr:col>
      <xdr:colOff>243840</xdr:colOff>
      <xdr:row>12</xdr:row>
      <xdr:rowOff>137161</xdr:rowOff>
    </xdr:to>
    <xdr:graphicFrame macro="">
      <xdr:nvGraphicFramePr>
        <xdr:cNvPr id="15" name="Chart 14">
          <a:extLst>
            <a:ext uri="{FF2B5EF4-FFF2-40B4-BE49-F238E27FC236}">
              <a16:creationId xmlns:a16="http://schemas.microsoft.com/office/drawing/2014/main" id="{AA2DC694-2154-4EB1-B7C5-D58F76000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373380</xdr:colOff>
      <xdr:row>6</xdr:row>
      <xdr:rowOff>167640</xdr:rowOff>
    </xdr:from>
    <xdr:to>
      <xdr:col>11</xdr:col>
      <xdr:colOff>198120</xdr:colOff>
      <xdr:row>13</xdr:row>
      <xdr:rowOff>53340</xdr:rowOff>
    </xdr:to>
    <xdr:sp macro="" textlink="">
      <xdr:nvSpPr>
        <xdr:cNvPr id="17" name="Rectangle 16">
          <a:extLst>
            <a:ext uri="{FF2B5EF4-FFF2-40B4-BE49-F238E27FC236}">
              <a16:creationId xmlns:a16="http://schemas.microsoft.com/office/drawing/2014/main" id="{53F2934E-C01E-46A9-A868-A0C67499143E}"/>
            </a:ext>
          </a:extLst>
        </xdr:cNvPr>
        <xdr:cNvSpPr/>
      </xdr:nvSpPr>
      <xdr:spPr>
        <a:xfrm>
          <a:off x="5250180" y="1264920"/>
          <a:ext cx="1653540" cy="1165860"/>
        </a:xfrm>
        <a:prstGeom prst="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312420</xdr:colOff>
      <xdr:row>7</xdr:row>
      <xdr:rowOff>30480</xdr:rowOff>
    </xdr:from>
    <xdr:to>
      <xdr:col>11</xdr:col>
      <xdr:colOff>147906</xdr:colOff>
      <xdr:row>13</xdr:row>
      <xdr:rowOff>60960</xdr:rowOff>
    </xdr:to>
    <xdr:graphicFrame macro="">
      <xdr:nvGraphicFramePr>
        <xdr:cNvPr id="18" name="Chart 17">
          <a:extLst>
            <a:ext uri="{FF2B5EF4-FFF2-40B4-BE49-F238E27FC236}">
              <a16:creationId xmlns:a16="http://schemas.microsoft.com/office/drawing/2014/main" id="{B60CE7B9-E323-4A4C-8C2D-D3178A608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1494</xdr:colOff>
      <xdr:row>11</xdr:row>
      <xdr:rowOff>154643</xdr:rowOff>
    </xdr:from>
    <xdr:to>
      <xdr:col>4</xdr:col>
      <xdr:colOff>238980</xdr:colOff>
      <xdr:row>13</xdr:row>
      <xdr:rowOff>118171</xdr:rowOff>
    </xdr:to>
    <xdr:sp macro="" textlink="KPI!$C$12">
      <xdr:nvSpPr>
        <xdr:cNvPr id="27" name="TextBox 26">
          <a:extLst>
            <a:ext uri="{FF2B5EF4-FFF2-40B4-BE49-F238E27FC236}">
              <a16:creationId xmlns:a16="http://schemas.microsoft.com/office/drawing/2014/main" id="{6AE7108B-6470-46BC-8FC8-93DB2127A843}"/>
            </a:ext>
          </a:extLst>
        </xdr:cNvPr>
        <xdr:cNvSpPr txBox="1"/>
      </xdr:nvSpPr>
      <xdr:spPr>
        <a:xfrm>
          <a:off x="1830294" y="2126878"/>
          <a:ext cx="847086" cy="3221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CF4586-B5F3-47AA-8289-13087701C09D}"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1386308853</a:t>
          </a:fld>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419100</xdr:colOff>
      <xdr:row>11</xdr:row>
      <xdr:rowOff>149039</xdr:rowOff>
    </xdr:from>
    <xdr:to>
      <xdr:col>7</xdr:col>
      <xdr:colOff>114300</xdr:colOff>
      <xdr:row>13</xdr:row>
      <xdr:rowOff>142688</xdr:rowOff>
    </xdr:to>
    <xdr:sp macro="" textlink="KPI!$C$20">
      <xdr:nvSpPr>
        <xdr:cNvPr id="28" name="TextBox 27">
          <a:extLst>
            <a:ext uri="{FF2B5EF4-FFF2-40B4-BE49-F238E27FC236}">
              <a16:creationId xmlns:a16="http://schemas.microsoft.com/office/drawing/2014/main" id="{337A6809-3A07-5B06-7A05-C1D7D26733AB}"/>
            </a:ext>
          </a:extLst>
        </xdr:cNvPr>
        <xdr:cNvSpPr txBox="1"/>
      </xdr:nvSpPr>
      <xdr:spPr>
        <a:xfrm>
          <a:off x="3467100" y="2121274"/>
          <a:ext cx="914400" cy="352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3EEF49-7EAD-45B6-8BD4-01C27D5D11BE}" type="TxLink">
            <a:rPr lang="en-US" sz="1100" b="1" i="0" u="none" strike="noStrike">
              <a:ln>
                <a:noFill/>
              </a:ln>
              <a:solidFill>
                <a:srgbClr val="000000"/>
              </a:solidFill>
              <a:latin typeface="Calibri"/>
              <a:ea typeface="Calibri"/>
              <a:cs typeface="Calibri"/>
            </a:rPr>
            <a:pPr/>
            <a:t>1381268216</a:t>
          </a:fld>
          <a:endParaRPr lang="en-US" sz="1100" b="1">
            <a:ln>
              <a:noFill/>
            </a:ln>
          </a:endParaRPr>
        </a:p>
      </xdr:txBody>
    </xdr:sp>
    <xdr:clientData/>
  </xdr:twoCellAnchor>
  <xdr:twoCellAnchor>
    <xdr:from>
      <xdr:col>8</xdr:col>
      <xdr:colOff>324223</xdr:colOff>
      <xdr:row>12</xdr:row>
      <xdr:rowOff>10086</xdr:rowOff>
    </xdr:from>
    <xdr:to>
      <xdr:col>10</xdr:col>
      <xdr:colOff>19423</xdr:colOff>
      <xdr:row>13</xdr:row>
      <xdr:rowOff>106829</xdr:rowOff>
    </xdr:to>
    <xdr:sp macro="" textlink="KPI!$C$27">
      <xdr:nvSpPr>
        <xdr:cNvPr id="29" name="TextBox 28">
          <a:extLst>
            <a:ext uri="{FF2B5EF4-FFF2-40B4-BE49-F238E27FC236}">
              <a16:creationId xmlns:a16="http://schemas.microsoft.com/office/drawing/2014/main" id="{8D6DC664-4FFC-0B51-8166-263AA34C42B5}"/>
            </a:ext>
          </a:extLst>
        </xdr:cNvPr>
        <xdr:cNvSpPr txBox="1"/>
      </xdr:nvSpPr>
      <xdr:spPr>
        <a:xfrm>
          <a:off x="5201023" y="2161615"/>
          <a:ext cx="914400" cy="276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EE60B2-9310-48FB-AF0F-C96515204D2A}" type="TxLink">
            <a:rPr lang="en-US" sz="1100" b="1" i="0" u="none" strike="noStrike">
              <a:solidFill>
                <a:srgbClr val="000000"/>
              </a:solidFill>
              <a:latin typeface="Calibri"/>
              <a:ea typeface="Calibri"/>
              <a:cs typeface="Calibri"/>
            </a:rPr>
            <a:pPr/>
            <a:t>5040637</a:t>
          </a:fld>
          <a:endParaRPr lang="en-US" sz="1100" b="1" u="none"/>
        </a:p>
      </xdr:txBody>
    </xdr:sp>
    <xdr:clientData/>
  </xdr:twoCellAnchor>
  <xdr:twoCellAnchor>
    <xdr:from>
      <xdr:col>24</xdr:col>
      <xdr:colOff>154378</xdr:colOff>
      <xdr:row>9</xdr:row>
      <xdr:rowOff>182484</xdr:rowOff>
    </xdr:from>
    <xdr:to>
      <xdr:col>24</xdr:col>
      <xdr:colOff>329245</xdr:colOff>
      <xdr:row>13</xdr:row>
      <xdr:rowOff>99283</xdr:rowOff>
    </xdr:to>
    <xdr:sp macro="" textlink="">
      <xdr:nvSpPr>
        <xdr:cNvPr id="30" name="TextBox 29">
          <a:extLst>
            <a:ext uri="{FF2B5EF4-FFF2-40B4-BE49-F238E27FC236}">
              <a16:creationId xmlns:a16="http://schemas.microsoft.com/office/drawing/2014/main" id="{0EA1B096-48C7-7433-4E22-1238257CD235}"/>
            </a:ext>
          </a:extLst>
        </xdr:cNvPr>
        <xdr:cNvSpPr txBox="1"/>
      </xdr:nvSpPr>
      <xdr:spPr>
        <a:xfrm rot="485586">
          <a:off x="14822878" y="1825547"/>
          <a:ext cx="174867" cy="647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sng"/>
        </a:p>
      </xdr:txBody>
    </xdr:sp>
    <xdr:clientData/>
  </xdr:twoCellAnchor>
  <xdr:twoCellAnchor>
    <xdr:from>
      <xdr:col>3</xdr:col>
      <xdr:colOff>19539</xdr:colOff>
      <xdr:row>6</xdr:row>
      <xdr:rowOff>136769</xdr:rowOff>
    </xdr:from>
    <xdr:to>
      <xdr:col>4</xdr:col>
      <xdr:colOff>247487</xdr:colOff>
      <xdr:row>8</xdr:row>
      <xdr:rowOff>136768</xdr:rowOff>
    </xdr:to>
    <xdr:sp macro="" textlink="">
      <xdr:nvSpPr>
        <xdr:cNvPr id="31" name="TextBox 30">
          <a:extLst>
            <a:ext uri="{FF2B5EF4-FFF2-40B4-BE49-F238E27FC236}">
              <a16:creationId xmlns:a16="http://schemas.microsoft.com/office/drawing/2014/main" id="{5113D573-6283-C2B3-0488-6CFCFFD05A7A}"/>
            </a:ext>
          </a:extLst>
        </xdr:cNvPr>
        <xdr:cNvSpPr txBox="1"/>
      </xdr:nvSpPr>
      <xdr:spPr>
        <a:xfrm>
          <a:off x="1856154" y="1230923"/>
          <a:ext cx="840154" cy="36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SALES</a:t>
          </a:r>
        </a:p>
      </xdr:txBody>
    </xdr:sp>
    <xdr:clientData/>
  </xdr:twoCellAnchor>
  <xdr:twoCellAnchor>
    <xdr:from>
      <xdr:col>5</xdr:col>
      <xdr:colOff>435056</xdr:colOff>
      <xdr:row>6</xdr:row>
      <xdr:rowOff>138723</xdr:rowOff>
    </xdr:from>
    <xdr:to>
      <xdr:col>7</xdr:col>
      <xdr:colOff>125046</xdr:colOff>
      <xdr:row>8</xdr:row>
      <xdr:rowOff>32564</xdr:rowOff>
    </xdr:to>
    <xdr:sp macro="" textlink="">
      <xdr:nvSpPr>
        <xdr:cNvPr id="32" name="TextBox 31">
          <a:extLst>
            <a:ext uri="{FF2B5EF4-FFF2-40B4-BE49-F238E27FC236}">
              <a16:creationId xmlns:a16="http://schemas.microsoft.com/office/drawing/2014/main" id="{F89C2838-0837-760B-62A3-AD5513E523D7}"/>
            </a:ext>
          </a:extLst>
        </xdr:cNvPr>
        <xdr:cNvSpPr txBox="1"/>
      </xdr:nvSpPr>
      <xdr:spPr>
        <a:xfrm>
          <a:off x="3496082" y="1232877"/>
          <a:ext cx="914400" cy="258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PURCHASE</a:t>
          </a:r>
        </a:p>
      </xdr:txBody>
    </xdr:sp>
    <xdr:clientData/>
  </xdr:twoCellAnchor>
  <xdr:twoCellAnchor>
    <xdr:from>
      <xdr:col>8</xdr:col>
      <xdr:colOff>324338</xdr:colOff>
      <xdr:row>6</xdr:row>
      <xdr:rowOff>132210</xdr:rowOff>
    </xdr:from>
    <xdr:to>
      <xdr:col>9</xdr:col>
      <xdr:colOff>332154</xdr:colOff>
      <xdr:row>7</xdr:row>
      <xdr:rowOff>169333</xdr:rowOff>
    </xdr:to>
    <xdr:sp macro="" textlink="">
      <xdr:nvSpPr>
        <xdr:cNvPr id="33" name="TextBox 32">
          <a:extLst>
            <a:ext uri="{FF2B5EF4-FFF2-40B4-BE49-F238E27FC236}">
              <a16:creationId xmlns:a16="http://schemas.microsoft.com/office/drawing/2014/main" id="{4AD52CE9-D2BF-F8C7-2184-0F81F33A05DA}"/>
            </a:ext>
          </a:extLst>
        </xdr:cNvPr>
        <xdr:cNvSpPr txBox="1"/>
      </xdr:nvSpPr>
      <xdr:spPr>
        <a:xfrm>
          <a:off x="5221979" y="1226364"/>
          <a:ext cx="620021" cy="219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cap="none" spc="0">
              <a:ln w="0"/>
              <a:solidFill>
                <a:schemeClr val="tx1"/>
              </a:solidFill>
              <a:effectLst>
                <a:outerShdw blurRad="38100" dist="19050" dir="2700000" algn="tl" rotWithShape="0">
                  <a:schemeClr val="dk1">
                    <a:alpha val="40000"/>
                  </a:schemeClr>
                </a:outerShdw>
              </a:effectLst>
            </a:rPr>
            <a:t>PROFIT</a:t>
          </a:r>
        </a:p>
      </xdr:txBody>
    </xdr:sp>
    <xdr:clientData/>
  </xdr:twoCellAnchor>
  <xdr:twoCellAnchor>
    <xdr:from>
      <xdr:col>3</xdr:col>
      <xdr:colOff>78154</xdr:colOff>
      <xdr:row>13</xdr:row>
      <xdr:rowOff>130256</xdr:rowOff>
    </xdr:from>
    <xdr:to>
      <xdr:col>8</xdr:col>
      <xdr:colOff>286564</xdr:colOff>
      <xdr:row>22</xdr:row>
      <xdr:rowOff>84667</xdr:rowOff>
    </xdr:to>
    <xdr:sp macro="" textlink="">
      <xdr:nvSpPr>
        <xdr:cNvPr id="34" name="Rectangle 33">
          <a:extLst>
            <a:ext uri="{FF2B5EF4-FFF2-40B4-BE49-F238E27FC236}">
              <a16:creationId xmlns:a16="http://schemas.microsoft.com/office/drawing/2014/main" id="{1B826EB1-69FC-CB9E-DC04-595D69AD30C7}"/>
            </a:ext>
          </a:extLst>
        </xdr:cNvPr>
        <xdr:cNvSpPr/>
      </xdr:nvSpPr>
      <xdr:spPr>
        <a:xfrm>
          <a:off x="1914769" y="2500923"/>
          <a:ext cx="3269436" cy="1595641"/>
        </a:xfrm>
        <a:prstGeom prst="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384256</xdr:colOff>
      <xdr:row>13</xdr:row>
      <xdr:rowOff>175846</xdr:rowOff>
    </xdr:from>
    <xdr:to>
      <xdr:col>11</xdr:col>
      <xdr:colOff>201898</xdr:colOff>
      <xdr:row>22</xdr:row>
      <xdr:rowOff>97693</xdr:rowOff>
    </xdr:to>
    <xdr:sp macro="" textlink="">
      <xdr:nvSpPr>
        <xdr:cNvPr id="36" name="Rectangle 35">
          <a:extLst>
            <a:ext uri="{FF2B5EF4-FFF2-40B4-BE49-F238E27FC236}">
              <a16:creationId xmlns:a16="http://schemas.microsoft.com/office/drawing/2014/main" id="{B892EF95-96DA-A47A-A74F-78D11BF6C546}"/>
            </a:ext>
          </a:extLst>
        </xdr:cNvPr>
        <xdr:cNvSpPr/>
      </xdr:nvSpPr>
      <xdr:spPr>
        <a:xfrm>
          <a:off x="5281897" y="2546513"/>
          <a:ext cx="1654257" cy="1563077"/>
        </a:xfrm>
        <a:prstGeom prst="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395623</xdr:colOff>
      <xdr:row>13</xdr:row>
      <xdr:rowOff>148255</xdr:rowOff>
    </xdr:from>
    <xdr:to>
      <xdr:col>11</xdr:col>
      <xdr:colOff>214745</xdr:colOff>
      <xdr:row>22</xdr:row>
      <xdr:rowOff>117765</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3D456140-E488-43BC-AA53-2B3034A63F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72423" y="2525695"/>
              <a:ext cx="1647922" cy="1615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81207</xdr:colOff>
      <xdr:row>13</xdr:row>
      <xdr:rowOff>151423</xdr:rowOff>
    </xdr:from>
    <xdr:to>
      <xdr:col>8</xdr:col>
      <xdr:colOff>246064</xdr:colOff>
      <xdr:row>22</xdr:row>
      <xdr:rowOff>39688</xdr:rowOff>
    </xdr:to>
    <xdr:graphicFrame macro="">
      <xdr:nvGraphicFramePr>
        <xdr:cNvPr id="39" name="Chart 38">
          <a:extLst>
            <a:ext uri="{FF2B5EF4-FFF2-40B4-BE49-F238E27FC236}">
              <a16:creationId xmlns:a16="http://schemas.microsoft.com/office/drawing/2014/main" id="{EC0EDC8B-F642-43A3-9E7F-3A54CEB35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55563</xdr:colOff>
      <xdr:row>22</xdr:row>
      <xdr:rowOff>134938</xdr:rowOff>
    </xdr:from>
    <xdr:to>
      <xdr:col>11</xdr:col>
      <xdr:colOff>182562</xdr:colOff>
      <xdr:row>29</xdr:row>
      <xdr:rowOff>63500</xdr:rowOff>
    </xdr:to>
    <xdr:sp macro="" textlink="">
      <xdr:nvSpPr>
        <xdr:cNvPr id="40" name="Rectangle 39">
          <a:extLst>
            <a:ext uri="{FF2B5EF4-FFF2-40B4-BE49-F238E27FC236}">
              <a16:creationId xmlns:a16="http://schemas.microsoft.com/office/drawing/2014/main" id="{E1C67193-DFE2-48EA-03F1-AA32B112355E}"/>
            </a:ext>
          </a:extLst>
        </xdr:cNvPr>
        <xdr:cNvSpPr/>
      </xdr:nvSpPr>
      <xdr:spPr>
        <a:xfrm>
          <a:off x="666751" y="4151313"/>
          <a:ext cx="6238874" cy="1206500"/>
        </a:xfrm>
        <a:prstGeom prst="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2"/>
              </a:solidFill>
            </a:ln>
          </a:endParaRPr>
        </a:p>
      </xdr:txBody>
    </xdr:sp>
    <xdr:clientData/>
  </xdr:twoCellAnchor>
  <xdr:twoCellAnchor editAs="oneCell">
    <xdr:from>
      <xdr:col>2</xdr:col>
      <xdr:colOff>484188</xdr:colOff>
      <xdr:row>23</xdr:row>
      <xdr:rowOff>7937</xdr:rowOff>
    </xdr:from>
    <xdr:to>
      <xdr:col>11</xdr:col>
      <xdr:colOff>126999</xdr:colOff>
      <xdr:row>28</xdr:row>
      <xdr:rowOff>142876</xdr:rowOff>
    </xdr:to>
    <mc:AlternateContent xmlns:mc="http://schemas.openxmlformats.org/markup-compatibility/2006" xmlns:tsle="http://schemas.microsoft.com/office/drawing/2012/timeslicer">
      <mc:Choice Requires="tsle">
        <xdr:graphicFrame macro="">
          <xdr:nvGraphicFramePr>
            <xdr:cNvPr id="42" name="Date 1">
              <a:extLst>
                <a:ext uri="{FF2B5EF4-FFF2-40B4-BE49-F238E27FC236}">
                  <a16:creationId xmlns:a16="http://schemas.microsoft.com/office/drawing/2014/main" id="{A3EB3521-66BA-4DF4-B811-5A9114543B8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03388" y="4150446"/>
              <a:ext cx="5129211" cy="103548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254000</xdr:colOff>
      <xdr:row>6</xdr:row>
      <xdr:rowOff>166687</xdr:rowOff>
    </xdr:from>
    <xdr:to>
      <xdr:col>14</xdr:col>
      <xdr:colOff>304800</xdr:colOff>
      <xdr:row>29</xdr:row>
      <xdr:rowOff>63498</xdr:rowOff>
    </xdr:to>
    <mc:AlternateContent xmlns:mc="http://schemas.openxmlformats.org/markup-compatibility/2006">
      <mc:Choice xmlns:cx1="http://schemas.microsoft.com/office/drawing/2015/9/8/chartex" Requires="cx1">
        <xdr:graphicFrame macro="">
          <xdr:nvGraphicFramePr>
            <xdr:cNvPr id="44" name="Chart 43">
              <a:extLst>
                <a:ext uri="{FF2B5EF4-FFF2-40B4-BE49-F238E27FC236}">
                  <a16:creationId xmlns:a16="http://schemas.microsoft.com/office/drawing/2014/main" id="{D8237733-A5E4-421F-B297-00513CB2C3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6959600" y="1263967"/>
              <a:ext cx="1879600" cy="41030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79375</xdr:colOff>
      <xdr:row>22</xdr:row>
      <xdr:rowOff>166687</xdr:rowOff>
    </xdr:from>
    <xdr:to>
      <xdr:col>2</xdr:col>
      <xdr:colOff>500063</xdr:colOff>
      <xdr:row>28</xdr:row>
      <xdr:rowOff>103187</xdr:rowOff>
    </xdr:to>
    <xdr:pic>
      <xdr:nvPicPr>
        <xdr:cNvPr id="46" name="Graphic 45" descr="Daily calendar with solid fill">
          <a:extLst>
            <a:ext uri="{FF2B5EF4-FFF2-40B4-BE49-F238E27FC236}">
              <a16:creationId xmlns:a16="http://schemas.microsoft.com/office/drawing/2014/main" id="{CF9404F8-B5C7-9314-89DB-99091FC2B24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90563" y="4183062"/>
          <a:ext cx="1031875" cy="1031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147985</xdr:colOff>
      <xdr:row>6</xdr:row>
      <xdr:rowOff>91440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93420A64-6078-5B1F-176E-E929FCF6D7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0"/>
              <a:ext cx="1023552" cy="1185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97273</xdr:colOff>
      <xdr:row>7</xdr:row>
      <xdr:rowOff>130255</xdr:rowOff>
    </xdr:from>
    <xdr:to>
      <xdr:col>2</xdr:col>
      <xdr:colOff>944359</xdr:colOff>
      <xdr:row>9</xdr:row>
      <xdr:rowOff>84666</xdr:rowOff>
    </xdr:to>
    <xdr:sp macro="" textlink="$C$12">
      <xdr:nvSpPr>
        <xdr:cNvPr id="3" name="TextBox 2">
          <a:extLst>
            <a:ext uri="{FF2B5EF4-FFF2-40B4-BE49-F238E27FC236}">
              <a16:creationId xmlns:a16="http://schemas.microsoft.com/office/drawing/2014/main" id="{21D17C5B-9E38-425D-F878-B7133FC0F9CE}"/>
            </a:ext>
          </a:extLst>
        </xdr:cNvPr>
        <xdr:cNvSpPr txBox="1"/>
      </xdr:nvSpPr>
      <xdr:spPr>
        <a:xfrm>
          <a:off x="1946914" y="1406768"/>
          <a:ext cx="847086" cy="3191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7FBFF0-2886-498E-82E8-E57EB1423F02}" type="TxLink">
            <a:rPr lang="en-US" sz="1100" b="0" i="0" u="none" strike="noStrike">
              <a:solidFill>
                <a:srgbClr val="000000"/>
              </a:solidFill>
              <a:latin typeface="Calibri"/>
              <a:ea typeface="Calibri"/>
              <a:cs typeface="Calibri"/>
            </a:rPr>
            <a:pPr/>
            <a:t>1386308853</a:t>
          </a:fld>
          <a:endParaRPr lang="en-US" sz="1100"/>
        </a:p>
      </xdr:txBody>
    </xdr:sp>
    <xdr:clientData/>
  </xdr:twoCellAnchor>
  <xdr:twoCellAnchor>
    <xdr:from>
      <xdr:col>2</xdr:col>
      <xdr:colOff>57312</xdr:colOff>
      <xdr:row>17</xdr:row>
      <xdr:rowOff>1954</xdr:rowOff>
    </xdr:from>
    <xdr:to>
      <xdr:col>2</xdr:col>
      <xdr:colOff>971712</xdr:colOff>
      <xdr:row>18</xdr:row>
      <xdr:rowOff>97692</xdr:rowOff>
    </xdr:to>
    <xdr:sp macro="" textlink="$C$20">
      <xdr:nvSpPr>
        <xdr:cNvPr id="4" name="TextBox 3">
          <a:extLst>
            <a:ext uri="{FF2B5EF4-FFF2-40B4-BE49-F238E27FC236}">
              <a16:creationId xmlns:a16="http://schemas.microsoft.com/office/drawing/2014/main" id="{84390AB0-AA06-F08B-AB24-624F1959F131}"/>
            </a:ext>
          </a:extLst>
        </xdr:cNvPr>
        <xdr:cNvSpPr txBox="1"/>
      </xdr:nvSpPr>
      <xdr:spPr>
        <a:xfrm>
          <a:off x="1906953" y="3102057"/>
          <a:ext cx="914400" cy="2780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0D6EA5-8461-4998-AD22-AA9B23620B50}" type="TxLink">
            <a:rPr lang="en-US" sz="1100" b="0" i="0" u="none" strike="noStrike">
              <a:solidFill>
                <a:srgbClr val="000000"/>
              </a:solidFill>
              <a:latin typeface="Calibri"/>
              <a:ea typeface="Calibri"/>
              <a:cs typeface="Calibri"/>
            </a:rPr>
            <a:pPr/>
            <a:t>1381268216</a:t>
          </a:fld>
          <a:endParaRPr lang="en-US" sz="1100"/>
        </a:p>
      </xdr:txBody>
    </xdr:sp>
    <xdr:clientData/>
  </xdr:twoCellAnchor>
  <xdr:twoCellAnchor>
    <xdr:from>
      <xdr:col>6</xdr:col>
      <xdr:colOff>879230</xdr:colOff>
      <xdr:row>26</xdr:row>
      <xdr:rowOff>25922</xdr:rowOff>
    </xdr:from>
    <xdr:to>
      <xdr:col>7</xdr:col>
      <xdr:colOff>156308</xdr:colOff>
      <xdr:row>26</xdr:row>
      <xdr:rowOff>71641</xdr:rowOff>
    </xdr:to>
    <xdr:sp macro="" textlink="">
      <xdr:nvSpPr>
        <xdr:cNvPr id="5" name="TextBox 4">
          <a:extLst>
            <a:ext uri="{FF2B5EF4-FFF2-40B4-BE49-F238E27FC236}">
              <a16:creationId xmlns:a16="http://schemas.microsoft.com/office/drawing/2014/main" id="{B3DE3EC3-4A09-BA4D-D17A-D9049272D99B}"/>
            </a:ext>
          </a:extLst>
        </xdr:cNvPr>
        <xdr:cNvSpPr txBox="1"/>
      </xdr:nvSpPr>
      <xdr:spPr>
        <a:xfrm>
          <a:off x="6480256" y="4767255"/>
          <a:ext cx="351693"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xdr:col>
      <xdr:colOff>83363</xdr:colOff>
      <xdr:row>24</xdr:row>
      <xdr:rowOff>14980</xdr:rowOff>
    </xdr:from>
    <xdr:to>
      <xdr:col>2</xdr:col>
      <xdr:colOff>997763</xdr:colOff>
      <xdr:row>25</xdr:row>
      <xdr:rowOff>143282</xdr:rowOff>
    </xdr:to>
    <xdr:sp macro="" textlink="$C$27">
      <xdr:nvSpPr>
        <xdr:cNvPr id="6" name="TextBox 5">
          <a:extLst>
            <a:ext uri="{FF2B5EF4-FFF2-40B4-BE49-F238E27FC236}">
              <a16:creationId xmlns:a16="http://schemas.microsoft.com/office/drawing/2014/main" id="{16ABE648-AB9F-119E-D54A-6166D5C14786}"/>
            </a:ext>
          </a:extLst>
        </xdr:cNvPr>
        <xdr:cNvSpPr txBox="1"/>
      </xdr:nvSpPr>
      <xdr:spPr>
        <a:xfrm>
          <a:off x="1933004" y="4391595"/>
          <a:ext cx="914400" cy="3106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A45CC8-057B-40F6-B960-6558EE537F0D}" type="TxLink">
            <a:rPr lang="en-US" sz="1100" b="0" i="0" u="none" strike="noStrike">
              <a:solidFill>
                <a:srgbClr val="000000"/>
              </a:solidFill>
              <a:latin typeface="Calibri"/>
              <a:ea typeface="Calibri"/>
              <a:cs typeface="Calibri"/>
            </a:rPr>
            <a:pPr/>
            <a:t>5040637</a:t>
          </a:fld>
          <a:endParaRPr lang="en-US" sz="1100"/>
        </a:p>
      </xdr:txBody>
    </xdr:sp>
    <xdr:clientData/>
  </xdr:twoCellAnchor>
  <xdr:twoCellAnchor>
    <xdr:from>
      <xdr:col>0</xdr:col>
      <xdr:colOff>330294</xdr:colOff>
      <xdr:row>51</xdr:row>
      <xdr:rowOff>156307</xdr:rowOff>
    </xdr:from>
    <xdr:to>
      <xdr:col>1</xdr:col>
      <xdr:colOff>756417</xdr:colOff>
      <xdr:row>58</xdr:row>
      <xdr:rowOff>104203</xdr:rowOff>
    </xdr:to>
    <xdr:graphicFrame macro="">
      <xdr:nvGraphicFramePr>
        <xdr:cNvPr id="7" name="Chart 6">
          <a:extLst>
            <a:ext uri="{FF2B5EF4-FFF2-40B4-BE49-F238E27FC236}">
              <a16:creationId xmlns:a16="http://schemas.microsoft.com/office/drawing/2014/main" id="{0E4F7FA2-7F6B-7437-0FF7-135316B12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17679</xdr:colOff>
      <xdr:row>52</xdr:row>
      <xdr:rowOff>97041</xdr:rowOff>
    </xdr:from>
    <xdr:to>
      <xdr:col>3</xdr:col>
      <xdr:colOff>572198</xdr:colOff>
      <xdr:row>60</xdr:row>
      <xdr:rowOff>58617</xdr:rowOff>
    </xdr:to>
    <xdr:graphicFrame macro="">
      <xdr:nvGraphicFramePr>
        <xdr:cNvPr id="8" name="Chart 7">
          <a:extLst>
            <a:ext uri="{FF2B5EF4-FFF2-40B4-BE49-F238E27FC236}">
              <a16:creationId xmlns:a16="http://schemas.microsoft.com/office/drawing/2014/main" id="{167970D0-CBE3-8D8D-634D-319C1F109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187013</xdr:colOff>
      <xdr:row>54</xdr:row>
      <xdr:rowOff>43543</xdr:rowOff>
    </xdr:from>
    <xdr:to>
      <xdr:col>5</xdr:col>
      <xdr:colOff>338668</xdr:colOff>
      <xdr:row>60</xdr:row>
      <xdr:rowOff>14886</xdr:rowOff>
    </xdr:to>
    <xdr:graphicFrame macro="">
      <xdr:nvGraphicFramePr>
        <xdr:cNvPr id="9" name="Chart 8">
          <a:extLst>
            <a:ext uri="{FF2B5EF4-FFF2-40B4-BE49-F238E27FC236}">
              <a16:creationId xmlns:a16="http://schemas.microsoft.com/office/drawing/2014/main" id="{532F196B-7348-DFAE-7A9F-381D9C23C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227950</xdr:colOff>
      <xdr:row>27</xdr:row>
      <xdr:rowOff>126349</xdr:rowOff>
    </xdr:from>
    <xdr:to>
      <xdr:col>11</xdr:col>
      <xdr:colOff>319128</xdr:colOff>
      <xdr:row>40</xdr:row>
      <xdr:rowOff>136770</xdr:rowOff>
    </xdr:to>
    <xdr:graphicFrame macro="">
      <xdr:nvGraphicFramePr>
        <xdr:cNvPr id="10" name="Chart 9">
          <a:extLst>
            <a:ext uri="{FF2B5EF4-FFF2-40B4-BE49-F238E27FC236}">
              <a16:creationId xmlns:a16="http://schemas.microsoft.com/office/drawing/2014/main" id="{60C7A1EC-8C0A-FB0A-47AF-79780F92F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449385</xdr:colOff>
      <xdr:row>23</xdr:row>
      <xdr:rowOff>44938</xdr:rowOff>
    </xdr:from>
    <xdr:to>
      <xdr:col>16</xdr:col>
      <xdr:colOff>312616</xdr:colOff>
      <xdr:row>40</xdr:row>
      <xdr:rowOff>84666</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358AE1AD-5A2C-DB47-A3CE-065D41F57E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736385" y="4251178"/>
              <a:ext cx="4869571" cy="31486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180460</xdr:colOff>
      <xdr:row>13</xdr:row>
      <xdr:rowOff>9193</xdr:rowOff>
    </xdr:from>
    <xdr:to>
      <xdr:col>18</xdr:col>
      <xdr:colOff>361162</xdr:colOff>
      <xdr:row>20</xdr:row>
      <xdr:rowOff>110793</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7FB83281-7A06-D86F-1FF4-FBEA0EE6A67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542674" y="2397247"/>
              <a:ext cx="3357970" cy="1387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429380</xdr:colOff>
      <xdr:row>22</xdr:row>
      <xdr:rowOff>49590</xdr:rowOff>
    </xdr:from>
    <xdr:to>
      <xdr:col>22</xdr:col>
      <xdr:colOff>235856</xdr:colOff>
      <xdr:row>37</xdr:row>
      <xdr:rowOff>71362</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6BE8C6D4-3489-EB7A-483A-BDD1AD5A1F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722720" y="4072950"/>
              <a:ext cx="4584216" cy="27649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616980</xdr:colOff>
      <xdr:row>331</xdr:row>
      <xdr:rowOff>0</xdr:rowOff>
    </xdr:from>
    <xdr:to>
      <xdr:col>12</xdr:col>
      <xdr:colOff>635700</xdr:colOff>
      <xdr:row>331</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FB84A354-B5D2-4BD8-89BD-D72F8E1D7C63}"/>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0-18T05:09:29.778"/>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JJ" refreshedDate="46108.852705092591" createdVersion="8" refreshedVersion="8" minRefreshableVersion="3" recordCount="330" xr:uid="{575E1870-7216-4035-9CDF-B8FA4C4C028B}">
  <cacheSource type="worksheet">
    <worksheetSource ref="A1:O331" sheet="MAIN DATA"/>
  </cacheSource>
  <cacheFields count="18">
    <cacheField name="S No" numFmtId="0">
      <sharedItems containsSemiMixedTypes="0" containsString="0" containsNumber="1" containsInteger="1" minValue="1" maxValue="330"/>
    </cacheField>
    <cacheField name="Date" numFmtId="14">
      <sharedItems containsSemiMixedTypes="0" containsNonDate="0" containsDate="1" containsString="0" minDate="2024-04-01T00:00:00" maxDate="2024-10-16T00:00:00" count="102">
        <d v="2024-04-01T00:00:00"/>
        <d v="2024-04-02T00:00:00"/>
        <d v="2024-04-03T00:00:00"/>
        <d v="2024-04-04T00:00:00"/>
        <d v="2024-04-08T00:00:00"/>
        <d v="2024-04-10T00:00:00"/>
        <d v="2024-04-12T00:00:00"/>
        <d v="2024-04-15T00:00:00"/>
        <d v="2024-04-18T00:00:00"/>
        <d v="2024-04-20T00:00:00"/>
        <d v="2024-04-22T00:00:00"/>
        <d v="2024-04-26T00:00:00"/>
        <d v="2024-04-29T00:00:00"/>
        <d v="2024-05-02T00:00:00"/>
        <d v="2024-05-05T00:00:00"/>
        <d v="2024-05-07T00:00:00"/>
        <d v="2024-05-09T00:00:00"/>
        <d v="2024-05-13T00:00:00"/>
        <d v="2024-05-15T00:00:00"/>
        <d v="2024-05-18T00:00:00"/>
        <d v="2024-05-20T00:00:00"/>
        <d v="2024-05-23T00:00:00"/>
        <d v="2024-05-27T00:00:00"/>
        <d v="2024-06-01T00:00:00"/>
        <d v="2024-06-04T00:00:00"/>
        <d v="2024-06-07T00:00:00"/>
        <d v="2024-06-10T00:00:00"/>
        <d v="2024-06-12T00:00:00"/>
        <d v="2024-06-16T00:00:00"/>
        <d v="2024-06-19T00:00:00"/>
        <d v="2024-06-22T00:00:00"/>
        <d v="2024-06-26T00:00:00"/>
        <d v="2024-06-29T00:00:00"/>
        <d v="2024-07-02T00:00:00"/>
        <d v="2024-07-05T00:00:00"/>
        <d v="2024-07-09T00:00:00"/>
        <d v="2024-07-12T00:00:00"/>
        <d v="2024-07-15T00:00:00"/>
        <d v="2024-07-19T00:00:00"/>
        <d v="2024-07-23T00:00:00"/>
        <d v="2024-07-26T00:00:00"/>
        <d v="2024-07-29T00:00:00"/>
        <d v="2024-08-01T00:00:00"/>
        <d v="2024-08-04T00:00:00"/>
        <d v="2024-08-08T00:00:00"/>
        <d v="2024-08-11T00:00:00"/>
        <d v="2024-08-15T00:00:00"/>
        <d v="2024-08-18T00:00:00"/>
        <d v="2024-08-21T00:00:00"/>
        <d v="2024-08-24T00:00:00"/>
        <d v="2024-08-27T00:00:00"/>
        <d v="2024-09-01T00:00:00"/>
        <d v="2024-09-03T00:00:00"/>
        <d v="2024-09-06T00:00:00"/>
        <d v="2024-09-10T00:00:00"/>
        <d v="2024-09-13T00:00:00"/>
        <d v="2024-09-16T00:00:00"/>
        <d v="2024-09-19T00:00:00"/>
        <d v="2024-09-23T00:00:00"/>
        <d v="2024-09-27T00:00:00"/>
        <d v="2024-09-30T00:00:00"/>
        <d v="2024-10-02T00:00:00"/>
        <d v="2024-10-05T00:00:00"/>
        <d v="2024-10-08T00:00:00"/>
        <d v="2024-10-11T00:00:00"/>
        <d v="2024-10-14T00:00:00"/>
        <d v="2024-10-15T00:00:00"/>
        <d v="2024-04-07T00:00:00"/>
        <d v="2024-04-09T00:00:00"/>
        <d v="2024-04-13T00:00:00"/>
        <d v="2024-04-17T00:00:00"/>
        <d v="2024-04-19T00:00:00"/>
        <d v="2024-04-24T00:00:00"/>
        <d v="2024-04-30T00:00:00"/>
        <d v="2024-05-01T00:00:00"/>
        <d v="2024-05-04T00:00:00"/>
        <d v="2024-05-08T00:00:00"/>
        <d v="2024-05-10T00:00:00"/>
        <d v="2024-05-12T00:00:00"/>
        <d v="2024-05-14T00:00:00"/>
        <d v="2024-05-16T00:00:00"/>
        <d v="2024-05-19T00:00:00"/>
        <d v="2024-05-22T00:00:00"/>
        <d v="2024-05-25T00:00:00"/>
        <d v="2024-06-02T00:00:00"/>
        <d v="2024-06-05T00:00:00"/>
        <d v="2024-06-08T00:00:00"/>
        <d v="2024-06-11T00:00:00"/>
        <d v="2024-06-13T00:00:00"/>
        <d v="2024-06-15T00:00:00"/>
        <d v="2024-06-17T00:00:00"/>
        <d v="2024-06-20T00:00:00"/>
        <d v="2024-06-23T00:00:00"/>
        <d v="2024-06-28T00:00:00"/>
        <d v="2024-07-01T00:00:00"/>
        <d v="2024-07-04T00:00:00"/>
        <d v="2024-07-06T00:00:00"/>
        <d v="2024-07-10T00:00:00"/>
        <d v="2024-07-14T00:00:00"/>
        <d v="2024-07-17T00:00:00"/>
        <d v="2024-07-21T00:00:00"/>
        <d v="2024-08-02T00:00:00"/>
      </sharedItems>
      <fieldGroup par="17"/>
    </cacheField>
    <cacheField name="Month" numFmtId="0">
      <sharedItems count="7">
        <s v="April"/>
        <s v="May"/>
        <s v="June"/>
        <s v="July"/>
        <s v="August"/>
        <s v="September"/>
        <s v="October"/>
      </sharedItems>
    </cacheField>
    <cacheField name="Quarter" numFmtId="0">
      <sharedItems/>
    </cacheField>
    <cacheField name="Name" numFmtId="0">
      <sharedItems/>
    </cacheField>
    <cacheField name="Category" numFmtId="0">
      <sharedItems count="3">
        <s v="Electronic"/>
        <s v="Fashion "/>
        <s v="Decor"/>
      </sharedItems>
    </cacheField>
    <cacheField name="Product Name" numFmtId="0">
      <sharedItems count="10">
        <s v="Speaker"/>
        <s v="Earbuds"/>
        <s v="Women dress"/>
        <s v="Male dress"/>
        <s v="TV"/>
        <s v="Laptop"/>
        <s v="Saree"/>
        <s v="Suit"/>
        <s v="Car accessories"/>
        <s v="Home décor"/>
      </sharedItems>
    </cacheField>
    <cacheField name="Region" numFmtId="0">
      <sharedItems/>
    </cacheField>
    <cacheField name="City" numFmtId="0">
      <sharedItems count="39">
        <s v="Delhi"/>
        <s v="Mumbai"/>
        <s v="Kolkata"/>
        <s v="Chennai"/>
        <s v="Bengaluru"/>
        <s v="Hyderabad"/>
        <s v="Ahmedabad"/>
        <s v="Pune"/>
        <s v="Jaipur"/>
        <s v="Surat"/>
        <s v="Lucknow"/>
        <s v="Kanpur"/>
        <s v="Nagpur"/>
        <s v="Indore"/>
        <s v="Thane"/>
        <s v="Chandigarh"/>
        <s v="Bhopal"/>
        <s v="Visakhapatnam"/>
        <s v="Patna"/>
        <s v="Vadodara"/>
        <s v="Agra"/>
        <s v="Meerut"/>
        <s v="Coimbatore"/>
        <s v="Madurai"/>
        <s v="Jodhpur"/>
        <s v="Varanasi"/>
        <s v="Ranchi"/>
        <s v="Kochi"/>
        <s v="Aurangabad"/>
        <s v="Shimla"/>
        <s v="Dehradun"/>
        <s v="Guwahati"/>
        <s v="Amritsar"/>
        <s v="Raipur"/>
        <s v="Durgapur"/>
        <s v="Gwalior"/>
        <s v="Jamshedpur"/>
        <s v="Siliguri"/>
        <s v="Mangalore"/>
      </sharedItems>
    </cacheField>
    <cacheField name="State" numFmtId="0">
      <sharedItems count="20">
        <s v="Delhi"/>
        <s v="Maharashtra"/>
        <s v="West Bengal"/>
        <s v="Tamil Nadu"/>
        <s v="Karnataka"/>
        <s v="Telangana"/>
        <s v="Gujarat"/>
        <s v="Rajasthan"/>
        <s v="Uttar Pradesh"/>
        <s v="Madhya Pradesh"/>
        <s v="Chandigarh"/>
        <s v="Andhra Pradesh"/>
        <s v="Bihar"/>
        <s v="Jharkhand"/>
        <s v="Kerala"/>
        <s v="Himachal Pradesh"/>
        <s v="Uttarakhand"/>
        <s v="Assam"/>
        <s v="Punjab"/>
        <s v="Chhattisgarh"/>
      </sharedItems>
    </cacheField>
    <cacheField name="Gender" numFmtId="0">
      <sharedItems/>
    </cacheField>
    <cacheField name="Quantity" numFmtId="0">
      <sharedItems containsSemiMixedTypes="0" containsString="0" containsNumber="1" containsInteger="1" minValue="1567" maxValue="9981"/>
    </cacheField>
    <cacheField name="Rate" numFmtId="0">
      <sharedItems containsSemiMixedTypes="0" containsString="0" containsNumber="1" containsInteger="1" minValue="500" maxValue="997"/>
    </cacheField>
    <cacheField name="Amount" numFmtId="0">
      <sharedItems containsSemiMixedTypes="0" containsString="0" containsNumber="1" containsInteger="1" minValue="828548" maxValue="9388344"/>
    </cacheField>
    <cacheField name="purchase" numFmtId="0">
      <sharedItems containsSemiMixedTypes="0" containsString="0" containsNumber="1" containsInteger="1" minValue="818249" maxValue="9377536"/>
    </cacheField>
    <cacheField name="profit" numFmtId="0">
      <sharedItems containsSemiMixedTypes="0" containsString="0" containsNumber="1" containsInteger="1" minValue="10043" maxValue="19938"/>
    </cacheField>
    <cacheField name="Days (Date)" numFmtId="0" databaseField="0">
      <fieldGroup base="1">
        <rangePr groupBy="days" startDate="2024-04-01T00:00:00" endDate="2024-10-16T00:00:00"/>
        <groupItems count="368">
          <s v="&lt;01-04-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0-24"/>
        </groupItems>
      </fieldGroup>
    </cacheField>
    <cacheField name="Months (Date)" numFmtId="0" databaseField="0">
      <fieldGroup base="1">
        <rangePr groupBy="months" startDate="2024-04-01T00:00:00" endDate="2024-10-16T00:00:00"/>
        <groupItems count="14">
          <s v="&lt;01-04-24"/>
          <s v="Jan"/>
          <s v="Feb"/>
          <s v="Mar"/>
          <s v="Apr"/>
          <s v="May"/>
          <s v="Jun"/>
          <s v="Jul"/>
          <s v="Aug"/>
          <s v="Sep"/>
          <s v="Oct"/>
          <s v="Nov"/>
          <s v="Dec"/>
          <s v="&gt;16-10-24"/>
        </groupItems>
      </fieldGroup>
    </cacheField>
  </cacheFields>
  <extLst>
    <ext xmlns:x14="http://schemas.microsoft.com/office/spreadsheetml/2009/9/main" uri="{725AE2AE-9491-48be-B2B4-4EB974FC3084}">
      <x14:pivotCacheDefinition pivotCacheId="26724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
  <r>
    <n v="1"/>
    <x v="0"/>
    <x v="0"/>
    <e v="#REF!"/>
    <s v="Bharat Innovations"/>
    <x v="0"/>
    <x v="0"/>
    <s v="North"/>
    <x v="0"/>
    <x v="0"/>
    <s v="Male"/>
    <n v="4292"/>
    <n v="783"/>
    <n v="3360636"/>
    <n v="3344422"/>
    <n v="16214"/>
  </r>
  <r>
    <n v="2"/>
    <x v="0"/>
    <x v="0"/>
    <e v="#REF!"/>
    <s v="Green Leaf Enterprises"/>
    <x v="0"/>
    <x v="1"/>
    <s v="West"/>
    <x v="1"/>
    <x v="1"/>
    <s v="Male"/>
    <n v="8037"/>
    <n v="578"/>
    <n v="4645386"/>
    <n v="4629823"/>
    <n v="15563"/>
  </r>
  <r>
    <n v="3"/>
    <x v="0"/>
    <x v="0"/>
    <e v="#REF!"/>
    <s v="Urban Pulse Technologies"/>
    <x v="0"/>
    <x v="1"/>
    <s v="East"/>
    <x v="2"/>
    <x v="2"/>
    <s v="Male"/>
    <n v="2415"/>
    <n v="631"/>
    <n v="1523865"/>
    <n v="1508959"/>
    <n v="14906"/>
  </r>
  <r>
    <n v="4"/>
    <x v="0"/>
    <x v="0"/>
    <e v="#REF!"/>
    <s v="Mystic India Exports"/>
    <x v="0"/>
    <x v="1"/>
    <s v="South"/>
    <x v="3"/>
    <x v="3"/>
    <s v="Male"/>
    <n v="3941"/>
    <n v="905"/>
    <n v="3566605"/>
    <n v="3551001"/>
    <n v="15604"/>
  </r>
  <r>
    <n v="5"/>
    <x v="0"/>
    <x v="0"/>
    <e v="#REF!"/>
    <s v="Golden Horizon Ventures"/>
    <x v="1"/>
    <x v="2"/>
    <s v="South"/>
    <x v="4"/>
    <x v="4"/>
    <s v="Male"/>
    <n v="4607"/>
    <n v="813"/>
    <n v="3745491"/>
    <n v="3727213"/>
    <n v="18278"/>
  </r>
  <r>
    <n v="6"/>
    <x v="1"/>
    <x v="0"/>
    <e v="#REF!"/>
    <s v="Eternal Traditions"/>
    <x v="1"/>
    <x v="2"/>
    <s v="South"/>
    <x v="5"/>
    <x v="5"/>
    <s v="Male"/>
    <n v="4261"/>
    <n v="954"/>
    <n v="4064994"/>
    <n v="4049674"/>
    <n v="15320"/>
  </r>
  <r>
    <n v="7"/>
    <x v="1"/>
    <x v="0"/>
    <e v="#REF!"/>
    <s v="Apex Solutions"/>
    <x v="1"/>
    <x v="2"/>
    <s v="West"/>
    <x v="6"/>
    <x v="6"/>
    <s v="Male"/>
    <n v="9084"/>
    <n v="610"/>
    <n v="5541240"/>
    <n v="5523413"/>
    <n v="17827"/>
  </r>
  <r>
    <n v="8"/>
    <x v="1"/>
    <x v="0"/>
    <e v="#REF!"/>
    <s v="Harmony Foods"/>
    <x v="1"/>
    <x v="2"/>
    <s v="West"/>
    <x v="7"/>
    <x v="1"/>
    <s v="Male"/>
    <n v="6694"/>
    <n v="742"/>
    <n v="4966948"/>
    <n v="4948353"/>
    <n v="18595"/>
  </r>
  <r>
    <n v="9"/>
    <x v="2"/>
    <x v="0"/>
    <e v="#REF!"/>
    <s v="Pure Essence Skincare"/>
    <x v="0"/>
    <x v="0"/>
    <s v="North"/>
    <x v="8"/>
    <x v="7"/>
    <s v="Female"/>
    <n v="2678"/>
    <n v="567"/>
    <n v="1518426"/>
    <n v="1502432"/>
    <n v="15994"/>
  </r>
  <r>
    <n v="10"/>
    <x v="2"/>
    <x v="0"/>
    <e v="#REF!"/>
    <s v="Zenith Construction Co."/>
    <x v="0"/>
    <x v="0"/>
    <s v="West"/>
    <x v="9"/>
    <x v="6"/>
    <s v="Female"/>
    <n v="1631"/>
    <n v="508"/>
    <n v="828548"/>
    <n v="818249"/>
    <n v="10299"/>
  </r>
  <r>
    <n v="11"/>
    <x v="2"/>
    <x v="0"/>
    <e v="#REF!"/>
    <s v="Radiant Health Systems"/>
    <x v="0"/>
    <x v="0"/>
    <s v="North"/>
    <x v="10"/>
    <x v="8"/>
    <s v="Female"/>
    <n v="4171"/>
    <n v="643"/>
    <n v="2681953"/>
    <n v="2668897"/>
    <n v="13056"/>
  </r>
  <r>
    <n v="12"/>
    <x v="2"/>
    <x v="0"/>
    <e v="#REF!"/>
    <s v="Divine Creations"/>
    <x v="0"/>
    <x v="0"/>
    <s v="North"/>
    <x v="11"/>
    <x v="8"/>
    <s v="Female"/>
    <n v="4283"/>
    <n v="804"/>
    <n v="3443532"/>
    <n v="3428241"/>
    <n v="15291"/>
  </r>
  <r>
    <n v="13"/>
    <x v="3"/>
    <x v="0"/>
    <e v="#REF!"/>
    <s v="Metro Tech Solutions"/>
    <x v="0"/>
    <x v="0"/>
    <s v="West"/>
    <x v="12"/>
    <x v="1"/>
    <s v="Female"/>
    <n v="4249"/>
    <n v="842"/>
    <n v="3577658"/>
    <n v="3562853"/>
    <n v="14805"/>
  </r>
  <r>
    <n v="14"/>
    <x v="3"/>
    <x v="0"/>
    <e v="#REF!"/>
    <s v="True Path Logistics"/>
    <x v="0"/>
    <x v="0"/>
    <s v="Central"/>
    <x v="13"/>
    <x v="9"/>
    <s v="Female"/>
    <n v="1902"/>
    <n v="671"/>
    <n v="1276242"/>
    <n v="1259930"/>
    <n v="16312"/>
  </r>
  <r>
    <n v="15"/>
    <x v="3"/>
    <x v="0"/>
    <e v="#REF!"/>
    <s v="Sacred Roots Apparel"/>
    <x v="1"/>
    <x v="3"/>
    <s v="West"/>
    <x v="14"/>
    <x v="1"/>
    <s v="Female"/>
    <n v="6166"/>
    <n v="894"/>
    <n v="5512404"/>
    <n v="5498388"/>
    <n v="14016"/>
  </r>
  <r>
    <n v="16"/>
    <x v="3"/>
    <x v="0"/>
    <e v="#REF!"/>
    <s v="Quantum Finance Services"/>
    <x v="1"/>
    <x v="3"/>
    <s v="North (Union Territory)"/>
    <x v="15"/>
    <x v="10"/>
    <s v="Female"/>
    <n v="3669"/>
    <n v="541"/>
    <n v="1984929"/>
    <n v="1967881"/>
    <n v="17048"/>
  </r>
  <r>
    <n v="17"/>
    <x v="3"/>
    <x v="0"/>
    <e v="#REF!"/>
    <s v="Brilliant Minds Academy"/>
    <x v="1"/>
    <x v="3"/>
    <s v="Central"/>
    <x v="16"/>
    <x v="9"/>
    <s v="Female"/>
    <n v="4667"/>
    <n v="646"/>
    <n v="3014882"/>
    <n v="2996536"/>
    <n v="18346"/>
  </r>
  <r>
    <n v="18"/>
    <x v="2"/>
    <x v="0"/>
    <e v="#REF!"/>
    <s v="Visionary Holdings"/>
    <x v="1"/>
    <x v="3"/>
    <s v="South"/>
    <x v="17"/>
    <x v="11"/>
    <s v="Female"/>
    <n v="6722"/>
    <n v="671"/>
    <n v="4510462"/>
    <n v="4490617"/>
    <n v="19845"/>
  </r>
  <r>
    <n v="19"/>
    <x v="4"/>
    <x v="0"/>
    <e v="#REF!"/>
    <s v="Stellar Design Studio"/>
    <x v="1"/>
    <x v="3"/>
    <s v="East"/>
    <x v="18"/>
    <x v="12"/>
    <s v="Female"/>
    <n v="8821"/>
    <n v="611"/>
    <n v="5389631"/>
    <n v="5372662"/>
    <n v="16969"/>
  </r>
  <r>
    <n v="20"/>
    <x v="5"/>
    <x v="0"/>
    <e v="#REF!"/>
    <s v="Classic Cuisines"/>
    <x v="1"/>
    <x v="3"/>
    <s v="West"/>
    <x v="19"/>
    <x v="6"/>
    <s v="Male"/>
    <n v="5603"/>
    <n v="671"/>
    <n v="3759613"/>
    <n v="3742457"/>
    <n v="17156"/>
  </r>
  <r>
    <n v="21"/>
    <x v="6"/>
    <x v="0"/>
    <e v="#REF!"/>
    <s v="Bold Ventures"/>
    <x v="1"/>
    <x v="3"/>
    <s v="North"/>
    <x v="20"/>
    <x v="8"/>
    <s v="Male"/>
    <n v="9513"/>
    <n v="632"/>
    <n v="6012216"/>
    <n v="5994778"/>
    <n v="17438"/>
  </r>
  <r>
    <n v="22"/>
    <x v="7"/>
    <x v="0"/>
    <e v="#REF!"/>
    <s v="Prestige Automobiles"/>
    <x v="0"/>
    <x v="4"/>
    <s v="North"/>
    <x v="21"/>
    <x v="8"/>
    <s v="Male"/>
    <n v="9633"/>
    <n v="891"/>
    <n v="8583003"/>
    <n v="8569968"/>
    <n v="13035"/>
  </r>
  <r>
    <n v="23"/>
    <x v="8"/>
    <x v="0"/>
    <e v="#REF!"/>
    <s v="Elite Marketing Solutions"/>
    <x v="0"/>
    <x v="4"/>
    <s v="South"/>
    <x v="22"/>
    <x v="3"/>
    <s v="Male"/>
    <n v="4332"/>
    <n v="858"/>
    <n v="3716856"/>
    <n v="3697025"/>
    <n v="19831"/>
  </r>
  <r>
    <n v="24"/>
    <x v="9"/>
    <x v="0"/>
    <e v="#REF!"/>
    <s v="Natural Bliss Beverages"/>
    <x v="0"/>
    <x v="4"/>
    <s v="South"/>
    <x v="23"/>
    <x v="3"/>
    <s v="Male"/>
    <n v="1995"/>
    <n v="897"/>
    <n v="1789515"/>
    <n v="1772580"/>
    <n v="16935"/>
  </r>
  <r>
    <n v="25"/>
    <x v="10"/>
    <x v="0"/>
    <e v="#REF!"/>
    <s v="Crystal Clear Solutions"/>
    <x v="0"/>
    <x v="4"/>
    <s v="North"/>
    <x v="24"/>
    <x v="7"/>
    <s v="Female"/>
    <n v="3691"/>
    <n v="940"/>
    <n v="3469540"/>
    <n v="3454412"/>
    <n v="15128"/>
  </r>
  <r>
    <n v="26"/>
    <x v="11"/>
    <x v="0"/>
    <e v="#REF!"/>
    <s v="Modern Trends Fashion"/>
    <x v="0"/>
    <x v="4"/>
    <s v="North"/>
    <x v="25"/>
    <x v="8"/>
    <s v="Female"/>
    <n v="2570"/>
    <n v="704"/>
    <n v="1809280"/>
    <n v="1799237"/>
    <n v="10043"/>
  </r>
  <r>
    <n v="27"/>
    <x v="12"/>
    <x v="0"/>
    <e v="#REF!"/>
    <s v="Heritage Crafts"/>
    <x v="0"/>
    <x v="4"/>
    <s v="East"/>
    <x v="26"/>
    <x v="13"/>
    <s v="Female"/>
    <n v="2952"/>
    <n v="972"/>
    <n v="2869344"/>
    <n v="2856952"/>
    <n v="12392"/>
  </r>
  <r>
    <n v="28"/>
    <x v="13"/>
    <x v="1"/>
    <e v="#REF!"/>
    <s v="Future Insights Analytics"/>
    <x v="0"/>
    <x v="4"/>
    <s v="South"/>
    <x v="27"/>
    <x v="14"/>
    <s v="Female"/>
    <n v="1992"/>
    <n v="538"/>
    <n v="1071696"/>
    <n v="1057485"/>
    <n v="14211"/>
  </r>
  <r>
    <n v="29"/>
    <x v="14"/>
    <x v="1"/>
    <e v="#REF!"/>
    <s v="Emerald Estate Developers"/>
    <x v="0"/>
    <x v="4"/>
    <s v="West"/>
    <x v="28"/>
    <x v="1"/>
    <s v="Female"/>
    <n v="2907"/>
    <n v="750"/>
    <n v="2180250"/>
    <n v="2164342"/>
    <n v="15908"/>
  </r>
  <r>
    <n v="30"/>
    <x v="15"/>
    <x v="1"/>
    <e v="#REF!"/>
    <s v="Starlight Media Group"/>
    <x v="0"/>
    <x v="4"/>
    <s v="North"/>
    <x v="29"/>
    <x v="15"/>
    <s v="Female"/>
    <n v="2936"/>
    <n v="558"/>
    <n v="1638288"/>
    <n v="1624490"/>
    <n v="13798"/>
  </r>
  <r>
    <n v="31"/>
    <x v="16"/>
    <x v="1"/>
    <e v="#REF!"/>
    <s v="Supreme Electronics"/>
    <x v="0"/>
    <x v="4"/>
    <s v="North"/>
    <x v="30"/>
    <x v="16"/>
    <s v="Female"/>
    <n v="1784"/>
    <n v="799"/>
    <n v="1425416"/>
    <n v="1411872"/>
    <n v="13544"/>
  </r>
  <r>
    <n v="32"/>
    <x v="17"/>
    <x v="1"/>
    <e v="#REF!"/>
    <s v="Optimum Wellness"/>
    <x v="0"/>
    <x v="4"/>
    <s v="Northeast"/>
    <x v="31"/>
    <x v="17"/>
    <s v="Male"/>
    <n v="3010"/>
    <n v="603"/>
    <n v="1815030"/>
    <n v="1801900"/>
    <n v="13130"/>
  </r>
  <r>
    <n v="33"/>
    <x v="18"/>
    <x v="1"/>
    <e v="#REF!"/>
    <s v="Zenith Books Publishing"/>
    <x v="0"/>
    <x v="4"/>
    <s v="North"/>
    <x v="32"/>
    <x v="18"/>
    <s v="Male"/>
    <n v="9118"/>
    <n v="694"/>
    <n v="6327892"/>
    <n v="6308281"/>
    <n v="19611"/>
  </r>
  <r>
    <n v="34"/>
    <x v="19"/>
    <x v="1"/>
    <e v="#REF!"/>
    <s v="Pinnacle Innovations"/>
    <x v="0"/>
    <x v="4"/>
    <s v="Central"/>
    <x v="33"/>
    <x v="19"/>
    <s v="Male"/>
    <n v="7291"/>
    <n v="837"/>
    <n v="6102567"/>
    <n v="6083910"/>
    <n v="18657"/>
  </r>
  <r>
    <n v="35"/>
    <x v="20"/>
    <x v="1"/>
    <e v="#REF!"/>
    <s v="Apex Travel Services"/>
    <x v="0"/>
    <x v="4"/>
    <s v="East"/>
    <x v="34"/>
    <x v="2"/>
    <s v="Male"/>
    <n v="3141"/>
    <n v="834"/>
    <n v="2619594"/>
    <n v="2604450"/>
    <n v="15144"/>
  </r>
  <r>
    <n v="36"/>
    <x v="21"/>
    <x v="1"/>
    <e v="#REF!"/>
    <s v="Golden Era Realty"/>
    <x v="0"/>
    <x v="4"/>
    <s v="East"/>
    <x v="2"/>
    <x v="2"/>
    <s v="Female"/>
    <n v="7170"/>
    <n v="521"/>
    <n v="3735570"/>
    <n v="3725375"/>
    <n v="10195"/>
  </r>
  <r>
    <n v="37"/>
    <x v="22"/>
    <x v="1"/>
    <e v="#REF!"/>
    <s v="Radiant Jewelry"/>
    <x v="0"/>
    <x v="5"/>
    <s v="Central"/>
    <x v="35"/>
    <x v="9"/>
    <s v="Female"/>
    <n v="4724"/>
    <n v="951"/>
    <n v="4492524"/>
    <n v="4477480"/>
    <n v="15044"/>
  </r>
  <r>
    <n v="38"/>
    <x v="23"/>
    <x v="2"/>
    <e v="#REF!"/>
    <s v="Infinity Ventures"/>
    <x v="0"/>
    <x v="5"/>
    <s v="East"/>
    <x v="36"/>
    <x v="13"/>
    <s v="Female"/>
    <n v="5398"/>
    <n v="832"/>
    <n v="4491136"/>
    <n v="4480939"/>
    <n v="10197"/>
  </r>
  <r>
    <n v="39"/>
    <x v="24"/>
    <x v="2"/>
    <e v="#REF!"/>
    <s v="Royal Taste Foods"/>
    <x v="0"/>
    <x v="5"/>
    <s v="East"/>
    <x v="37"/>
    <x v="2"/>
    <s v="Female"/>
    <n v="9466"/>
    <n v="933"/>
    <n v="8831778"/>
    <n v="8813052"/>
    <n v="18726"/>
  </r>
  <r>
    <n v="40"/>
    <x v="25"/>
    <x v="2"/>
    <e v="#REF!"/>
    <s v="Harmony Homes"/>
    <x v="0"/>
    <x v="5"/>
    <s v="South"/>
    <x v="38"/>
    <x v="4"/>
    <s v="Female"/>
    <n v="4168"/>
    <n v="769"/>
    <n v="3205192"/>
    <n v="3194639"/>
    <n v="10553"/>
  </r>
  <r>
    <n v="41"/>
    <x v="26"/>
    <x v="2"/>
    <e v="#REF!"/>
    <s v="Urban Edge Consulting"/>
    <x v="0"/>
    <x v="5"/>
    <s v="North"/>
    <x v="0"/>
    <x v="0"/>
    <s v="Female"/>
    <n v="5773"/>
    <n v="627"/>
    <n v="3619671"/>
    <n v="3609024"/>
    <n v="10647"/>
  </r>
  <r>
    <n v="42"/>
    <x v="27"/>
    <x v="2"/>
    <e v="#REF!"/>
    <s v="Prime Tech Innovations"/>
    <x v="0"/>
    <x v="5"/>
    <s v="West"/>
    <x v="1"/>
    <x v="1"/>
    <s v="Female"/>
    <n v="8417"/>
    <n v="918"/>
    <n v="7726806"/>
    <n v="7707723"/>
    <n v="19083"/>
  </r>
  <r>
    <n v="43"/>
    <x v="28"/>
    <x v="2"/>
    <e v="#REF!"/>
    <s v="Legacy Designs"/>
    <x v="0"/>
    <x v="5"/>
    <s v="East"/>
    <x v="2"/>
    <x v="2"/>
    <s v="Female"/>
    <n v="4691"/>
    <n v="901"/>
    <n v="4226591"/>
    <n v="4210775"/>
    <n v="15816"/>
  </r>
  <r>
    <n v="44"/>
    <x v="29"/>
    <x v="2"/>
    <e v="#REF!"/>
    <s v="Virtue Enterprises"/>
    <x v="0"/>
    <x v="5"/>
    <s v="South"/>
    <x v="3"/>
    <x v="3"/>
    <s v="Female"/>
    <n v="5945"/>
    <n v="887"/>
    <n v="5273215"/>
    <n v="5254425"/>
    <n v="18790"/>
  </r>
  <r>
    <n v="45"/>
    <x v="30"/>
    <x v="2"/>
    <e v="#REF!"/>
    <s v="Radiant Health Club"/>
    <x v="0"/>
    <x v="5"/>
    <s v="South"/>
    <x v="4"/>
    <x v="4"/>
    <s v="Female"/>
    <n v="6807"/>
    <n v="607"/>
    <n v="4131849"/>
    <n v="4118786"/>
    <n v="13063"/>
  </r>
  <r>
    <n v="46"/>
    <x v="31"/>
    <x v="2"/>
    <e v="#REF!"/>
    <s v="Bright Horizon Ventures"/>
    <x v="0"/>
    <x v="5"/>
    <s v="South"/>
    <x v="5"/>
    <x v="5"/>
    <s v="Male"/>
    <n v="3546"/>
    <n v="562"/>
    <n v="1992852"/>
    <n v="1976461"/>
    <n v="16391"/>
  </r>
  <r>
    <n v="47"/>
    <x v="32"/>
    <x v="2"/>
    <e v="#REF!"/>
    <s v="Modern Lifestyle Products"/>
    <x v="0"/>
    <x v="5"/>
    <s v="West"/>
    <x v="6"/>
    <x v="6"/>
    <s v="Male"/>
    <n v="9463"/>
    <n v="615"/>
    <n v="5819745"/>
    <n v="5809412"/>
    <n v="10333"/>
  </r>
  <r>
    <n v="48"/>
    <x v="33"/>
    <x v="3"/>
    <e v="#REF!"/>
    <s v="Nexus Trading Co."/>
    <x v="0"/>
    <x v="5"/>
    <s v="West"/>
    <x v="7"/>
    <x v="1"/>
    <s v="Male"/>
    <n v="9927"/>
    <n v="631"/>
    <n v="6263937"/>
    <n v="6251416"/>
    <n v="12521"/>
  </r>
  <r>
    <n v="49"/>
    <x v="34"/>
    <x v="3"/>
    <e v="#REF!"/>
    <s v="Radiance Spa"/>
    <x v="1"/>
    <x v="6"/>
    <s v="North"/>
    <x v="8"/>
    <x v="7"/>
    <s v="Male"/>
    <n v="1666"/>
    <n v="714"/>
    <n v="1189524"/>
    <n v="1174513"/>
    <n v="15011"/>
  </r>
  <r>
    <n v="50"/>
    <x v="35"/>
    <x v="3"/>
    <e v="#REF!"/>
    <s v="Absolute Solutions"/>
    <x v="1"/>
    <x v="6"/>
    <s v="West"/>
    <x v="9"/>
    <x v="6"/>
    <s v="Male"/>
    <n v="9392"/>
    <n v="631"/>
    <n v="5926352"/>
    <n v="5908443"/>
    <n v="17909"/>
  </r>
  <r>
    <n v="51"/>
    <x v="36"/>
    <x v="3"/>
    <e v="#REF!"/>
    <s v="Verve Fitness Studio"/>
    <x v="1"/>
    <x v="6"/>
    <s v="North"/>
    <x v="10"/>
    <x v="8"/>
    <s v="Female"/>
    <n v="7124"/>
    <n v="693"/>
    <n v="4936932"/>
    <n v="4921405"/>
    <n v="15527"/>
  </r>
  <r>
    <n v="52"/>
    <x v="37"/>
    <x v="3"/>
    <e v="#REF!"/>
    <s v="Sparkle Cleaners"/>
    <x v="1"/>
    <x v="6"/>
    <s v="North"/>
    <x v="11"/>
    <x v="8"/>
    <s v="Female"/>
    <n v="9636"/>
    <n v="873"/>
    <n v="8412228"/>
    <n v="8400841"/>
    <n v="11387"/>
  </r>
  <r>
    <n v="53"/>
    <x v="38"/>
    <x v="3"/>
    <e v="#REF!"/>
    <s v="Global Reach Logistics"/>
    <x v="1"/>
    <x v="6"/>
    <s v="West"/>
    <x v="12"/>
    <x v="1"/>
    <s v="Female"/>
    <n v="6596"/>
    <n v="811"/>
    <n v="5349356"/>
    <n v="5332148"/>
    <n v="17208"/>
  </r>
  <r>
    <n v="54"/>
    <x v="39"/>
    <x v="3"/>
    <e v="#REF!"/>
    <s v="Noble Path Finance"/>
    <x v="1"/>
    <x v="6"/>
    <s v="Central"/>
    <x v="13"/>
    <x v="9"/>
    <s v="Female"/>
    <n v="6338"/>
    <n v="540"/>
    <n v="3422520"/>
    <n v="3408901"/>
    <n v="13619"/>
  </r>
  <r>
    <n v="55"/>
    <x v="40"/>
    <x v="3"/>
    <e v="#REF!"/>
    <s v="Dynamic Events Management"/>
    <x v="1"/>
    <x v="6"/>
    <s v="West"/>
    <x v="14"/>
    <x v="1"/>
    <s v="Female"/>
    <n v="8446"/>
    <n v="812"/>
    <n v="6858152"/>
    <n v="6838958"/>
    <n v="19194"/>
  </r>
  <r>
    <n v="56"/>
    <x v="41"/>
    <x v="3"/>
    <e v="#REF!"/>
    <s v="Crystal Waters Resort"/>
    <x v="1"/>
    <x v="6"/>
    <s v="North (Union Territory)"/>
    <x v="15"/>
    <x v="10"/>
    <s v="Female"/>
    <n v="9102"/>
    <n v="894"/>
    <n v="8137188"/>
    <n v="8117339"/>
    <n v="19849"/>
  </r>
  <r>
    <n v="57"/>
    <x v="42"/>
    <x v="4"/>
    <e v="#REF!"/>
    <s v="Excellence Tutors"/>
    <x v="1"/>
    <x v="6"/>
    <s v="Central"/>
    <x v="16"/>
    <x v="9"/>
    <s v="Female"/>
    <n v="3887"/>
    <n v="912"/>
    <n v="3544944"/>
    <n v="3533273"/>
    <n v="11671"/>
  </r>
  <r>
    <n v="58"/>
    <x v="43"/>
    <x v="4"/>
    <e v="#REF!"/>
    <s v="Horizon Builders"/>
    <x v="1"/>
    <x v="6"/>
    <s v="South"/>
    <x v="17"/>
    <x v="11"/>
    <s v="Male"/>
    <n v="9519"/>
    <n v="970"/>
    <n v="9233430"/>
    <n v="9216364"/>
    <n v="17066"/>
  </r>
  <r>
    <n v="59"/>
    <x v="44"/>
    <x v="4"/>
    <e v="#REF!"/>
    <s v="Synergy Tech Solutions"/>
    <x v="1"/>
    <x v="6"/>
    <s v="East"/>
    <x v="18"/>
    <x v="12"/>
    <s v="Male"/>
    <n v="8983"/>
    <n v="840"/>
    <n v="7545720"/>
    <n v="7528063"/>
    <n v="17657"/>
  </r>
  <r>
    <n v="60"/>
    <x v="45"/>
    <x v="4"/>
    <e v="#REF!"/>
    <s v="Classic Heritage Crafts"/>
    <x v="1"/>
    <x v="6"/>
    <s v="West"/>
    <x v="19"/>
    <x v="6"/>
    <s v="Male"/>
    <n v="6892"/>
    <n v="643"/>
    <n v="4431556"/>
    <n v="4414126"/>
    <n v="17430"/>
  </r>
  <r>
    <n v="61"/>
    <x v="46"/>
    <x v="4"/>
    <e v="#REF!"/>
    <s v="Prime Focus Media"/>
    <x v="1"/>
    <x v="7"/>
    <s v="North"/>
    <x v="20"/>
    <x v="8"/>
    <s v="Male"/>
    <n v="6946"/>
    <n v="882"/>
    <n v="6126372"/>
    <n v="6111543"/>
    <n v="14829"/>
  </r>
  <r>
    <n v="62"/>
    <x v="47"/>
    <x v="4"/>
    <e v="#REF!"/>
    <s v="Noble Nutraceuticals"/>
    <x v="1"/>
    <x v="7"/>
    <s v="North"/>
    <x v="21"/>
    <x v="8"/>
    <s v="Female"/>
    <n v="8990"/>
    <n v="666"/>
    <n v="5987340"/>
    <n v="5975727"/>
    <n v="11613"/>
  </r>
  <r>
    <n v="63"/>
    <x v="48"/>
    <x v="4"/>
    <e v="#REF!"/>
    <s v="Supreme Travel Agency"/>
    <x v="1"/>
    <x v="7"/>
    <s v="South"/>
    <x v="22"/>
    <x v="3"/>
    <s v="Male"/>
    <n v="5594"/>
    <n v="615"/>
    <n v="3440310"/>
    <n v="3420773"/>
    <n v="19537"/>
  </r>
  <r>
    <n v="64"/>
    <x v="49"/>
    <x v="4"/>
    <e v="#REF!"/>
    <s v="Future Vision Tech"/>
    <x v="1"/>
    <x v="7"/>
    <s v="South"/>
    <x v="23"/>
    <x v="3"/>
    <s v="Male"/>
    <n v="5491"/>
    <n v="601"/>
    <n v="3300091"/>
    <n v="3284517"/>
    <n v="15574"/>
  </r>
  <r>
    <n v="65"/>
    <x v="50"/>
    <x v="4"/>
    <e v="#REF!"/>
    <s v="Urban Groove Apparel"/>
    <x v="1"/>
    <x v="7"/>
    <s v="North"/>
    <x v="24"/>
    <x v="7"/>
    <s v="Male"/>
    <n v="7225"/>
    <n v="711"/>
    <n v="5136975"/>
    <n v="5120037"/>
    <n v="16938"/>
  </r>
  <r>
    <n v="66"/>
    <x v="51"/>
    <x v="5"/>
    <e v="#REF!"/>
    <s v="Echo Real Estate"/>
    <x v="1"/>
    <x v="7"/>
    <s v="North"/>
    <x v="25"/>
    <x v="8"/>
    <s v="Male"/>
    <n v="2966"/>
    <n v="977"/>
    <n v="2897782"/>
    <n v="2885274"/>
    <n v="12508"/>
  </r>
  <r>
    <n v="67"/>
    <x v="52"/>
    <x v="5"/>
    <e v="#REF!"/>
    <s v="Pinnacle Health Products"/>
    <x v="1"/>
    <x v="7"/>
    <s v="East"/>
    <x v="26"/>
    <x v="13"/>
    <s v="Female"/>
    <n v="2421"/>
    <n v="765"/>
    <n v="1852065"/>
    <n v="1839370"/>
    <n v="12695"/>
  </r>
  <r>
    <n v="68"/>
    <x v="53"/>
    <x v="5"/>
    <e v="#REF!"/>
    <s v="Apex Auto Care"/>
    <x v="1"/>
    <x v="7"/>
    <s v="South"/>
    <x v="27"/>
    <x v="14"/>
    <s v="Female"/>
    <n v="8893"/>
    <n v="848"/>
    <n v="7541264"/>
    <n v="7527543"/>
    <n v="13721"/>
  </r>
  <r>
    <n v="69"/>
    <x v="54"/>
    <x v="5"/>
    <e v="#REF!"/>
    <s v="Royal Glow Cosmetics"/>
    <x v="1"/>
    <x v="7"/>
    <s v="West"/>
    <x v="28"/>
    <x v="1"/>
    <s v="Female"/>
    <n v="4938"/>
    <n v="726"/>
    <n v="3584988"/>
    <n v="3571076"/>
    <n v="13912"/>
  </r>
  <r>
    <n v="70"/>
    <x v="55"/>
    <x v="5"/>
    <e v="#REF!"/>
    <s v="Zenith Culinary Arts"/>
    <x v="1"/>
    <x v="7"/>
    <s v="North"/>
    <x v="29"/>
    <x v="15"/>
    <s v="Female"/>
    <n v="4836"/>
    <n v="783"/>
    <n v="3786588"/>
    <n v="3770186"/>
    <n v="16402"/>
  </r>
  <r>
    <n v="71"/>
    <x v="56"/>
    <x v="5"/>
    <e v="#REF!"/>
    <s v="Visionary Tours"/>
    <x v="1"/>
    <x v="7"/>
    <s v="North"/>
    <x v="30"/>
    <x v="16"/>
    <s v="Female"/>
    <n v="3490"/>
    <n v="889"/>
    <n v="3102610"/>
    <n v="3084216"/>
    <n v="18394"/>
  </r>
  <r>
    <n v="72"/>
    <x v="57"/>
    <x v="5"/>
    <e v="#REF!"/>
    <s v="Horizon Wellness"/>
    <x v="2"/>
    <x v="8"/>
    <s v="Northeast"/>
    <x v="31"/>
    <x v="17"/>
    <s v="Female"/>
    <n v="1921"/>
    <n v="568"/>
    <n v="1091128"/>
    <n v="1071831"/>
    <n v="19297"/>
  </r>
  <r>
    <n v="73"/>
    <x v="58"/>
    <x v="5"/>
    <e v="#REF!"/>
    <s v="True Value Electronics"/>
    <x v="2"/>
    <x v="8"/>
    <s v="North"/>
    <x v="32"/>
    <x v="18"/>
    <s v="Female"/>
    <n v="5036"/>
    <n v="745"/>
    <n v="3751820"/>
    <n v="3739847"/>
    <n v="11973"/>
  </r>
  <r>
    <n v="74"/>
    <x v="59"/>
    <x v="5"/>
    <e v="#REF!"/>
    <s v="Harmony Homes Realty"/>
    <x v="2"/>
    <x v="8"/>
    <s v="Central"/>
    <x v="33"/>
    <x v="19"/>
    <s v="Female"/>
    <n v="6124"/>
    <n v="634"/>
    <n v="3882616"/>
    <n v="3869989"/>
    <n v="12627"/>
  </r>
  <r>
    <n v="75"/>
    <x v="60"/>
    <x v="5"/>
    <e v="#REF!"/>
    <s v="Stellar Advertising"/>
    <x v="2"/>
    <x v="8"/>
    <s v="East"/>
    <x v="34"/>
    <x v="2"/>
    <s v="Female"/>
    <n v="6233"/>
    <n v="675"/>
    <n v="4207275"/>
    <n v="4192013"/>
    <n v="15262"/>
  </r>
  <r>
    <n v="76"/>
    <x v="61"/>
    <x v="6"/>
    <e v="#REF!"/>
    <s v="Radiant Enterprise Solutions"/>
    <x v="2"/>
    <x v="8"/>
    <s v="East"/>
    <x v="2"/>
    <x v="2"/>
    <s v="Female"/>
    <n v="9156"/>
    <n v="778"/>
    <n v="7123368"/>
    <n v="7106639"/>
    <n v="16729"/>
  </r>
  <r>
    <n v="77"/>
    <x v="62"/>
    <x v="6"/>
    <e v="#REF!"/>
    <s v="Modern Trends Retail"/>
    <x v="2"/>
    <x v="8"/>
    <s v="Central"/>
    <x v="35"/>
    <x v="9"/>
    <s v="Male"/>
    <n v="3687"/>
    <n v="867"/>
    <n v="3196629"/>
    <n v="3183236"/>
    <n v="13393"/>
  </r>
  <r>
    <n v="78"/>
    <x v="63"/>
    <x v="6"/>
    <e v="#REF!"/>
    <s v="Global Spectrum Consulting"/>
    <x v="2"/>
    <x v="8"/>
    <s v="East"/>
    <x v="36"/>
    <x v="13"/>
    <s v="Male"/>
    <n v="3165"/>
    <n v="903"/>
    <n v="2857995"/>
    <n v="2846311"/>
    <n v="11684"/>
  </r>
  <r>
    <n v="79"/>
    <x v="64"/>
    <x v="6"/>
    <e v="#REF!"/>
    <s v="Elite Essence Products"/>
    <x v="1"/>
    <x v="6"/>
    <s v="East"/>
    <x v="37"/>
    <x v="2"/>
    <s v="Male"/>
    <n v="1580"/>
    <n v="718"/>
    <n v="1134440"/>
    <n v="1120363"/>
    <n v="14077"/>
  </r>
  <r>
    <n v="80"/>
    <x v="65"/>
    <x v="6"/>
    <e v="#REF!"/>
    <s v="Dynamic Creations"/>
    <x v="1"/>
    <x v="6"/>
    <s v="South"/>
    <x v="38"/>
    <x v="4"/>
    <s v="Male"/>
    <n v="5627"/>
    <n v="539"/>
    <n v="3032953"/>
    <n v="3019240"/>
    <n v="13713"/>
  </r>
  <r>
    <n v="81"/>
    <x v="66"/>
    <x v="6"/>
    <e v="#REF!"/>
    <s v="Quantum Design Studio"/>
    <x v="1"/>
    <x v="6"/>
    <s v="North"/>
    <x v="0"/>
    <x v="0"/>
    <s v="Male"/>
    <n v="3396"/>
    <n v="865"/>
    <n v="2937540"/>
    <n v="2926020"/>
    <n v="11520"/>
  </r>
  <r>
    <n v="82"/>
    <x v="3"/>
    <x v="0"/>
    <e v="#REF!"/>
    <s v="Infinite Solutions"/>
    <x v="1"/>
    <x v="6"/>
    <s v="West"/>
    <x v="1"/>
    <x v="1"/>
    <s v="Female"/>
    <n v="7609"/>
    <n v="636"/>
    <n v="4839324"/>
    <n v="4825208"/>
    <n v="14116"/>
  </r>
  <r>
    <n v="83"/>
    <x v="67"/>
    <x v="0"/>
    <e v="#REF!"/>
    <s v="Apex Construction"/>
    <x v="1"/>
    <x v="6"/>
    <s v="East"/>
    <x v="2"/>
    <x v="2"/>
    <s v="Female"/>
    <n v="2460"/>
    <n v="571"/>
    <n v="1404660"/>
    <n v="1390201"/>
    <n v="14459"/>
  </r>
  <r>
    <n v="84"/>
    <x v="68"/>
    <x v="0"/>
    <e v="#REF!"/>
    <s v="Legacy Innovations"/>
    <x v="1"/>
    <x v="7"/>
    <s v="South"/>
    <x v="3"/>
    <x v="3"/>
    <s v="Female"/>
    <n v="8048"/>
    <n v="648"/>
    <n v="5215104"/>
    <n v="5197007"/>
    <n v="18097"/>
  </r>
  <r>
    <n v="85"/>
    <x v="69"/>
    <x v="0"/>
    <e v="#REF!"/>
    <s v="Pure Harmony Foods"/>
    <x v="1"/>
    <x v="7"/>
    <s v="South"/>
    <x v="4"/>
    <x v="4"/>
    <s v="Male"/>
    <n v="6821"/>
    <n v="871"/>
    <n v="5941091"/>
    <n v="5921313"/>
    <n v="19778"/>
  </r>
  <r>
    <n v="86"/>
    <x v="70"/>
    <x v="0"/>
    <e v="#REF!"/>
    <s v="Zenith Security Systems"/>
    <x v="1"/>
    <x v="7"/>
    <s v="South"/>
    <x v="5"/>
    <x v="5"/>
    <s v="Male"/>
    <n v="1898"/>
    <n v="726"/>
    <n v="1377948"/>
    <n v="1362490"/>
    <n v="15458"/>
  </r>
  <r>
    <n v="87"/>
    <x v="71"/>
    <x v="0"/>
    <e v="#REF!"/>
    <s v="Crystal Clear Beverages"/>
    <x v="1"/>
    <x v="7"/>
    <s v="West"/>
    <x v="6"/>
    <x v="6"/>
    <s v="Male"/>
    <n v="8320"/>
    <n v="701"/>
    <n v="5832320"/>
    <n v="5821479"/>
    <n v="10841"/>
  </r>
  <r>
    <n v="88"/>
    <x v="72"/>
    <x v="0"/>
    <e v="#REF!"/>
    <s v="Metro Line Tech"/>
    <x v="1"/>
    <x v="7"/>
    <s v="West"/>
    <x v="7"/>
    <x v="1"/>
    <s v="Male"/>
    <n v="7085"/>
    <n v="980"/>
    <n v="6943300"/>
    <n v="6925974"/>
    <n v="17326"/>
  </r>
  <r>
    <n v="89"/>
    <x v="73"/>
    <x v="0"/>
    <e v="#REF!"/>
    <s v="Urban Pulse Consulting"/>
    <x v="1"/>
    <x v="7"/>
    <s v="North"/>
    <x v="8"/>
    <x v="7"/>
    <s v="Male"/>
    <n v="7382"/>
    <n v="866"/>
    <n v="6392812"/>
    <n v="6377193"/>
    <n v="15619"/>
  </r>
  <r>
    <n v="90"/>
    <x v="74"/>
    <x v="1"/>
    <e v="#REF!"/>
    <s v="Radiant Vision Studios"/>
    <x v="2"/>
    <x v="9"/>
    <s v="West"/>
    <x v="9"/>
    <x v="6"/>
    <s v="Female"/>
    <n v="4636"/>
    <n v="976"/>
    <n v="4524736"/>
    <n v="4511449"/>
    <n v="13287"/>
  </r>
  <r>
    <n v="91"/>
    <x v="75"/>
    <x v="1"/>
    <e v="#REF!"/>
    <s v="Noble Travel Services"/>
    <x v="2"/>
    <x v="9"/>
    <s v="North"/>
    <x v="10"/>
    <x v="8"/>
    <s v="Female"/>
    <n v="2540"/>
    <n v="735"/>
    <n v="1866900"/>
    <n v="1854141"/>
    <n v="12759"/>
  </r>
  <r>
    <n v="92"/>
    <x v="76"/>
    <x v="1"/>
    <e v="#REF!"/>
    <s v="Bright Future Academy"/>
    <x v="2"/>
    <x v="9"/>
    <s v="North"/>
    <x v="11"/>
    <x v="8"/>
    <s v="Female"/>
    <n v="6995"/>
    <n v="959"/>
    <n v="6708205"/>
    <n v="6691336"/>
    <n v="16869"/>
  </r>
  <r>
    <n v="93"/>
    <x v="77"/>
    <x v="1"/>
    <e v="#REF!"/>
    <s v="Synergy Solutions Group"/>
    <x v="2"/>
    <x v="9"/>
    <s v="West"/>
    <x v="12"/>
    <x v="1"/>
    <s v="Female"/>
    <n v="8442"/>
    <n v="618"/>
    <n v="5217156"/>
    <n v="5203179"/>
    <n v="13977"/>
  </r>
  <r>
    <n v="94"/>
    <x v="78"/>
    <x v="1"/>
    <e v="#REF!"/>
    <s v="Visionary Health Systems"/>
    <x v="2"/>
    <x v="9"/>
    <s v="Central"/>
    <x v="13"/>
    <x v="9"/>
    <s v="Female"/>
    <n v="8766"/>
    <n v="813"/>
    <n v="7126758"/>
    <n v="7112458"/>
    <n v="14300"/>
  </r>
  <r>
    <n v="95"/>
    <x v="79"/>
    <x v="1"/>
    <e v="#REF!"/>
    <s v="Apex Retailers"/>
    <x v="2"/>
    <x v="9"/>
    <s v="West"/>
    <x v="14"/>
    <x v="1"/>
    <s v="Female"/>
    <n v="2645"/>
    <n v="513"/>
    <n v="1356885"/>
    <n v="1339194"/>
    <n v="17691"/>
  </r>
  <r>
    <n v="96"/>
    <x v="80"/>
    <x v="1"/>
    <e v="#REF!"/>
    <s v="Prestige Property Developers"/>
    <x v="2"/>
    <x v="9"/>
    <s v="North (Union Territory)"/>
    <x v="15"/>
    <x v="10"/>
    <s v="Female"/>
    <n v="4794"/>
    <n v="703"/>
    <n v="3370182"/>
    <n v="3357746"/>
    <n v="12436"/>
  </r>
  <r>
    <n v="97"/>
    <x v="81"/>
    <x v="1"/>
    <e v="#REF!"/>
    <s v="Classic Trends Fashion"/>
    <x v="2"/>
    <x v="9"/>
    <s v="Central"/>
    <x v="16"/>
    <x v="9"/>
    <s v="Male"/>
    <n v="4067"/>
    <n v="710"/>
    <n v="2887570"/>
    <n v="2871526"/>
    <n v="16044"/>
  </r>
  <r>
    <n v="98"/>
    <x v="82"/>
    <x v="1"/>
    <e v="#REF!"/>
    <s v="Harmony Ventures"/>
    <x v="2"/>
    <x v="9"/>
    <s v="South"/>
    <x v="17"/>
    <x v="11"/>
    <s v="Male"/>
    <n v="9519"/>
    <n v="949"/>
    <n v="9033531"/>
    <n v="9016790"/>
    <n v="16741"/>
  </r>
  <r>
    <n v="99"/>
    <x v="83"/>
    <x v="1"/>
    <e v="#REF!"/>
    <s v="Stellar Realty"/>
    <x v="2"/>
    <x v="9"/>
    <s v="East"/>
    <x v="18"/>
    <x v="12"/>
    <s v="Male"/>
    <n v="7217"/>
    <n v="935"/>
    <n v="6747895"/>
    <n v="6729198"/>
    <n v="18697"/>
  </r>
  <r>
    <n v="100"/>
    <x v="84"/>
    <x v="2"/>
    <e v="#REF!"/>
    <s v="Future Path Technologies"/>
    <x v="2"/>
    <x v="9"/>
    <s v="West"/>
    <x v="19"/>
    <x v="6"/>
    <s v="Male"/>
    <n v="1885"/>
    <n v="811"/>
    <n v="1528735"/>
    <n v="1516844"/>
    <n v="11891"/>
  </r>
  <r>
    <n v="101"/>
    <x v="85"/>
    <x v="2"/>
    <e v="#REF!"/>
    <s v="Elite Edge Services"/>
    <x v="2"/>
    <x v="9"/>
    <s v="North"/>
    <x v="20"/>
    <x v="8"/>
    <s v="Female"/>
    <n v="8921"/>
    <n v="593"/>
    <n v="5290153"/>
    <n v="5275034"/>
    <n v="15119"/>
  </r>
  <r>
    <n v="102"/>
    <x v="86"/>
    <x v="2"/>
    <e v="#REF!"/>
    <s v="Radiance Health and Wellness"/>
    <x v="0"/>
    <x v="5"/>
    <s v="North"/>
    <x v="21"/>
    <x v="8"/>
    <s v="Male"/>
    <n v="6596"/>
    <n v="501"/>
    <n v="3304596"/>
    <n v="3293410"/>
    <n v="11186"/>
  </r>
  <r>
    <n v="103"/>
    <x v="87"/>
    <x v="2"/>
    <e v="#REF!"/>
    <s v="Legacy Auto Works"/>
    <x v="0"/>
    <x v="5"/>
    <s v="South"/>
    <x v="22"/>
    <x v="3"/>
    <s v="Male"/>
    <n v="3074"/>
    <n v="869"/>
    <n v="2671306"/>
    <n v="2652666"/>
    <n v="18640"/>
  </r>
  <r>
    <n v="104"/>
    <x v="88"/>
    <x v="2"/>
    <e v="#REF!"/>
    <s v="Prime Essence Creations"/>
    <x v="0"/>
    <x v="5"/>
    <s v="South"/>
    <x v="23"/>
    <x v="3"/>
    <s v="Male"/>
    <n v="6116"/>
    <n v="699"/>
    <n v="4275084"/>
    <n v="4261342"/>
    <n v="13742"/>
  </r>
  <r>
    <n v="105"/>
    <x v="89"/>
    <x v="2"/>
    <e v="#REF!"/>
    <s v="Quantum Ventures"/>
    <x v="0"/>
    <x v="5"/>
    <s v="North"/>
    <x v="24"/>
    <x v="7"/>
    <s v="Male"/>
    <n v="5729"/>
    <n v="753"/>
    <n v="4313937"/>
    <n v="4299035"/>
    <n v="14902"/>
  </r>
  <r>
    <n v="106"/>
    <x v="90"/>
    <x v="2"/>
    <e v="#REF!"/>
    <s v="Horizon Tech Solutions"/>
    <x v="0"/>
    <x v="5"/>
    <s v="North"/>
    <x v="25"/>
    <x v="8"/>
    <s v="Female"/>
    <n v="7181"/>
    <n v="668"/>
    <n v="4796908"/>
    <n v="4777581"/>
    <n v="19327"/>
  </r>
  <r>
    <n v="107"/>
    <x v="91"/>
    <x v="2"/>
    <e v="#REF!"/>
    <s v="Urban Legends Apparel"/>
    <x v="0"/>
    <x v="5"/>
    <s v="East"/>
    <x v="26"/>
    <x v="13"/>
    <s v="Female"/>
    <n v="9034"/>
    <n v="730"/>
    <n v="6594820"/>
    <n v="6583087"/>
    <n v="11733"/>
  </r>
  <r>
    <n v="108"/>
    <x v="92"/>
    <x v="2"/>
    <e v="#REF!"/>
    <s v="Pure Bliss Beverages"/>
    <x v="0"/>
    <x v="5"/>
    <s v="South"/>
    <x v="27"/>
    <x v="14"/>
    <s v="Female"/>
    <n v="6005"/>
    <n v="739"/>
    <n v="4437695"/>
    <n v="4424769"/>
    <n v="12926"/>
  </r>
  <r>
    <n v="109"/>
    <x v="93"/>
    <x v="2"/>
    <e v="#REF!"/>
    <s v="Noble Heights Builders"/>
    <x v="0"/>
    <x v="5"/>
    <s v="West"/>
    <x v="28"/>
    <x v="1"/>
    <s v="Female"/>
    <n v="5261"/>
    <n v="626"/>
    <n v="3293386"/>
    <n v="3279721"/>
    <n v="13665"/>
  </r>
  <r>
    <n v="110"/>
    <x v="94"/>
    <x v="3"/>
    <e v="#REF!"/>
    <s v="Radiant Foods"/>
    <x v="0"/>
    <x v="5"/>
    <s v="North"/>
    <x v="29"/>
    <x v="15"/>
    <s v="Female"/>
    <n v="5989"/>
    <n v="889"/>
    <n v="5324221"/>
    <n v="5306323"/>
    <n v="17898"/>
  </r>
  <r>
    <n v="111"/>
    <x v="95"/>
    <x v="3"/>
    <e v="#REF!"/>
    <s v="Zenith Financial Services"/>
    <x v="0"/>
    <x v="5"/>
    <s v="North"/>
    <x v="30"/>
    <x v="16"/>
    <s v="Female"/>
    <n v="6350"/>
    <n v="615"/>
    <n v="3905250"/>
    <n v="3885824"/>
    <n v="19426"/>
  </r>
  <r>
    <n v="112"/>
    <x v="96"/>
    <x v="3"/>
    <e v="#REF!"/>
    <s v="Apex Travel Ventures"/>
    <x v="0"/>
    <x v="5"/>
    <s v="Northeast"/>
    <x v="31"/>
    <x v="17"/>
    <s v="Female"/>
    <n v="9014"/>
    <n v="687"/>
    <n v="6192618"/>
    <n v="6172731"/>
    <n v="19887"/>
  </r>
  <r>
    <n v="113"/>
    <x v="97"/>
    <x v="3"/>
    <e v="#REF!"/>
    <s v="Legacy Design Group"/>
    <x v="1"/>
    <x v="6"/>
    <s v="North"/>
    <x v="32"/>
    <x v="18"/>
    <s v="Female"/>
    <n v="9418"/>
    <n v="558"/>
    <n v="5255244"/>
    <n v="5244107"/>
    <n v="11137"/>
  </r>
  <r>
    <n v="114"/>
    <x v="98"/>
    <x v="3"/>
    <e v="#REF!"/>
    <s v="Supreme Wellness"/>
    <x v="1"/>
    <x v="6"/>
    <s v="Central"/>
    <x v="33"/>
    <x v="19"/>
    <s v="Female"/>
    <n v="8665"/>
    <n v="743"/>
    <n v="6438095"/>
    <n v="6422881"/>
    <n v="15214"/>
  </r>
  <r>
    <n v="115"/>
    <x v="99"/>
    <x v="3"/>
    <e v="#REF!"/>
    <s v="Harmony Tech Innovations"/>
    <x v="1"/>
    <x v="6"/>
    <s v="East"/>
    <x v="34"/>
    <x v="2"/>
    <s v="Female"/>
    <n v="5344"/>
    <n v="500"/>
    <n v="2672000"/>
    <n v="2653864"/>
    <n v="18136"/>
  </r>
  <r>
    <n v="116"/>
    <x v="100"/>
    <x v="3"/>
    <e v="#REF!"/>
    <s v="Stellar Education Services"/>
    <x v="1"/>
    <x v="6"/>
    <s v="East"/>
    <x v="2"/>
    <x v="2"/>
    <s v="Female"/>
    <n v="7204"/>
    <n v="944"/>
    <n v="6800576"/>
    <n v="6781492"/>
    <n v="19084"/>
  </r>
  <r>
    <n v="117"/>
    <x v="101"/>
    <x v="4"/>
    <e v="#REF!"/>
    <s v="Visionary Health Products"/>
    <x v="1"/>
    <x v="6"/>
    <s v="Central"/>
    <x v="35"/>
    <x v="9"/>
    <s v="Female"/>
    <n v="5004"/>
    <n v="681"/>
    <n v="3407724"/>
    <n v="3396708"/>
    <n v="11016"/>
  </r>
  <r>
    <n v="118"/>
    <x v="53"/>
    <x v="5"/>
    <e v="#REF!"/>
    <s v="Crystal Innovations"/>
    <x v="1"/>
    <x v="6"/>
    <s v="East"/>
    <x v="36"/>
    <x v="13"/>
    <s v="Female"/>
    <n v="2162"/>
    <n v="880"/>
    <n v="1902560"/>
    <n v="1883468"/>
    <n v="19092"/>
  </r>
  <r>
    <n v="119"/>
    <x v="54"/>
    <x v="5"/>
    <e v="#REF!"/>
    <s v="Future Trends Retail"/>
    <x v="1"/>
    <x v="6"/>
    <s v="East"/>
    <x v="37"/>
    <x v="2"/>
    <s v="Female"/>
    <n v="6223"/>
    <n v="783"/>
    <n v="4872609"/>
    <n v="4855621"/>
    <n v="16988"/>
  </r>
  <r>
    <n v="120"/>
    <x v="55"/>
    <x v="5"/>
    <e v="#REF!"/>
    <s v="Radiant Horizon Ventures"/>
    <x v="1"/>
    <x v="6"/>
    <s v="South"/>
    <x v="38"/>
    <x v="4"/>
    <s v="Female"/>
    <n v="5481"/>
    <n v="646"/>
    <n v="3540726"/>
    <n v="3522867"/>
    <n v="17859"/>
  </r>
  <r>
    <n v="121"/>
    <x v="56"/>
    <x v="5"/>
    <e v="#REF!"/>
    <s v="Urban Edge Realty"/>
    <x v="1"/>
    <x v="6"/>
    <s v="North"/>
    <x v="0"/>
    <x v="0"/>
    <s v="Male"/>
    <n v="7362"/>
    <n v="848"/>
    <n v="6242976"/>
    <n v="6227178"/>
    <n v="15798"/>
  </r>
  <r>
    <n v="122"/>
    <x v="57"/>
    <x v="5"/>
    <e v="#REF!"/>
    <s v="Prime Focus Innovations"/>
    <x v="1"/>
    <x v="6"/>
    <s v="West"/>
    <x v="1"/>
    <x v="1"/>
    <s v="Male"/>
    <n v="6176"/>
    <n v="639"/>
    <n v="3946464"/>
    <n v="3936204"/>
    <n v="10260"/>
  </r>
  <r>
    <n v="123"/>
    <x v="58"/>
    <x v="5"/>
    <e v="#REF!"/>
    <s v="Elite Spectrum Consulting"/>
    <x v="1"/>
    <x v="6"/>
    <s v="East"/>
    <x v="2"/>
    <x v="2"/>
    <s v="Male"/>
    <n v="6492"/>
    <n v="714"/>
    <n v="4635288"/>
    <n v="4617535"/>
    <n v="17753"/>
  </r>
  <r>
    <n v="124"/>
    <x v="59"/>
    <x v="5"/>
    <e v="#REF!"/>
    <s v="Dynamic Design Studio"/>
    <x v="1"/>
    <x v="6"/>
    <s v="South"/>
    <x v="3"/>
    <x v="3"/>
    <s v="Male"/>
    <n v="5268"/>
    <n v="992"/>
    <n v="5225856"/>
    <n v="5215439"/>
    <n v="10417"/>
  </r>
  <r>
    <n v="125"/>
    <x v="60"/>
    <x v="5"/>
    <e v="#REF!"/>
    <s v="Apex Wellness Solutions"/>
    <x v="1"/>
    <x v="7"/>
    <s v="South"/>
    <x v="4"/>
    <x v="4"/>
    <s v="Male"/>
    <n v="2613"/>
    <n v="910"/>
    <n v="2377830"/>
    <n v="2366772"/>
    <n v="11058"/>
  </r>
  <r>
    <n v="126"/>
    <x v="61"/>
    <x v="6"/>
    <e v="#REF!"/>
    <s v="Royal Crest Foods"/>
    <x v="1"/>
    <x v="7"/>
    <s v="South"/>
    <x v="5"/>
    <x v="5"/>
    <s v="Female"/>
    <n v="3530"/>
    <n v="693"/>
    <n v="2446290"/>
    <n v="2435447"/>
    <n v="10843"/>
  </r>
  <r>
    <n v="127"/>
    <x v="62"/>
    <x v="6"/>
    <e v="#REF!"/>
    <s v="Zenith Travels"/>
    <x v="1"/>
    <x v="7"/>
    <s v="West"/>
    <x v="6"/>
    <x v="6"/>
    <s v="Female"/>
    <n v="6376"/>
    <n v="909"/>
    <n v="5795784"/>
    <n v="5784474"/>
    <n v="11310"/>
  </r>
  <r>
    <n v="128"/>
    <x v="63"/>
    <x v="6"/>
    <e v="#REF!"/>
    <s v="Modern Harmony Products"/>
    <x v="2"/>
    <x v="9"/>
    <s v="West"/>
    <x v="7"/>
    <x v="1"/>
    <s v="Female"/>
    <n v="5087"/>
    <n v="555"/>
    <n v="2823285"/>
    <n v="2807904"/>
    <n v="15381"/>
  </r>
  <r>
    <n v="129"/>
    <x v="64"/>
    <x v="6"/>
    <e v="#REF!"/>
    <s v="Horizon Builders &amp; Developers"/>
    <x v="2"/>
    <x v="9"/>
    <s v="North"/>
    <x v="8"/>
    <x v="7"/>
    <s v="Female"/>
    <n v="8044"/>
    <n v="681"/>
    <n v="5477964"/>
    <n v="5458567"/>
    <n v="19397"/>
  </r>
  <r>
    <n v="130"/>
    <x v="65"/>
    <x v="6"/>
    <e v="#REF!"/>
    <s v="Radiance Tech Solutions"/>
    <x v="2"/>
    <x v="9"/>
    <s v="West"/>
    <x v="9"/>
    <x v="6"/>
    <s v="Female"/>
    <n v="4427"/>
    <n v="818"/>
    <n v="3621286"/>
    <n v="3611243"/>
    <n v="10043"/>
  </r>
  <r>
    <n v="131"/>
    <x v="66"/>
    <x v="6"/>
    <e v="#REF!"/>
    <s v="Legacy Apparel"/>
    <x v="2"/>
    <x v="9"/>
    <s v="North"/>
    <x v="10"/>
    <x v="8"/>
    <s v="Female"/>
    <n v="5689"/>
    <n v="827"/>
    <n v="4704803"/>
    <n v="4685613"/>
    <n v="19190"/>
  </r>
  <r>
    <n v="132"/>
    <x v="3"/>
    <x v="0"/>
    <e v="#REF!"/>
    <s v="Pinnacle Education Group"/>
    <x v="2"/>
    <x v="9"/>
    <s v="North"/>
    <x v="11"/>
    <x v="8"/>
    <s v="Female"/>
    <n v="2431"/>
    <n v="556"/>
    <n v="1351636"/>
    <n v="1340440"/>
    <n v="11196"/>
  </r>
  <r>
    <n v="133"/>
    <x v="67"/>
    <x v="0"/>
    <e v="#REF!"/>
    <s v="Noble Innovations"/>
    <x v="2"/>
    <x v="9"/>
    <s v="West"/>
    <x v="12"/>
    <x v="1"/>
    <s v="Male"/>
    <n v="1567"/>
    <n v="781"/>
    <n v="1223827"/>
    <n v="1204917"/>
    <n v="18910"/>
  </r>
  <r>
    <n v="134"/>
    <x v="68"/>
    <x v="0"/>
    <e v="#REF!"/>
    <s v="Crystal Clear Realty"/>
    <x v="2"/>
    <x v="9"/>
    <s v="Central"/>
    <x v="13"/>
    <x v="9"/>
    <s v="Male"/>
    <n v="4760"/>
    <n v="578"/>
    <n v="2751280"/>
    <n v="2738207"/>
    <n v="13073"/>
  </r>
  <r>
    <n v="135"/>
    <x v="91"/>
    <x v="2"/>
    <e v="#REF!"/>
    <s v="Future Vision Realty"/>
    <x v="0"/>
    <x v="5"/>
    <s v="West"/>
    <x v="14"/>
    <x v="1"/>
    <s v="Male"/>
    <n v="2605"/>
    <n v="737"/>
    <n v="1919885"/>
    <n v="1906233"/>
    <n v="13652"/>
  </r>
  <r>
    <n v="136"/>
    <x v="92"/>
    <x v="2"/>
    <e v="#REF!"/>
    <s v="Urban Pulse Media"/>
    <x v="0"/>
    <x v="5"/>
    <s v="North (Union Territory)"/>
    <x v="15"/>
    <x v="10"/>
    <s v="Male"/>
    <n v="8431"/>
    <n v="507"/>
    <n v="4274517"/>
    <n v="4261157"/>
    <n v="13360"/>
  </r>
  <r>
    <n v="137"/>
    <x v="93"/>
    <x v="2"/>
    <e v="#REF!"/>
    <s v="True Essence Health"/>
    <x v="0"/>
    <x v="5"/>
    <s v="Central"/>
    <x v="16"/>
    <x v="9"/>
    <s v="Female"/>
    <n v="5487"/>
    <n v="879"/>
    <n v="4823073"/>
    <n v="4807607"/>
    <n v="15466"/>
  </r>
  <r>
    <n v="138"/>
    <x v="94"/>
    <x v="3"/>
    <e v="#REF!"/>
    <s v="Apex Enterprise Solutions"/>
    <x v="0"/>
    <x v="5"/>
    <s v="South"/>
    <x v="17"/>
    <x v="11"/>
    <s v="Male"/>
    <n v="3782"/>
    <n v="528"/>
    <n v="1996896"/>
    <n v="1982955"/>
    <n v="13941"/>
  </r>
  <r>
    <n v="139"/>
    <x v="95"/>
    <x v="3"/>
    <e v="#REF!"/>
    <s v="Radiant Vision Realty"/>
    <x v="0"/>
    <x v="5"/>
    <s v="East"/>
    <x v="18"/>
    <x v="12"/>
    <s v="Male"/>
    <n v="2743"/>
    <n v="575"/>
    <n v="1577225"/>
    <n v="1562708"/>
    <n v="14517"/>
  </r>
  <r>
    <n v="140"/>
    <x v="96"/>
    <x v="3"/>
    <e v="#REF!"/>
    <s v="Harmony Consulting Group"/>
    <x v="0"/>
    <x v="5"/>
    <s v="West"/>
    <x v="19"/>
    <x v="6"/>
    <s v="Male"/>
    <n v="4239"/>
    <n v="922"/>
    <n v="3908358"/>
    <n v="3895058"/>
    <n v="13300"/>
  </r>
  <r>
    <n v="141"/>
    <x v="97"/>
    <x v="3"/>
    <e v="#REF!"/>
    <s v="Zenith Tech Ventures"/>
    <x v="0"/>
    <x v="5"/>
    <s v="North"/>
    <x v="20"/>
    <x v="8"/>
    <s v="Male"/>
    <n v="7544"/>
    <n v="593"/>
    <n v="4473592"/>
    <n v="4456296"/>
    <n v="17296"/>
  </r>
  <r>
    <n v="142"/>
    <x v="98"/>
    <x v="3"/>
    <e v="#REF!"/>
    <s v="Stellar Health Services"/>
    <x v="0"/>
    <x v="5"/>
    <s v="North"/>
    <x v="21"/>
    <x v="8"/>
    <s v="Female"/>
    <n v="3400"/>
    <n v="948"/>
    <n v="3223200"/>
    <n v="3204404"/>
    <n v="18796"/>
  </r>
  <r>
    <n v="143"/>
    <x v="99"/>
    <x v="3"/>
    <e v="#REF!"/>
    <s v="Pure Path Foods"/>
    <x v="0"/>
    <x v="5"/>
    <s v="South"/>
    <x v="22"/>
    <x v="3"/>
    <s v="Female"/>
    <n v="1964"/>
    <n v="787"/>
    <n v="1545668"/>
    <n v="1526811"/>
    <n v="18857"/>
  </r>
  <r>
    <n v="144"/>
    <x v="100"/>
    <x v="3"/>
    <e v="#REF!"/>
    <s v="Prestige Solutions"/>
    <x v="0"/>
    <x v="5"/>
    <s v="South"/>
    <x v="23"/>
    <x v="3"/>
    <s v="Female"/>
    <n v="4945"/>
    <n v="938"/>
    <n v="4638410"/>
    <n v="4623936"/>
    <n v="14474"/>
  </r>
  <r>
    <n v="145"/>
    <x v="101"/>
    <x v="4"/>
    <e v="#REF!"/>
    <s v="Bright Horizon Realty"/>
    <x v="0"/>
    <x v="5"/>
    <s v="North"/>
    <x v="24"/>
    <x v="7"/>
    <s v="Female"/>
    <n v="5530"/>
    <n v="777"/>
    <n v="4296810"/>
    <n v="4277854"/>
    <n v="18956"/>
  </r>
  <r>
    <n v="146"/>
    <x v="53"/>
    <x v="5"/>
    <e v="#REF!"/>
    <s v="Quantum Media Group"/>
    <x v="1"/>
    <x v="6"/>
    <s v="North"/>
    <x v="25"/>
    <x v="8"/>
    <s v="Female"/>
    <n v="4862"/>
    <n v="954"/>
    <n v="4638348"/>
    <n v="4622011"/>
    <n v="16337"/>
  </r>
  <r>
    <n v="147"/>
    <x v="54"/>
    <x v="5"/>
    <e v="#REF!"/>
    <s v="Legacy Builders"/>
    <x v="1"/>
    <x v="6"/>
    <s v="East"/>
    <x v="26"/>
    <x v="13"/>
    <s v="Female"/>
    <n v="9354"/>
    <n v="899"/>
    <n v="8409246"/>
    <n v="8396672"/>
    <n v="12574"/>
  </r>
  <r>
    <n v="148"/>
    <x v="55"/>
    <x v="5"/>
    <e v="#REF!"/>
    <s v="Apex Spa &amp; Wellness"/>
    <x v="1"/>
    <x v="6"/>
    <s v="South"/>
    <x v="27"/>
    <x v="14"/>
    <s v="Female"/>
    <n v="4121"/>
    <n v="904"/>
    <n v="3725384"/>
    <n v="3711448"/>
    <n v="13936"/>
  </r>
  <r>
    <n v="149"/>
    <x v="56"/>
    <x v="5"/>
    <e v="#REF!"/>
    <s v="Radiant Travel Services"/>
    <x v="1"/>
    <x v="6"/>
    <s v="West"/>
    <x v="28"/>
    <x v="1"/>
    <s v="Female"/>
    <n v="9914"/>
    <n v="615"/>
    <n v="6097110"/>
    <n v="6083623"/>
    <n v="13487"/>
  </r>
  <r>
    <n v="150"/>
    <x v="57"/>
    <x v="5"/>
    <e v="#REF!"/>
    <s v="Modern Trends Consulting"/>
    <x v="1"/>
    <x v="6"/>
    <s v="North"/>
    <x v="29"/>
    <x v="15"/>
    <s v="Female"/>
    <n v="2904"/>
    <n v="997"/>
    <n v="2895288"/>
    <n v="2882871"/>
    <n v="12417"/>
  </r>
  <r>
    <n v="151"/>
    <x v="58"/>
    <x v="5"/>
    <e v="#REF!"/>
    <s v="Global Horizon Ventures"/>
    <x v="1"/>
    <x v="6"/>
    <s v="North"/>
    <x v="30"/>
    <x v="16"/>
    <s v="Female"/>
    <n v="9981"/>
    <n v="833"/>
    <n v="8314173"/>
    <n v="8303344"/>
    <n v="10829"/>
  </r>
  <r>
    <n v="152"/>
    <x v="59"/>
    <x v="5"/>
    <e v="#REF!"/>
    <s v="Elite Enterprises"/>
    <x v="1"/>
    <x v="6"/>
    <s v="Northeast"/>
    <x v="31"/>
    <x v="17"/>
    <s v="Male"/>
    <n v="3876"/>
    <n v="861"/>
    <n v="3337236"/>
    <n v="3318242"/>
    <n v="18994"/>
  </r>
  <r>
    <n v="153"/>
    <x v="60"/>
    <x v="5"/>
    <e v="#REF!"/>
    <s v="Urban Wave Solutions"/>
    <x v="1"/>
    <x v="6"/>
    <s v="North"/>
    <x v="32"/>
    <x v="18"/>
    <s v="Male"/>
    <n v="8887"/>
    <n v="717"/>
    <n v="6371979"/>
    <n v="6359250"/>
    <n v="12729"/>
  </r>
  <r>
    <n v="154"/>
    <x v="61"/>
    <x v="6"/>
    <e v="#REF!"/>
    <s v="Pinnacle Health Innovations"/>
    <x v="1"/>
    <x v="6"/>
    <s v="Central"/>
    <x v="33"/>
    <x v="19"/>
    <s v="Male"/>
    <n v="3673"/>
    <n v="619"/>
    <n v="2273587"/>
    <n v="2258554"/>
    <n v="15033"/>
  </r>
  <r>
    <n v="155"/>
    <x v="62"/>
    <x v="6"/>
    <e v="#REF!"/>
    <s v="Horizon Fashion"/>
    <x v="1"/>
    <x v="7"/>
    <s v="East"/>
    <x v="34"/>
    <x v="2"/>
    <s v="Male"/>
    <n v="7588"/>
    <n v="607"/>
    <n v="4605916"/>
    <n v="4592873"/>
    <n v="13043"/>
  </r>
  <r>
    <n v="156"/>
    <x v="63"/>
    <x v="6"/>
    <e v="#REF!"/>
    <s v="Crystal Essence Beverages"/>
    <x v="1"/>
    <x v="7"/>
    <s v="East"/>
    <x v="2"/>
    <x v="2"/>
    <s v="Male"/>
    <n v="5137"/>
    <n v="690"/>
    <n v="3544530"/>
    <n v="3528307"/>
    <n v="16223"/>
  </r>
  <r>
    <n v="157"/>
    <x v="64"/>
    <x v="6"/>
    <e v="#REF!"/>
    <s v="Dynamic Pathways"/>
    <x v="1"/>
    <x v="7"/>
    <s v="Central"/>
    <x v="35"/>
    <x v="9"/>
    <s v="Female"/>
    <n v="5813"/>
    <n v="673"/>
    <n v="3912149"/>
    <n v="3898906"/>
    <n v="13243"/>
  </r>
  <r>
    <n v="158"/>
    <x v="65"/>
    <x v="6"/>
    <e v="#REF!"/>
    <s v="Visionary Realty Solutions"/>
    <x v="1"/>
    <x v="7"/>
    <s v="East"/>
    <x v="36"/>
    <x v="13"/>
    <s v="Female"/>
    <n v="7330"/>
    <n v="599"/>
    <n v="4390670"/>
    <n v="4370877"/>
    <n v="19793"/>
  </r>
  <r>
    <n v="159"/>
    <x v="66"/>
    <x v="6"/>
    <e v="#REF!"/>
    <s v="Radiance Apparel"/>
    <x v="1"/>
    <x v="7"/>
    <s v="East"/>
    <x v="37"/>
    <x v="2"/>
    <s v="Female"/>
    <n v="8139"/>
    <n v="655"/>
    <n v="5331045"/>
    <n v="5313422"/>
    <n v="17623"/>
  </r>
  <r>
    <n v="160"/>
    <x v="3"/>
    <x v="0"/>
    <e v="#REF!"/>
    <s v="Zenith Design Group"/>
    <x v="1"/>
    <x v="7"/>
    <s v="South"/>
    <x v="38"/>
    <x v="4"/>
    <s v="Male"/>
    <n v="8203"/>
    <n v="918"/>
    <n v="7530354"/>
    <n v="7513303"/>
    <n v="17051"/>
  </r>
  <r>
    <n v="161"/>
    <x v="67"/>
    <x v="0"/>
    <e v="#REF!"/>
    <s v="Apex Publishing House"/>
    <x v="2"/>
    <x v="9"/>
    <s v="North"/>
    <x v="0"/>
    <x v="0"/>
    <s v="Male"/>
    <n v="1918"/>
    <n v="866"/>
    <n v="1660988"/>
    <n v="1650600"/>
    <n v="10388"/>
  </r>
  <r>
    <n v="162"/>
    <x v="68"/>
    <x v="0"/>
    <e v="#REF!"/>
    <s v="True Value Consulting"/>
    <x v="2"/>
    <x v="9"/>
    <s v="West"/>
    <x v="1"/>
    <x v="1"/>
    <s v="Male"/>
    <n v="7692"/>
    <n v="958"/>
    <n v="7368936"/>
    <n v="7352281"/>
    <n v="16655"/>
  </r>
  <r>
    <n v="163"/>
    <x v="69"/>
    <x v="0"/>
    <e v="#REF!"/>
    <s v="Future Path Ventures"/>
    <x v="2"/>
    <x v="9"/>
    <s v="East"/>
    <x v="2"/>
    <x v="2"/>
    <s v="Male"/>
    <n v="8066"/>
    <n v="985"/>
    <n v="7945010"/>
    <n v="7931886"/>
    <n v="13124"/>
  </r>
  <r>
    <n v="164"/>
    <x v="70"/>
    <x v="0"/>
    <e v="#REF!"/>
    <s v="Stellar Tech Services"/>
    <x v="2"/>
    <x v="9"/>
    <s v="South"/>
    <x v="3"/>
    <x v="3"/>
    <s v="Male"/>
    <n v="5931"/>
    <n v="652"/>
    <n v="3867012"/>
    <n v="3850661"/>
    <n v="16351"/>
  </r>
  <r>
    <n v="165"/>
    <x v="71"/>
    <x v="0"/>
    <e v="#REF!"/>
    <s v="Legacy Travel Agency"/>
    <x v="2"/>
    <x v="9"/>
    <s v="South"/>
    <x v="4"/>
    <x v="4"/>
    <s v="Female"/>
    <n v="5555"/>
    <n v="506"/>
    <n v="2810830"/>
    <n v="2792859"/>
    <n v="17971"/>
  </r>
  <r>
    <n v="166"/>
    <x v="72"/>
    <x v="0"/>
    <e v="#REF!"/>
    <s v="Harmony Innovations"/>
    <x v="2"/>
    <x v="9"/>
    <s v="South"/>
    <x v="5"/>
    <x v="5"/>
    <s v="Female"/>
    <n v="7543"/>
    <n v="815"/>
    <n v="6147545"/>
    <n v="6129154"/>
    <n v="18391"/>
  </r>
  <r>
    <n v="167"/>
    <x v="73"/>
    <x v="0"/>
    <e v="#REF!"/>
    <s v="Pure Essence Solutions"/>
    <x v="2"/>
    <x v="9"/>
    <s v="West"/>
    <x v="6"/>
    <x v="6"/>
    <s v="Female"/>
    <n v="7725"/>
    <n v="964"/>
    <n v="7446900"/>
    <n v="7433111"/>
    <n v="13789"/>
  </r>
  <r>
    <n v="168"/>
    <x v="74"/>
    <x v="1"/>
    <e v="#REF!"/>
    <s v="Elite Media Group"/>
    <x v="2"/>
    <x v="9"/>
    <s v="West"/>
    <x v="7"/>
    <x v="1"/>
    <s v="Female"/>
    <n v="7125"/>
    <n v="720"/>
    <n v="5130000"/>
    <n v="5119454"/>
    <n v="10546"/>
  </r>
  <r>
    <n v="169"/>
    <x v="75"/>
    <x v="1"/>
    <e v="#REF!"/>
    <s v="Radiant Construction"/>
    <x v="2"/>
    <x v="9"/>
    <s v="North"/>
    <x v="8"/>
    <x v="7"/>
    <s v="Female"/>
    <n v="1784"/>
    <n v="820"/>
    <n v="1462880"/>
    <n v="1444148"/>
    <n v="18732"/>
  </r>
  <r>
    <n v="170"/>
    <x v="76"/>
    <x v="1"/>
    <e v="#REF!"/>
    <s v=" "/>
    <x v="2"/>
    <x v="9"/>
    <s v="West"/>
    <x v="9"/>
    <x v="6"/>
    <s v="Female"/>
    <n v="6571"/>
    <n v="799"/>
    <n v="5250229"/>
    <n v="5235386"/>
    <n v="14843"/>
  </r>
  <r>
    <n v="171"/>
    <x v="77"/>
    <x v="1"/>
    <e v="#REF!"/>
    <s v="Horizon Tech Ventures"/>
    <x v="2"/>
    <x v="9"/>
    <s v="North"/>
    <x v="10"/>
    <x v="8"/>
    <s v="Female"/>
    <n v="6742"/>
    <n v="544"/>
    <n v="3667648"/>
    <n v="3650146"/>
    <n v="17502"/>
  </r>
  <r>
    <n v="172"/>
    <x v="78"/>
    <x v="1"/>
    <e v="#REF!"/>
    <s v="Crystal Health Solutions"/>
    <x v="2"/>
    <x v="9"/>
    <s v="North"/>
    <x v="11"/>
    <x v="8"/>
    <s v="Male"/>
    <n v="7493"/>
    <n v="704"/>
    <n v="5275072"/>
    <n v="5256416"/>
    <n v="18656"/>
  </r>
  <r>
    <n v="173"/>
    <x v="79"/>
    <x v="1"/>
    <e v="#REF!"/>
    <s v="Modern Horizons Consulting"/>
    <x v="1"/>
    <x v="7"/>
    <s v="West"/>
    <x v="12"/>
    <x v="1"/>
    <s v="Male"/>
    <n v="2130"/>
    <n v="800"/>
    <n v="1704000"/>
    <n v="1684768"/>
    <n v="19232"/>
  </r>
  <r>
    <n v="174"/>
    <x v="80"/>
    <x v="1"/>
    <e v="#REF!"/>
    <s v="Apex Realty Services"/>
    <x v="1"/>
    <x v="7"/>
    <s v="Central"/>
    <x v="13"/>
    <x v="9"/>
    <s v="Male"/>
    <n v="4543"/>
    <n v="785"/>
    <n v="3566255"/>
    <n v="3546346"/>
    <n v="19909"/>
  </r>
  <r>
    <n v="175"/>
    <x v="81"/>
    <x v="1"/>
    <e v="#REF!"/>
    <s v="Zenith Educational Group"/>
    <x v="1"/>
    <x v="7"/>
    <s v="West"/>
    <x v="14"/>
    <x v="1"/>
    <s v="Male"/>
    <n v="6128"/>
    <n v="944"/>
    <n v="5784832"/>
    <n v="5766298"/>
    <n v="18534"/>
  </r>
  <r>
    <n v="176"/>
    <x v="82"/>
    <x v="1"/>
    <e v="#REF!"/>
    <s v="True Path Ventures"/>
    <x v="1"/>
    <x v="7"/>
    <s v="North (Union Territory)"/>
    <x v="15"/>
    <x v="10"/>
    <s v="Female"/>
    <n v="6210"/>
    <n v="638"/>
    <n v="3961980"/>
    <n v="3951572"/>
    <n v="10408"/>
  </r>
  <r>
    <n v="177"/>
    <x v="83"/>
    <x v="1"/>
    <e v="#REF!"/>
    <s v="Radiance Media"/>
    <x v="1"/>
    <x v="7"/>
    <s v="Central"/>
    <x v="16"/>
    <x v="9"/>
    <s v="Male"/>
    <n v="8028"/>
    <n v="949"/>
    <n v="7618572"/>
    <n v="7607767"/>
    <n v="10805"/>
  </r>
  <r>
    <n v="178"/>
    <x v="84"/>
    <x v="2"/>
    <e v="#REF!"/>
    <s v="Legacy Health Systems"/>
    <x v="1"/>
    <x v="7"/>
    <s v="South"/>
    <x v="17"/>
    <x v="11"/>
    <s v="Male"/>
    <n v="2734"/>
    <n v="530"/>
    <n v="1449020"/>
    <n v="1430028"/>
    <n v="18992"/>
  </r>
  <r>
    <n v="179"/>
    <x v="85"/>
    <x v="2"/>
    <e v="#REF!"/>
    <s v="Urban Focus Products"/>
    <x v="1"/>
    <x v="7"/>
    <s v="East"/>
    <x v="18"/>
    <x v="12"/>
    <s v="Male"/>
    <n v="2144"/>
    <n v="505"/>
    <n v="1082720"/>
    <n v="1069539"/>
    <n v="13181"/>
  </r>
  <r>
    <n v="180"/>
    <x v="86"/>
    <x v="2"/>
    <e v="#REF!"/>
    <s v="Elite Edge Consulting"/>
    <x v="2"/>
    <x v="8"/>
    <s v="West"/>
    <x v="19"/>
    <x v="6"/>
    <s v="Male"/>
    <n v="4799"/>
    <n v="769"/>
    <n v="3690431"/>
    <n v="3676866"/>
    <n v="13565"/>
  </r>
  <r>
    <n v="181"/>
    <x v="87"/>
    <x v="2"/>
    <e v="#REF!"/>
    <s v="Stellar Travel Solutions"/>
    <x v="2"/>
    <x v="8"/>
    <s v="North"/>
    <x v="20"/>
    <x v="8"/>
    <s v="Female"/>
    <n v="4448"/>
    <n v="924"/>
    <n v="4109952"/>
    <n v="4092774"/>
    <n v="17178"/>
  </r>
  <r>
    <n v="182"/>
    <x v="88"/>
    <x v="2"/>
    <e v="#REF!"/>
    <s v="Harmony Tech Ventures"/>
    <x v="2"/>
    <x v="8"/>
    <s v="North"/>
    <x v="21"/>
    <x v="8"/>
    <s v="Female"/>
    <n v="9290"/>
    <n v="602"/>
    <n v="5592580"/>
    <n v="5573764"/>
    <n v="18816"/>
  </r>
  <r>
    <n v="183"/>
    <x v="79"/>
    <x v="1"/>
    <e v="#REF!"/>
    <s v="Pure Harmony Solutions"/>
    <x v="2"/>
    <x v="8"/>
    <s v="South"/>
    <x v="22"/>
    <x v="3"/>
    <s v="Female"/>
    <n v="9736"/>
    <n v="555"/>
    <n v="5403480"/>
    <n v="5392981"/>
    <n v="10499"/>
  </r>
  <r>
    <n v="184"/>
    <x v="80"/>
    <x v="1"/>
    <e v="#REF!"/>
    <s v="Radiant Fitness Studio"/>
    <x v="2"/>
    <x v="8"/>
    <s v="South"/>
    <x v="23"/>
    <x v="3"/>
    <s v="Female"/>
    <n v="9499"/>
    <n v="502"/>
    <n v="4768498"/>
    <n v="4749076"/>
    <n v="19422"/>
  </r>
  <r>
    <n v="185"/>
    <x v="81"/>
    <x v="1"/>
    <e v="#REF!"/>
    <s v="Zenith Finance Co."/>
    <x v="2"/>
    <x v="8"/>
    <s v="North"/>
    <x v="24"/>
    <x v="7"/>
    <s v="Female"/>
    <n v="4981"/>
    <n v="743"/>
    <n v="3700883"/>
    <n v="3686951"/>
    <n v="13932"/>
  </r>
  <r>
    <n v="186"/>
    <x v="82"/>
    <x v="1"/>
    <e v="#REF!"/>
    <s v="Apex Events Management"/>
    <x v="2"/>
    <x v="8"/>
    <s v="North"/>
    <x v="25"/>
    <x v="8"/>
    <s v="Female"/>
    <n v="2084"/>
    <n v="796"/>
    <n v="1658864"/>
    <n v="1644106"/>
    <n v="14758"/>
  </r>
  <r>
    <n v="187"/>
    <x v="83"/>
    <x v="1"/>
    <e v="#REF!"/>
    <s v="Visionary Innovations"/>
    <x v="1"/>
    <x v="6"/>
    <s v="East"/>
    <x v="26"/>
    <x v="13"/>
    <s v="Female"/>
    <n v="4280"/>
    <n v="942"/>
    <n v="4031760"/>
    <n v="4017812"/>
    <n v="13948"/>
  </r>
  <r>
    <n v="188"/>
    <x v="84"/>
    <x v="2"/>
    <e v="#REF!"/>
    <s v="Horizon Design Studio"/>
    <x v="1"/>
    <x v="6"/>
    <s v="South"/>
    <x v="27"/>
    <x v="14"/>
    <s v="Female"/>
    <n v="8113"/>
    <n v="944"/>
    <n v="7658672"/>
    <n v="7638976"/>
    <n v="19696"/>
  </r>
  <r>
    <n v="189"/>
    <x v="85"/>
    <x v="2"/>
    <e v="#REF!"/>
    <s v="Modern Spectrum Solutions"/>
    <x v="1"/>
    <x v="6"/>
    <s v="West"/>
    <x v="28"/>
    <x v="1"/>
    <s v="Female"/>
    <n v="4722"/>
    <n v="609"/>
    <n v="2875698"/>
    <n v="2857720"/>
    <n v="17978"/>
  </r>
  <r>
    <n v="190"/>
    <x v="86"/>
    <x v="2"/>
    <e v="#REF!"/>
    <s v="Legacy Tech Products"/>
    <x v="1"/>
    <x v="6"/>
    <s v="North"/>
    <x v="29"/>
    <x v="15"/>
    <s v="Female"/>
    <n v="7358"/>
    <n v="993"/>
    <n v="7306494"/>
    <n v="7288695"/>
    <n v="17799"/>
  </r>
  <r>
    <n v="191"/>
    <x v="87"/>
    <x v="2"/>
    <e v="#REF!"/>
    <s v="Pinnacle Wellness Services"/>
    <x v="1"/>
    <x v="6"/>
    <s v="North"/>
    <x v="30"/>
    <x v="16"/>
    <s v="Female"/>
    <n v="2970"/>
    <n v="725"/>
    <n v="2153250"/>
    <n v="2137476"/>
    <n v="15774"/>
  </r>
  <r>
    <n v="192"/>
    <x v="88"/>
    <x v="2"/>
    <e v="#REF!"/>
    <s v="Urban Insight Consulting"/>
    <x v="1"/>
    <x v="7"/>
    <s v="Northeast"/>
    <x v="31"/>
    <x v="17"/>
    <s v="Female"/>
    <n v="1939"/>
    <n v="537"/>
    <n v="1041243"/>
    <n v="1028415"/>
    <n v="12828"/>
  </r>
  <r>
    <n v="193"/>
    <x v="89"/>
    <x v="2"/>
    <e v="#REF!"/>
    <s v="Crystal Horizons"/>
    <x v="1"/>
    <x v="7"/>
    <s v="North"/>
    <x v="32"/>
    <x v="18"/>
    <s v="Female"/>
    <n v="5112"/>
    <n v="787"/>
    <n v="4023144"/>
    <n v="4009070"/>
    <n v="14074"/>
  </r>
  <r>
    <n v="194"/>
    <x v="90"/>
    <x v="2"/>
    <e v="#REF!"/>
    <s v="Radiant Apparel"/>
    <x v="1"/>
    <x v="7"/>
    <s v="Central"/>
    <x v="33"/>
    <x v="19"/>
    <s v="Female"/>
    <n v="6357"/>
    <n v="935"/>
    <n v="5943795"/>
    <n v="5926704"/>
    <n v="17091"/>
  </r>
  <r>
    <n v="195"/>
    <x v="91"/>
    <x v="2"/>
    <e v="#REF!"/>
    <s v="True Value Products"/>
    <x v="1"/>
    <x v="7"/>
    <s v="East"/>
    <x v="34"/>
    <x v="2"/>
    <s v="Female"/>
    <n v="4535"/>
    <n v="634"/>
    <n v="2875190"/>
    <n v="2862261"/>
    <n v="12929"/>
  </r>
  <r>
    <n v="196"/>
    <x v="92"/>
    <x v="2"/>
    <e v="#REF!"/>
    <s v="Apex Creative Solutions"/>
    <x v="1"/>
    <x v="7"/>
    <s v="East"/>
    <x v="2"/>
    <x v="2"/>
    <s v="Male"/>
    <n v="3944"/>
    <n v="813"/>
    <n v="3206472"/>
    <n v="3191403"/>
    <n v="15069"/>
  </r>
  <r>
    <n v="197"/>
    <x v="93"/>
    <x v="2"/>
    <e v="#REF!"/>
    <s v="Zenith Health Products"/>
    <x v="1"/>
    <x v="7"/>
    <s v="Central"/>
    <x v="35"/>
    <x v="9"/>
    <s v="Male"/>
    <n v="2920"/>
    <n v="859"/>
    <n v="2508280"/>
    <n v="2497763"/>
    <n v="10517"/>
  </r>
  <r>
    <n v="198"/>
    <x v="94"/>
    <x v="3"/>
    <e v="#REF!"/>
    <s v="Stellar Media Group"/>
    <x v="2"/>
    <x v="9"/>
    <s v="East"/>
    <x v="36"/>
    <x v="13"/>
    <s v="Male"/>
    <n v="3074"/>
    <n v="507"/>
    <n v="1558518"/>
    <n v="1540756"/>
    <n v="17762"/>
  </r>
  <r>
    <n v="199"/>
    <x v="95"/>
    <x v="3"/>
    <e v="#REF!"/>
    <s v="Harmony Finance Co."/>
    <x v="2"/>
    <x v="9"/>
    <s v="East"/>
    <x v="37"/>
    <x v="2"/>
    <s v="Male"/>
    <n v="1791"/>
    <n v="542"/>
    <n v="970722"/>
    <n v="950934"/>
    <n v="19788"/>
  </r>
  <r>
    <n v="200"/>
    <x v="96"/>
    <x v="3"/>
    <e v="#REF!"/>
    <s v="Pure Vision Ventures"/>
    <x v="2"/>
    <x v="9"/>
    <s v="South"/>
    <x v="38"/>
    <x v="4"/>
    <s v="Male"/>
    <n v="4740"/>
    <n v="578"/>
    <n v="2739720"/>
    <n v="2724840"/>
    <n v="14880"/>
  </r>
  <r>
    <n v="201"/>
    <x v="97"/>
    <x v="3"/>
    <e v="#REF!"/>
    <s v="Radiance Solutions Group"/>
    <x v="2"/>
    <x v="9"/>
    <s v="East"/>
    <x v="18"/>
    <x v="12"/>
    <s v="Female"/>
    <n v="2665"/>
    <n v="895"/>
    <n v="2385175"/>
    <n v="2369465"/>
    <n v="15710"/>
  </r>
  <r>
    <n v="202"/>
    <x v="98"/>
    <x v="3"/>
    <e v="#REF!"/>
    <s v="Legacy Travel Services"/>
    <x v="2"/>
    <x v="9"/>
    <s v="West"/>
    <x v="19"/>
    <x v="6"/>
    <s v="Female"/>
    <n v="5636"/>
    <n v="565"/>
    <n v="3184340"/>
    <n v="3173911"/>
    <n v="10429"/>
  </r>
  <r>
    <n v="203"/>
    <x v="99"/>
    <x v="3"/>
    <e v="#REF!"/>
    <s v="Elite Spectrum Media"/>
    <x v="2"/>
    <x v="9"/>
    <s v="North"/>
    <x v="20"/>
    <x v="8"/>
    <s v="Female"/>
    <n v="5928"/>
    <n v="512"/>
    <n v="3035136"/>
    <n v="3015562"/>
    <n v="19574"/>
  </r>
  <r>
    <n v="204"/>
    <x v="100"/>
    <x v="3"/>
    <e v="#REF!"/>
    <s v="Modern Edge Solutions"/>
    <x v="2"/>
    <x v="9"/>
    <s v="North"/>
    <x v="21"/>
    <x v="8"/>
    <s v="Female"/>
    <n v="9498"/>
    <n v="570"/>
    <n v="5413860"/>
    <n v="5395490"/>
    <n v="18370"/>
  </r>
  <r>
    <n v="205"/>
    <x v="101"/>
    <x v="4"/>
    <e v="#REF!"/>
    <s v="Pinnacle Design Studio"/>
    <x v="2"/>
    <x v="9"/>
    <s v="South"/>
    <x v="22"/>
    <x v="3"/>
    <s v="Female"/>
    <n v="9558"/>
    <n v="617"/>
    <n v="5897286"/>
    <n v="5882626"/>
    <n v="14660"/>
  </r>
  <r>
    <n v="206"/>
    <x v="53"/>
    <x v="5"/>
    <e v="#REF!"/>
    <s v="Horizon Health Solutions"/>
    <x v="0"/>
    <x v="0"/>
    <s v="South"/>
    <x v="23"/>
    <x v="3"/>
    <s v="Female"/>
    <n v="2428"/>
    <n v="662"/>
    <n v="1607336"/>
    <n v="1591649"/>
    <n v="15687"/>
  </r>
  <r>
    <n v="207"/>
    <x v="54"/>
    <x v="5"/>
    <e v="#REF!"/>
    <s v="Crystal Clear Consulting"/>
    <x v="0"/>
    <x v="1"/>
    <s v="North"/>
    <x v="24"/>
    <x v="7"/>
    <s v="Female"/>
    <n v="7389"/>
    <n v="997"/>
    <n v="7366833"/>
    <n v="7347088"/>
    <n v="19745"/>
  </r>
  <r>
    <n v="208"/>
    <x v="55"/>
    <x v="5"/>
    <e v="#REF!"/>
    <s v="Apex Marketing Solutions"/>
    <x v="0"/>
    <x v="1"/>
    <s v="North"/>
    <x v="25"/>
    <x v="8"/>
    <s v="Male"/>
    <n v="3703"/>
    <n v="568"/>
    <n v="2103304"/>
    <n v="2083722"/>
    <n v="19582"/>
  </r>
  <r>
    <n v="209"/>
    <x v="56"/>
    <x v="5"/>
    <e v="#REF!"/>
    <s v="Zenith Innovations"/>
    <x v="0"/>
    <x v="1"/>
    <s v="East"/>
    <x v="26"/>
    <x v="13"/>
    <s v="Male"/>
    <n v="6133"/>
    <n v="505"/>
    <n v="3097165"/>
    <n v="3079250"/>
    <n v="17915"/>
  </r>
  <r>
    <n v="210"/>
    <x v="57"/>
    <x v="5"/>
    <e v="#REF!"/>
    <s v="Stellar Wellness Products"/>
    <x v="1"/>
    <x v="2"/>
    <s v="South"/>
    <x v="27"/>
    <x v="14"/>
    <s v="Male"/>
    <n v="7380"/>
    <n v="794"/>
    <n v="5859720"/>
    <n v="5845640"/>
    <n v="14080"/>
  </r>
  <r>
    <n v="211"/>
    <x v="58"/>
    <x v="5"/>
    <e v="#REF!"/>
    <s v="Radiant Consulting Group"/>
    <x v="1"/>
    <x v="2"/>
    <s v="West"/>
    <x v="28"/>
    <x v="1"/>
    <s v="Male"/>
    <n v="2440"/>
    <n v="815"/>
    <n v="1988600"/>
    <n v="1971627"/>
    <n v="16973"/>
  </r>
  <r>
    <n v="212"/>
    <x v="59"/>
    <x v="5"/>
    <e v="#REF!"/>
    <s v="Harmony Ventures Co."/>
    <x v="1"/>
    <x v="2"/>
    <s v="North"/>
    <x v="29"/>
    <x v="15"/>
    <s v="Female"/>
    <n v="4296"/>
    <n v="960"/>
    <n v="4124160"/>
    <n v="4112360"/>
    <n v="11800"/>
  </r>
  <r>
    <n v="213"/>
    <x v="60"/>
    <x v="5"/>
    <e v="#REF!"/>
    <s v="Urban Path Technologies"/>
    <x v="1"/>
    <x v="2"/>
    <s v="North"/>
    <x v="30"/>
    <x v="16"/>
    <s v="Male"/>
    <n v="9072"/>
    <n v="735"/>
    <n v="6667920"/>
    <n v="6650142"/>
    <n v="17778"/>
  </r>
  <r>
    <n v="214"/>
    <x v="61"/>
    <x v="6"/>
    <e v="#REF!"/>
    <s v="True Essence Innovations"/>
    <x v="0"/>
    <x v="0"/>
    <s v="Northeast"/>
    <x v="31"/>
    <x v="17"/>
    <s v="Male"/>
    <n v="6331"/>
    <n v="573"/>
    <n v="3627663"/>
    <n v="3607725"/>
    <n v="19938"/>
  </r>
  <r>
    <n v="215"/>
    <x v="62"/>
    <x v="6"/>
    <e v="#REF!"/>
    <s v="Pinnacle Media Group"/>
    <x v="0"/>
    <x v="0"/>
    <s v="North"/>
    <x v="32"/>
    <x v="18"/>
    <s v="Male"/>
    <n v="5511"/>
    <n v="832"/>
    <n v="4585152"/>
    <n v="4569182"/>
    <n v="15970"/>
  </r>
  <r>
    <n v="216"/>
    <x v="63"/>
    <x v="6"/>
    <e v="#REF!"/>
    <s v="Legacy Design Co."/>
    <x v="0"/>
    <x v="0"/>
    <s v="Central"/>
    <x v="33"/>
    <x v="19"/>
    <s v="Male"/>
    <n v="7070"/>
    <n v="896"/>
    <n v="6334720"/>
    <n v="6323394"/>
    <n v="11326"/>
  </r>
  <r>
    <n v="217"/>
    <x v="64"/>
    <x v="6"/>
    <e v="#REF!"/>
    <s v="Apex Health Products"/>
    <x v="0"/>
    <x v="0"/>
    <s v="East"/>
    <x v="34"/>
    <x v="2"/>
    <s v="Female"/>
    <n v="4761"/>
    <n v="819"/>
    <n v="3899259"/>
    <n v="3883538"/>
    <n v="15721"/>
  </r>
  <r>
    <n v="218"/>
    <x v="65"/>
    <x v="6"/>
    <e v="#REF!"/>
    <s v="Zenith Travel Ventures"/>
    <x v="0"/>
    <x v="0"/>
    <s v="East"/>
    <x v="2"/>
    <x v="2"/>
    <s v="Female"/>
    <n v="8127"/>
    <n v="956"/>
    <n v="7769412"/>
    <n v="7750332"/>
    <n v="19080"/>
  </r>
  <r>
    <n v="219"/>
    <x v="66"/>
    <x v="6"/>
    <e v="#REF!"/>
    <s v="Pure Path Consulting"/>
    <x v="0"/>
    <x v="0"/>
    <s v="Central"/>
    <x v="35"/>
    <x v="9"/>
    <s v="Female"/>
    <n v="7794"/>
    <n v="527"/>
    <n v="4107438"/>
    <n v="4097344"/>
    <n v="10094"/>
  </r>
  <r>
    <n v="220"/>
    <x v="3"/>
    <x v="0"/>
    <e v="#REF!"/>
    <s v="Radiance Solutions Co."/>
    <x v="1"/>
    <x v="3"/>
    <s v="East"/>
    <x v="36"/>
    <x v="13"/>
    <s v="Female"/>
    <n v="7427"/>
    <n v="604"/>
    <n v="4485908"/>
    <n v="4470765"/>
    <n v="15143"/>
  </r>
  <r>
    <n v="221"/>
    <x v="67"/>
    <x v="0"/>
    <e v="#REF!"/>
    <s v="Modern Vision Ventures"/>
    <x v="1"/>
    <x v="3"/>
    <s v="East"/>
    <x v="37"/>
    <x v="2"/>
    <s v="Female"/>
    <n v="1929"/>
    <n v="567"/>
    <n v="1093743"/>
    <n v="1081863"/>
    <n v="11880"/>
  </r>
  <r>
    <n v="222"/>
    <x v="68"/>
    <x v="0"/>
    <e v="#REF!"/>
    <s v="Elite Travel Services"/>
    <x v="1"/>
    <x v="3"/>
    <s v="South"/>
    <x v="38"/>
    <x v="4"/>
    <s v="Female"/>
    <n v="5142"/>
    <n v="514"/>
    <n v="2642988"/>
    <n v="2624634"/>
    <n v="18354"/>
  </r>
  <r>
    <n v="223"/>
    <x v="91"/>
    <x v="2"/>
    <e v="#REF!"/>
    <s v="Horizon Creative Solutions"/>
    <x v="1"/>
    <x v="3"/>
    <s v="North"/>
    <x v="0"/>
    <x v="0"/>
    <s v="Female"/>
    <n v="6102"/>
    <n v="990"/>
    <n v="6040980"/>
    <n v="6025568"/>
    <n v="15412"/>
  </r>
  <r>
    <n v="224"/>
    <x v="92"/>
    <x v="2"/>
    <e v="#REF!"/>
    <s v="Crystal Innovations Group"/>
    <x v="1"/>
    <x v="3"/>
    <s v="West"/>
    <x v="1"/>
    <x v="1"/>
    <s v="Female"/>
    <n v="8613"/>
    <n v="796"/>
    <n v="6855948"/>
    <n v="6842320"/>
    <n v="13628"/>
  </r>
  <r>
    <n v="225"/>
    <x v="93"/>
    <x v="2"/>
    <e v="#REF!"/>
    <s v="Pinnacle Fitness Studio"/>
    <x v="1"/>
    <x v="3"/>
    <s v="East"/>
    <x v="2"/>
    <x v="2"/>
    <s v="Female"/>
    <n v="1735"/>
    <n v="717"/>
    <n v="1243995"/>
    <n v="1224453"/>
    <n v="19542"/>
  </r>
  <r>
    <n v="226"/>
    <x v="94"/>
    <x v="3"/>
    <e v="#REF!"/>
    <s v="Stellar Travel Agency"/>
    <x v="1"/>
    <x v="3"/>
    <s v="South"/>
    <x v="3"/>
    <x v="3"/>
    <s v="Female"/>
    <n v="4013"/>
    <n v="818"/>
    <n v="3282634"/>
    <n v="3265068"/>
    <n v="17566"/>
  </r>
  <r>
    <n v="227"/>
    <x v="95"/>
    <x v="3"/>
    <e v="#REF!"/>
    <s v="Harmony Educational Group"/>
    <x v="0"/>
    <x v="4"/>
    <s v="South"/>
    <x v="4"/>
    <x v="4"/>
    <s v="Male"/>
    <n v="1882"/>
    <n v="560"/>
    <n v="1053920"/>
    <n v="1036933"/>
    <n v="16987"/>
  </r>
  <r>
    <n v="228"/>
    <x v="96"/>
    <x v="3"/>
    <e v="#REF!"/>
    <s v="Urban Spectrum Solutions"/>
    <x v="0"/>
    <x v="4"/>
    <s v="South"/>
    <x v="5"/>
    <x v="5"/>
    <s v="Male"/>
    <n v="3794"/>
    <n v="734"/>
    <n v="2784796"/>
    <n v="2771036"/>
    <n v="13760"/>
  </r>
  <r>
    <n v="229"/>
    <x v="97"/>
    <x v="3"/>
    <e v="#REF!"/>
    <s v="Radiant Design Studio"/>
    <x v="0"/>
    <x v="4"/>
    <s v="West"/>
    <x v="6"/>
    <x v="6"/>
    <s v="Male"/>
    <n v="2105"/>
    <n v="981"/>
    <n v="2065005"/>
    <n v="2054588"/>
    <n v="10417"/>
  </r>
  <r>
    <n v="230"/>
    <x v="98"/>
    <x v="3"/>
    <e v="#REF!"/>
    <s v="Zenith Health Innovations"/>
    <x v="0"/>
    <x v="4"/>
    <s v="West"/>
    <x v="7"/>
    <x v="1"/>
    <s v="Male"/>
    <n v="7654"/>
    <n v="881"/>
    <n v="6743174"/>
    <n v="6724448"/>
    <n v="18726"/>
  </r>
  <r>
    <n v="231"/>
    <x v="99"/>
    <x v="3"/>
    <e v="#REF!"/>
    <s v="Apex Realty Ventures"/>
    <x v="0"/>
    <x v="4"/>
    <s v="North"/>
    <x v="8"/>
    <x v="7"/>
    <s v="Male"/>
    <n v="9045"/>
    <n v="544"/>
    <n v="4920480"/>
    <n v="4902851"/>
    <n v="17629"/>
  </r>
  <r>
    <n v="232"/>
    <x v="100"/>
    <x v="3"/>
    <e v="#REF!"/>
    <s v="Legacy Wellness Solutions"/>
    <x v="0"/>
    <x v="4"/>
    <s v="West"/>
    <x v="9"/>
    <x v="6"/>
    <s v="Female"/>
    <n v="2088"/>
    <n v="678"/>
    <n v="1415664"/>
    <n v="1397872"/>
    <n v="17792"/>
  </r>
  <r>
    <n v="233"/>
    <x v="101"/>
    <x v="4"/>
    <e v="#REF!"/>
    <s v="True Value Ventures"/>
    <x v="0"/>
    <x v="4"/>
    <s v="North"/>
    <x v="10"/>
    <x v="8"/>
    <s v="Female"/>
    <n v="3793"/>
    <n v="657"/>
    <n v="2492001"/>
    <n v="2474529"/>
    <n v="17472"/>
  </r>
  <r>
    <n v="234"/>
    <x v="53"/>
    <x v="5"/>
    <e v="#REF!"/>
    <s v="Horizon Media Solutions"/>
    <x v="0"/>
    <x v="4"/>
    <s v="North"/>
    <x v="11"/>
    <x v="8"/>
    <s v="Female"/>
    <n v="6566"/>
    <n v="674"/>
    <n v="4425484"/>
    <n v="4409833"/>
    <n v="15651"/>
  </r>
  <r>
    <n v="235"/>
    <x v="54"/>
    <x v="5"/>
    <e v="#REF!"/>
    <s v="Crystal Clear Designs"/>
    <x v="0"/>
    <x v="4"/>
    <s v="West"/>
    <x v="12"/>
    <x v="1"/>
    <s v="Male"/>
    <n v="5152"/>
    <n v="760"/>
    <n v="3915520"/>
    <n v="3903433"/>
    <n v="12087"/>
  </r>
  <r>
    <n v="236"/>
    <x v="55"/>
    <x v="5"/>
    <e v="#REF!"/>
    <s v="Pinnacle Innovations Co."/>
    <x v="0"/>
    <x v="4"/>
    <s v="Central"/>
    <x v="13"/>
    <x v="9"/>
    <s v="Male"/>
    <n v="2714"/>
    <n v="607"/>
    <n v="1647398"/>
    <n v="1628936"/>
    <n v="18462"/>
  </r>
  <r>
    <n v="237"/>
    <x v="56"/>
    <x v="5"/>
    <e v="#REF!"/>
    <s v="Modern Pathways"/>
    <x v="0"/>
    <x v="4"/>
    <s v="West"/>
    <x v="14"/>
    <x v="1"/>
    <s v="Male"/>
    <n v="7249"/>
    <n v="645"/>
    <n v="4675605"/>
    <n v="4658185"/>
    <n v="17420"/>
  </r>
  <r>
    <n v="238"/>
    <x v="57"/>
    <x v="5"/>
    <e v="#REF!"/>
    <s v="Stellar Finance Co."/>
    <x v="0"/>
    <x v="4"/>
    <s v="North (Union Territory)"/>
    <x v="15"/>
    <x v="10"/>
    <s v="Male"/>
    <n v="7924"/>
    <n v="855"/>
    <n v="6775020"/>
    <n v="6764376"/>
    <n v="10644"/>
  </r>
  <r>
    <n v="239"/>
    <x v="58"/>
    <x v="5"/>
    <e v="#REF!"/>
    <s v="Radiant Spectrum Group"/>
    <x v="0"/>
    <x v="4"/>
    <s v="Central"/>
    <x v="16"/>
    <x v="9"/>
    <s v="Male"/>
    <n v="6728"/>
    <n v="701"/>
    <n v="4716328"/>
    <n v="4705348"/>
    <n v="10980"/>
  </r>
  <r>
    <n v="240"/>
    <x v="59"/>
    <x v="5"/>
    <e v="#REF!"/>
    <s v="Harmony Design Ventures"/>
    <x v="0"/>
    <x v="4"/>
    <s v="South"/>
    <x v="17"/>
    <x v="11"/>
    <s v="Female"/>
    <n v="6384"/>
    <n v="575"/>
    <n v="3670800"/>
    <n v="3651858"/>
    <n v="18942"/>
  </r>
  <r>
    <n v="241"/>
    <x v="60"/>
    <x v="5"/>
    <e v="#REF!"/>
    <s v="Elite Edge Products"/>
    <x v="0"/>
    <x v="4"/>
    <s v="East"/>
    <x v="18"/>
    <x v="12"/>
    <s v="Female"/>
    <n v="3372"/>
    <n v="533"/>
    <n v="1797276"/>
    <n v="1779195"/>
    <n v="18081"/>
  </r>
  <r>
    <n v="242"/>
    <x v="61"/>
    <x v="6"/>
    <e v="#REF!"/>
    <s v="Zenith Consulting Co."/>
    <x v="0"/>
    <x v="5"/>
    <s v="West"/>
    <x v="19"/>
    <x v="6"/>
    <s v="Female"/>
    <n v="1817"/>
    <n v="615"/>
    <n v="1117455"/>
    <n v="1105199"/>
    <n v="12256"/>
  </r>
  <r>
    <n v="243"/>
    <x v="62"/>
    <x v="6"/>
    <e v="#REF!"/>
    <s v="Apex Wellness Products"/>
    <x v="0"/>
    <x v="5"/>
    <s v="North"/>
    <x v="20"/>
    <x v="8"/>
    <s v="Female"/>
    <n v="3910"/>
    <n v="521"/>
    <n v="2037110"/>
    <n v="2018290"/>
    <n v="18820"/>
  </r>
  <r>
    <n v="244"/>
    <x v="63"/>
    <x v="6"/>
    <e v="#REF!"/>
    <s v="Urban Vision Solutions"/>
    <x v="0"/>
    <x v="5"/>
    <s v="North"/>
    <x v="21"/>
    <x v="8"/>
    <s v="Female"/>
    <n v="9238"/>
    <n v="630"/>
    <n v="5819940"/>
    <n v="5806845"/>
    <n v="13095"/>
  </r>
  <r>
    <n v="245"/>
    <x v="64"/>
    <x v="6"/>
    <e v="#REF!"/>
    <s v="Pure Harmony Innovations"/>
    <x v="0"/>
    <x v="5"/>
    <s v="South"/>
    <x v="22"/>
    <x v="3"/>
    <s v="Female"/>
    <n v="8891"/>
    <n v="500"/>
    <n v="4445500"/>
    <n v="4432447"/>
    <n v="13053"/>
  </r>
  <r>
    <n v="246"/>
    <x v="65"/>
    <x v="6"/>
    <e v="#REF!"/>
    <s v="Legacy Media Group"/>
    <x v="0"/>
    <x v="5"/>
    <s v="South"/>
    <x v="23"/>
    <x v="3"/>
    <s v="Female"/>
    <n v="5367"/>
    <n v="606"/>
    <n v="3252402"/>
    <n v="3242035"/>
    <n v="10367"/>
  </r>
  <r>
    <n v="247"/>
    <x v="66"/>
    <x v="6"/>
    <e v="#REF!"/>
    <s v="Pinnacle Travel Solutions"/>
    <x v="0"/>
    <x v="5"/>
    <s v="North"/>
    <x v="24"/>
    <x v="7"/>
    <s v="Male"/>
    <n v="5733"/>
    <n v="582"/>
    <n v="3336606"/>
    <n v="3321119"/>
    <n v="15487"/>
  </r>
  <r>
    <n v="248"/>
    <x v="3"/>
    <x v="0"/>
    <e v="#REF!"/>
    <s v="Horizon Tech Innovations"/>
    <x v="0"/>
    <x v="5"/>
    <s v="North"/>
    <x v="25"/>
    <x v="8"/>
    <s v="Male"/>
    <n v="6120"/>
    <n v="647"/>
    <n v="3959640"/>
    <n v="3943056"/>
    <n v="16584"/>
  </r>
  <r>
    <n v="249"/>
    <x v="67"/>
    <x v="0"/>
    <e v="#REF!"/>
    <s v="Crystal Spectrum Consulting"/>
    <x v="0"/>
    <x v="5"/>
    <s v="East"/>
    <x v="26"/>
    <x v="13"/>
    <s v="Male"/>
    <n v="4560"/>
    <n v="779"/>
    <n v="3552240"/>
    <n v="3538715"/>
    <n v="13525"/>
  </r>
  <r>
    <n v="250"/>
    <x v="68"/>
    <x v="0"/>
    <e v="#REF!"/>
    <s v="Stellar Creative Co."/>
    <x v="0"/>
    <x v="5"/>
    <s v="South"/>
    <x v="27"/>
    <x v="14"/>
    <s v="Male"/>
    <n v="7880"/>
    <n v="814"/>
    <n v="6414320"/>
    <n v="6400779"/>
    <n v="13541"/>
  </r>
  <r>
    <n v="251"/>
    <x v="69"/>
    <x v="0"/>
    <e v="#REF!"/>
    <s v="Radiance Media Ventures"/>
    <x v="0"/>
    <x v="5"/>
    <s v="West"/>
    <x v="28"/>
    <x v="1"/>
    <s v="Female"/>
    <n v="4940"/>
    <n v="517"/>
    <n v="2553980"/>
    <n v="2541607"/>
    <n v="12373"/>
  </r>
  <r>
    <n v="252"/>
    <x v="70"/>
    <x v="0"/>
    <e v="#REF!"/>
    <s v="Harmony Health Solutions"/>
    <x v="0"/>
    <x v="5"/>
    <s v="North"/>
    <x v="29"/>
    <x v="15"/>
    <s v="Male"/>
    <n v="4721"/>
    <n v="620"/>
    <n v="2927020"/>
    <n v="2907857"/>
    <n v="19163"/>
  </r>
  <r>
    <n v="253"/>
    <x v="71"/>
    <x v="0"/>
    <e v="#REF!"/>
    <s v="Zenith Edge Services"/>
    <x v="0"/>
    <x v="5"/>
    <s v="North"/>
    <x v="30"/>
    <x v="16"/>
    <s v="Male"/>
    <n v="2837"/>
    <n v="831"/>
    <n v="2357547"/>
    <n v="2346649"/>
    <n v="10898"/>
  </r>
  <r>
    <n v="254"/>
    <x v="72"/>
    <x v="0"/>
    <e v="#REF!"/>
    <s v="Apex Travel Ventures"/>
    <x v="1"/>
    <x v="6"/>
    <s v="Northeast"/>
    <x v="31"/>
    <x v="17"/>
    <s v="Male"/>
    <n v="2085"/>
    <n v="595"/>
    <n v="1240575"/>
    <n v="1222874"/>
    <n v="17701"/>
  </r>
  <r>
    <n v="255"/>
    <x v="73"/>
    <x v="0"/>
    <e v="#REF!"/>
    <s v="Modern Vision Solutions"/>
    <x v="1"/>
    <x v="6"/>
    <s v="North"/>
    <x v="32"/>
    <x v="18"/>
    <s v="Male"/>
    <n v="2616"/>
    <n v="652"/>
    <n v="1705632"/>
    <n v="1695159"/>
    <n v="10473"/>
  </r>
  <r>
    <n v="256"/>
    <x v="74"/>
    <x v="1"/>
    <e v="#REF!"/>
    <s v="True Path Consulting"/>
    <x v="1"/>
    <x v="6"/>
    <s v="Central"/>
    <x v="33"/>
    <x v="19"/>
    <s v="Female"/>
    <n v="6023"/>
    <n v="707"/>
    <n v="4258261"/>
    <n v="4241787"/>
    <n v="16474"/>
  </r>
  <r>
    <n v="257"/>
    <x v="75"/>
    <x v="1"/>
    <e v="#REF!"/>
    <s v="Legacy Finance Group"/>
    <x v="1"/>
    <x v="6"/>
    <s v="East"/>
    <x v="34"/>
    <x v="2"/>
    <s v="Female"/>
    <n v="6681"/>
    <n v="886"/>
    <n v="5919366"/>
    <n v="5901176"/>
    <n v="18190"/>
  </r>
  <r>
    <n v="258"/>
    <x v="76"/>
    <x v="1"/>
    <e v="#REF!"/>
    <s v="Pinnacle Design Ventures"/>
    <x v="1"/>
    <x v="6"/>
    <s v="West"/>
    <x v="19"/>
    <x v="6"/>
    <s v="Female"/>
    <n v="8243"/>
    <n v="630"/>
    <n v="5193090"/>
    <n v="5178923"/>
    <n v="14167"/>
  </r>
  <r>
    <n v="259"/>
    <x v="77"/>
    <x v="1"/>
    <e v="#REF!"/>
    <s v="Stellar Innovations Co."/>
    <x v="1"/>
    <x v="6"/>
    <s v="North"/>
    <x v="20"/>
    <x v="8"/>
    <s v="Female"/>
    <n v="9739"/>
    <n v="947"/>
    <n v="9222833"/>
    <n v="9212459"/>
    <n v="10374"/>
  </r>
  <r>
    <n v="260"/>
    <x v="78"/>
    <x v="1"/>
    <e v="#REF!"/>
    <s v="Radiant Educational Solutions"/>
    <x v="1"/>
    <x v="6"/>
    <s v="North"/>
    <x v="21"/>
    <x v="8"/>
    <s v="Female"/>
    <n v="1974"/>
    <n v="575"/>
    <n v="1135050"/>
    <n v="1119254"/>
    <n v="15796"/>
  </r>
  <r>
    <n v="261"/>
    <x v="79"/>
    <x v="1"/>
    <e v="#REF!"/>
    <s v="Harmony Marketing Co."/>
    <x v="1"/>
    <x v="6"/>
    <s v="South"/>
    <x v="22"/>
    <x v="3"/>
    <s v="Female"/>
    <n v="7991"/>
    <n v="910"/>
    <n v="7271810"/>
    <n v="7253882"/>
    <n v="17928"/>
  </r>
  <r>
    <n v="262"/>
    <x v="80"/>
    <x v="1"/>
    <e v="#REF!"/>
    <s v="Urban Tech Innovations"/>
    <x v="1"/>
    <x v="6"/>
    <s v="South"/>
    <x v="23"/>
    <x v="3"/>
    <s v="Female"/>
    <n v="1888"/>
    <n v="682"/>
    <n v="1287616"/>
    <n v="1274143"/>
    <n v="13473"/>
  </r>
  <r>
    <n v="263"/>
    <x v="81"/>
    <x v="1"/>
    <e v="#REF!"/>
    <s v="Crystal Wellness Group"/>
    <x v="1"/>
    <x v="6"/>
    <s v="North"/>
    <x v="24"/>
    <x v="7"/>
    <s v="Female"/>
    <n v="3251"/>
    <n v="720"/>
    <n v="2340720"/>
    <n v="2329240"/>
    <n v="11480"/>
  </r>
  <r>
    <n v="264"/>
    <x v="82"/>
    <x v="1"/>
    <e v="#REF!"/>
    <s v="Zenith Creative Solutions"/>
    <x v="1"/>
    <x v="6"/>
    <s v="North"/>
    <x v="25"/>
    <x v="8"/>
    <s v="Female"/>
    <n v="7341"/>
    <n v="848"/>
    <n v="6225168"/>
    <n v="6205451"/>
    <n v="19717"/>
  </r>
  <r>
    <n v="265"/>
    <x v="83"/>
    <x v="1"/>
    <e v="#REF!"/>
    <s v="Apex Media Co."/>
    <x v="1"/>
    <x v="6"/>
    <s v="East"/>
    <x v="26"/>
    <x v="13"/>
    <s v="Female"/>
    <n v="7168"/>
    <n v="642"/>
    <n v="4601856"/>
    <n v="4590194"/>
    <n v="11662"/>
  </r>
  <r>
    <n v="266"/>
    <x v="84"/>
    <x v="2"/>
    <e v="#REF!"/>
    <s v="Pure Vision Solutions"/>
    <x v="1"/>
    <x v="7"/>
    <s v="South"/>
    <x v="27"/>
    <x v="14"/>
    <s v="Female"/>
    <n v="8503"/>
    <n v="591"/>
    <n v="5025273"/>
    <n v="5014507"/>
    <n v="10766"/>
  </r>
  <r>
    <n v="267"/>
    <x v="85"/>
    <x v="2"/>
    <e v="#REF!"/>
    <s v="Legacy Health Ventures"/>
    <x v="1"/>
    <x v="7"/>
    <s v="West"/>
    <x v="28"/>
    <x v="1"/>
    <s v="Female"/>
    <n v="3099"/>
    <n v="601"/>
    <n v="1862499"/>
    <n v="1845887"/>
    <n v="16612"/>
  </r>
  <r>
    <n v="268"/>
    <x v="86"/>
    <x v="2"/>
    <e v="#REF!"/>
    <s v="Pinnacle Spectrum Co."/>
    <x v="1"/>
    <x v="7"/>
    <s v="North"/>
    <x v="29"/>
    <x v="15"/>
    <s v="Female"/>
    <n v="2916"/>
    <n v="767"/>
    <n v="2236572"/>
    <n v="2221033"/>
    <n v="15539"/>
  </r>
  <r>
    <n v="269"/>
    <x v="87"/>
    <x v="2"/>
    <e v="#REF!"/>
    <s v="Stellar Travel Products"/>
    <x v="1"/>
    <x v="7"/>
    <s v="North"/>
    <x v="30"/>
    <x v="16"/>
    <s v="Female"/>
    <n v="5674"/>
    <n v="975"/>
    <n v="5532150"/>
    <n v="5522090"/>
    <n v="10060"/>
  </r>
  <r>
    <n v="270"/>
    <x v="79"/>
    <x v="1"/>
    <e v="#REF!"/>
    <s v="Radiance Finance Services"/>
    <x v="1"/>
    <x v="7"/>
    <s v="Northeast"/>
    <x v="31"/>
    <x v="17"/>
    <s v="Female"/>
    <n v="4048"/>
    <n v="713"/>
    <n v="2886224"/>
    <n v="2868514"/>
    <n v="17710"/>
  </r>
  <r>
    <n v="271"/>
    <x v="80"/>
    <x v="1"/>
    <e v="#REF!"/>
    <s v="Harmony Edge Solutions"/>
    <x v="1"/>
    <x v="7"/>
    <s v="North"/>
    <x v="32"/>
    <x v="18"/>
    <s v="Male"/>
    <n v="1663"/>
    <n v="659"/>
    <n v="1095917"/>
    <n v="1076777"/>
    <n v="19140"/>
  </r>
  <r>
    <n v="272"/>
    <x v="81"/>
    <x v="1"/>
    <e v="#REF!"/>
    <s v="Modern Travel Agency"/>
    <x v="1"/>
    <x v="7"/>
    <s v="Central"/>
    <x v="33"/>
    <x v="19"/>
    <s v="Male"/>
    <n v="9541"/>
    <n v="984"/>
    <n v="9388344"/>
    <n v="9377536"/>
    <n v="10808"/>
  </r>
  <r>
    <n v="273"/>
    <x v="82"/>
    <x v="1"/>
    <e v="#REF!"/>
    <s v="Crystal Path Consulting"/>
    <x v="1"/>
    <x v="7"/>
    <s v="East"/>
    <x v="34"/>
    <x v="2"/>
    <s v="Male"/>
    <n v="3649"/>
    <n v="503"/>
    <n v="1835447"/>
    <n v="1820218"/>
    <n v="15229"/>
  </r>
  <r>
    <n v="274"/>
    <x v="83"/>
    <x v="1"/>
    <e v="#REF!"/>
    <s v="Zenith Educational Services"/>
    <x v="1"/>
    <x v="7"/>
    <s v="East"/>
    <x v="2"/>
    <x v="2"/>
    <s v="Male"/>
    <n v="1737"/>
    <n v="571"/>
    <n v="991827"/>
    <n v="975112"/>
    <n v="16715"/>
  </r>
  <r>
    <n v="275"/>
    <x v="84"/>
    <x v="2"/>
    <e v="#REF!"/>
    <s v="Apex Innovations Co."/>
    <x v="1"/>
    <x v="7"/>
    <s v="Central"/>
    <x v="35"/>
    <x v="9"/>
    <s v="Male"/>
    <n v="7995"/>
    <n v="910"/>
    <n v="7275450"/>
    <n v="7264479"/>
    <n v="10971"/>
  </r>
  <r>
    <n v="276"/>
    <x v="85"/>
    <x v="2"/>
    <e v="#REF!"/>
    <s v="Pure Harmony Health"/>
    <x v="1"/>
    <x v="7"/>
    <s v="East"/>
    <x v="36"/>
    <x v="13"/>
    <s v="Female"/>
    <n v="5228"/>
    <n v="781"/>
    <n v="4083068"/>
    <n v="4064818"/>
    <n v="18250"/>
  </r>
  <r>
    <n v="277"/>
    <x v="86"/>
    <x v="2"/>
    <e v="#REF!"/>
    <s v="Legacy Travel Ventures"/>
    <x v="2"/>
    <x v="8"/>
    <s v="East"/>
    <x v="37"/>
    <x v="2"/>
    <s v="Female"/>
    <n v="7710"/>
    <n v="954"/>
    <n v="7355340"/>
    <n v="7344548"/>
    <n v="10792"/>
  </r>
  <r>
    <n v="278"/>
    <x v="87"/>
    <x v="2"/>
    <e v="#REF!"/>
    <s v="Pinnacle Media Solutions"/>
    <x v="2"/>
    <x v="8"/>
    <s v="South"/>
    <x v="38"/>
    <x v="4"/>
    <s v="Female"/>
    <n v="3333"/>
    <n v="945"/>
    <n v="3149685"/>
    <n v="3130448"/>
    <n v="19237"/>
  </r>
  <r>
    <n v="279"/>
    <x v="88"/>
    <x v="2"/>
    <e v="#REF!"/>
    <s v="Stellar Design Group"/>
    <x v="2"/>
    <x v="8"/>
    <s v="North"/>
    <x v="0"/>
    <x v="0"/>
    <s v="Female"/>
    <n v="9277"/>
    <n v="839"/>
    <n v="7783403"/>
    <n v="7765438"/>
    <n v="17965"/>
  </r>
  <r>
    <n v="280"/>
    <x v="89"/>
    <x v="2"/>
    <e v="#REF!"/>
    <s v="Radiant Tech Solutions"/>
    <x v="2"/>
    <x v="8"/>
    <s v="West"/>
    <x v="1"/>
    <x v="1"/>
    <s v="Female"/>
    <n v="4277"/>
    <n v="857"/>
    <n v="3665389"/>
    <n v="3650678"/>
    <n v="14711"/>
  </r>
  <r>
    <n v="281"/>
    <x v="90"/>
    <x v="2"/>
    <e v="#REF!"/>
    <s v="Horizon Ventures Co."/>
    <x v="2"/>
    <x v="8"/>
    <s v="North"/>
    <x v="32"/>
    <x v="18"/>
    <s v="Female"/>
    <n v="1696"/>
    <n v="868"/>
    <n v="1472128"/>
    <n v="1460331"/>
    <n v="11797"/>
  </r>
  <r>
    <n v="282"/>
    <x v="91"/>
    <x v="2"/>
    <e v="#REF!"/>
    <s v="Elite Creative Solutions"/>
    <x v="2"/>
    <x v="8"/>
    <s v="Central"/>
    <x v="33"/>
    <x v="19"/>
    <s v="Female"/>
    <n v="7071"/>
    <n v="778"/>
    <n v="5501238"/>
    <n v="5484007"/>
    <n v="17231"/>
  </r>
  <r>
    <n v="283"/>
    <x v="92"/>
    <x v="2"/>
    <e v="#REF!"/>
    <s v="Zenith Wellness Services"/>
    <x v="2"/>
    <x v="8"/>
    <s v="East"/>
    <x v="34"/>
    <x v="2"/>
    <s v="Male"/>
    <n v="2536"/>
    <n v="798"/>
    <n v="2023728"/>
    <n v="2006739"/>
    <n v="16989"/>
  </r>
  <r>
    <n v="284"/>
    <x v="93"/>
    <x v="2"/>
    <e v="#REF!"/>
    <s v="Apex Travel Innovations"/>
    <x v="1"/>
    <x v="6"/>
    <s v="West"/>
    <x v="19"/>
    <x v="6"/>
    <s v="Male"/>
    <n v="7823"/>
    <n v="833"/>
    <n v="6516559"/>
    <n v="6501093"/>
    <n v="15466"/>
  </r>
  <r>
    <n v="285"/>
    <x v="94"/>
    <x v="3"/>
    <e v="#REF!"/>
    <s v="Modern Health Products"/>
    <x v="1"/>
    <x v="6"/>
    <s v="North"/>
    <x v="20"/>
    <x v="8"/>
    <s v="Male"/>
    <n v="7275"/>
    <n v="776"/>
    <n v="5645400"/>
    <n v="5630382"/>
    <n v="15018"/>
  </r>
  <r>
    <n v="286"/>
    <x v="95"/>
    <x v="3"/>
    <e v="#REF!"/>
    <s v="Harmony Finance Group"/>
    <x v="1"/>
    <x v="6"/>
    <s v="North"/>
    <x v="21"/>
    <x v="8"/>
    <s v="Male"/>
    <n v="8910"/>
    <n v="529"/>
    <n v="4713390"/>
    <n v="4696541"/>
    <n v="16849"/>
  </r>
  <r>
    <n v="287"/>
    <x v="96"/>
    <x v="3"/>
    <e v="#REF!"/>
    <s v="Pure Vision Consulting"/>
    <x v="1"/>
    <x v="6"/>
    <s v="South"/>
    <x v="22"/>
    <x v="3"/>
    <s v="Female"/>
    <n v="2683"/>
    <n v="705"/>
    <n v="1891515"/>
    <n v="1873378"/>
    <n v="18137"/>
  </r>
  <r>
    <n v="288"/>
    <x v="97"/>
    <x v="3"/>
    <e v="#REF!"/>
    <s v="Legacy Spectrum Co."/>
    <x v="1"/>
    <x v="6"/>
    <s v="South"/>
    <x v="23"/>
    <x v="3"/>
    <s v="Male"/>
    <n v="7046"/>
    <n v="576"/>
    <n v="4058496"/>
    <n v="4046754"/>
    <n v="11742"/>
  </r>
  <r>
    <n v="289"/>
    <x v="98"/>
    <x v="3"/>
    <e v="#REF!"/>
    <s v="Pinnacle Design Solutions"/>
    <x v="1"/>
    <x v="7"/>
    <s v="North"/>
    <x v="24"/>
    <x v="7"/>
    <s v="Male"/>
    <n v="9395"/>
    <n v="922"/>
    <n v="8662190"/>
    <n v="8647865"/>
    <n v="14325"/>
  </r>
  <r>
    <n v="290"/>
    <x v="99"/>
    <x v="3"/>
    <e v="#REF!"/>
    <s v="Stellar Media Services"/>
    <x v="1"/>
    <x v="7"/>
    <s v="North"/>
    <x v="25"/>
    <x v="8"/>
    <s v="Male"/>
    <n v="5242"/>
    <n v="838"/>
    <n v="4392796"/>
    <n v="4377042"/>
    <n v="15754"/>
  </r>
  <r>
    <n v="291"/>
    <x v="100"/>
    <x v="3"/>
    <e v="#REF!"/>
    <s v="Radiant Innovations Group"/>
    <x v="1"/>
    <x v="7"/>
    <s v="East"/>
    <x v="26"/>
    <x v="13"/>
    <s v="Male"/>
    <n v="9909"/>
    <n v="657"/>
    <n v="6510213"/>
    <n v="6496654"/>
    <n v="13559"/>
  </r>
  <r>
    <n v="292"/>
    <x v="101"/>
    <x v="4"/>
    <e v="#REF!"/>
    <s v="Horizon Path Ventures"/>
    <x v="1"/>
    <x v="7"/>
    <s v="South"/>
    <x v="27"/>
    <x v="14"/>
    <s v="Female"/>
    <n v="2005"/>
    <n v="748"/>
    <n v="1499740"/>
    <n v="1480057"/>
    <n v="19683"/>
  </r>
  <r>
    <n v="293"/>
    <x v="53"/>
    <x v="5"/>
    <e v="#REF!"/>
    <s v="Zenith Tech Co."/>
    <x v="1"/>
    <x v="7"/>
    <s v="West"/>
    <x v="28"/>
    <x v="1"/>
    <s v="Female"/>
    <n v="1891"/>
    <n v="953"/>
    <n v="1802123"/>
    <n v="1791213"/>
    <n v="10910"/>
  </r>
  <r>
    <n v="294"/>
    <x v="54"/>
    <x v="5"/>
    <e v="#REF!"/>
    <s v="Apex Finance Ventures"/>
    <x v="1"/>
    <x v="7"/>
    <s v="North"/>
    <x v="29"/>
    <x v="15"/>
    <s v="Female"/>
    <n v="6839"/>
    <n v="909"/>
    <n v="6216651"/>
    <n v="6202822"/>
    <n v="13829"/>
  </r>
  <r>
    <n v="295"/>
    <x v="55"/>
    <x v="5"/>
    <e v="#REF!"/>
    <s v="Pure Harmony Solutions"/>
    <x v="2"/>
    <x v="9"/>
    <s v="North"/>
    <x v="30"/>
    <x v="16"/>
    <s v="Female"/>
    <n v="8854"/>
    <n v="944"/>
    <n v="8358176"/>
    <n v="8341405"/>
    <n v="16771"/>
  </r>
  <r>
    <n v="296"/>
    <x v="56"/>
    <x v="5"/>
    <e v="#REF!"/>
    <s v="Legacy Travel Co."/>
    <x v="2"/>
    <x v="9"/>
    <s v="Northeast"/>
    <x v="31"/>
    <x v="17"/>
    <s v="Female"/>
    <n v="8143"/>
    <n v="786"/>
    <n v="6400398"/>
    <n v="6381584"/>
    <n v="18814"/>
  </r>
  <r>
    <n v="297"/>
    <x v="57"/>
    <x v="5"/>
    <e v="#REF!"/>
    <s v="Pinnacle Innovations Group"/>
    <x v="2"/>
    <x v="9"/>
    <s v="North"/>
    <x v="32"/>
    <x v="18"/>
    <s v="Female"/>
    <n v="8069"/>
    <n v="553"/>
    <n v="4462157"/>
    <n v="4452081"/>
    <n v="10076"/>
  </r>
  <r>
    <n v="298"/>
    <x v="58"/>
    <x v="5"/>
    <e v="#REF!"/>
    <s v="Stellar Health Services"/>
    <x v="2"/>
    <x v="9"/>
    <s v="Central"/>
    <x v="33"/>
    <x v="19"/>
    <s v="Female"/>
    <n v="2268"/>
    <n v="911"/>
    <n v="2066148"/>
    <n v="2048522"/>
    <n v="17626"/>
  </r>
  <r>
    <n v="299"/>
    <x v="59"/>
    <x v="5"/>
    <e v="#REF!"/>
    <s v="Radiance Design Co."/>
    <x v="2"/>
    <x v="9"/>
    <s v="East"/>
    <x v="34"/>
    <x v="2"/>
    <s v="Female"/>
    <n v="2576"/>
    <n v="987"/>
    <n v="2542512"/>
    <n v="2522686"/>
    <n v="19826"/>
  </r>
  <r>
    <n v="300"/>
    <x v="60"/>
    <x v="5"/>
    <e v="#REF!"/>
    <s v="Harmony Consulting Group"/>
    <x v="2"/>
    <x v="9"/>
    <s v="East"/>
    <x v="2"/>
    <x v="2"/>
    <s v="Female"/>
    <n v="7694"/>
    <n v="907"/>
    <n v="6978458"/>
    <n v="6965877"/>
    <n v="12581"/>
  </r>
  <r>
    <n v="301"/>
    <x v="61"/>
    <x v="6"/>
    <e v="#REF!"/>
    <s v="Zenith Path Solutions"/>
    <x v="2"/>
    <x v="9"/>
    <s v="Central"/>
    <x v="35"/>
    <x v="9"/>
    <s v="Female"/>
    <n v="8952"/>
    <n v="760"/>
    <n v="6803520"/>
    <n v="6791157"/>
    <n v="12363"/>
  </r>
  <r>
    <n v="302"/>
    <x v="62"/>
    <x v="6"/>
    <e v="#REF!"/>
    <s v="Apex Educational Group"/>
    <x v="2"/>
    <x v="9"/>
    <s v="East"/>
    <x v="36"/>
    <x v="13"/>
    <s v="Male"/>
    <n v="5764"/>
    <n v="622"/>
    <n v="3585208"/>
    <n v="3567032"/>
    <n v="18176"/>
  </r>
  <r>
    <n v="303"/>
    <x v="63"/>
    <x v="6"/>
    <e v="#REF!"/>
    <s v="Modern Wellness Co."/>
    <x v="2"/>
    <x v="9"/>
    <s v="East"/>
    <x v="37"/>
    <x v="2"/>
    <s v="Male"/>
    <n v="9098"/>
    <n v="677"/>
    <n v="6159346"/>
    <n v="6143773"/>
    <n v="15573"/>
  </r>
  <r>
    <n v="304"/>
    <x v="64"/>
    <x v="6"/>
    <e v="#REF!"/>
    <s v="Pure Spectrum Innovations"/>
    <x v="2"/>
    <x v="9"/>
    <s v="North"/>
    <x v="25"/>
    <x v="8"/>
    <s v="Male"/>
    <n v="2777"/>
    <n v="986"/>
    <n v="2738122"/>
    <n v="2722533"/>
    <n v="15589"/>
  </r>
  <r>
    <n v="305"/>
    <x v="65"/>
    <x v="6"/>
    <e v="#REF!"/>
    <s v="Legacy Media Solutions"/>
    <x v="2"/>
    <x v="9"/>
    <s v="East"/>
    <x v="26"/>
    <x v="13"/>
    <s v="Male"/>
    <n v="9218"/>
    <n v="927"/>
    <n v="8545086"/>
    <n v="8533632"/>
    <n v="11454"/>
  </r>
  <r>
    <n v="306"/>
    <x v="66"/>
    <x v="6"/>
    <e v="#REF!"/>
    <s v="Pinnacle Travel Co."/>
    <x v="2"/>
    <x v="9"/>
    <s v="South"/>
    <x v="27"/>
    <x v="14"/>
    <s v="Male"/>
    <n v="6785"/>
    <n v="751"/>
    <n v="5095535"/>
    <n v="5078723"/>
    <n v="16812"/>
  </r>
  <r>
    <n v="307"/>
    <x v="3"/>
    <x v="0"/>
    <e v="#REF!"/>
    <s v="Stellar Consulting Services"/>
    <x v="0"/>
    <x v="5"/>
    <s v="West"/>
    <x v="28"/>
    <x v="1"/>
    <s v="Female"/>
    <n v="1980"/>
    <n v="648"/>
    <n v="1283040"/>
    <n v="1263933"/>
    <n v="19107"/>
  </r>
  <r>
    <n v="308"/>
    <x v="67"/>
    <x v="0"/>
    <e v="#REF!"/>
    <s v="Radiant Ventures"/>
    <x v="0"/>
    <x v="5"/>
    <s v="North"/>
    <x v="29"/>
    <x v="15"/>
    <s v="Female"/>
    <n v="6082"/>
    <n v="810"/>
    <n v="4926420"/>
    <n v="4912311"/>
    <n v="14109"/>
  </r>
  <r>
    <n v="309"/>
    <x v="68"/>
    <x v="0"/>
    <e v="#REF!"/>
    <s v="Harmony Tech Co."/>
    <x v="0"/>
    <x v="5"/>
    <s v="North"/>
    <x v="30"/>
    <x v="16"/>
    <s v="Female"/>
    <n v="9433"/>
    <n v="540"/>
    <n v="5093820"/>
    <n v="5080735"/>
    <n v="13085"/>
  </r>
  <r>
    <n v="310"/>
    <x v="91"/>
    <x v="2"/>
    <e v="#REF!"/>
    <s v="Zenith Creative Ventures"/>
    <x v="0"/>
    <x v="5"/>
    <s v="Northeast"/>
    <x v="31"/>
    <x v="17"/>
    <s v="Male"/>
    <n v="5549"/>
    <n v="973"/>
    <n v="5399177"/>
    <n v="5381871"/>
    <n v="17306"/>
  </r>
  <r>
    <n v="311"/>
    <x v="92"/>
    <x v="2"/>
    <e v="#REF!"/>
    <s v="Apex Health Services"/>
    <x v="0"/>
    <x v="5"/>
    <s v="North"/>
    <x v="32"/>
    <x v="18"/>
    <s v="Male"/>
    <n v="2572"/>
    <n v="777"/>
    <n v="1998444"/>
    <n v="1982048"/>
    <n v="16396"/>
  </r>
  <r>
    <n v="312"/>
    <x v="93"/>
    <x v="2"/>
    <e v="#REF!"/>
    <s v="Pure Vision Media"/>
    <x v="0"/>
    <x v="5"/>
    <s v="Central"/>
    <x v="33"/>
    <x v="19"/>
    <s v="Male"/>
    <n v="5503"/>
    <n v="717"/>
    <n v="3945651"/>
    <n v="3932127"/>
    <n v="13524"/>
  </r>
  <r>
    <n v="313"/>
    <x v="94"/>
    <x v="3"/>
    <e v="#REF!"/>
    <s v="Legacy Innovations Group"/>
    <x v="0"/>
    <x v="5"/>
    <s v="East"/>
    <x v="34"/>
    <x v="2"/>
    <s v="Male"/>
    <n v="5562"/>
    <n v="986"/>
    <n v="5484132"/>
    <n v="5471404"/>
    <n v="12728"/>
  </r>
  <r>
    <n v="314"/>
    <x v="95"/>
    <x v="3"/>
    <e v="#REF!"/>
    <s v="Pinnacle Consulting Co."/>
    <x v="0"/>
    <x v="5"/>
    <s v="East"/>
    <x v="2"/>
    <x v="2"/>
    <s v="Male"/>
    <n v="3673"/>
    <n v="855"/>
    <n v="3140415"/>
    <n v="3128328"/>
    <n v="12087"/>
  </r>
  <r>
    <n v="315"/>
    <x v="96"/>
    <x v="3"/>
    <e v="#REF!"/>
    <s v="Stellar Finance Group"/>
    <x v="0"/>
    <x v="5"/>
    <s v="Central"/>
    <x v="35"/>
    <x v="9"/>
    <s v="Female"/>
    <n v="2344"/>
    <n v="536"/>
    <n v="1256384"/>
    <n v="1246058"/>
    <n v="10326"/>
  </r>
  <r>
    <n v="316"/>
    <x v="97"/>
    <x v="3"/>
    <e v="#REF!"/>
    <s v="Radiant Solutions Co."/>
    <x v="0"/>
    <x v="5"/>
    <s v="East"/>
    <x v="36"/>
    <x v="13"/>
    <s v="Female"/>
    <n v="6278"/>
    <n v="540"/>
    <n v="3390120"/>
    <n v="3371448"/>
    <n v="18672"/>
  </r>
  <r>
    <n v="317"/>
    <x v="98"/>
    <x v="3"/>
    <e v="#REF!"/>
    <s v="Harmony Ventures Group"/>
    <x v="0"/>
    <x v="5"/>
    <s v="West"/>
    <x v="19"/>
    <x v="6"/>
    <s v="Female"/>
    <n v="9561"/>
    <n v="674"/>
    <n v="6444114"/>
    <n v="6427721"/>
    <n v="16393"/>
  </r>
  <r>
    <n v="318"/>
    <x v="99"/>
    <x v="3"/>
    <e v="#REF!"/>
    <s v="Zenith Wellness Co."/>
    <x v="1"/>
    <x v="6"/>
    <s v="North"/>
    <x v="20"/>
    <x v="8"/>
    <s v="Female"/>
    <n v="2952"/>
    <n v="640"/>
    <n v="1889280"/>
    <n v="1874899"/>
    <n v="14381"/>
  </r>
  <r>
    <n v="319"/>
    <x v="100"/>
    <x v="3"/>
    <e v="#REF!"/>
    <s v="Apex Design Services"/>
    <x v="1"/>
    <x v="6"/>
    <s v="North"/>
    <x v="21"/>
    <x v="8"/>
    <s v="Female"/>
    <n v="5507"/>
    <n v="618"/>
    <n v="3403326"/>
    <n v="3383790"/>
    <n v="19536"/>
  </r>
  <r>
    <n v="320"/>
    <x v="101"/>
    <x v="4"/>
    <e v="#REF!"/>
    <s v="Modern Travel Solutions"/>
    <x v="1"/>
    <x v="6"/>
    <s v="South"/>
    <x v="22"/>
    <x v="3"/>
    <s v="Female"/>
    <n v="9862"/>
    <n v="755"/>
    <n v="7445810"/>
    <n v="7430768"/>
    <n v="15042"/>
  </r>
  <r>
    <n v="321"/>
    <x v="53"/>
    <x v="5"/>
    <e v="#REF!"/>
    <s v="Pure Health Ventures"/>
    <x v="1"/>
    <x v="6"/>
    <s v="South"/>
    <x v="23"/>
    <x v="3"/>
    <s v="Female"/>
    <n v="9694"/>
    <n v="829"/>
    <n v="8036326"/>
    <n v="8019738"/>
    <n v="16588"/>
  </r>
  <r>
    <n v="322"/>
    <x v="54"/>
    <x v="5"/>
    <e v="#REF!"/>
    <s v="Legacy Spectrum Group"/>
    <x v="1"/>
    <x v="6"/>
    <s v="North"/>
    <x v="24"/>
    <x v="7"/>
    <s v="Male"/>
    <n v="6821"/>
    <n v="919"/>
    <n v="6268499"/>
    <n v="6257775"/>
    <n v="10724"/>
  </r>
  <r>
    <n v="323"/>
    <x v="55"/>
    <x v="5"/>
    <e v="#REF!"/>
    <s v="Pinnacle Media Ventures"/>
    <x v="1"/>
    <x v="6"/>
    <s v="North"/>
    <x v="25"/>
    <x v="8"/>
    <s v="Male"/>
    <n v="7329"/>
    <n v="778"/>
    <n v="5701962"/>
    <n v="5686747"/>
    <n v="15215"/>
  </r>
  <r>
    <n v="324"/>
    <x v="56"/>
    <x v="5"/>
    <e v="#REF!"/>
    <s v="Stellar Innovations Group"/>
    <x v="1"/>
    <x v="6"/>
    <s v="East"/>
    <x v="26"/>
    <x v="13"/>
    <s v="Male"/>
    <n v="6427"/>
    <n v="825"/>
    <n v="5302275"/>
    <n v="5290689"/>
    <n v="11586"/>
  </r>
  <r>
    <n v="325"/>
    <x v="57"/>
    <x v="5"/>
    <e v="#REF!"/>
    <s v="Radiant Educational Co."/>
    <x v="1"/>
    <x v="6"/>
    <s v="South"/>
    <x v="27"/>
    <x v="14"/>
    <s v="Male"/>
    <n v="8915"/>
    <n v="586"/>
    <n v="5224190"/>
    <n v="5205076"/>
    <n v="19114"/>
  </r>
  <r>
    <n v="326"/>
    <x v="58"/>
    <x v="5"/>
    <e v="#REF!"/>
    <s v="Harmony Edge Ventures"/>
    <x v="1"/>
    <x v="6"/>
    <s v="West"/>
    <x v="28"/>
    <x v="1"/>
    <s v="Female"/>
    <n v="4848"/>
    <n v="556"/>
    <n v="2695488"/>
    <n v="2676672"/>
    <n v="18816"/>
  </r>
  <r>
    <n v="327"/>
    <x v="59"/>
    <x v="5"/>
    <e v="#REF!"/>
    <s v="Zenith Tech Solutions"/>
    <x v="1"/>
    <x v="6"/>
    <s v="North"/>
    <x v="29"/>
    <x v="15"/>
    <s v="Male"/>
    <n v="5990"/>
    <n v="859"/>
    <n v="5145410"/>
    <n v="5133995"/>
    <n v="11415"/>
  </r>
  <r>
    <n v="328"/>
    <x v="60"/>
    <x v="5"/>
    <e v="#REF!"/>
    <s v="Apex Finance Group"/>
    <x v="1"/>
    <x v="6"/>
    <s v="North"/>
    <x v="30"/>
    <x v="16"/>
    <s v="Male"/>
    <n v="6726"/>
    <n v="900"/>
    <n v="6053400"/>
    <n v="6038236"/>
    <n v="15164"/>
  </r>
  <r>
    <n v="329"/>
    <x v="61"/>
    <x v="6"/>
    <e v="#REF!"/>
    <s v="Pure Harmony Media"/>
    <x v="1"/>
    <x v="6"/>
    <s v="Northeast"/>
    <x v="31"/>
    <x v="17"/>
    <s v="Male"/>
    <n v="5686"/>
    <n v="731"/>
    <n v="4156466"/>
    <n v="4137912"/>
    <n v="18554"/>
  </r>
  <r>
    <n v="330"/>
    <x v="62"/>
    <x v="6"/>
    <e v="#REF!"/>
    <s v="Legacy Health Co."/>
    <x v="1"/>
    <x v="7"/>
    <s v="North"/>
    <x v="32"/>
    <x v="18"/>
    <s v="Male"/>
    <n v="5246"/>
    <n v="653"/>
    <n v="3425638"/>
    <n v="3409693"/>
    <n v="159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A1E1D9-2D0A-4ABF-BA53-2C60CCABDC9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9:B13" firstHeaderRow="1"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Amount" fld="13"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 chart="6" format="9">
      <pivotArea type="data" outline="0" fieldPosition="0">
        <references count="2">
          <reference field="4294967294" count="1" selected="0">
            <x v="0"/>
          </reference>
          <reference field="5" count="1" selected="0">
            <x v="1"/>
          </reference>
        </references>
      </pivotArea>
    </chartFormat>
    <chartFormat chart="6"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9733F3-CF6B-49DD-8216-4A6B96F0B1AD}" name="profit "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5">
  <location ref="A24:B28" firstHeaderRow="1"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profit" fld="1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5" count="1" selected="0">
            <x v="0"/>
          </reference>
        </references>
      </pivotArea>
    </chartFormat>
    <chartFormat chart="13" format="9">
      <pivotArea type="data" outline="0" fieldPosition="0">
        <references count="2">
          <reference field="4294967294" count="1" selected="0">
            <x v="0"/>
          </reference>
          <reference field="5" count="1" selected="0">
            <x v="1"/>
          </reference>
        </references>
      </pivotArea>
    </chartFormat>
    <chartFormat chart="13"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8B8B09-A6B3-43EB-9CCD-AECB8A91ECDA}" name="purcha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7" rowHeaderCaption="">
  <location ref="A17:B21" firstHeaderRow="1"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purchase" fld="14"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 chart="6" format="9">
      <pivotArea type="data" outline="0" fieldPosition="0">
        <references count="2">
          <reference field="4294967294" count="1" selected="0">
            <x v="0"/>
          </reference>
          <reference field="5" count="1" selected="0">
            <x v="1"/>
          </reference>
        </references>
      </pivotArea>
    </chartFormat>
    <chartFormat chart="6"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6BAEFC-300D-44B0-8425-F01C9DF06255}" name="PivotTable2"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location ref="D26:F55" firstHeaderRow="0"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8">
        <item x="0"/>
        <item x="1"/>
        <item x="2"/>
        <item x="3"/>
        <item x="4"/>
        <item x="5"/>
        <item x="6"/>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2"/>
    <field x="5"/>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2"/>
  </colFields>
  <colItems count="2">
    <i>
      <x/>
    </i>
    <i i="1">
      <x v="1"/>
    </i>
  </colItems>
  <dataFields count="2">
    <dataField name="Sum of purchase" fld="14" baseField="0" baseItem="0"/>
    <dataField name="Sum of profit" fld="15" baseField="0" baseItem="0"/>
  </dataFields>
  <pivotTableStyleInfo name="PivotStyleLight16"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4E7341-22B8-42B9-9B4F-86369A749104}" name="product wis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7">
  <location ref="D2:F13" firstHeaderRow="0"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8">
        <item x="0"/>
        <item x="1"/>
        <item x="2"/>
        <item x="3"/>
        <item x="4"/>
        <item x="5"/>
        <item x="6"/>
        <item t="default"/>
      </items>
    </pivotField>
    <pivotField showAll="0"/>
    <pivotField showAll="0"/>
    <pivotField showAll="0">
      <items count="4">
        <item x="2"/>
        <item x="0"/>
        <item x="1"/>
        <item t="default"/>
      </items>
    </pivotField>
    <pivotField axis="axisRow" showAll="0">
      <items count="11">
        <item sd="0" x="8"/>
        <item sd="0" x="1"/>
        <item sd="0" x="9"/>
        <item sd="0" x="5"/>
        <item sd="0" x="3"/>
        <item sd="0" x="6"/>
        <item sd="0" x="0"/>
        <item sd="0" x="7"/>
        <item sd="0" x="4"/>
        <item sd="0" x="2"/>
        <item t="default" sd="0"/>
      </items>
    </pivotField>
    <pivotField showAll="0"/>
    <pivotField showAll="0"/>
    <pivotField showAll="0"/>
    <pivotField showAll="0"/>
    <pivotField showAll="0"/>
    <pivotField showAll="0"/>
    <pivotField dataField="1"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2">
    <field x="6"/>
    <field x="2"/>
  </rowFields>
  <rowItems count="11">
    <i>
      <x/>
    </i>
    <i>
      <x v="1"/>
    </i>
    <i>
      <x v="2"/>
    </i>
    <i>
      <x v="3"/>
    </i>
    <i>
      <x v="4"/>
    </i>
    <i>
      <x v="5"/>
    </i>
    <i>
      <x v="6"/>
    </i>
    <i>
      <x v="7"/>
    </i>
    <i>
      <x v="8"/>
    </i>
    <i>
      <x v="9"/>
    </i>
    <i t="grand">
      <x/>
    </i>
  </rowItems>
  <colFields count="1">
    <field x="-2"/>
  </colFields>
  <colItems count="2">
    <i>
      <x/>
    </i>
    <i i="1">
      <x v="1"/>
    </i>
  </colItems>
  <dataFields count="2">
    <dataField name="Sum of Amount" fld="13" baseField="0" baseItem="0"/>
    <dataField name="Sum of profit" fld="15"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59111D-9254-4C87-B6F7-269CB9ED6B15}" name="state 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2:J23" firstHeaderRow="0"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showAll="0"/>
    <pivotField showAll="0"/>
    <pivotField showAll="0"/>
    <pivotField showAll="0">
      <items count="4">
        <item x="2"/>
        <item x="0"/>
        <item x="1"/>
        <item t="default"/>
      </items>
    </pivotField>
    <pivotField showAll="0">
      <items count="11">
        <item sd="0" x="8"/>
        <item sd="0" x="1"/>
        <item sd="0" x="9"/>
        <item sd="0" x="5"/>
        <item sd="0" x="3"/>
        <item sd="0" x="6"/>
        <item sd="0" x="0"/>
        <item sd="0" x="7"/>
        <item sd="0" x="4"/>
        <item sd="0" x="2"/>
        <item t="default"/>
      </items>
    </pivotField>
    <pivotField showAll="0"/>
    <pivotField showAll="0">
      <items count="40">
        <item x="20"/>
        <item x="6"/>
        <item x="32"/>
        <item x="28"/>
        <item x="4"/>
        <item x="16"/>
        <item x="15"/>
        <item x="3"/>
        <item x="22"/>
        <item x="30"/>
        <item x="0"/>
        <item x="34"/>
        <item x="31"/>
        <item x="35"/>
        <item x="5"/>
        <item x="13"/>
        <item x="8"/>
        <item x="36"/>
        <item x="24"/>
        <item x="11"/>
        <item x="27"/>
        <item x="2"/>
        <item x="10"/>
        <item x="23"/>
        <item x="38"/>
        <item x="21"/>
        <item x="1"/>
        <item x="12"/>
        <item x="18"/>
        <item x="7"/>
        <item x="33"/>
        <item x="26"/>
        <item x="29"/>
        <item x="37"/>
        <item x="9"/>
        <item x="14"/>
        <item x="19"/>
        <item x="25"/>
        <item x="17"/>
        <item t="default"/>
      </items>
    </pivotField>
    <pivotField axis="axisRow" showAll="0">
      <items count="21">
        <item sd="0" x="11"/>
        <item sd="0" x="17"/>
        <item x="12"/>
        <item x="10"/>
        <item x="19"/>
        <item x="0"/>
        <item x="6"/>
        <item x="15"/>
        <item x="13"/>
        <item x="4"/>
        <item x="14"/>
        <item x="9"/>
        <item x="1"/>
        <item x="18"/>
        <item x="7"/>
        <item x="3"/>
        <item x="5"/>
        <item x="8"/>
        <item x="16"/>
        <item x="2"/>
        <item t="default"/>
      </items>
    </pivotField>
    <pivotField showAll="0"/>
    <pivotField showAll="0"/>
    <pivotField showAll="0"/>
    <pivotField dataField="1"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mount" fld="13" baseField="0" baseItem="0"/>
    <dataField name="Sum of profit" fld="15" showDataAs="percentOfTotal" baseField="0" baseItem="0" numFmtId="10"/>
  </dataFields>
  <pivotTableStyleInfo name="PivotStyleLight17"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31721F-189D-48DE-87A6-3593E39F050C}" name="month 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N47:P55" firstHeaderRow="0" firstDataRow="1" firstDataCol="1"/>
  <pivotFields count="18">
    <pivotField showAll="0"/>
    <pivotField numFmtId="14" showAll="0">
      <items count="103">
        <item x="0"/>
        <item x="1"/>
        <item x="2"/>
        <item x="3"/>
        <item x="67"/>
        <item x="4"/>
        <item x="68"/>
        <item x="5"/>
        <item x="6"/>
        <item x="69"/>
        <item x="7"/>
        <item x="70"/>
        <item x="8"/>
        <item x="71"/>
        <item x="9"/>
        <item x="10"/>
        <item x="72"/>
        <item x="11"/>
        <item x="12"/>
        <item x="73"/>
        <item x="74"/>
        <item x="13"/>
        <item x="75"/>
        <item x="14"/>
        <item x="15"/>
        <item x="76"/>
        <item x="16"/>
        <item x="77"/>
        <item x="78"/>
        <item x="17"/>
        <item x="79"/>
        <item x="18"/>
        <item x="80"/>
        <item x="19"/>
        <item x="81"/>
        <item x="20"/>
        <item x="82"/>
        <item x="21"/>
        <item x="83"/>
        <item x="22"/>
        <item x="23"/>
        <item x="84"/>
        <item x="24"/>
        <item x="85"/>
        <item x="25"/>
        <item x="86"/>
        <item x="26"/>
        <item x="87"/>
        <item x="27"/>
        <item x="88"/>
        <item x="89"/>
        <item x="28"/>
        <item x="90"/>
        <item x="29"/>
        <item x="91"/>
        <item x="30"/>
        <item x="92"/>
        <item x="31"/>
        <item x="93"/>
        <item x="32"/>
        <item x="94"/>
        <item x="33"/>
        <item x="95"/>
        <item x="34"/>
        <item x="96"/>
        <item x="35"/>
        <item x="97"/>
        <item x="36"/>
        <item x="98"/>
        <item x="37"/>
        <item x="99"/>
        <item x="38"/>
        <item x="100"/>
        <item x="39"/>
        <item x="40"/>
        <item x="41"/>
        <item x="42"/>
        <item x="101"/>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8">
        <item sd="0" x="0"/>
        <item sd="0" x="1"/>
        <item sd="0" x="2"/>
        <item sd="0" x="3"/>
        <item sd="0" x="4"/>
        <item sd="0" x="5"/>
        <item sd="0" x="6"/>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purchase" fld="14" baseField="0" baseItem="0"/>
    <dataField name="Sum of profit" fld="15" baseField="0" baseItem="0"/>
  </dataFields>
  <pivotTableStyleInfo name="PivotStyleLight16" showRowHeaders="1" showColHeaders="1" showRowStripes="0" showColStripes="0" showLastColumn="1"/>
  <filters count="1">
    <filter fld="1" type="dateBetween" evalOrder="-1" id="34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F361D2-A3A3-498D-A21A-4355177D0B42}" sourceName="Category">
  <pivotTables>
    <pivotTable tabId="18" name="PivotTable1"/>
    <pivotTable tabId="18" name="purchae"/>
    <pivotTable tabId="18" name="profit "/>
    <pivotTable tabId="18" name="PivotTable2"/>
    <pivotTable tabId="18" name="product wise"/>
    <pivotTable tabId="18" name="state wise"/>
  </pivotTables>
  <data>
    <tabular pivotCacheId="26724091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9D1C30D-9777-492C-8AAA-EB031877E62D}" cache="Slicer_Category" caption="Category"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5FDC1C-A1B5-4539-BEBF-B1446B60CB2A}" cache="Slicer_Category" caption="Category"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EDDA147-B4BF-46CF-B7E1-0E89D5B31DC1}" sourceName="Date">
  <pivotTables>
    <pivotTable tabId="18" name="PivotTable1"/>
    <pivotTable tabId="18" name="month wise"/>
    <pivotTable tabId="18" name="PivotTable2"/>
    <pivotTable tabId="18" name="product wise"/>
    <pivotTable tabId="18" name="profit "/>
    <pivotTable tabId="18" name="purchae"/>
    <pivotTable tabId="18" name="state wise"/>
  </pivotTables>
  <state minimalRefreshVersion="6" lastRefreshVersion="6" pivotCacheId="267240911"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CBDBFA0-A49B-4386-A0ED-34817E64FDFF}" cache="NativeTimeline_Date" caption="Date" level="2" selectionLevel="0" scrollPosition="2024-01-01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E6F253B-8C41-4B26-BF27-8EAEE1ECAC65}" cache="NativeTimeline_Date" caption="Date" level="2" selectionLevel="0" scrollPosition="2024-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2.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13B8-9C7F-40FD-921A-BA1D4BB52849}">
  <sheetPr codeName="Sheet2"/>
  <dimension ref="G3:M14"/>
  <sheetViews>
    <sheetView topLeftCell="A6" zoomScale="81" zoomScaleNormal="81" workbookViewId="0">
      <selection activeCell="L10" sqref="L10"/>
    </sheetView>
  </sheetViews>
  <sheetFormatPr defaultRowHeight="14.4" x14ac:dyDescent="0.3"/>
  <cols>
    <col min="7" max="7" width="17.88671875" bestFit="1" customWidth="1"/>
    <col min="8" max="8" width="16.33203125" bestFit="1" customWidth="1"/>
    <col min="9" max="9" width="10.44140625" bestFit="1" customWidth="1"/>
    <col min="10" max="10" width="17.6640625" customWidth="1"/>
  </cols>
  <sheetData>
    <row r="3" spans="7:13" ht="15" thickBot="1" x14ac:dyDescent="0.35"/>
    <row r="4" spans="7:13" x14ac:dyDescent="0.3">
      <c r="G4" s="16" t="s">
        <v>418</v>
      </c>
      <c r="H4" s="17" t="s">
        <v>419</v>
      </c>
      <c r="I4" s="17" t="s">
        <v>420</v>
      </c>
      <c r="J4" s="17" t="s">
        <v>421</v>
      </c>
    </row>
    <row r="5" spans="7:13" x14ac:dyDescent="0.3">
      <c r="G5" s="18" t="s">
        <v>422</v>
      </c>
      <c r="H5" s="19" t="s">
        <v>423</v>
      </c>
      <c r="I5" s="19" t="s">
        <v>424</v>
      </c>
      <c r="J5" s="20">
        <v>85000</v>
      </c>
    </row>
    <row r="6" spans="7:13" x14ac:dyDescent="0.3">
      <c r="G6" s="18" t="s">
        <v>422</v>
      </c>
      <c r="H6" s="19" t="s">
        <v>425</v>
      </c>
      <c r="I6" s="19" t="s">
        <v>426</v>
      </c>
      <c r="J6" s="20">
        <v>654685513</v>
      </c>
      <c r="M6">
        <f>SUMIF(G4:G14,G8,J4:J14)</f>
        <v>94114527</v>
      </c>
    </row>
    <row r="7" spans="7:13" x14ac:dyDescent="0.3">
      <c r="G7" s="18" t="s">
        <v>422</v>
      </c>
      <c r="H7" s="19" t="s">
        <v>427</v>
      </c>
      <c r="I7" s="19" t="s">
        <v>428</v>
      </c>
      <c r="J7" s="20">
        <v>3000000</v>
      </c>
    </row>
    <row r="8" spans="7:13" x14ac:dyDescent="0.3">
      <c r="G8" s="18" t="s">
        <v>429</v>
      </c>
      <c r="H8" s="19" t="s">
        <v>430</v>
      </c>
      <c r="I8" s="19" t="s">
        <v>431</v>
      </c>
      <c r="J8" s="20">
        <v>56325</v>
      </c>
    </row>
    <row r="9" spans="7:13" x14ac:dyDescent="0.3">
      <c r="G9" s="18" t="s">
        <v>429</v>
      </c>
      <c r="H9" s="19" t="s">
        <v>432</v>
      </c>
      <c r="I9" s="19" t="s">
        <v>433</v>
      </c>
      <c r="J9" s="20">
        <v>96000</v>
      </c>
    </row>
    <row r="10" spans="7:13" x14ac:dyDescent="0.3">
      <c r="G10" s="18" t="s">
        <v>429</v>
      </c>
      <c r="H10" s="19" t="s">
        <v>434</v>
      </c>
      <c r="I10" s="19" t="s">
        <v>435</v>
      </c>
      <c r="J10" s="20">
        <v>86962202</v>
      </c>
    </row>
    <row r="11" spans="7:13" x14ac:dyDescent="0.3">
      <c r="G11" s="18" t="s">
        <v>429</v>
      </c>
      <c r="H11" s="19" t="s">
        <v>436</v>
      </c>
      <c r="I11" s="19" t="s">
        <v>437</v>
      </c>
      <c r="J11" s="20">
        <v>7000000</v>
      </c>
    </row>
    <row r="12" spans="7:13" x14ac:dyDescent="0.3">
      <c r="G12" s="18" t="s">
        <v>438</v>
      </c>
      <c r="H12" s="19" t="s">
        <v>439</v>
      </c>
      <c r="I12" s="19" t="s">
        <v>435</v>
      </c>
      <c r="J12" s="20">
        <v>8000000</v>
      </c>
    </row>
    <row r="13" spans="7:13" x14ac:dyDescent="0.3">
      <c r="G13" s="18" t="s">
        <v>438</v>
      </c>
      <c r="H13" s="19" t="s">
        <v>440</v>
      </c>
      <c r="I13" s="19" t="s">
        <v>426</v>
      </c>
      <c r="J13" s="20">
        <v>65489645</v>
      </c>
    </row>
    <row r="14" spans="7:13" x14ac:dyDescent="0.3">
      <c r="G14" s="18" t="s">
        <v>438</v>
      </c>
      <c r="H14" s="19" t="s">
        <v>441</v>
      </c>
      <c r="I14" s="19" t="s">
        <v>428</v>
      </c>
      <c r="J14" s="20">
        <v>10000000</v>
      </c>
    </row>
  </sheetData>
  <dataValidations count="1">
    <dataValidation type="textLength" allowBlank="1" showInputMessage="1" showErrorMessage="1" sqref="J5:J14" xr:uid="{5272008F-8E4D-452F-8873-4BD478F0B095}">
      <formula1>1</formula1>
      <formula2>10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78AC-24CE-41FB-A6C1-03B8823E89AA}">
  <dimension ref="O10"/>
  <sheetViews>
    <sheetView showGridLines="0" tabSelected="1" topLeftCell="A4" zoomScale="110" zoomScaleNormal="110" workbookViewId="0">
      <selection activeCell="P10" sqref="P10"/>
    </sheetView>
  </sheetViews>
  <sheetFormatPr defaultRowHeight="14.4" x14ac:dyDescent="0.3"/>
  <sheetData>
    <row r="10" spans="15:15" x14ac:dyDescent="0.3">
      <c r="O10" s="2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CDD2A-70C6-414D-96C6-6BF4654F9A63}">
  <dimension ref="A2:V55"/>
  <sheetViews>
    <sheetView topLeftCell="H1" zoomScale="112" zoomScaleNormal="112" workbookViewId="0">
      <selection activeCell="W12" sqref="W12"/>
    </sheetView>
  </sheetViews>
  <sheetFormatPr defaultRowHeight="14.4" x14ac:dyDescent="0.3"/>
  <cols>
    <col min="1" max="1" width="12.6640625" bestFit="1" customWidth="1"/>
    <col min="2" max="2" width="14.44140625" bestFit="1" customWidth="1"/>
    <col min="3" max="3" width="15.21875" bestFit="1" customWidth="1"/>
    <col min="4" max="4" width="12.6640625" bestFit="1" customWidth="1"/>
    <col min="5" max="5" width="15.33203125" bestFit="1" customWidth="1"/>
    <col min="6" max="6" width="12.21875" bestFit="1" customWidth="1"/>
    <col min="7" max="7" width="15.6640625" bestFit="1" customWidth="1"/>
    <col min="8" max="8" width="16.21875" bestFit="1" customWidth="1"/>
    <col min="9" max="9" width="14.44140625" bestFit="1" customWidth="1"/>
    <col min="10" max="10" width="12.21875" bestFit="1" customWidth="1"/>
    <col min="12" max="12" width="15.5546875" bestFit="1" customWidth="1"/>
    <col min="13" max="13" width="14.44140625" bestFit="1" customWidth="1"/>
    <col min="14" max="14" width="14.5546875" bestFit="1" customWidth="1"/>
    <col min="15" max="15" width="15.77734375" bestFit="1" customWidth="1"/>
    <col min="16" max="16" width="12.6640625" bestFit="1" customWidth="1"/>
    <col min="20" max="20" width="14.5546875" bestFit="1" customWidth="1"/>
    <col min="21" max="21" width="15.77734375" bestFit="1" customWidth="1"/>
    <col min="22" max="22" width="12.6640625" bestFit="1" customWidth="1"/>
  </cols>
  <sheetData>
    <row r="2" spans="1:22" x14ac:dyDescent="0.3">
      <c r="D2" s="21" t="s">
        <v>449</v>
      </c>
      <c r="E2" t="s">
        <v>443</v>
      </c>
      <c r="F2" t="s">
        <v>448</v>
      </c>
      <c r="H2" s="21" t="s">
        <v>449</v>
      </c>
      <c r="I2" t="s">
        <v>443</v>
      </c>
      <c r="J2" t="s">
        <v>448</v>
      </c>
      <c r="L2" s="25" t="s">
        <v>449</v>
      </c>
      <c r="M2" s="25" t="s">
        <v>443</v>
      </c>
    </row>
    <row r="3" spans="1:22" x14ac:dyDescent="0.3">
      <c r="D3" s="23" t="s">
        <v>160</v>
      </c>
      <c r="E3" s="30">
        <v>85986430</v>
      </c>
      <c r="F3" s="22">
        <v>6.3058895135674323E-2</v>
      </c>
      <c r="H3" s="23" t="s">
        <v>70</v>
      </c>
      <c r="I3" s="30">
        <v>29894139</v>
      </c>
      <c r="J3" s="22">
        <v>2.0935250842304257E-2</v>
      </c>
      <c r="L3" s="23" t="s">
        <v>70</v>
      </c>
      <c r="M3">
        <f>GETPIVOTDATA("Sum of Amount",$H$2,"State",L3)</f>
        <v>29894139</v>
      </c>
    </row>
    <row r="4" spans="1:22" x14ac:dyDescent="0.3">
      <c r="D4" s="23" t="s">
        <v>18</v>
      </c>
      <c r="E4" s="30">
        <v>22303158</v>
      </c>
      <c r="F4" s="22">
        <v>2.0496417417084387E-2</v>
      </c>
      <c r="H4" s="23" t="s">
        <v>106</v>
      </c>
      <c r="I4" s="30">
        <v>37187758</v>
      </c>
      <c r="J4" s="22">
        <v>3.8518742770011015E-2</v>
      </c>
      <c r="L4" s="23" t="s">
        <v>106</v>
      </c>
      <c r="M4">
        <f t="shared" ref="M4:M22" si="0">GETPIVOTDATA("Sum of Amount",$H$2,"State",L4)</f>
        <v>37187758</v>
      </c>
    </row>
    <row r="5" spans="1:22" x14ac:dyDescent="0.3">
      <c r="D5" s="23" t="s">
        <v>179</v>
      </c>
      <c r="E5" s="30">
        <v>224565260</v>
      </c>
      <c r="F5" s="22">
        <v>0.15688156080273188</v>
      </c>
      <c r="H5" s="23" t="s">
        <v>73</v>
      </c>
      <c r="I5" s="30">
        <v>26525642</v>
      </c>
      <c r="J5" s="22">
        <v>2.2777279935055829E-2</v>
      </c>
      <c r="L5" s="23" t="s">
        <v>73</v>
      </c>
      <c r="M5">
        <f t="shared" si="0"/>
        <v>26525642</v>
      </c>
    </row>
    <row r="6" spans="1:22" x14ac:dyDescent="0.3">
      <c r="D6" s="23" t="s">
        <v>117</v>
      </c>
      <c r="E6" s="30">
        <v>229998228</v>
      </c>
      <c r="F6" s="22">
        <v>0.16863067108383326</v>
      </c>
      <c r="H6" s="23" t="s">
        <v>65</v>
      </c>
      <c r="I6" s="30">
        <v>28503816</v>
      </c>
      <c r="J6" s="22">
        <v>1.6613971607159966E-2</v>
      </c>
      <c r="L6" s="23" t="s">
        <v>65</v>
      </c>
      <c r="M6">
        <f t="shared" si="0"/>
        <v>28503816</v>
      </c>
    </row>
    <row r="7" spans="1:22" x14ac:dyDescent="0.3">
      <c r="D7" s="23" t="s">
        <v>61</v>
      </c>
      <c r="E7" s="30">
        <v>55830333</v>
      </c>
      <c r="F7" s="22">
        <v>4.6093975820913111E-2</v>
      </c>
      <c r="H7" s="23" t="s">
        <v>112</v>
      </c>
      <c r="I7" s="30">
        <v>56135022</v>
      </c>
      <c r="J7" s="22">
        <v>3.2855172868032356E-2</v>
      </c>
      <c r="L7" s="23" t="s">
        <v>112</v>
      </c>
      <c r="M7">
        <f t="shared" si="0"/>
        <v>56135022</v>
      </c>
    </row>
    <row r="8" spans="1:22" x14ac:dyDescent="0.3">
      <c r="D8" s="23" t="s">
        <v>134</v>
      </c>
      <c r="E8" s="30">
        <v>341914931</v>
      </c>
      <c r="F8" s="22">
        <v>0.21752806242544345</v>
      </c>
      <c r="H8" s="23" t="s">
        <v>15</v>
      </c>
      <c r="I8" s="30">
        <v>31646194</v>
      </c>
      <c r="J8" s="22">
        <v>1.9430877486317701E-2</v>
      </c>
      <c r="L8" s="23" t="s">
        <v>15</v>
      </c>
      <c r="M8">
        <f t="shared" si="0"/>
        <v>31646194</v>
      </c>
    </row>
    <row r="9" spans="1:22" x14ac:dyDescent="0.3">
      <c r="A9" s="21" t="s">
        <v>449</v>
      </c>
      <c r="B9" t="s">
        <v>443</v>
      </c>
      <c r="D9" s="23" t="s">
        <v>13</v>
      </c>
      <c r="E9" s="30">
        <v>48617975</v>
      </c>
      <c r="F9" s="22">
        <v>4.1619144564466755E-2</v>
      </c>
      <c r="H9" s="23" t="s">
        <v>40</v>
      </c>
      <c r="I9" s="30">
        <v>93842060</v>
      </c>
      <c r="J9" s="22">
        <v>5.9663689331328561E-2</v>
      </c>
      <c r="L9" s="23" t="s">
        <v>40</v>
      </c>
      <c r="M9">
        <f t="shared" si="0"/>
        <v>93842060</v>
      </c>
    </row>
    <row r="10" spans="1:22" x14ac:dyDescent="0.3">
      <c r="A10" s="23" t="s">
        <v>159</v>
      </c>
      <c r="B10" s="30">
        <v>310551690</v>
      </c>
      <c r="D10" s="23" t="s">
        <v>147</v>
      </c>
      <c r="E10" s="30">
        <v>237881153</v>
      </c>
      <c r="F10" s="22">
        <v>0.16918556126933956</v>
      </c>
      <c r="H10" s="23" t="s">
        <v>99</v>
      </c>
      <c r="I10" s="30">
        <v>46527112</v>
      </c>
      <c r="J10" s="22">
        <v>3.2569097913616868E-2</v>
      </c>
      <c r="L10" s="23" t="s">
        <v>99</v>
      </c>
      <c r="M10">
        <f t="shared" si="0"/>
        <v>46527112</v>
      </c>
      <c r="U10" s="24" t="s">
        <v>449</v>
      </c>
      <c r="V10" s="24"/>
    </row>
    <row r="11" spans="1:22" x14ac:dyDescent="0.3">
      <c r="A11" s="23" t="s">
        <v>12</v>
      </c>
      <c r="B11" s="30">
        <v>403171673</v>
      </c>
      <c r="D11" s="23" t="s">
        <v>79</v>
      </c>
      <c r="E11" s="30">
        <v>102252312</v>
      </c>
      <c r="F11" s="22">
        <v>9.0586169962248816E-2</v>
      </c>
      <c r="H11" s="23" t="s">
        <v>91</v>
      </c>
      <c r="I11" s="30">
        <v>86111253</v>
      </c>
      <c r="J11" s="22">
        <v>5.7891889457622123E-2</v>
      </c>
      <c r="L11" s="23" t="s">
        <v>91</v>
      </c>
      <c r="M11">
        <f t="shared" si="0"/>
        <v>86111253</v>
      </c>
      <c r="U11" s="28" t="s">
        <v>160</v>
      </c>
      <c r="V11" s="22">
        <f>IFERROR(GETPIVOTDATA("Sum of profit",$D$2,"Product Name",U11),"0")</f>
        <v>6.3058895135674323E-2</v>
      </c>
    </row>
    <row r="12" spans="1:22" x14ac:dyDescent="0.3">
      <c r="A12" s="23" t="s">
        <v>31</v>
      </c>
      <c r="B12" s="30">
        <v>672585490</v>
      </c>
      <c r="C12">
        <f>GETPIVOTDATA("Amount",$A$9)</f>
        <v>1386308853</v>
      </c>
      <c r="D12" s="23" t="s">
        <v>32</v>
      </c>
      <c r="E12" s="30">
        <v>36959073</v>
      </c>
      <c r="F12" s="22">
        <v>2.5919541518264456E-2</v>
      </c>
      <c r="H12" s="23" t="s">
        <v>34</v>
      </c>
      <c r="I12" s="30">
        <v>45902629</v>
      </c>
      <c r="J12" s="22">
        <v>4.1419765001923368E-2</v>
      </c>
      <c r="L12" s="23" t="s">
        <v>34</v>
      </c>
      <c r="M12">
        <f t="shared" si="0"/>
        <v>45902629</v>
      </c>
      <c r="U12" s="28" t="s">
        <v>18</v>
      </c>
      <c r="V12" s="22">
        <f t="shared" ref="V12:V20" si="1">IFERROR(GETPIVOTDATA("Sum of profit",$D$2,"Product Name",U12),"0")</f>
        <v>2.0496417417084387E-2</v>
      </c>
    </row>
    <row r="13" spans="1:22" x14ac:dyDescent="0.3">
      <c r="A13" s="23" t="s">
        <v>442</v>
      </c>
      <c r="B13" s="30">
        <v>1386308853</v>
      </c>
      <c r="D13" s="23" t="s">
        <v>442</v>
      </c>
      <c r="E13" s="30">
        <v>1386308853</v>
      </c>
      <c r="F13" s="22">
        <v>1</v>
      </c>
      <c r="H13" s="23" t="s">
        <v>94</v>
      </c>
      <c r="I13" s="30">
        <v>53553489</v>
      </c>
      <c r="J13" s="22">
        <v>3.3425537288243531E-2</v>
      </c>
      <c r="L13" s="23" t="s">
        <v>94</v>
      </c>
      <c r="M13">
        <f t="shared" si="0"/>
        <v>53553489</v>
      </c>
      <c r="U13" s="28" t="s">
        <v>179</v>
      </c>
      <c r="V13" s="22">
        <f t="shared" si="1"/>
        <v>0.15688156080273188</v>
      </c>
    </row>
    <row r="14" spans="1:22" x14ac:dyDescent="0.3">
      <c r="H14" s="23" t="s">
        <v>59</v>
      </c>
      <c r="I14" s="30">
        <v>83355920</v>
      </c>
      <c r="J14" s="22">
        <v>5.6729734753762272E-2</v>
      </c>
      <c r="L14" s="23" t="s">
        <v>59</v>
      </c>
      <c r="M14">
        <f t="shared" si="0"/>
        <v>83355920</v>
      </c>
      <c r="U14" s="28" t="s">
        <v>117</v>
      </c>
      <c r="V14" s="22">
        <f t="shared" si="1"/>
        <v>0.16863067108383326</v>
      </c>
    </row>
    <row r="15" spans="1:22" x14ac:dyDescent="0.3">
      <c r="H15" s="23" t="s">
        <v>21</v>
      </c>
      <c r="I15" s="30">
        <v>149231339</v>
      </c>
      <c r="J15" s="22">
        <v>0.1118069005960953</v>
      </c>
      <c r="L15" s="23" t="s">
        <v>21</v>
      </c>
      <c r="M15">
        <f t="shared" si="0"/>
        <v>149231339</v>
      </c>
      <c r="U15" s="28" t="s">
        <v>61</v>
      </c>
      <c r="V15" s="22">
        <f t="shared" si="1"/>
        <v>4.6093975820913111E-2</v>
      </c>
    </row>
    <row r="16" spans="1:22" x14ac:dyDescent="0.3">
      <c r="H16" s="23" t="s">
        <v>109</v>
      </c>
      <c r="I16" s="30">
        <v>44475147</v>
      </c>
      <c r="J16" s="22">
        <v>3.3591190954635294E-2</v>
      </c>
      <c r="L16" s="23" t="s">
        <v>109</v>
      </c>
      <c r="M16">
        <f t="shared" si="0"/>
        <v>44475147</v>
      </c>
      <c r="U16" s="28" t="s">
        <v>134</v>
      </c>
      <c r="V16" s="22">
        <f t="shared" si="1"/>
        <v>0.21752806242544345</v>
      </c>
    </row>
    <row r="17" spans="1:22" x14ac:dyDescent="0.3">
      <c r="A17" s="21" t="s">
        <v>450</v>
      </c>
      <c r="B17" t="s">
        <v>447</v>
      </c>
      <c r="H17" s="23" t="s">
        <v>45</v>
      </c>
      <c r="I17" s="30">
        <v>69855079</v>
      </c>
      <c r="J17" s="22">
        <v>5.0390258215380318E-2</v>
      </c>
      <c r="L17" s="23" t="s">
        <v>45</v>
      </c>
      <c r="M17">
        <f t="shared" si="0"/>
        <v>69855079</v>
      </c>
      <c r="U17" s="28" t="s">
        <v>13</v>
      </c>
      <c r="V17" s="22">
        <f t="shared" si="1"/>
        <v>4.1619144564466755E-2</v>
      </c>
    </row>
    <row r="18" spans="1:22" x14ac:dyDescent="0.3">
      <c r="A18" s="23" t="s">
        <v>159</v>
      </c>
      <c r="B18" s="30">
        <v>309443050</v>
      </c>
      <c r="H18" s="23" t="s">
        <v>29</v>
      </c>
      <c r="I18" s="30">
        <v>107173741</v>
      </c>
      <c r="J18" s="22">
        <v>8.1539892676262937E-2</v>
      </c>
      <c r="L18" s="23" t="s">
        <v>29</v>
      </c>
      <c r="M18">
        <f t="shared" si="0"/>
        <v>107173741</v>
      </c>
      <c r="U18" s="28" t="s">
        <v>147</v>
      </c>
      <c r="V18" s="22">
        <f t="shared" si="1"/>
        <v>0.16918556126933956</v>
      </c>
    </row>
    <row r="19" spans="1:22" x14ac:dyDescent="0.3">
      <c r="A19" s="23" t="s">
        <v>12</v>
      </c>
      <c r="B19" s="30">
        <v>401551953</v>
      </c>
      <c r="H19" s="23" t="s">
        <v>37</v>
      </c>
      <c r="I19" s="30">
        <v>18814425</v>
      </c>
      <c r="J19" s="22">
        <v>1.7887223380695733E-2</v>
      </c>
      <c r="L19" s="23" t="s">
        <v>37</v>
      </c>
      <c r="M19">
        <f t="shared" si="0"/>
        <v>18814425</v>
      </c>
      <c r="U19" s="28" t="s">
        <v>79</v>
      </c>
      <c r="V19" s="22">
        <f t="shared" si="1"/>
        <v>9.0586169962248816E-2</v>
      </c>
    </row>
    <row r="20" spans="1:22" x14ac:dyDescent="0.3">
      <c r="A20" s="23" t="s">
        <v>31</v>
      </c>
      <c r="B20" s="30">
        <v>670273213</v>
      </c>
      <c r="C20">
        <f>GETPIVOTDATA("purchase",$A$17)</f>
        <v>1381268216</v>
      </c>
      <c r="H20" s="23" t="s">
        <v>51</v>
      </c>
      <c r="I20" s="30">
        <v>185906897</v>
      </c>
      <c r="J20" s="22">
        <v>0.13432607823177903</v>
      </c>
      <c r="L20" s="23" t="s">
        <v>51</v>
      </c>
      <c r="M20">
        <f t="shared" si="0"/>
        <v>185906897</v>
      </c>
      <c r="U20" s="28" t="s">
        <v>32</v>
      </c>
      <c r="V20" s="22">
        <f t="shared" si="1"/>
        <v>2.5919541518264456E-2</v>
      </c>
    </row>
    <row r="21" spans="1:22" x14ac:dyDescent="0.3">
      <c r="A21" s="23" t="s">
        <v>442</v>
      </c>
      <c r="B21" s="30">
        <v>1381268216</v>
      </c>
      <c r="H21" s="23" t="s">
        <v>102</v>
      </c>
      <c r="I21" s="30">
        <v>52963712</v>
      </c>
      <c r="J21" s="22">
        <v>3.2083841784282426E-2</v>
      </c>
      <c r="L21" s="23" t="s">
        <v>102</v>
      </c>
      <c r="M21">
        <f t="shared" si="0"/>
        <v>52963712</v>
      </c>
      <c r="U21" s="29"/>
      <c r="V21" s="22"/>
    </row>
    <row r="22" spans="1:22" x14ac:dyDescent="0.3">
      <c r="H22" s="23" t="s">
        <v>25</v>
      </c>
      <c r="I22" s="30">
        <v>138703479</v>
      </c>
      <c r="J22" s="22">
        <v>0.10554360490549111</v>
      </c>
      <c r="L22" s="23" t="s">
        <v>25</v>
      </c>
      <c r="M22">
        <f t="shared" si="0"/>
        <v>138703479</v>
      </c>
    </row>
    <row r="23" spans="1:22" x14ac:dyDescent="0.3">
      <c r="H23" s="23" t="s">
        <v>442</v>
      </c>
      <c r="I23" s="30">
        <v>1386308853</v>
      </c>
      <c r="J23" s="22">
        <v>1</v>
      </c>
    </row>
    <row r="24" spans="1:22" x14ac:dyDescent="0.3">
      <c r="A24" s="21" t="s">
        <v>449</v>
      </c>
      <c r="B24" t="s">
        <v>448</v>
      </c>
    </row>
    <row r="25" spans="1:22" x14ac:dyDescent="0.3">
      <c r="A25" s="23" t="s">
        <v>159</v>
      </c>
      <c r="B25" s="30">
        <v>1108640</v>
      </c>
    </row>
    <row r="26" spans="1:22" x14ac:dyDescent="0.3">
      <c r="A26" s="23" t="s">
        <v>12</v>
      </c>
      <c r="B26" s="30">
        <v>1619720</v>
      </c>
      <c r="D26" s="21" t="s">
        <v>449</v>
      </c>
      <c r="E26" t="s">
        <v>447</v>
      </c>
      <c r="F26" t="s">
        <v>448</v>
      </c>
    </row>
    <row r="27" spans="1:22" x14ac:dyDescent="0.3">
      <c r="A27" s="23" t="s">
        <v>31</v>
      </c>
      <c r="B27" s="30">
        <v>2312277</v>
      </c>
      <c r="C27">
        <f>GETPIVOTDATA("profit",$A$24)</f>
        <v>5040637</v>
      </c>
      <c r="D27" s="23" t="s">
        <v>451</v>
      </c>
      <c r="E27" s="30">
        <v>228526174</v>
      </c>
      <c r="F27" s="30">
        <v>924775</v>
      </c>
    </row>
    <row r="28" spans="1:22" x14ac:dyDescent="0.3">
      <c r="A28" s="23" t="s">
        <v>442</v>
      </c>
      <c r="B28" s="30">
        <v>5040637</v>
      </c>
      <c r="D28" s="27" t="s">
        <v>159</v>
      </c>
      <c r="E28" s="30">
        <v>42424116</v>
      </c>
      <c r="F28" s="30">
        <v>149848</v>
      </c>
    </row>
    <row r="29" spans="1:22" x14ac:dyDescent="0.3">
      <c r="D29" s="27" t="s">
        <v>12</v>
      </c>
      <c r="E29" s="30">
        <v>81360623</v>
      </c>
      <c r="F29" s="30">
        <v>367793</v>
      </c>
    </row>
    <row r="30" spans="1:22" x14ac:dyDescent="0.3">
      <c r="D30" s="27" t="s">
        <v>31</v>
      </c>
      <c r="E30" s="30">
        <v>104741435</v>
      </c>
      <c r="F30" s="30">
        <v>407134</v>
      </c>
    </row>
    <row r="31" spans="1:22" x14ac:dyDescent="0.3">
      <c r="D31" s="23" t="s">
        <v>417</v>
      </c>
      <c r="E31" s="30">
        <v>206124495</v>
      </c>
      <c r="F31" s="30">
        <v>762632</v>
      </c>
    </row>
    <row r="32" spans="1:22" x14ac:dyDescent="0.3">
      <c r="D32" s="27" t="s">
        <v>159</v>
      </c>
      <c r="E32" s="30">
        <v>84865681</v>
      </c>
      <c r="F32" s="30">
        <v>291691</v>
      </c>
    </row>
    <row r="33" spans="4:16" x14ac:dyDescent="0.3">
      <c r="D33" s="27" t="s">
        <v>12</v>
      </c>
      <c r="E33" s="30">
        <v>31259585</v>
      </c>
      <c r="F33" s="30">
        <v>149242</v>
      </c>
    </row>
    <row r="34" spans="4:16" x14ac:dyDescent="0.3">
      <c r="D34" s="27" t="s">
        <v>31</v>
      </c>
      <c r="E34" s="30">
        <v>89999229</v>
      </c>
      <c r="F34" s="30">
        <v>321699</v>
      </c>
    </row>
    <row r="35" spans="4:16" x14ac:dyDescent="0.3">
      <c r="D35" s="23" t="s">
        <v>452</v>
      </c>
      <c r="E35" s="30">
        <v>244459659</v>
      </c>
      <c r="F35" s="30">
        <v>866889</v>
      </c>
    </row>
    <row r="36" spans="4:16" x14ac:dyDescent="0.3">
      <c r="D36" s="27" t="s">
        <v>159</v>
      </c>
      <c r="E36" s="30">
        <v>50977471</v>
      </c>
      <c r="F36" s="30">
        <v>185291</v>
      </c>
    </row>
    <row r="37" spans="4:16" x14ac:dyDescent="0.3">
      <c r="D37" s="27" t="s">
        <v>12</v>
      </c>
      <c r="E37" s="30">
        <v>105017890</v>
      </c>
      <c r="F37" s="30">
        <v>349424</v>
      </c>
    </row>
    <row r="38" spans="4:16" x14ac:dyDescent="0.3">
      <c r="D38" s="27" t="s">
        <v>31</v>
      </c>
      <c r="E38" s="30">
        <v>88464298</v>
      </c>
      <c r="F38" s="30">
        <v>332174</v>
      </c>
    </row>
    <row r="39" spans="4:16" x14ac:dyDescent="0.3">
      <c r="D39" s="23" t="s">
        <v>453</v>
      </c>
      <c r="E39" s="30">
        <v>210069372</v>
      </c>
      <c r="F39" s="30">
        <v>813085</v>
      </c>
    </row>
    <row r="40" spans="4:16" x14ac:dyDescent="0.3">
      <c r="D40" s="27" t="s">
        <v>159</v>
      </c>
      <c r="E40" s="30">
        <v>19170958</v>
      </c>
      <c r="F40" s="30">
        <v>116513</v>
      </c>
    </row>
    <row r="41" spans="4:16" x14ac:dyDescent="0.3">
      <c r="D41" s="27" t="s">
        <v>12</v>
      </c>
      <c r="E41" s="30">
        <v>81401149</v>
      </c>
      <c r="F41" s="30">
        <v>346430</v>
      </c>
    </row>
    <row r="42" spans="4:16" x14ac:dyDescent="0.3">
      <c r="D42" s="27" t="s">
        <v>31</v>
      </c>
      <c r="E42" s="30">
        <v>109497265</v>
      </c>
      <c r="F42" s="30">
        <v>350142</v>
      </c>
    </row>
    <row r="43" spans="4:16" x14ac:dyDescent="0.3">
      <c r="D43" s="23" t="s">
        <v>454</v>
      </c>
      <c r="E43" s="30">
        <v>73546965</v>
      </c>
      <c r="F43" s="30">
        <v>239144</v>
      </c>
    </row>
    <row r="44" spans="4:16" x14ac:dyDescent="0.3">
      <c r="D44" s="27" t="s">
        <v>159</v>
      </c>
      <c r="E44" s="30">
        <v>5882626</v>
      </c>
      <c r="F44" s="30">
        <v>14660</v>
      </c>
    </row>
    <row r="45" spans="4:16" x14ac:dyDescent="0.3">
      <c r="D45" s="27" t="s">
        <v>12</v>
      </c>
      <c r="E45" s="30">
        <v>6752383</v>
      </c>
      <c r="F45" s="30">
        <v>36428</v>
      </c>
    </row>
    <row r="46" spans="4:16" x14ac:dyDescent="0.3">
      <c r="D46" s="27" t="s">
        <v>31</v>
      </c>
      <c r="E46" s="30">
        <v>60911956</v>
      </c>
      <c r="F46" s="30">
        <v>188056</v>
      </c>
    </row>
    <row r="47" spans="4:16" x14ac:dyDescent="0.3">
      <c r="D47" s="23" t="s">
        <v>455</v>
      </c>
      <c r="E47" s="30">
        <v>259051650</v>
      </c>
      <c r="F47" s="30">
        <v>872201</v>
      </c>
      <c r="N47" s="21" t="s">
        <v>449</v>
      </c>
      <c r="O47" t="s">
        <v>447</v>
      </c>
      <c r="P47" t="s">
        <v>448</v>
      </c>
    </row>
    <row r="48" spans="4:16" x14ac:dyDescent="0.3">
      <c r="D48" s="27" t="s">
        <v>159</v>
      </c>
      <c r="E48" s="30">
        <v>43585835</v>
      </c>
      <c r="F48" s="30">
        <v>154853</v>
      </c>
      <c r="N48" s="23" t="s">
        <v>451</v>
      </c>
      <c r="O48">
        <v>228526174</v>
      </c>
      <c r="P48">
        <v>924775</v>
      </c>
    </row>
    <row r="49" spans="4:16" x14ac:dyDescent="0.3">
      <c r="D49" s="27" t="s">
        <v>12</v>
      </c>
      <c r="E49" s="30">
        <v>45602873</v>
      </c>
      <c r="F49" s="30">
        <v>195196</v>
      </c>
      <c r="N49" s="23" t="s">
        <v>417</v>
      </c>
      <c r="O49">
        <v>206124495</v>
      </c>
      <c r="P49">
        <v>762632</v>
      </c>
    </row>
    <row r="50" spans="4:16" x14ac:dyDescent="0.3">
      <c r="D50" s="27" t="s">
        <v>31</v>
      </c>
      <c r="E50" s="30">
        <v>169862942</v>
      </c>
      <c r="F50" s="30">
        <v>522152</v>
      </c>
      <c r="N50" s="23" t="s">
        <v>452</v>
      </c>
      <c r="O50">
        <v>244459659</v>
      </c>
      <c r="P50">
        <v>866889</v>
      </c>
    </row>
    <row r="51" spans="4:16" x14ac:dyDescent="0.3">
      <c r="D51" s="23" t="s">
        <v>456</v>
      </c>
      <c r="E51" s="30">
        <v>159489901</v>
      </c>
      <c r="F51" s="30">
        <v>561911</v>
      </c>
      <c r="N51" s="23" t="s">
        <v>453</v>
      </c>
      <c r="O51">
        <v>210069372</v>
      </c>
      <c r="P51">
        <v>813085</v>
      </c>
    </row>
    <row r="52" spans="4:16" x14ac:dyDescent="0.3">
      <c r="D52" s="27" t="s">
        <v>159</v>
      </c>
      <c r="E52" s="30">
        <v>62536363</v>
      </c>
      <c r="F52" s="30">
        <v>195784</v>
      </c>
      <c r="N52" s="23" t="s">
        <v>454</v>
      </c>
      <c r="O52">
        <v>73546965</v>
      </c>
      <c r="P52">
        <v>239144</v>
      </c>
    </row>
    <row r="53" spans="4:16" x14ac:dyDescent="0.3">
      <c r="D53" s="27" t="s">
        <v>12</v>
      </c>
      <c r="E53" s="30">
        <v>50157450</v>
      </c>
      <c r="F53" s="30">
        <v>175207</v>
      </c>
      <c r="N53" s="23" t="s">
        <v>455</v>
      </c>
      <c r="O53">
        <v>259051650</v>
      </c>
      <c r="P53">
        <v>872201</v>
      </c>
    </row>
    <row r="54" spans="4:16" x14ac:dyDescent="0.3">
      <c r="D54" s="27" t="s">
        <v>31</v>
      </c>
      <c r="E54" s="30">
        <v>46796088</v>
      </c>
      <c r="F54" s="30">
        <v>190920</v>
      </c>
      <c r="N54" s="23" t="s">
        <v>456</v>
      </c>
      <c r="O54">
        <v>159489901</v>
      </c>
      <c r="P54">
        <v>561911</v>
      </c>
    </row>
    <row r="55" spans="4:16" x14ac:dyDescent="0.3">
      <c r="D55" s="23" t="s">
        <v>442</v>
      </c>
      <c r="E55" s="30">
        <v>1381268216</v>
      </c>
      <c r="F55" s="30">
        <v>5040637</v>
      </c>
      <c r="N55" s="23" t="s">
        <v>442</v>
      </c>
      <c r="O55">
        <v>1381268216</v>
      </c>
      <c r="P55">
        <v>5040637</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8354-29B0-460C-9215-AAF1611C0D2B}">
  <sheetPr codeName="Sheet4"/>
  <dimension ref="A1:O331"/>
  <sheetViews>
    <sheetView zoomScale="94" zoomScaleNormal="94" workbookViewId="0">
      <selection activeCell="O2" sqref="O2"/>
    </sheetView>
  </sheetViews>
  <sheetFormatPr defaultRowHeight="14.4" x14ac:dyDescent="0.3"/>
  <cols>
    <col min="1" max="1" width="7" bestFit="1" customWidth="1"/>
    <col min="2" max="2" width="16.44140625" style="13" customWidth="1"/>
    <col min="3" max="3" width="14.44140625" customWidth="1"/>
    <col min="4" max="4" width="27.77734375" bestFit="1" customWidth="1"/>
    <col min="5" max="5" width="12.44140625" bestFit="1" customWidth="1"/>
    <col min="6" max="6" width="19.44140625" bestFit="1" customWidth="1"/>
    <col min="7" max="7" width="21.5546875" bestFit="1" customWidth="1"/>
    <col min="8" max="8" width="14.77734375" bestFit="1" customWidth="1"/>
    <col min="9" max="9" width="16.77734375" bestFit="1" customWidth="1"/>
    <col min="10" max="10" width="10.5546875" bestFit="1" customWidth="1"/>
    <col min="11" max="11" width="12.21875" bestFit="1" customWidth="1"/>
    <col min="12" max="12" width="7.109375" bestFit="1" customWidth="1"/>
    <col min="13" max="13" width="17.44140625" bestFit="1" customWidth="1"/>
    <col min="16" max="16" width="13.6640625" customWidth="1"/>
    <col min="17" max="17" width="14.109375" customWidth="1"/>
  </cols>
  <sheetData>
    <row r="1" spans="1:15" ht="21.6" thickBot="1" x14ac:dyDescent="0.35">
      <c r="A1" s="1" t="s">
        <v>0</v>
      </c>
      <c r="B1" s="14" t="s">
        <v>415</v>
      </c>
      <c r="C1" s="10" t="s">
        <v>416</v>
      </c>
      <c r="D1" s="2" t="s">
        <v>1</v>
      </c>
      <c r="E1" s="2" t="s">
        <v>2</v>
      </c>
      <c r="F1" s="2" t="s">
        <v>3</v>
      </c>
      <c r="G1" s="2" t="s">
        <v>4</v>
      </c>
      <c r="H1" s="2" t="s">
        <v>5</v>
      </c>
      <c r="I1" s="2" t="s">
        <v>6</v>
      </c>
      <c r="J1" s="2" t="s">
        <v>7</v>
      </c>
      <c r="K1" s="2" t="s">
        <v>8</v>
      </c>
      <c r="L1" s="2" t="s">
        <v>9</v>
      </c>
      <c r="M1" s="3" t="s">
        <v>10</v>
      </c>
      <c r="N1" s="3" t="s">
        <v>445</v>
      </c>
      <c r="O1" s="3" t="s">
        <v>446</v>
      </c>
    </row>
    <row r="2" spans="1:15" ht="15.6" thickTop="1" thickBot="1" x14ac:dyDescent="0.35">
      <c r="A2" s="4">
        <v>1</v>
      </c>
      <c r="B2" s="12">
        <v>45383</v>
      </c>
      <c r="C2" s="11" t="str">
        <f>TEXT(B2,"mmmm")</f>
        <v>April</v>
      </c>
      <c r="D2" s="5" t="s">
        <v>11</v>
      </c>
      <c r="E2" s="5" t="s">
        <v>12</v>
      </c>
      <c r="F2" s="5" t="s">
        <v>13</v>
      </c>
      <c r="G2" s="5" t="s">
        <v>14</v>
      </c>
      <c r="H2" s="5" t="s">
        <v>15</v>
      </c>
      <c r="I2" s="5" t="s">
        <v>15</v>
      </c>
      <c r="J2" s="5" t="s">
        <v>16</v>
      </c>
      <c r="K2" s="5">
        <v>4292</v>
      </c>
      <c r="L2" s="5">
        <v>783</v>
      </c>
      <c r="M2" s="6">
        <f>K2*L2</f>
        <v>3360636</v>
      </c>
      <c r="N2" s="6">
        <v>3344422</v>
      </c>
      <c r="O2" s="6">
        <f>M2-N2</f>
        <v>16214</v>
      </c>
    </row>
    <row r="3" spans="1:15" ht="15.6" thickTop="1" thickBot="1" x14ac:dyDescent="0.35">
      <c r="A3" s="4">
        <v>2</v>
      </c>
      <c r="B3" s="12">
        <v>45383</v>
      </c>
      <c r="C3" s="11" t="str">
        <f t="shared" ref="C3:C66" si="0">TEXT(B3,"mmmm")</f>
        <v>April</v>
      </c>
      <c r="D3" s="5" t="s">
        <v>17</v>
      </c>
      <c r="E3" s="5" t="s">
        <v>12</v>
      </c>
      <c r="F3" s="5" t="s">
        <v>18</v>
      </c>
      <c r="G3" s="5" t="s">
        <v>19</v>
      </c>
      <c r="H3" s="5" t="s">
        <v>20</v>
      </c>
      <c r="I3" s="5" t="s">
        <v>21</v>
      </c>
      <c r="J3" s="5" t="s">
        <v>16</v>
      </c>
      <c r="K3" s="5">
        <v>8037</v>
      </c>
      <c r="L3" s="5">
        <v>578</v>
      </c>
      <c r="M3" s="6">
        <v>4645386</v>
      </c>
      <c r="N3" s="6">
        <v>4629823</v>
      </c>
      <c r="O3" s="6">
        <f t="shared" ref="O3:O66" si="1">M3-N3</f>
        <v>15563</v>
      </c>
    </row>
    <row r="4" spans="1:15" ht="15.6" thickTop="1" thickBot="1" x14ac:dyDescent="0.35">
      <c r="A4" s="4">
        <v>3</v>
      </c>
      <c r="B4" s="12">
        <v>45383</v>
      </c>
      <c r="C4" s="11" t="str">
        <f t="shared" si="0"/>
        <v>April</v>
      </c>
      <c r="D4" s="5" t="s">
        <v>22</v>
      </c>
      <c r="E4" s="5" t="s">
        <v>12</v>
      </c>
      <c r="F4" s="5" t="s">
        <v>18</v>
      </c>
      <c r="G4" s="5" t="s">
        <v>23</v>
      </c>
      <c r="H4" s="5" t="s">
        <v>24</v>
      </c>
      <c r="I4" s="5" t="s">
        <v>25</v>
      </c>
      <c r="J4" s="5" t="s">
        <v>16</v>
      </c>
      <c r="K4" s="5">
        <v>2415</v>
      </c>
      <c r="L4" s="5">
        <v>631</v>
      </c>
      <c r="M4" s="6">
        <v>1523865</v>
      </c>
      <c r="N4" s="6">
        <v>1508959</v>
      </c>
      <c r="O4" s="6">
        <f t="shared" si="1"/>
        <v>14906</v>
      </c>
    </row>
    <row r="5" spans="1:15" ht="15.6" thickTop="1" thickBot="1" x14ac:dyDescent="0.35">
      <c r="A5" s="4">
        <v>4</v>
      </c>
      <c r="B5" s="12">
        <v>45383</v>
      </c>
      <c r="C5" s="11" t="str">
        <f t="shared" si="0"/>
        <v>April</v>
      </c>
      <c r="D5" s="5" t="s">
        <v>26</v>
      </c>
      <c r="E5" s="5" t="s">
        <v>12</v>
      </c>
      <c r="F5" s="5" t="s">
        <v>18</v>
      </c>
      <c r="G5" s="5" t="s">
        <v>27</v>
      </c>
      <c r="H5" s="5" t="s">
        <v>28</v>
      </c>
      <c r="I5" s="5" t="s">
        <v>29</v>
      </c>
      <c r="J5" s="5" t="s">
        <v>16</v>
      </c>
      <c r="K5" s="5">
        <v>3941</v>
      </c>
      <c r="L5" s="5">
        <v>905</v>
      </c>
      <c r="M5" s="6">
        <v>3566605</v>
      </c>
      <c r="N5" s="6">
        <v>3551001</v>
      </c>
      <c r="O5" s="6">
        <f t="shared" si="1"/>
        <v>15604</v>
      </c>
    </row>
    <row r="6" spans="1:15" ht="15.6" thickTop="1" thickBot="1" x14ac:dyDescent="0.35">
      <c r="A6" s="4">
        <v>5</v>
      </c>
      <c r="B6" s="12">
        <v>45383</v>
      </c>
      <c r="C6" s="11" t="str">
        <f t="shared" si="0"/>
        <v>April</v>
      </c>
      <c r="D6" s="5" t="s">
        <v>30</v>
      </c>
      <c r="E6" s="5" t="s">
        <v>31</v>
      </c>
      <c r="F6" s="5" t="s">
        <v>32</v>
      </c>
      <c r="G6" s="5" t="s">
        <v>27</v>
      </c>
      <c r="H6" s="5" t="s">
        <v>33</v>
      </c>
      <c r="I6" s="5" t="s">
        <v>34</v>
      </c>
      <c r="J6" s="5" t="s">
        <v>16</v>
      </c>
      <c r="K6" s="5">
        <v>4607</v>
      </c>
      <c r="L6" s="5">
        <v>813</v>
      </c>
      <c r="M6" s="6">
        <v>3745491</v>
      </c>
      <c r="N6" s="6">
        <v>3727213</v>
      </c>
      <c r="O6" s="6">
        <f t="shared" si="1"/>
        <v>18278</v>
      </c>
    </row>
    <row r="7" spans="1:15" ht="15.6" thickTop="1" thickBot="1" x14ac:dyDescent="0.35">
      <c r="A7" s="4">
        <v>6</v>
      </c>
      <c r="B7" s="12">
        <v>45384</v>
      </c>
      <c r="C7" s="11" t="str">
        <f t="shared" si="0"/>
        <v>April</v>
      </c>
      <c r="D7" s="5" t="s">
        <v>35</v>
      </c>
      <c r="E7" s="5" t="s">
        <v>31</v>
      </c>
      <c r="F7" s="5" t="s">
        <v>32</v>
      </c>
      <c r="G7" s="5" t="s">
        <v>27</v>
      </c>
      <c r="H7" s="5" t="s">
        <v>36</v>
      </c>
      <c r="I7" s="5" t="s">
        <v>37</v>
      </c>
      <c r="J7" s="5" t="s">
        <v>16</v>
      </c>
      <c r="K7" s="5">
        <v>4261</v>
      </c>
      <c r="L7" s="5">
        <v>954</v>
      </c>
      <c r="M7" s="6">
        <v>4064994</v>
      </c>
      <c r="N7" s="6">
        <v>4049674</v>
      </c>
      <c r="O7" s="6">
        <f t="shared" si="1"/>
        <v>15320</v>
      </c>
    </row>
    <row r="8" spans="1:15" ht="15.6" thickTop="1" thickBot="1" x14ac:dyDescent="0.35">
      <c r="A8" s="4">
        <v>7</v>
      </c>
      <c r="B8" s="12">
        <v>45384</v>
      </c>
      <c r="C8" s="11" t="str">
        <f t="shared" si="0"/>
        <v>April</v>
      </c>
      <c r="D8" s="5" t="s">
        <v>38</v>
      </c>
      <c r="E8" s="5" t="s">
        <v>31</v>
      </c>
      <c r="F8" s="5" t="s">
        <v>32</v>
      </c>
      <c r="G8" s="5" t="s">
        <v>19</v>
      </c>
      <c r="H8" s="5" t="s">
        <v>39</v>
      </c>
      <c r="I8" s="5" t="s">
        <v>40</v>
      </c>
      <c r="J8" s="5" t="s">
        <v>16</v>
      </c>
      <c r="K8" s="5">
        <v>9084</v>
      </c>
      <c r="L8" s="5">
        <v>610</v>
      </c>
      <c r="M8" s="6">
        <v>5541240</v>
      </c>
      <c r="N8" s="6">
        <v>5523413</v>
      </c>
      <c r="O8" s="6">
        <f t="shared" si="1"/>
        <v>17827</v>
      </c>
    </row>
    <row r="9" spans="1:15" ht="15.6" thickTop="1" thickBot="1" x14ac:dyDescent="0.35">
      <c r="A9" s="4">
        <v>8</v>
      </c>
      <c r="B9" s="12">
        <v>45384</v>
      </c>
      <c r="C9" s="11" t="str">
        <f t="shared" si="0"/>
        <v>April</v>
      </c>
      <c r="D9" s="5" t="s">
        <v>41</v>
      </c>
      <c r="E9" s="5" t="s">
        <v>31</v>
      </c>
      <c r="F9" s="5" t="s">
        <v>32</v>
      </c>
      <c r="G9" s="5" t="s">
        <v>19</v>
      </c>
      <c r="H9" s="5" t="s">
        <v>42</v>
      </c>
      <c r="I9" s="5" t="s">
        <v>21</v>
      </c>
      <c r="J9" s="5" t="s">
        <v>16</v>
      </c>
      <c r="K9" s="5">
        <v>6694</v>
      </c>
      <c r="L9" s="5">
        <v>742</v>
      </c>
      <c r="M9" s="6">
        <v>4966948</v>
      </c>
      <c r="N9" s="6">
        <v>4948353</v>
      </c>
      <c r="O9" s="6">
        <f t="shared" si="1"/>
        <v>18595</v>
      </c>
    </row>
    <row r="10" spans="1:15" ht="15.6" thickTop="1" thickBot="1" x14ac:dyDescent="0.35">
      <c r="A10" s="4">
        <v>9</v>
      </c>
      <c r="B10" s="12">
        <v>45385</v>
      </c>
      <c r="C10" s="11" t="str">
        <f t="shared" si="0"/>
        <v>April</v>
      </c>
      <c r="D10" s="5" t="s">
        <v>43</v>
      </c>
      <c r="E10" s="5" t="s">
        <v>12</v>
      </c>
      <c r="F10" s="5" t="s">
        <v>13</v>
      </c>
      <c r="G10" s="5" t="s">
        <v>14</v>
      </c>
      <c r="H10" s="5" t="s">
        <v>44</v>
      </c>
      <c r="I10" s="5" t="s">
        <v>45</v>
      </c>
      <c r="J10" s="5" t="s">
        <v>46</v>
      </c>
      <c r="K10" s="5">
        <v>2678</v>
      </c>
      <c r="L10" s="5">
        <v>567</v>
      </c>
      <c r="M10" s="6">
        <v>1518426</v>
      </c>
      <c r="N10" s="6">
        <v>1502432</v>
      </c>
      <c r="O10" s="6">
        <f t="shared" si="1"/>
        <v>15994</v>
      </c>
    </row>
    <row r="11" spans="1:15" ht="15.6" thickTop="1" thickBot="1" x14ac:dyDescent="0.35">
      <c r="A11" s="4">
        <v>10</v>
      </c>
      <c r="B11" s="12">
        <v>45385</v>
      </c>
      <c r="C11" s="11" t="str">
        <f t="shared" si="0"/>
        <v>April</v>
      </c>
      <c r="D11" s="5" t="s">
        <v>47</v>
      </c>
      <c r="E11" s="5" t="s">
        <v>12</v>
      </c>
      <c r="F11" s="5" t="s">
        <v>13</v>
      </c>
      <c r="G11" s="5" t="s">
        <v>19</v>
      </c>
      <c r="H11" s="5" t="s">
        <v>48</v>
      </c>
      <c r="I11" s="5" t="s">
        <v>40</v>
      </c>
      <c r="J11" s="5" t="s">
        <v>46</v>
      </c>
      <c r="K11" s="5">
        <v>1631</v>
      </c>
      <c r="L11" s="5">
        <v>508</v>
      </c>
      <c r="M11" s="6">
        <v>828548</v>
      </c>
      <c r="N11" s="6">
        <v>818249</v>
      </c>
      <c r="O11" s="6">
        <f t="shared" si="1"/>
        <v>10299</v>
      </c>
    </row>
    <row r="12" spans="1:15" ht="15.6" thickTop="1" thickBot="1" x14ac:dyDescent="0.35">
      <c r="A12" s="4">
        <v>11</v>
      </c>
      <c r="B12" s="12">
        <v>45385</v>
      </c>
      <c r="C12" s="11" t="str">
        <f t="shared" si="0"/>
        <v>April</v>
      </c>
      <c r="D12" s="5" t="s">
        <v>49</v>
      </c>
      <c r="E12" s="5" t="s">
        <v>12</v>
      </c>
      <c r="F12" s="5" t="s">
        <v>13</v>
      </c>
      <c r="G12" s="5" t="s">
        <v>14</v>
      </c>
      <c r="H12" s="5" t="s">
        <v>50</v>
      </c>
      <c r="I12" s="5" t="s">
        <v>51</v>
      </c>
      <c r="J12" s="5" t="s">
        <v>46</v>
      </c>
      <c r="K12" s="5">
        <v>4171</v>
      </c>
      <c r="L12" s="5">
        <v>643</v>
      </c>
      <c r="M12" s="6">
        <v>2681953</v>
      </c>
      <c r="N12" s="6">
        <v>2668897</v>
      </c>
      <c r="O12" s="6">
        <f t="shared" si="1"/>
        <v>13056</v>
      </c>
    </row>
    <row r="13" spans="1:15" ht="15.6" thickTop="1" thickBot="1" x14ac:dyDescent="0.35">
      <c r="A13" s="4">
        <v>12</v>
      </c>
      <c r="B13" s="12">
        <v>45385</v>
      </c>
      <c r="C13" s="11" t="str">
        <f t="shared" si="0"/>
        <v>April</v>
      </c>
      <c r="D13" s="5" t="s">
        <v>52</v>
      </c>
      <c r="E13" s="5" t="s">
        <v>12</v>
      </c>
      <c r="F13" s="5" t="s">
        <v>13</v>
      </c>
      <c r="G13" s="5" t="s">
        <v>14</v>
      </c>
      <c r="H13" s="5" t="s">
        <v>53</v>
      </c>
      <c r="I13" s="5" t="s">
        <v>51</v>
      </c>
      <c r="J13" s="5" t="s">
        <v>46</v>
      </c>
      <c r="K13" s="5">
        <v>4283</v>
      </c>
      <c r="L13" s="5">
        <v>804</v>
      </c>
      <c r="M13" s="6">
        <v>3443532</v>
      </c>
      <c r="N13" s="6">
        <v>3428241</v>
      </c>
      <c r="O13" s="6">
        <f t="shared" si="1"/>
        <v>15291</v>
      </c>
    </row>
    <row r="14" spans="1:15" ht="15.6" thickTop="1" thickBot="1" x14ac:dyDescent="0.35">
      <c r="A14" s="4">
        <v>13</v>
      </c>
      <c r="B14" s="12">
        <v>45386</v>
      </c>
      <c r="C14" s="11" t="str">
        <f t="shared" si="0"/>
        <v>April</v>
      </c>
      <c r="D14" s="5" t="s">
        <v>54</v>
      </c>
      <c r="E14" s="5" t="s">
        <v>12</v>
      </c>
      <c r="F14" s="5" t="s">
        <v>13</v>
      </c>
      <c r="G14" s="5" t="s">
        <v>19</v>
      </c>
      <c r="H14" s="5" t="s">
        <v>55</v>
      </c>
      <c r="I14" s="5" t="s">
        <v>21</v>
      </c>
      <c r="J14" s="5" t="s">
        <v>46</v>
      </c>
      <c r="K14" s="5">
        <v>4249</v>
      </c>
      <c r="L14" s="5">
        <v>842</v>
      </c>
      <c r="M14" s="6">
        <v>3577658</v>
      </c>
      <c r="N14" s="6">
        <v>3562853</v>
      </c>
      <c r="O14" s="6">
        <f t="shared" si="1"/>
        <v>14805</v>
      </c>
    </row>
    <row r="15" spans="1:15" ht="15.6" thickTop="1" thickBot="1" x14ac:dyDescent="0.35">
      <c r="A15" s="4">
        <v>14</v>
      </c>
      <c r="B15" s="12">
        <v>45386</v>
      </c>
      <c r="C15" s="11" t="str">
        <f t="shared" si="0"/>
        <v>April</v>
      </c>
      <c r="D15" s="5" t="s">
        <v>56</v>
      </c>
      <c r="E15" s="5" t="s">
        <v>12</v>
      </c>
      <c r="F15" s="5" t="s">
        <v>13</v>
      </c>
      <c r="G15" s="5" t="s">
        <v>57</v>
      </c>
      <c r="H15" s="5" t="s">
        <v>58</v>
      </c>
      <c r="I15" s="5" t="s">
        <v>59</v>
      </c>
      <c r="J15" s="5" t="s">
        <v>46</v>
      </c>
      <c r="K15" s="5">
        <v>1902</v>
      </c>
      <c r="L15" s="5">
        <v>671</v>
      </c>
      <c r="M15" s="6">
        <v>1276242</v>
      </c>
      <c r="N15" s="6">
        <v>1259930</v>
      </c>
      <c r="O15" s="6">
        <f t="shared" si="1"/>
        <v>16312</v>
      </c>
    </row>
    <row r="16" spans="1:15" ht="15.6" thickTop="1" thickBot="1" x14ac:dyDescent="0.35">
      <c r="A16" s="4">
        <v>15</v>
      </c>
      <c r="B16" s="12">
        <v>45386</v>
      </c>
      <c r="C16" s="11" t="str">
        <f t="shared" si="0"/>
        <v>April</v>
      </c>
      <c r="D16" s="5" t="s">
        <v>60</v>
      </c>
      <c r="E16" s="5" t="s">
        <v>31</v>
      </c>
      <c r="F16" s="5" t="s">
        <v>61</v>
      </c>
      <c r="G16" s="5" t="s">
        <v>19</v>
      </c>
      <c r="H16" s="5" t="s">
        <v>62</v>
      </c>
      <c r="I16" s="5" t="s">
        <v>21</v>
      </c>
      <c r="J16" s="5" t="s">
        <v>46</v>
      </c>
      <c r="K16" s="5">
        <v>6166</v>
      </c>
      <c r="L16" s="5">
        <v>894</v>
      </c>
      <c r="M16" s="6">
        <v>5512404</v>
      </c>
      <c r="N16" s="6">
        <v>5498388</v>
      </c>
      <c r="O16" s="6">
        <f t="shared" si="1"/>
        <v>14016</v>
      </c>
    </row>
    <row r="17" spans="1:15" ht="15.6" thickTop="1" thickBot="1" x14ac:dyDescent="0.35">
      <c r="A17" s="4">
        <v>16</v>
      </c>
      <c r="B17" s="12">
        <v>45386</v>
      </c>
      <c r="C17" s="11" t="str">
        <f t="shared" si="0"/>
        <v>April</v>
      </c>
      <c r="D17" s="5" t="s">
        <v>63</v>
      </c>
      <c r="E17" s="5" t="s">
        <v>31</v>
      </c>
      <c r="F17" s="5" t="s">
        <v>61</v>
      </c>
      <c r="G17" s="5" t="s">
        <v>64</v>
      </c>
      <c r="H17" s="5" t="s">
        <v>65</v>
      </c>
      <c r="I17" s="5" t="s">
        <v>65</v>
      </c>
      <c r="J17" s="5" t="s">
        <v>46</v>
      </c>
      <c r="K17" s="5">
        <v>3669</v>
      </c>
      <c r="L17" s="5">
        <v>541</v>
      </c>
      <c r="M17" s="6">
        <v>1984929</v>
      </c>
      <c r="N17" s="6">
        <v>1967881</v>
      </c>
      <c r="O17" s="6">
        <f t="shared" si="1"/>
        <v>17048</v>
      </c>
    </row>
    <row r="18" spans="1:15" ht="15.6" thickTop="1" thickBot="1" x14ac:dyDescent="0.35">
      <c r="A18" s="4">
        <v>17</v>
      </c>
      <c r="B18" s="12">
        <v>45386</v>
      </c>
      <c r="C18" s="11" t="str">
        <f t="shared" si="0"/>
        <v>April</v>
      </c>
      <c r="D18" s="5" t="s">
        <v>66</v>
      </c>
      <c r="E18" s="5" t="s">
        <v>31</v>
      </c>
      <c r="F18" s="5" t="s">
        <v>61</v>
      </c>
      <c r="G18" s="5" t="s">
        <v>57</v>
      </c>
      <c r="H18" s="5" t="s">
        <v>67</v>
      </c>
      <c r="I18" s="5" t="s">
        <v>59</v>
      </c>
      <c r="J18" s="5" t="s">
        <v>46</v>
      </c>
      <c r="K18" s="5">
        <v>4667</v>
      </c>
      <c r="L18" s="5">
        <v>646</v>
      </c>
      <c r="M18" s="6">
        <v>3014882</v>
      </c>
      <c r="N18" s="6">
        <v>2996536</v>
      </c>
      <c r="O18" s="6">
        <f t="shared" si="1"/>
        <v>18346</v>
      </c>
    </row>
    <row r="19" spans="1:15" ht="15.6" thickTop="1" thickBot="1" x14ac:dyDescent="0.35">
      <c r="A19" s="4">
        <v>18</v>
      </c>
      <c r="B19" s="12">
        <v>45385</v>
      </c>
      <c r="C19" s="11" t="str">
        <f t="shared" si="0"/>
        <v>April</v>
      </c>
      <c r="D19" s="5" t="s">
        <v>68</v>
      </c>
      <c r="E19" s="5" t="s">
        <v>31</v>
      </c>
      <c r="F19" s="5" t="s">
        <v>61</v>
      </c>
      <c r="G19" s="5" t="s">
        <v>27</v>
      </c>
      <c r="H19" s="5" t="s">
        <v>69</v>
      </c>
      <c r="I19" s="5" t="s">
        <v>70</v>
      </c>
      <c r="J19" s="5" t="s">
        <v>46</v>
      </c>
      <c r="K19" s="5">
        <v>6722</v>
      </c>
      <c r="L19" s="5">
        <v>671</v>
      </c>
      <c r="M19" s="6">
        <v>4510462</v>
      </c>
      <c r="N19" s="6">
        <v>4490617</v>
      </c>
      <c r="O19" s="6">
        <f t="shared" si="1"/>
        <v>19845</v>
      </c>
    </row>
    <row r="20" spans="1:15" ht="15.6" thickTop="1" thickBot="1" x14ac:dyDescent="0.35">
      <c r="A20" s="4">
        <v>19</v>
      </c>
      <c r="B20" s="12">
        <v>45390</v>
      </c>
      <c r="C20" s="11" t="str">
        <f t="shared" si="0"/>
        <v>April</v>
      </c>
      <c r="D20" s="5" t="s">
        <v>71</v>
      </c>
      <c r="E20" s="5" t="s">
        <v>31</v>
      </c>
      <c r="F20" s="5" t="s">
        <v>61</v>
      </c>
      <c r="G20" s="5" t="s">
        <v>23</v>
      </c>
      <c r="H20" s="5" t="s">
        <v>72</v>
      </c>
      <c r="I20" s="5" t="s">
        <v>73</v>
      </c>
      <c r="J20" s="5" t="s">
        <v>46</v>
      </c>
      <c r="K20" s="5">
        <v>8821</v>
      </c>
      <c r="L20" s="5">
        <v>611</v>
      </c>
      <c r="M20" s="6">
        <v>5389631</v>
      </c>
      <c r="N20" s="6">
        <v>5372662</v>
      </c>
      <c r="O20" s="6">
        <f t="shared" si="1"/>
        <v>16969</v>
      </c>
    </row>
    <row r="21" spans="1:15" ht="15.6" thickTop="1" thickBot="1" x14ac:dyDescent="0.35">
      <c r="A21" s="4">
        <v>20</v>
      </c>
      <c r="B21" s="12">
        <v>45392</v>
      </c>
      <c r="C21" s="11" t="str">
        <f t="shared" si="0"/>
        <v>April</v>
      </c>
      <c r="D21" s="5" t="s">
        <v>74</v>
      </c>
      <c r="E21" s="5" t="s">
        <v>31</v>
      </c>
      <c r="F21" s="5" t="s">
        <v>61</v>
      </c>
      <c r="G21" s="5" t="s">
        <v>19</v>
      </c>
      <c r="H21" s="5" t="s">
        <v>75</v>
      </c>
      <c r="I21" s="5" t="s">
        <v>40</v>
      </c>
      <c r="J21" s="5" t="s">
        <v>16</v>
      </c>
      <c r="K21" s="5">
        <v>5603</v>
      </c>
      <c r="L21" s="5">
        <v>671</v>
      </c>
      <c r="M21" s="6">
        <v>3759613</v>
      </c>
      <c r="N21" s="6">
        <v>3742457</v>
      </c>
      <c r="O21" s="6">
        <f t="shared" si="1"/>
        <v>17156</v>
      </c>
    </row>
    <row r="22" spans="1:15" ht="15.6" thickTop="1" thickBot="1" x14ac:dyDescent="0.35">
      <c r="A22" s="4">
        <v>21</v>
      </c>
      <c r="B22" s="12">
        <v>45394</v>
      </c>
      <c r="C22" s="11" t="str">
        <f t="shared" si="0"/>
        <v>April</v>
      </c>
      <c r="D22" s="5" t="s">
        <v>76</v>
      </c>
      <c r="E22" s="5" t="s">
        <v>31</v>
      </c>
      <c r="F22" s="5" t="s">
        <v>61</v>
      </c>
      <c r="G22" s="5" t="s">
        <v>14</v>
      </c>
      <c r="H22" s="5" t="s">
        <v>77</v>
      </c>
      <c r="I22" s="5" t="s">
        <v>51</v>
      </c>
      <c r="J22" s="5" t="s">
        <v>16</v>
      </c>
      <c r="K22" s="5">
        <v>9513</v>
      </c>
      <c r="L22" s="5">
        <v>632</v>
      </c>
      <c r="M22" s="6">
        <v>6012216</v>
      </c>
      <c r="N22" s="6">
        <v>5994778</v>
      </c>
      <c r="O22" s="6">
        <f t="shared" si="1"/>
        <v>17438</v>
      </c>
    </row>
    <row r="23" spans="1:15" ht="15.6" thickTop="1" thickBot="1" x14ac:dyDescent="0.35">
      <c r="A23" s="4">
        <v>22</v>
      </c>
      <c r="B23" s="12">
        <v>45397</v>
      </c>
      <c r="C23" s="11" t="str">
        <f t="shared" si="0"/>
        <v>April</v>
      </c>
      <c r="D23" s="5" t="s">
        <v>78</v>
      </c>
      <c r="E23" s="5" t="s">
        <v>12</v>
      </c>
      <c r="F23" s="5" t="s">
        <v>79</v>
      </c>
      <c r="G23" s="5" t="s">
        <v>14</v>
      </c>
      <c r="H23" s="5" t="s">
        <v>80</v>
      </c>
      <c r="I23" s="5" t="s">
        <v>51</v>
      </c>
      <c r="J23" s="5" t="s">
        <v>16</v>
      </c>
      <c r="K23" s="5">
        <v>9633</v>
      </c>
      <c r="L23" s="5">
        <v>891</v>
      </c>
      <c r="M23" s="6">
        <v>8583003</v>
      </c>
      <c r="N23" s="6">
        <v>8569968</v>
      </c>
      <c r="O23" s="6">
        <f t="shared" si="1"/>
        <v>13035</v>
      </c>
    </row>
    <row r="24" spans="1:15" ht="15.6" thickTop="1" thickBot="1" x14ac:dyDescent="0.35">
      <c r="A24" s="4">
        <v>23</v>
      </c>
      <c r="B24" s="12">
        <v>45400</v>
      </c>
      <c r="C24" s="11" t="str">
        <f t="shared" si="0"/>
        <v>April</v>
      </c>
      <c r="D24" s="5" t="s">
        <v>81</v>
      </c>
      <c r="E24" s="5" t="s">
        <v>12</v>
      </c>
      <c r="F24" s="5" t="s">
        <v>79</v>
      </c>
      <c r="G24" s="5" t="s">
        <v>27</v>
      </c>
      <c r="H24" s="5" t="s">
        <v>82</v>
      </c>
      <c r="I24" s="5" t="s">
        <v>29</v>
      </c>
      <c r="J24" s="5" t="s">
        <v>16</v>
      </c>
      <c r="K24" s="5">
        <v>4332</v>
      </c>
      <c r="L24" s="5">
        <v>858</v>
      </c>
      <c r="M24" s="6">
        <v>3716856</v>
      </c>
      <c r="N24" s="6">
        <v>3697025</v>
      </c>
      <c r="O24" s="6">
        <f t="shared" si="1"/>
        <v>19831</v>
      </c>
    </row>
    <row r="25" spans="1:15" ht="15.6" thickTop="1" thickBot="1" x14ac:dyDescent="0.35">
      <c r="A25" s="4">
        <v>24</v>
      </c>
      <c r="B25" s="12">
        <v>45402</v>
      </c>
      <c r="C25" s="11" t="str">
        <f t="shared" si="0"/>
        <v>April</v>
      </c>
      <c r="D25" s="5" t="s">
        <v>83</v>
      </c>
      <c r="E25" s="5" t="s">
        <v>12</v>
      </c>
      <c r="F25" s="5" t="s">
        <v>79</v>
      </c>
      <c r="G25" s="5" t="s">
        <v>27</v>
      </c>
      <c r="H25" s="5" t="s">
        <v>84</v>
      </c>
      <c r="I25" s="5" t="s">
        <v>29</v>
      </c>
      <c r="J25" s="5" t="s">
        <v>16</v>
      </c>
      <c r="K25" s="5">
        <v>1995</v>
      </c>
      <c r="L25" s="5">
        <v>897</v>
      </c>
      <c r="M25" s="6">
        <v>1789515</v>
      </c>
      <c r="N25" s="6">
        <v>1772580</v>
      </c>
      <c r="O25" s="6">
        <f t="shared" si="1"/>
        <v>16935</v>
      </c>
    </row>
    <row r="26" spans="1:15" ht="15.6" thickTop="1" thickBot="1" x14ac:dyDescent="0.35">
      <c r="A26" s="4">
        <v>25</v>
      </c>
      <c r="B26" s="12">
        <v>45404</v>
      </c>
      <c r="C26" s="11" t="str">
        <f t="shared" si="0"/>
        <v>April</v>
      </c>
      <c r="D26" s="5" t="s">
        <v>85</v>
      </c>
      <c r="E26" s="5" t="s">
        <v>12</v>
      </c>
      <c r="F26" s="5" t="s">
        <v>79</v>
      </c>
      <c r="G26" s="5" t="s">
        <v>14</v>
      </c>
      <c r="H26" s="5" t="s">
        <v>86</v>
      </c>
      <c r="I26" s="5" t="s">
        <v>45</v>
      </c>
      <c r="J26" s="5" t="s">
        <v>46</v>
      </c>
      <c r="K26" s="5">
        <v>3691</v>
      </c>
      <c r="L26" s="5">
        <v>940</v>
      </c>
      <c r="M26" s="6">
        <v>3469540</v>
      </c>
      <c r="N26" s="6">
        <v>3454412</v>
      </c>
      <c r="O26" s="6">
        <f t="shared" si="1"/>
        <v>15128</v>
      </c>
    </row>
    <row r="27" spans="1:15" ht="15.6" thickTop="1" thickBot="1" x14ac:dyDescent="0.35">
      <c r="A27" s="4">
        <v>26</v>
      </c>
      <c r="B27" s="12">
        <v>45408</v>
      </c>
      <c r="C27" s="11" t="str">
        <f t="shared" si="0"/>
        <v>April</v>
      </c>
      <c r="D27" s="5" t="s">
        <v>87</v>
      </c>
      <c r="E27" s="5" t="s">
        <v>12</v>
      </c>
      <c r="F27" s="5" t="s">
        <v>79</v>
      </c>
      <c r="G27" s="5" t="s">
        <v>14</v>
      </c>
      <c r="H27" s="5" t="s">
        <v>88</v>
      </c>
      <c r="I27" s="5" t="s">
        <v>51</v>
      </c>
      <c r="J27" s="5" t="s">
        <v>46</v>
      </c>
      <c r="K27" s="5">
        <v>2570</v>
      </c>
      <c r="L27" s="5">
        <v>704</v>
      </c>
      <c r="M27" s="6">
        <v>1809280</v>
      </c>
      <c r="N27" s="6">
        <v>1799237</v>
      </c>
      <c r="O27" s="6">
        <f t="shared" si="1"/>
        <v>10043</v>
      </c>
    </row>
    <row r="28" spans="1:15" ht="15.6" thickTop="1" thickBot="1" x14ac:dyDescent="0.35">
      <c r="A28" s="4">
        <v>27</v>
      </c>
      <c r="B28" s="12">
        <v>45411</v>
      </c>
      <c r="C28" s="11" t="str">
        <f t="shared" si="0"/>
        <v>April</v>
      </c>
      <c r="D28" s="5" t="s">
        <v>89</v>
      </c>
      <c r="E28" s="5" t="s">
        <v>12</v>
      </c>
      <c r="F28" s="5" t="s">
        <v>79</v>
      </c>
      <c r="G28" s="5" t="s">
        <v>23</v>
      </c>
      <c r="H28" s="5" t="s">
        <v>90</v>
      </c>
      <c r="I28" s="5" t="s">
        <v>91</v>
      </c>
      <c r="J28" s="5" t="s">
        <v>46</v>
      </c>
      <c r="K28" s="5">
        <v>2952</v>
      </c>
      <c r="L28" s="5">
        <v>972</v>
      </c>
      <c r="M28" s="6">
        <v>2869344</v>
      </c>
      <c r="N28" s="6">
        <v>2856952</v>
      </c>
      <c r="O28" s="6">
        <f t="shared" si="1"/>
        <v>12392</v>
      </c>
    </row>
    <row r="29" spans="1:15" ht="15.6" thickTop="1" thickBot="1" x14ac:dyDescent="0.35">
      <c r="A29" s="4">
        <v>28</v>
      </c>
      <c r="B29" s="12">
        <v>45414</v>
      </c>
      <c r="C29" s="11" t="str">
        <f t="shared" si="0"/>
        <v>May</v>
      </c>
      <c r="D29" s="5" t="s">
        <v>92</v>
      </c>
      <c r="E29" s="5" t="s">
        <v>12</v>
      </c>
      <c r="F29" s="5" t="s">
        <v>79</v>
      </c>
      <c r="G29" s="5" t="s">
        <v>27</v>
      </c>
      <c r="H29" s="5" t="s">
        <v>93</v>
      </c>
      <c r="I29" s="5" t="s">
        <v>94</v>
      </c>
      <c r="J29" s="5" t="s">
        <v>46</v>
      </c>
      <c r="K29" s="5">
        <v>1992</v>
      </c>
      <c r="L29" s="5">
        <v>538</v>
      </c>
      <c r="M29" s="6">
        <v>1071696</v>
      </c>
      <c r="N29" s="6">
        <v>1057485</v>
      </c>
      <c r="O29" s="6">
        <f t="shared" si="1"/>
        <v>14211</v>
      </c>
    </row>
    <row r="30" spans="1:15" ht="15.6" thickTop="1" thickBot="1" x14ac:dyDescent="0.35">
      <c r="A30" s="4">
        <v>29</v>
      </c>
      <c r="B30" s="12">
        <v>45417</v>
      </c>
      <c r="C30" s="11" t="str">
        <f t="shared" si="0"/>
        <v>May</v>
      </c>
      <c r="D30" s="5" t="s">
        <v>95</v>
      </c>
      <c r="E30" s="5" t="s">
        <v>12</v>
      </c>
      <c r="F30" s="5" t="s">
        <v>79</v>
      </c>
      <c r="G30" s="5" t="s">
        <v>19</v>
      </c>
      <c r="H30" s="5" t="s">
        <v>96</v>
      </c>
      <c r="I30" s="5" t="s">
        <v>21</v>
      </c>
      <c r="J30" s="5" t="s">
        <v>46</v>
      </c>
      <c r="K30" s="5">
        <v>2907</v>
      </c>
      <c r="L30" s="5">
        <v>750</v>
      </c>
      <c r="M30" s="6">
        <v>2180250</v>
      </c>
      <c r="N30" s="6">
        <v>2164342</v>
      </c>
      <c r="O30" s="6">
        <f t="shared" si="1"/>
        <v>15908</v>
      </c>
    </row>
    <row r="31" spans="1:15" ht="15.6" thickTop="1" thickBot="1" x14ac:dyDescent="0.35">
      <c r="A31" s="4">
        <v>30</v>
      </c>
      <c r="B31" s="12">
        <v>45419</v>
      </c>
      <c r="C31" s="11" t="str">
        <f t="shared" si="0"/>
        <v>May</v>
      </c>
      <c r="D31" s="5" t="s">
        <v>97</v>
      </c>
      <c r="E31" s="5" t="s">
        <v>12</v>
      </c>
      <c r="F31" s="5" t="s">
        <v>79</v>
      </c>
      <c r="G31" s="5" t="s">
        <v>14</v>
      </c>
      <c r="H31" s="5" t="s">
        <v>98</v>
      </c>
      <c r="I31" s="5" t="s">
        <v>99</v>
      </c>
      <c r="J31" s="5" t="s">
        <v>46</v>
      </c>
      <c r="K31" s="5">
        <v>2936</v>
      </c>
      <c r="L31" s="5">
        <v>558</v>
      </c>
      <c r="M31" s="6">
        <v>1638288</v>
      </c>
      <c r="N31" s="6">
        <v>1624490</v>
      </c>
      <c r="O31" s="6">
        <f t="shared" si="1"/>
        <v>13798</v>
      </c>
    </row>
    <row r="32" spans="1:15" ht="15.6" thickTop="1" thickBot="1" x14ac:dyDescent="0.35">
      <c r="A32" s="4">
        <v>31</v>
      </c>
      <c r="B32" s="12">
        <v>45421</v>
      </c>
      <c r="C32" s="11" t="str">
        <f t="shared" si="0"/>
        <v>May</v>
      </c>
      <c r="D32" s="5" t="s">
        <v>100</v>
      </c>
      <c r="E32" s="5" t="s">
        <v>12</v>
      </c>
      <c r="F32" s="5" t="s">
        <v>79</v>
      </c>
      <c r="G32" s="5" t="s">
        <v>14</v>
      </c>
      <c r="H32" s="5" t="s">
        <v>101</v>
      </c>
      <c r="I32" s="5" t="s">
        <v>102</v>
      </c>
      <c r="J32" s="5" t="s">
        <v>46</v>
      </c>
      <c r="K32" s="5">
        <v>1784</v>
      </c>
      <c r="L32" s="5">
        <v>799</v>
      </c>
      <c r="M32" s="6">
        <v>1425416</v>
      </c>
      <c r="N32" s="6">
        <v>1411872</v>
      </c>
      <c r="O32" s="6">
        <f t="shared" si="1"/>
        <v>13544</v>
      </c>
    </row>
    <row r="33" spans="1:15" ht="15.6" thickTop="1" thickBot="1" x14ac:dyDescent="0.35">
      <c r="A33" s="4">
        <v>32</v>
      </c>
      <c r="B33" s="12">
        <v>45425</v>
      </c>
      <c r="C33" s="11" t="str">
        <f t="shared" si="0"/>
        <v>May</v>
      </c>
      <c r="D33" s="5" t="s">
        <v>103</v>
      </c>
      <c r="E33" s="5" t="s">
        <v>12</v>
      </c>
      <c r="F33" s="5" t="s">
        <v>79</v>
      </c>
      <c r="G33" s="5" t="s">
        <v>104</v>
      </c>
      <c r="H33" s="5" t="s">
        <v>105</v>
      </c>
      <c r="I33" s="5" t="s">
        <v>106</v>
      </c>
      <c r="J33" s="5" t="s">
        <v>16</v>
      </c>
      <c r="K33" s="5">
        <v>3010</v>
      </c>
      <c r="L33" s="5">
        <v>603</v>
      </c>
      <c r="M33" s="6">
        <v>1815030</v>
      </c>
      <c r="N33" s="6">
        <v>1801900</v>
      </c>
      <c r="O33" s="6">
        <f t="shared" si="1"/>
        <v>13130</v>
      </c>
    </row>
    <row r="34" spans="1:15" ht="15.6" thickTop="1" thickBot="1" x14ac:dyDescent="0.35">
      <c r="A34" s="4">
        <v>33</v>
      </c>
      <c r="B34" s="12">
        <v>45427</v>
      </c>
      <c r="C34" s="11" t="str">
        <f t="shared" si="0"/>
        <v>May</v>
      </c>
      <c r="D34" s="5" t="s">
        <v>107</v>
      </c>
      <c r="E34" s="5" t="s">
        <v>12</v>
      </c>
      <c r="F34" s="5" t="s">
        <v>79</v>
      </c>
      <c r="G34" s="5" t="s">
        <v>14</v>
      </c>
      <c r="H34" s="5" t="s">
        <v>108</v>
      </c>
      <c r="I34" s="5" t="s">
        <v>109</v>
      </c>
      <c r="J34" s="5" t="s">
        <v>16</v>
      </c>
      <c r="K34" s="5">
        <v>9118</v>
      </c>
      <c r="L34" s="5">
        <v>694</v>
      </c>
      <c r="M34" s="6">
        <v>6327892</v>
      </c>
      <c r="N34" s="6">
        <v>6308281</v>
      </c>
      <c r="O34" s="6">
        <f t="shared" si="1"/>
        <v>19611</v>
      </c>
    </row>
    <row r="35" spans="1:15" ht="15.6" thickTop="1" thickBot="1" x14ac:dyDescent="0.35">
      <c r="A35" s="4">
        <v>34</v>
      </c>
      <c r="B35" s="12">
        <v>45430</v>
      </c>
      <c r="C35" s="11" t="str">
        <f t="shared" si="0"/>
        <v>May</v>
      </c>
      <c r="D35" s="5" t="s">
        <v>110</v>
      </c>
      <c r="E35" s="5" t="s">
        <v>12</v>
      </c>
      <c r="F35" s="5" t="s">
        <v>79</v>
      </c>
      <c r="G35" s="5" t="s">
        <v>57</v>
      </c>
      <c r="H35" s="5" t="s">
        <v>111</v>
      </c>
      <c r="I35" s="5" t="s">
        <v>112</v>
      </c>
      <c r="J35" s="5" t="s">
        <v>16</v>
      </c>
      <c r="K35" s="5">
        <v>7291</v>
      </c>
      <c r="L35" s="5">
        <v>837</v>
      </c>
      <c r="M35" s="6">
        <v>6102567</v>
      </c>
      <c r="N35" s="6">
        <v>6083910</v>
      </c>
      <c r="O35" s="6">
        <f t="shared" si="1"/>
        <v>18657</v>
      </c>
    </row>
    <row r="36" spans="1:15" ht="15.6" thickTop="1" thickBot="1" x14ac:dyDescent="0.35">
      <c r="A36" s="4">
        <v>35</v>
      </c>
      <c r="B36" s="12">
        <v>45432</v>
      </c>
      <c r="C36" s="11" t="str">
        <f t="shared" si="0"/>
        <v>May</v>
      </c>
      <c r="D36" s="5" t="s">
        <v>113</v>
      </c>
      <c r="E36" s="5" t="s">
        <v>12</v>
      </c>
      <c r="F36" s="5" t="s">
        <v>79</v>
      </c>
      <c r="G36" s="5" t="s">
        <v>23</v>
      </c>
      <c r="H36" s="5" t="s">
        <v>114</v>
      </c>
      <c r="I36" s="5" t="s">
        <v>25</v>
      </c>
      <c r="J36" s="5" t="s">
        <v>16</v>
      </c>
      <c r="K36" s="5">
        <v>3141</v>
      </c>
      <c r="L36" s="5">
        <v>834</v>
      </c>
      <c r="M36" s="6">
        <v>2619594</v>
      </c>
      <c r="N36" s="6">
        <v>2604450</v>
      </c>
      <c r="O36" s="6">
        <f t="shared" si="1"/>
        <v>15144</v>
      </c>
    </row>
    <row r="37" spans="1:15" ht="15.6" thickTop="1" thickBot="1" x14ac:dyDescent="0.35">
      <c r="A37" s="4">
        <v>36</v>
      </c>
      <c r="B37" s="12">
        <v>45435</v>
      </c>
      <c r="C37" s="11" t="str">
        <f t="shared" si="0"/>
        <v>May</v>
      </c>
      <c r="D37" s="5" t="s">
        <v>115</v>
      </c>
      <c r="E37" s="5" t="s">
        <v>12</v>
      </c>
      <c r="F37" s="5" t="s">
        <v>79</v>
      </c>
      <c r="G37" s="5" t="s">
        <v>23</v>
      </c>
      <c r="H37" s="5" t="s">
        <v>24</v>
      </c>
      <c r="I37" s="5" t="s">
        <v>25</v>
      </c>
      <c r="J37" s="5" t="s">
        <v>46</v>
      </c>
      <c r="K37" s="5">
        <v>7170</v>
      </c>
      <c r="L37" s="5">
        <v>521</v>
      </c>
      <c r="M37" s="6">
        <v>3735570</v>
      </c>
      <c r="N37" s="6">
        <v>3725375</v>
      </c>
      <c r="O37" s="6">
        <f t="shared" si="1"/>
        <v>10195</v>
      </c>
    </row>
    <row r="38" spans="1:15" ht="15.6" thickTop="1" thickBot="1" x14ac:dyDescent="0.35">
      <c r="A38" s="4">
        <v>37</v>
      </c>
      <c r="B38" s="12">
        <v>45439</v>
      </c>
      <c r="C38" s="11" t="str">
        <f t="shared" si="0"/>
        <v>May</v>
      </c>
      <c r="D38" s="5" t="s">
        <v>116</v>
      </c>
      <c r="E38" s="5" t="s">
        <v>12</v>
      </c>
      <c r="F38" s="5" t="s">
        <v>117</v>
      </c>
      <c r="G38" s="5" t="s">
        <v>57</v>
      </c>
      <c r="H38" s="5" t="s">
        <v>118</v>
      </c>
      <c r="I38" s="5" t="s">
        <v>59</v>
      </c>
      <c r="J38" s="5" t="s">
        <v>46</v>
      </c>
      <c r="K38" s="5">
        <v>4724</v>
      </c>
      <c r="L38" s="5">
        <v>951</v>
      </c>
      <c r="M38" s="6">
        <v>4492524</v>
      </c>
      <c r="N38" s="6">
        <v>4477480</v>
      </c>
      <c r="O38" s="6">
        <f t="shared" si="1"/>
        <v>15044</v>
      </c>
    </row>
    <row r="39" spans="1:15" ht="15.6" thickTop="1" thickBot="1" x14ac:dyDescent="0.35">
      <c r="A39" s="4">
        <v>38</v>
      </c>
      <c r="B39" s="12">
        <v>45444</v>
      </c>
      <c r="C39" s="11" t="str">
        <f t="shared" si="0"/>
        <v>June</v>
      </c>
      <c r="D39" s="5" t="s">
        <v>119</v>
      </c>
      <c r="E39" s="5" t="s">
        <v>12</v>
      </c>
      <c r="F39" s="5" t="s">
        <v>117</v>
      </c>
      <c r="G39" s="5" t="s">
        <v>23</v>
      </c>
      <c r="H39" s="5" t="s">
        <v>120</v>
      </c>
      <c r="I39" s="5" t="s">
        <v>91</v>
      </c>
      <c r="J39" s="5" t="s">
        <v>46</v>
      </c>
      <c r="K39" s="5">
        <v>5398</v>
      </c>
      <c r="L39" s="5">
        <v>832</v>
      </c>
      <c r="M39" s="6">
        <v>4491136</v>
      </c>
      <c r="N39" s="6">
        <v>4480939</v>
      </c>
      <c r="O39" s="6">
        <f t="shared" si="1"/>
        <v>10197</v>
      </c>
    </row>
    <row r="40" spans="1:15" ht="15.6" thickTop="1" thickBot="1" x14ac:dyDescent="0.35">
      <c r="A40" s="4">
        <v>39</v>
      </c>
      <c r="B40" s="12">
        <v>45447</v>
      </c>
      <c r="C40" s="11" t="str">
        <f t="shared" si="0"/>
        <v>June</v>
      </c>
      <c r="D40" s="5" t="s">
        <v>121</v>
      </c>
      <c r="E40" s="5" t="s">
        <v>12</v>
      </c>
      <c r="F40" s="5" t="s">
        <v>117</v>
      </c>
      <c r="G40" s="5" t="s">
        <v>23</v>
      </c>
      <c r="H40" s="5" t="s">
        <v>122</v>
      </c>
      <c r="I40" s="5" t="s">
        <v>25</v>
      </c>
      <c r="J40" s="5" t="s">
        <v>46</v>
      </c>
      <c r="K40" s="5">
        <v>9466</v>
      </c>
      <c r="L40" s="5">
        <v>933</v>
      </c>
      <c r="M40" s="6">
        <v>8831778</v>
      </c>
      <c r="N40" s="6">
        <v>8813052</v>
      </c>
      <c r="O40" s="6">
        <f t="shared" si="1"/>
        <v>18726</v>
      </c>
    </row>
    <row r="41" spans="1:15" ht="15.6" thickTop="1" thickBot="1" x14ac:dyDescent="0.35">
      <c r="A41" s="4">
        <v>40</v>
      </c>
      <c r="B41" s="12">
        <v>45450</v>
      </c>
      <c r="C41" s="11" t="str">
        <f t="shared" si="0"/>
        <v>June</v>
      </c>
      <c r="D41" s="5" t="s">
        <v>123</v>
      </c>
      <c r="E41" s="5" t="s">
        <v>12</v>
      </c>
      <c r="F41" s="5" t="s">
        <v>117</v>
      </c>
      <c r="G41" s="5" t="s">
        <v>27</v>
      </c>
      <c r="H41" s="5" t="s">
        <v>124</v>
      </c>
      <c r="I41" s="5" t="s">
        <v>34</v>
      </c>
      <c r="J41" s="5" t="s">
        <v>46</v>
      </c>
      <c r="K41" s="5">
        <v>4168</v>
      </c>
      <c r="L41" s="5">
        <v>769</v>
      </c>
      <c r="M41" s="6">
        <v>3205192</v>
      </c>
      <c r="N41" s="6">
        <v>3194639</v>
      </c>
      <c r="O41" s="6">
        <f t="shared" si="1"/>
        <v>10553</v>
      </c>
    </row>
    <row r="42" spans="1:15" ht="15.6" thickTop="1" thickBot="1" x14ac:dyDescent="0.35">
      <c r="A42" s="4">
        <v>41</v>
      </c>
      <c r="B42" s="12">
        <v>45453</v>
      </c>
      <c r="C42" s="11" t="str">
        <f t="shared" si="0"/>
        <v>June</v>
      </c>
      <c r="D42" s="5" t="s">
        <v>125</v>
      </c>
      <c r="E42" s="5" t="s">
        <v>12</v>
      </c>
      <c r="F42" s="5" t="s">
        <v>117</v>
      </c>
      <c r="G42" s="5" t="s">
        <v>14</v>
      </c>
      <c r="H42" s="5" t="s">
        <v>15</v>
      </c>
      <c r="I42" s="5" t="s">
        <v>15</v>
      </c>
      <c r="J42" s="5" t="s">
        <v>46</v>
      </c>
      <c r="K42" s="5">
        <v>5773</v>
      </c>
      <c r="L42" s="5">
        <v>627</v>
      </c>
      <c r="M42" s="6">
        <v>3619671</v>
      </c>
      <c r="N42" s="6">
        <v>3609024</v>
      </c>
      <c r="O42" s="6">
        <f t="shared" si="1"/>
        <v>10647</v>
      </c>
    </row>
    <row r="43" spans="1:15" ht="15.6" thickTop="1" thickBot="1" x14ac:dyDescent="0.35">
      <c r="A43" s="4">
        <v>42</v>
      </c>
      <c r="B43" s="12">
        <v>45455</v>
      </c>
      <c r="C43" s="11" t="str">
        <f t="shared" si="0"/>
        <v>June</v>
      </c>
      <c r="D43" s="5" t="s">
        <v>126</v>
      </c>
      <c r="E43" s="5" t="s">
        <v>12</v>
      </c>
      <c r="F43" s="5" t="s">
        <v>117</v>
      </c>
      <c r="G43" s="5" t="s">
        <v>19</v>
      </c>
      <c r="H43" s="5" t="s">
        <v>20</v>
      </c>
      <c r="I43" s="5" t="s">
        <v>21</v>
      </c>
      <c r="J43" s="5" t="s">
        <v>46</v>
      </c>
      <c r="K43" s="5">
        <v>8417</v>
      </c>
      <c r="L43" s="5">
        <v>918</v>
      </c>
      <c r="M43" s="6">
        <v>7726806</v>
      </c>
      <c r="N43" s="6">
        <v>7707723</v>
      </c>
      <c r="O43" s="6">
        <f t="shared" si="1"/>
        <v>19083</v>
      </c>
    </row>
    <row r="44" spans="1:15" ht="15.6" thickTop="1" thickBot="1" x14ac:dyDescent="0.35">
      <c r="A44" s="4">
        <v>43</v>
      </c>
      <c r="B44" s="12">
        <v>45459</v>
      </c>
      <c r="C44" s="11" t="str">
        <f t="shared" si="0"/>
        <v>June</v>
      </c>
      <c r="D44" s="5" t="s">
        <v>127</v>
      </c>
      <c r="E44" s="5" t="s">
        <v>12</v>
      </c>
      <c r="F44" s="5" t="s">
        <v>117</v>
      </c>
      <c r="G44" s="5" t="s">
        <v>23</v>
      </c>
      <c r="H44" s="5" t="s">
        <v>24</v>
      </c>
      <c r="I44" s="5" t="s">
        <v>25</v>
      </c>
      <c r="J44" s="5" t="s">
        <v>46</v>
      </c>
      <c r="K44" s="5">
        <v>4691</v>
      </c>
      <c r="L44" s="5">
        <v>901</v>
      </c>
      <c r="M44" s="6">
        <v>4226591</v>
      </c>
      <c r="N44" s="6">
        <v>4210775</v>
      </c>
      <c r="O44" s="6">
        <f t="shared" si="1"/>
        <v>15816</v>
      </c>
    </row>
    <row r="45" spans="1:15" ht="15.6" thickTop="1" thickBot="1" x14ac:dyDescent="0.35">
      <c r="A45" s="4">
        <v>44</v>
      </c>
      <c r="B45" s="12">
        <v>45462</v>
      </c>
      <c r="C45" s="11" t="str">
        <f t="shared" si="0"/>
        <v>June</v>
      </c>
      <c r="D45" s="5" t="s">
        <v>128</v>
      </c>
      <c r="E45" s="5" t="s">
        <v>12</v>
      </c>
      <c r="F45" s="5" t="s">
        <v>117</v>
      </c>
      <c r="G45" s="5" t="s">
        <v>27</v>
      </c>
      <c r="H45" s="5" t="s">
        <v>28</v>
      </c>
      <c r="I45" s="5" t="s">
        <v>29</v>
      </c>
      <c r="J45" s="5" t="s">
        <v>46</v>
      </c>
      <c r="K45" s="5">
        <v>5945</v>
      </c>
      <c r="L45" s="5">
        <v>887</v>
      </c>
      <c r="M45" s="6">
        <v>5273215</v>
      </c>
      <c r="N45" s="6">
        <v>5254425</v>
      </c>
      <c r="O45" s="6">
        <f t="shared" si="1"/>
        <v>18790</v>
      </c>
    </row>
    <row r="46" spans="1:15" ht="15.6" thickTop="1" thickBot="1" x14ac:dyDescent="0.35">
      <c r="A46" s="4">
        <v>45</v>
      </c>
      <c r="B46" s="12">
        <v>45465</v>
      </c>
      <c r="C46" s="11" t="str">
        <f t="shared" si="0"/>
        <v>June</v>
      </c>
      <c r="D46" s="5" t="s">
        <v>129</v>
      </c>
      <c r="E46" s="5" t="s">
        <v>12</v>
      </c>
      <c r="F46" s="5" t="s">
        <v>117</v>
      </c>
      <c r="G46" s="5" t="s">
        <v>27</v>
      </c>
      <c r="H46" s="5" t="s">
        <v>33</v>
      </c>
      <c r="I46" s="5" t="s">
        <v>34</v>
      </c>
      <c r="J46" s="5" t="s">
        <v>46</v>
      </c>
      <c r="K46" s="5">
        <v>6807</v>
      </c>
      <c r="L46" s="5">
        <v>607</v>
      </c>
      <c r="M46" s="6">
        <v>4131849</v>
      </c>
      <c r="N46" s="6">
        <v>4118786</v>
      </c>
      <c r="O46" s="6">
        <f t="shared" si="1"/>
        <v>13063</v>
      </c>
    </row>
    <row r="47" spans="1:15" ht="15.6" thickTop="1" thickBot="1" x14ac:dyDescent="0.35">
      <c r="A47" s="4">
        <v>46</v>
      </c>
      <c r="B47" s="12">
        <v>45469</v>
      </c>
      <c r="C47" s="11" t="str">
        <f t="shared" si="0"/>
        <v>June</v>
      </c>
      <c r="D47" s="5" t="s">
        <v>130</v>
      </c>
      <c r="E47" s="5" t="s">
        <v>12</v>
      </c>
      <c r="F47" s="5" t="s">
        <v>117</v>
      </c>
      <c r="G47" s="5" t="s">
        <v>27</v>
      </c>
      <c r="H47" s="5" t="s">
        <v>36</v>
      </c>
      <c r="I47" s="5" t="s">
        <v>37</v>
      </c>
      <c r="J47" s="5" t="s">
        <v>16</v>
      </c>
      <c r="K47" s="5">
        <v>3546</v>
      </c>
      <c r="L47" s="5">
        <v>562</v>
      </c>
      <c r="M47" s="6">
        <v>1992852</v>
      </c>
      <c r="N47" s="6">
        <v>1976461</v>
      </c>
      <c r="O47" s="6">
        <f t="shared" si="1"/>
        <v>16391</v>
      </c>
    </row>
    <row r="48" spans="1:15" ht="15.6" thickTop="1" thickBot="1" x14ac:dyDescent="0.35">
      <c r="A48" s="4">
        <v>47</v>
      </c>
      <c r="B48" s="12">
        <v>45472</v>
      </c>
      <c r="C48" s="11" t="str">
        <f t="shared" si="0"/>
        <v>June</v>
      </c>
      <c r="D48" s="5" t="s">
        <v>131</v>
      </c>
      <c r="E48" s="5" t="s">
        <v>12</v>
      </c>
      <c r="F48" s="5" t="s">
        <v>117</v>
      </c>
      <c r="G48" s="5" t="s">
        <v>19</v>
      </c>
      <c r="H48" s="5" t="s">
        <v>39</v>
      </c>
      <c r="I48" s="5" t="s">
        <v>40</v>
      </c>
      <c r="J48" s="5" t="s">
        <v>16</v>
      </c>
      <c r="K48" s="5">
        <v>9463</v>
      </c>
      <c r="L48" s="5">
        <v>615</v>
      </c>
      <c r="M48" s="6">
        <v>5819745</v>
      </c>
      <c r="N48" s="6">
        <v>5809412</v>
      </c>
      <c r="O48" s="6">
        <f t="shared" si="1"/>
        <v>10333</v>
      </c>
    </row>
    <row r="49" spans="1:15" ht="15.6" thickTop="1" thickBot="1" x14ac:dyDescent="0.35">
      <c r="A49" s="4">
        <v>48</v>
      </c>
      <c r="B49" s="12">
        <v>45475</v>
      </c>
      <c r="C49" s="11" t="str">
        <f t="shared" si="0"/>
        <v>July</v>
      </c>
      <c r="D49" s="5" t="s">
        <v>132</v>
      </c>
      <c r="E49" s="5" t="s">
        <v>12</v>
      </c>
      <c r="F49" s="5" t="s">
        <v>117</v>
      </c>
      <c r="G49" s="5" t="s">
        <v>19</v>
      </c>
      <c r="H49" s="5" t="s">
        <v>42</v>
      </c>
      <c r="I49" s="5" t="s">
        <v>21</v>
      </c>
      <c r="J49" s="5" t="s">
        <v>16</v>
      </c>
      <c r="K49" s="5">
        <v>9927</v>
      </c>
      <c r="L49" s="5">
        <v>631</v>
      </c>
      <c r="M49" s="6">
        <v>6263937</v>
      </c>
      <c r="N49" s="6">
        <v>6251416</v>
      </c>
      <c r="O49" s="6">
        <f t="shared" si="1"/>
        <v>12521</v>
      </c>
    </row>
    <row r="50" spans="1:15" ht="15.6" thickTop="1" thickBot="1" x14ac:dyDescent="0.35">
      <c r="A50" s="4">
        <v>49</v>
      </c>
      <c r="B50" s="12">
        <v>45478</v>
      </c>
      <c r="C50" s="11" t="str">
        <f t="shared" si="0"/>
        <v>July</v>
      </c>
      <c r="D50" s="5" t="s">
        <v>133</v>
      </c>
      <c r="E50" s="5" t="s">
        <v>31</v>
      </c>
      <c r="F50" s="5" t="s">
        <v>134</v>
      </c>
      <c r="G50" s="5" t="s">
        <v>14</v>
      </c>
      <c r="H50" s="5" t="s">
        <v>44</v>
      </c>
      <c r="I50" s="5" t="s">
        <v>45</v>
      </c>
      <c r="J50" s="5" t="s">
        <v>16</v>
      </c>
      <c r="K50" s="5">
        <v>1666</v>
      </c>
      <c r="L50" s="5">
        <v>714</v>
      </c>
      <c r="M50" s="6">
        <v>1189524</v>
      </c>
      <c r="N50" s="6">
        <v>1174513</v>
      </c>
      <c r="O50" s="6">
        <f t="shared" si="1"/>
        <v>15011</v>
      </c>
    </row>
    <row r="51" spans="1:15" ht="15.6" thickTop="1" thickBot="1" x14ac:dyDescent="0.35">
      <c r="A51" s="4">
        <v>50</v>
      </c>
      <c r="B51" s="12">
        <v>45482</v>
      </c>
      <c r="C51" s="11" t="str">
        <f t="shared" si="0"/>
        <v>July</v>
      </c>
      <c r="D51" s="5" t="s">
        <v>135</v>
      </c>
      <c r="E51" s="5" t="s">
        <v>31</v>
      </c>
      <c r="F51" s="5" t="s">
        <v>134</v>
      </c>
      <c r="G51" s="5" t="s">
        <v>19</v>
      </c>
      <c r="H51" s="5" t="s">
        <v>48</v>
      </c>
      <c r="I51" s="5" t="s">
        <v>40</v>
      </c>
      <c r="J51" s="5" t="s">
        <v>16</v>
      </c>
      <c r="K51" s="5">
        <v>9392</v>
      </c>
      <c r="L51" s="5">
        <v>631</v>
      </c>
      <c r="M51" s="6">
        <v>5926352</v>
      </c>
      <c r="N51" s="6">
        <v>5908443</v>
      </c>
      <c r="O51" s="6">
        <f t="shared" si="1"/>
        <v>17909</v>
      </c>
    </row>
    <row r="52" spans="1:15" ht="15.6" thickTop="1" thickBot="1" x14ac:dyDescent="0.35">
      <c r="A52" s="4">
        <v>51</v>
      </c>
      <c r="B52" s="12">
        <v>45485</v>
      </c>
      <c r="C52" s="11" t="str">
        <f t="shared" si="0"/>
        <v>July</v>
      </c>
      <c r="D52" s="5" t="s">
        <v>136</v>
      </c>
      <c r="E52" s="5" t="s">
        <v>31</v>
      </c>
      <c r="F52" s="5" t="s">
        <v>134</v>
      </c>
      <c r="G52" s="5" t="s">
        <v>14</v>
      </c>
      <c r="H52" s="5" t="s">
        <v>50</v>
      </c>
      <c r="I52" s="5" t="s">
        <v>51</v>
      </c>
      <c r="J52" s="5" t="s">
        <v>46</v>
      </c>
      <c r="K52" s="5">
        <v>7124</v>
      </c>
      <c r="L52" s="5">
        <v>693</v>
      </c>
      <c r="M52" s="6">
        <v>4936932</v>
      </c>
      <c r="N52" s="6">
        <v>4921405</v>
      </c>
      <c r="O52" s="6">
        <f t="shared" si="1"/>
        <v>15527</v>
      </c>
    </row>
    <row r="53" spans="1:15" ht="15.6" thickTop="1" thickBot="1" x14ac:dyDescent="0.35">
      <c r="A53" s="4">
        <v>52</v>
      </c>
      <c r="B53" s="12">
        <v>45488</v>
      </c>
      <c r="C53" s="11" t="str">
        <f t="shared" si="0"/>
        <v>July</v>
      </c>
      <c r="D53" s="5" t="s">
        <v>137</v>
      </c>
      <c r="E53" s="5" t="s">
        <v>31</v>
      </c>
      <c r="F53" s="5" t="s">
        <v>134</v>
      </c>
      <c r="G53" s="5" t="s">
        <v>14</v>
      </c>
      <c r="H53" s="5" t="s">
        <v>53</v>
      </c>
      <c r="I53" s="5" t="s">
        <v>51</v>
      </c>
      <c r="J53" s="5" t="s">
        <v>46</v>
      </c>
      <c r="K53" s="5">
        <v>9636</v>
      </c>
      <c r="L53" s="5">
        <v>873</v>
      </c>
      <c r="M53" s="6">
        <v>8412228</v>
      </c>
      <c r="N53" s="6">
        <v>8400841</v>
      </c>
      <c r="O53" s="6">
        <f t="shared" si="1"/>
        <v>11387</v>
      </c>
    </row>
    <row r="54" spans="1:15" ht="15.6" thickTop="1" thickBot="1" x14ac:dyDescent="0.35">
      <c r="A54" s="4">
        <v>53</v>
      </c>
      <c r="B54" s="12">
        <v>45492</v>
      </c>
      <c r="C54" s="11" t="str">
        <f t="shared" si="0"/>
        <v>July</v>
      </c>
      <c r="D54" s="5" t="s">
        <v>138</v>
      </c>
      <c r="E54" s="5" t="s">
        <v>31</v>
      </c>
      <c r="F54" s="5" t="s">
        <v>134</v>
      </c>
      <c r="G54" s="5" t="s">
        <v>19</v>
      </c>
      <c r="H54" s="5" t="s">
        <v>55</v>
      </c>
      <c r="I54" s="5" t="s">
        <v>21</v>
      </c>
      <c r="J54" s="5" t="s">
        <v>46</v>
      </c>
      <c r="K54" s="5">
        <v>6596</v>
      </c>
      <c r="L54" s="5">
        <v>811</v>
      </c>
      <c r="M54" s="6">
        <v>5349356</v>
      </c>
      <c r="N54" s="6">
        <v>5332148</v>
      </c>
      <c r="O54" s="6">
        <f t="shared" si="1"/>
        <v>17208</v>
      </c>
    </row>
    <row r="55" spans="1:15" ht="15.6" thickTop="1" thickBot="1" x14ac:dyDescent="0.35">
      <c r="A55" s="4">
        <v>54</v>
      </c>
      <c r="B55" s="12">
        <v>45496</v>
      </c>
      <c r="C55" s="11" t="str">
        <f t="shared" si="0"/>
        <v>July</v>
      </c>
      <c r="D55" s="5" t="s">
        <v>139</v>
      </c>
      <c r="E55" s="5" t="s">
        <v>31</v>
      </c>
      <c r="F55" s="5" t="s">
        <v>134</v>
      </c>
      <c r="G55" s="5" t="s">
        <v>57</v>
      </c>
      <c r="H55" s="5" t="s">
        <v>58</v>
      </c>
      <c r="I55" s="5" t="s">
        <v>59</v>
      </c>
      <c r="J55" s="5" t="s">
        <v>46</v>
      </c>
      <c r="K55" s="5">
        <v>6338</v>
      </c>
      <c r="L55" s="5">
        <v>540</v>
      </c>
      <c r="M55" s="6">
        <v>3422520</v>
      </c>
      <c r="N55" s="6">
        <v>3408901</v>
      </c>
      <c r="O55" s="6">
        <f t="shared" si="1"/>
        <v>13619</v>
      </c>
    </row>
    <row r="56" spans="1:15" ht="15.6" thickTop="1" thickBot="1" x14ac:dyDescent="0.35">
      <c r="A56" s="4">
        <v>55</v>
      </c>
      <c r="B56" s="12">
        <v>45499</v>
      </c>
      <c r="C56" s="11" t="str">
        <f t="shared" si="0"/>
        <v>July</v>
      </c>
      <c r="D56" s="5" t="s">
        <v>140</v>
      </c>
      <c r="E56" s="5" t="s">
        <v>31</v>
      </c>
      <c r="F56" s="5" t="s">
        <v>134</v>
      </c>
      <c r="G56" s="5" t="s">
        <v>19</v>
      </c>
      <c r="H56" s="5" t="s">
        <v>62</v>
      </c>
      <c r="I56" s="5" t="s">
        <v>21</v>
      </c>
      <c r="J56" s="5" t="s">
        <v>46</v>
      </c>
      <c r="K56" s="5">
        <v>8446</v>
      </c>
      <c r="L56" s="5">
        <v>812</v>
      </c>
      <c r="M56" s="6">
        <v>6858152</v>
      </c>
      <c r="N56" s="6">
        <v>6838958</v>
      </c>
      <c r="O56" s="6">
        <f t="shared" si="1"/>
        <v>19194</v>
      </c>
    </row>
    <row r="57" spans="1:15" ht="15.6" thickTop="1" thickBot="1" x14ac:dyDescent="0.35">
      <c r="A57" s="4">
        <v>56</v>
      </c>
      <c r="B57" s="12">
        <v>45502</v>
      </c>
      <c r="C57" s="11" t="str">
        <f t="shared" si="0"/>
        <v>July</v>
      </c>
      <c r="D57" s="5" t="s">
        <v>141</v>
      </c>
      <c r="E57" s="5" t="s">
        <v>31</v>
      </c>
      <c r="F57" s="5" t="s">
        <v>134</v>
      </c>
      <c r="G57" s="5" t="s">
        <v>64</v>
      </c>
      <c r="H57" s="5" t="s">
        <v>65</v>
      </c>
      <c r="I57" s="5" t="s">
        <v>65</v>
      </c>
      <c r="J57" s="5" t="s">
        <v>46</v>
      </c>
      <c r="K57" s="5">
        <v>9102</v>
      </c>
      <c r="L57" s="5">
        <v>894</v>
      </c>
      <c r="M57" s="6">
        <v>8137188</v>
      </c>
      <c r="N57" s="6">
        <v>8117339</v>
      </c>
      <c r="O57" s="6">
        <f t="shared" si="1"/>
        <v>19849</v>
      </c>
    </row>
    <row r="58" spans="1:15" ht="15.6" thickTop="1" thickBot="1" x14ac:dyDescent="0.35">
      <c r="A58" s="4">
        <v>57</v>
      </c>
      <c r="B58" s="12">
        <v>45505</v>
      </c>
      <c r="C58" s="11" t="str">
        <f t="shared" si="0"/>
        <v>August</v>
      </c>
      <c r="D58" s="5" t="s">
        <v>142</v>
      </c>
      <c r="E58" s="5" t="s">
        <v>31</v>
      </c>
      <c r="F58" s="5" t="s">
        <v>134</v>
      </c>
      <c r="G58" s="5" t="s">
        <v>57</v>
      </c>
      <c r="H58" s="5" t="s">
        <v>67</v>
      </c>
      <c r="I58" s="5" t="s">
        <v>59</v>
      </c>
      <c r="J58" s="5" t="s">
        <v>46</v>
      </c>
      <c r="K58" s="5">
        <v>3887</v>
      </c>
      <c r="L58" s="5">
        <v>912</v>
      </c>
      <c r="M58" s="6">
        <v>3544944</v>
      </c>
      <c r="N58" s="6">
        <v>3533273</v>
      </c>
      <c r="O58" s="6">
        <f t="shared" si="1"/>
        <v>11671</v>
      </c>
    </row>
    <row r="59" spans="1:15" ht="15.6" thickTop="1" thickBot="1" x14ac:dyDescent="0.35">
      <c r="A59" s="4">
        <v>58</v>
      </c>
      <c r="B59" s="12">
        <v>45508</v>
      </c>
      <c r="C59" s="11" t="str">
        <f t="shared" si="0"/>
        <v>August</v>
      </c>
      <c r="D59" s="5" t="s">
        <v>143</v>
      </c>
      <c r="E59" s="5" t="s">
        <v>31</v>
      </c>
      <c r="F59" s="5" t="s">
        <v>134</v>
      </c>
      <c r="G59" s="5" t="s">
        <v>27</v>
      </c>
      <c r="H59" s="5" t="s">
        <v>69</v>
      </c>
      <c r="I59" s="5" t="s">
        <v>70</v>
      </c>
      <c r="J59" s="5" t="s">
        <v>16</v>
      </c>
      <c r="K59" s="5">
        <v>9519</v>
      </c>
      <c r="L59" s="5">
        <v>970</v>
      </c>
      <c r="M59" s="6">
        <v>9233430</v>
      </c>
      <c r="N59" s="6">
        <v>9216364</v>
      </c>
      <c r="O59" s="6">
        <f t="shared" si="1"/>
        <v>17066</v>
      </c>
    </row>
    <row r="60" spans="1:15" ht="15.6" thickTop="1" thickBot="1" x14ac:dyDescent="0.35">
      <c r="A60" s="4">
        <v>59</v>
      </c>
      <c r="B60" s="12">
        <v>45512</v>
      </c>
      <c r="C60" s="11" t="str">
        <f t="shared" si="0"/>
        <v>August</v>
      </c>
      <c r="D60" s="5" t="s">
        <v>144</v>
      </c>
      <c r="E60" s="5" t="s">
        <v>31</v>
      </c>
      <c r="F60" s="5" t="s">
        <v>134</v>
      </c>
      <c r="G60" s="5" t="s">
        <v>23</v>
      </c>
      <c r="H60" s="5" t="s">
        <v>72</v>
      </c>
      <c r="I60" s="5" t="s">
        <v>73</v>
      </c>
      <c r="J60" s="5" t="s">
        <v>16</v>
      </c>
      <c r="K60" s="5">
        <v>8983</v>
      </c>
      <c r="L60" s="5">
        <v>840</v>
      </c>
      <c r="M60" s="6">
        <v>7545720</v>
      </c>
      <c r="N60" s="6">
        <v>7528063</v>
      </c>
      <c r="O60" s="6">
        <f t="shared" si="1"/>
        <v>17657</v>
      </c>
    </row>
    <row r="61" spans="1:15" ht="15.6" thickTop="1" thickBot="1" x14ac:dyDescent="0.35">
      <c r="A61" s="4">
        <v>60</v>
      </c>
      <c r="B61" s="12">
        <v>45515</v>
      </c>
      <c r="C61" s="11" t="str">
        <f t="shared" si="0"/>
        <v>August</v>
      </c>
      <c r="D61" s="5" t="s">
        <v>145</v>
      </c>
      <c r="E61" s="5" t="s">
        <v>31</v>
      </c>
      <c r="F61" s="5" t="s">
        <v>134</v>
      </c>
      <c r="G61" s="5" t="s">
        <v>19</v>
      </c>
      <c r="H61" s="5" t="s">
        <v>75</v>
      </c>
      <c r="I61" s="5" t="s">
        <v>40</v>
      </c>
      <c r="J61" s="5" t="s">
        <v>16</v>
      </c>
      <c r="K61" s="5">
        <v>6892</v>
      </c>
      <c r="L61" s="5">
        <v>643</v>
      </c>
      <c r="M61" s="6">
        <v>4431556</v>
      </c>
      <c r="N61" s="6">
        <v>4414126</v>
      </c>
      <c r="O61" s="6">
        <f t="shared" si="1"/>
        <v>17430</v>
      </c>
    </row>
    <row r="62" spans="1:15" ht="15.6" thickTop="1" thickBot="1" x14ac:dyDescent="0.35">
      <c r="A62" s="4">
        <v>61</v>
      </c>
      <c r="B62" s="12">
        <v>45519</v>
      </c>
      <c r="C62" s="11" t="str">
        <f t="shared" si="0"/>
        <v>August</v>
      </c>
      <c r="D62" s="5" t="s">
        <v>146</v>
      </c>
      <c r="E62" s="5" t="s">
        <v>31</v>
      </c>
      <c r="F62" s="5" t="s">
        <v>147</v>
      </c>
      <c r="G62" s="5" t="s">
        <v>14</v>
      </c>
      <c r="H62" s="5" t="s">
        <v>77</v>
      </c>
      <c r="I62" s="5" t="s">
        <v>51</v>
      </c>
      <c r="J62" s="5" t="s">
        <v>16</v>
      </c>
      <c r="K62" s="5">
        <v>6946</v>
      </c>
      <c r="L62" s="5">
        <v>882</v>
      </c>
      <c r="M62" s="6">
        <v>6126372</v>
      </c>
      <c r="N62" s="6">
        <v>6111543</v>
      </c>
      <c r="O62" s="6">
        <f t="shared" si="1"/>
        <v>14829</v>
      </c>
    </row>
    <row r="63" spans="1:15" ht="15.6" thickTop="1" thickBot="1" x14ac:dyDescent="0.35">
      <c r="A63" s="4">
        <v>62</v>
      </c>
      <c r="B63" s="12">
        <v>45522</v>
      </c>
      <c r="C63" s="11" t="str">
        <f t="shared" si="0"/>
        <v>August</v>
      </c>
      <c r="D63" s="5" t="s">
        <v>148</v>
      </c>
      <c r="E63" s="5" t="s">
        <v>31</v>
      </c>
      <c r="F63" s="5" t="s">
        <v>147</v>
      </c>
      <c r="G63" s="5" t="s">
        <v>14</v>
      </c>
      <c r="H63" s="5" t="s">
        <v>80</v>
      </c>
      <c r="I63" s="5" t="s">
        <v>51</v>
      </c>
      <c r="J63" s="5" t="s">
        <v>46</v>
      </c>
      <c r="K63" s="5">
        <v>8990</v>
      </c>
      <c r="L63" s="5">
        <v>666</v>
      </c>
      <c r="M63" s="6">
        <v>5987340</v>
      </c>
      <c r="N63" s="6">
        <v>5975727</v>
      </c>
      <c r="O63" s="6">
        <f t="shared" si="1"/>
        <v>11613</v>
      </c>
    </row>
    <row r="64" spans="1:15" ht="15.6" thickTop="1" thickBot="1" x14ac:dyDescent="0.35">
      <c r="A64" s="4">
        <v>63</v>
      </c>
      <c r="B64" s="12">
        <v>45525</v>
      </c>
      <c r="C64" s="11" t="str">
        <f t="shared" si="0"/>
        <v>August</v>
      </c>
      <c r="D64" s="5" t="s">
        <v>149</v>
      </c>
      <c r="E64" s="5" t="s">
        <v>31</v>
      </c>
      <c r="F64" s="5" t="s">
        <v>147</v>
      </c>
      <c r="G64" s="5" t="s">
        <v>27</v>
      </c>
      <c r="H64" s="5" t="s">
        <v>82</v>
      </c>
      <c r="I64" s="5" t="s">
        <v>29</v>
      </c>
      <c r="J64" s="5" t="s">
        <v>16</v>
      </c>
      <c r="K64" s="5">
        <v>5594</v>
      </c>
      <c r="L64" s="5">
        <v>615</v>
      </c>
      <c r="M64" s="6">
        <v>3440310</v>
      </c>
      <c r="N64" s="6">
        <v>3420773</v>
      </c>
      <c r="O64" s="6">
        <f t="shared" si="1"/>
        <v>19537</v>
      </c>
    </row>
    <row r="65" spans="1:15" ht="15.6" thickTop="1" thickBot="1" x14ac:dyDescent="0.35">
      <c r="A65" s="4">
        <v>64</v>
      </c>
      <c r="B65" s="12">
        <v>45528</v>
      </c>
      <c r="C65" s="11" t="str">
        <f t="shared" si="0"/>
        <v>August</v>
      </c>
      <c r="D65" s="5" t="s">
        <v>150</v>
      </c>
      <c r="E65" s="5" t="s">
        <v>31</v>
      </c>
      <c r="F65" s="5" t="s">
        <v>147</v>
      </c>
      <c r="G65" s="5" t="s">
        <v>27</v>
      </c>
      <c r="H65" s="5" t="s">
        <v>84</v>
      </c>
      <c r="I65" s="5" t="s">
        <v>29</v>
      </c>
      <c r="J65" s="5" t="s">
        <v>16</v>
      </c>
      <c r="K65" s="5">
        <v>5491</v>
      </c>
      <c r="L65" s="5">
        <v>601</v>
      </c>
      <c r="M65" s="6">
        <v>3300091</v>
      </c>
      <c r="N65" s="6">
        <v>3284517</v>
      </c>
      <c r="O65" s="6">
        <f t="shared" si="1"/>
        <v>15574</v>
      </c>
    </row>
    <row r="66" spans="1:15" ht="15.6" thickTop="1" thickBot="1" x14ac:dyDescent="0.35">
      <c r="A66" s="4">
        <v>65</v>
      </c>
      <c r="B66" s="12">
        <v>45531</v>
      </c>
      <c r="C66" s="11" t="str">
        <f t="shared" si="0"/>
        <v>August</v>
      </c>
      <c r="D66" s="5" t="s">
        <v>151</v>
      </c>
      <c r="E66" s="5" t="s">
        <v>31</v>
      </c>
      <c r="F66" s="5" t="s">
        <v>147</v>
      </c>
      <c r="G66" s="5" t="s">
        <v>14</v>
      </c>
      <c r="H66" s="5" t="s">
        <v>86</v>
      </c>
      <c r="I66" s="5" t="s">
        <v>45</v>
      </c>
      <c r="J66" s="5" t="s">
        <v>16</v>
      </c>
      <c r="K66" s="5">
        <v>7225</v>
      </c>
      <c r="L66" s="5">
        <v>711</v>
      </c>
      <c r="M66" s="6">
        <v>5136975</v>
      </c>
      <c r="N66" s="6">
        <v>5120037</v>
      </c>
      <c r="O66" s="6">
        <f t="shared" si="1"/>
        <v>16938</v>
      </c>
    </row>
    <row r="67" spans="1:15" ht="15.6" thickTop="1" thickBot="1" x14ac:dyDescent="0.35">
      <c r="A67" s="4">
        <v>66</v>
      </c>
      <c r="B67" s="12">
        <v>45536</v>
      </c>
      <c r="C67" s="11" t="str">
        <f t="shared" ref="C67:C130" si="2">TEXT(B67,"mmmm")</f>
        <v>September</v>
      </c>
      <c r="D67" s="5" t="s">
        <v>152</v>
      </c>
      <c r="E67" s="5" t="s">
        <v>31</v>
      </c>
      <c r="F67" s="5" t="s">
        <v>147</v>
      </c>
      <c r="G67" s="5" t="s">
        <v>14</v>
      </c>
      <c r="H67" s="5" t="s">
        <v>88</v>
      </c>
      <c r="I67" s="5" t="s">
        <v>51</v>
      </c>
      <c r="J67" s="5" t="s">
        <v>16</v>
      </c>
      <c r="K67" s="5">
        <v>2966</v>
      </c>
      <c r="L67" s="5">
        <v>977</v>
      </c>
      <c r="M67" s="6">
        <v>2897782</v>
      </c>
      <c r="N67" s="6">
        <v>2885274</v>
      </c>
      <c r="O67" s="6">
        <f t="shared" ref="O67:O130" si="3">M67-N67</f>
        <v>12508</v>
      </c>
    </row>
    <row r="68" spans="1:15" ht="15.6" thickTop="1" thickBot="1" x14ac:dyDescent="0.35">
      <c r="A68" s="4">
        <v>67</v>
      </c>
      <c r="B68" s="12">
        <v>45538</v>
      </c>
      <c r="C68" s="11" t="str">
        <f t="shared" si="2"/>
        <v>September</v>
      </c>
      <c r="D68" s="5" t="s">
        <v>153</v>
      </c>
      <c r="E68" s="5" t="s">
        <v>31</v>
      </c>
      <c r="F68" s="5" t="s">
        <v>147</v>
      </c>
      <c r="G68" s="5" t="s">
        <v>23</v>
      </c>
      <c r="H68" s="5" t="s">
        <v>90</v>
      </c>
      <c r="I68" s="5" t="s">
        <v>91</v>
      </c>
      <c r="J68" s="5" t="s">
        <v>46</v>
      </c>
      <c r="K68" s="5">
        <v>2421</v>
      </c>
      <c r="L68" s="5">
        <v>765</v>
      </c>
      <c r="M68" s="6">
        <v>1852065</v>
      </c>
      <c r="N68" s="6">
        <v>1839370</v>
      </c>
      <c r="O68" s="6">
        <f t="shared" si="3"/>
        <v>12695</v>
      </c>
    </row>
    <row r="69" spans="1:15" ht="15.6" thickTop="1" thickBot="1" x14ac:dyDescent="0.35">
      <c r="A69" s="4">
        <v>68</v>
      </c>
      <c r="B69" s="12">
        <v>45541</v>
      </c>
      <c r="C69" s="11" t="str">
        <f t="shared" si="2"/>
        <v>September</v>
      </c>
      <c r="D69" s="5" t="s">
        <v>154</v>
      </c>
      <c r="E69" s="5" t="s">
        <v>31</v>
      </c>
      <c r="F69" s="5" t="s">
        <v>147</v>
      </c>
      <c r="G69" s="5" t="s">
        <v>27</v>
      </c>
      <c r="H69" s="5" t="s">
        <v>93</v>
      </c>
      <c r="I69" s="5" t="s">
        <v>94</v>
      </c>
      <c r="J69" s="5" t="s">
        <v>46</v>
      </c>
      <c r="K69" s="5">
        <v>8893</v>
      </c>
      <c r="L69" s="5">
        <v>848</v>
      </c>
      <c r="M69" s="6">
        <v>7541264</v>
      </c>
      <c r="N69" s="6">
        <v>7527543</v>
      </c>
      <c r="O69" s="6">
        <f t="shared" si="3"/>
        <v>13721</v>
      </c>
    </row>
    <row r="70" spans="1:15" ht="15.6" thickTop="1" thickBot="1" x14ac:dyDescent="0.35">
      <c r="A70" s="4">
        <v>69</v>
      </c>
      <c r="B70" s="12">
        <v>45545</v>
      </c>
      <c r="C70" s="11" t="str">
        <f t="shared" si="2"/>
        <v>September</v>
      </c>
      <c r="D70" s="5" t="s">
        <v>155</v>
      </c>
      <c r="E70" s="5" t="s">
        <v>31</v>
      </c>
      <c r="F70" s="5" t="s">
        <v>147</v>
      </c>
      <c r="G70" s="5" t="s">
        <v>19</v>
      </c>
      <c r="H70" s="5" t="s">
        <v>96</v>
      </c>
      <c r="I70" s="5" t="s">
        <v>21</v>
      </c>
      <c r="J70" s="5" t="s">
        <v>46</v>
      </c>
      <c r="K70" s="5">
        <v>4938</v>
      </c>
      <c r="L70" s="5">
        <v>726</v>
      </c>
      <c r="M70" s="6">
        <v>3584988</v>
      </c>
      <c r="N70" s="6">
        <v>3571076</v>
      </c>
      <c r="O70" s="6">
        <f t="shared" si="3"/>
        <v>13912</v>
      </c>
    </row>
    <row r="71" spans="1:15" ht="15.6" thickTop="1" thickBot="1" x14ac:dyDescent="0.35">
      <c r="A71" s="4">
        <v>70</v>
      </c>
      <c r="B71" s="12">
        <v>45548</v>
      </c>
      <c r="C71" s="11" t="str">
        <f t="shared" si="2"/>
        <v>September</v>
      </c>
      <c r="D71" s="5" t="s">
        <v>156</v>
      </c>
      <c r="E71" s="5" t="s">
        <v>31</v>
      </c>
      <c r="F71" s="5" t="s">
        <v>147</v>
      </c>
      <c r="G71" s="5" t="s">
        <v>14</v>
      </c>
      <c r="H71" s="5" t="s">
        <v>98</v>
      </c>
      <c r="I71" s="5" t="s">
        <v>99</v>
      </c>
      <c r="J71" s="5" t="s">
        <v>46</v>
      </c>
      <c r="K71" s="5">
        <v>4836</v>
      </c>
      <c r="L71" s="5">
        <v>783</v>
      </c>
      <c r="M71" s="6">
        <v>3786588</v>
      </c>
      <c r="N71" s="6">
        <v>3770186</v>
      </c>
      <c r="O71" s="6">
        <f t="shared" si="3"/>
        <v>16402</v>
      </c>
    </row>
    <row r="72" spans="1:15" ht="15.6" thickTop="1" thickBot="1" x14ac:dyDescent="0.35">
      <c r="A72" s="4">
        <v>71</v>
      </c>
      <c r="B72" s="12">
        <v>45551</v>
      </c>
      <c r="C72" s="11" t="str">
        <f t="shared" si="2"/>
        <v>September</v>
      </c>
      <c r="D72" s="5" t="s">
        <v>157</v>
      </c>
      <c r="E72" s="5" t="s">
        <v>31</v>
      </c>
      <c r="F72" s="5" t="s">
        <v>147</v>
      </c>
      <c r="G72" s="5" t="s">
        <v>14</v>
      </c>
      <c r="H72" s="5" t="s">
        <v>101</v>
      </c>
      <c r="I72" s="5" t="s">
        <v>102</v>
      </c>
      <c r="J72" s="5" t="s">
        <v>46</v>
      </c>
      <c r="K72" s="5">
        <v>3490</v>
      </c>
      <c r="L72" s="5">
        <v>889</v>
      </c>
      <c r="M72" s="6">
        <v>3102610</v>
      </c>
      <c r="N72" s="6">
        <v>3084216</v>
      </c>
      <c r="O72" s="6">
        <f t="shared" si="3"/>
        <v>18394</v>
      </c>
    </row>
    <row r="73" spans="1:15" ht="15.6" thickTop="1" thickBot="1" x14ac:dyDescent="0.35">
      <c r="A73" s="4">
        <v>72</v>
      </c>
      <c r="B73" s="12">
        <v>45554</v>
      </c>
      <c r="C73" s="11" t="str">
        <f t="shared" si="2"/>
        <v>September</v>
      </c>
      <c r="D73" s="5" t="s">
        <v>158</v>
      </c>
      <c r="E73" s="5" t="s">
        <v>159</v>
      </c>
      <c r="F73" s="5" t="s">
        <v>160</v>
      </c>
      <c r="G73" s="5" t="s">
        <v>104</v>
      </c>
      <c r="H73" s="5" t="s">
        <v>105</v>
      </c>
      <c r="I73" s="5" t="s">
        <v>106</v>
      </c>
      <c r="J73" s="5" t="s">
        <v>46</v>
      </c>
      <c r="K73" s="5">
        <v>1921</v>
      </c>
      <c r="L73" s="5">
        <v>568</v>
      </c>
      <c r="M73" s="6">
        <v>1091128</v>
      </c>
      <c r="N73" s="6">
        <v>1071831</v>
      </c>
      <c r="O73" s="6">
        <f t="shared" si="3"/>
        <v>19297</v>
      </c>
    </row>
    <row r="74" spans="1:15" ht="15.6" thickTop="1" thickBot="1" x14ac:dyDescent="0.35">
      <c r="A74" s="4">
        <v>73</v>
      </c>
      <c r="B74" s="12">
        <v>45558</v>
      </c>
      <c r="C74" s="11" t="str">
        <f t="shared" si="2"/>
        <v>September</v>
      </c>
      <c r="D74" s="5" t="s">
        <v>161</v>
      </c>
      <c r="E74" s="5" t="s">
        <v>159</v>
      </c>
      <c r="F74" s="5" t="s">
        <v>160</v>
      </c>
      <c r="G74" s="5" t="s">
        <v>14</v>
      </c>
      <c r="H74" s="5" t="s">
        <v>108</v>
      </c>
      <c r="I74" s="5" t="s">
        <v>109</v>
      </c>
      <c r="J74" s="5" t="s">
        <v>46</v>
      </c>
      <c r="K74" s="5">
        <v>5036</v>
      </c>
      <c r="L74" s="5">
        <v>745</v>
      </c>
      <c r="M74" s="6">
        <v>3751820</v>
      </c>
      <c r="N74" s="6">
        <v>3739847</v>
      </c>
      <c r="O74" s="6">
        <f t="shared" si="3"/>
        <v>11973</v>
      </c>
    </row>
    <row r="75" spans="1:15" ht="15.6" thickTop="1" thickBot="1" x14ac:dyDescent="0.35">
      <c r="A75" s="4">
        <v>74</v>
      </c>
      <c r="B75" s="12">
        <v>45562</v>
      </c>
      <c r="C75" s="11" t="str">
        <f t="shared" si="2"/>
        <v>September</v>
      </c>
      <c r="D75" s="5" t="s">
        <v>162</v>
      </c>
      <c r="E75" s="5" t="s">
        <v>159</v>
      </c>
      <c r="F75" s="5" t="s">
        <v>160</v>
      </c>
      <c r="G75" s="5" t="s">
        <v>57</v>
      </c>
      <c r="H75" s="5" t="s">
        <v>111</v>
      </c>
      <c r="I75" s="5" t="s">
        <v>112</v>
      </c>
      <c r="J75" s="5" t="s">
        <v>46</v>
      </c>
      <c r="K75" s="5">
        <v>6124</v>
      </c>
      <c r="L75" s="5">
        <v>634</v>
      </c>
      <c r="M75" s="6">
        <v>3882616</v>
      </c>
      <c r="N75" s="6">
        <v>3869989</v>
      </c>
      <c r="O75" s="6">
        <f t="shared" si="3"/>
        <v>12627</v>
      </c>
    </row>
    <row r="76" spans="1:15" ht="15.6" thickTop="1" thickBot="1" x14ac:dyDescent="0.35">
      <c r="A76" s="4">
        <v>75</v>
      </c>
      <c r="B76" s="12">
        <v>45565</v>
      </c>
      <c r="C76" s="11" t="str">
        <f t="shared" si="2"/>
        <v>September</v>
      </c>
      <c r="D76" s="5" t="s">
        <v>163</v>
      </c>
      <c r="E76" s="5" t="s">
        <v>159</v>
      </c>
      <c r="F76" s="5" t="s">
        <v>160</v>
      </c>
      <c r="G76" s="5" t="s">
        <v>23</v>
      </c>
      <c r="H76" s="5" t="s">
        <v>114</v>
      </c>
      <c r="I76" s="5" t="s">
        <v>25</v>
      </c>
      <c r="J76" s="5" t="s">
        <v>46</v>
      </c>
      <c r="K76" s="5">
        <v>6233</v>
      </c>
      <c r="L76" s="5">
        <v>675</v>
      </c>
      <c r="M76" s="6">
        <v>4207275</v>
      </c>
      <c r="N76" s="6">
        <v>4192013</v>
      </c>
      <c r="O76" s="6">
        <f t="shared" si="3"/>
        <v>15262</v>
      </c>
    </row>
    <row r="77" spans="1:15" ht="15.6" thickTop="1" thickBot="1" x14ac:dyDescent="0.35">
      <c r="A77" s="4">
        <v>76</v>
      </c>
      <c r="B77" s="12">
        <v>45567</v>
      </c>
      <c r="C77" s="11" t="str">
        <f t="shared" si="2"/>
        <v>October</v>
      </c>
      <c r="D77" s="5" t="s">
        <v>164</v>
      </c>
      <c r="E77" s="5" t="s">
        <v>159</v>
      </c>
      <c r="F77" s="5" t="s">
        <v>160</v>
      </c>
      <c r="G77" s="5" t="s">
        <v>23</v>
      </c>
      <c r="H77" s="5" t="s">
        <v>24</v>
      </c>
      <c r="I77" s="5" t="s">
        <v>25</v>
      </c>
      <c r="J77" s="5" t="s">
        <v>46</v>
      </c>
      <c r="K77" s="5">
        <v>9156</v>
      </c>
      <c r="L77" s="5">
        <v>778</v>
      </c>
      <c r="M77" s="6">
        <v>7123368</v>
      </c>
      <c r="N77" s="6">
        <v>7106639</v>
      </c>
      <c r="O77" s="6">
        <f t="shared" si="3"/>
        <v>16729</v>
      </c>
    </row>
    <row r="78" spans="1:15" ht="15.6" thickTop="1" thickBot="1" x14ac:dyDescent="0.35">
      <c r="A78" s="4">
        <v>77</v>
      </c>
      <c r="B78" s="12">
        <v>45570</v>
      </c>
      <c r="C78" s="11" t="str">
        <f t="shared" si="2"/>
        <v>October</v>
      </c>
      <c r="D78" s="5" t="s">
        <v>165</v>
      </c>
      <c r="E78" s="5" t="s">
        <v>159</v>
      </c>
      <c r="F78" s="5" t="s">
        <v>160</v>
      </c>
      <c r="G78" s="5" t="s">
        <v>57</v>
      </c>
      <c r="H78" s="5" t="s">
        <v>118</v>
      </c>
      <c r="I78" s="5" t="s">
        <v>59</v>
      </c>
      <c r="J78" s="5" t="s">
        <v>16</v>
      </c>
      <c r="K78" s="5">
        <v>3687</v>
      </c>
      <c r="L78" s="5">
        <v>867</v>
      </c>
      <c r="M78" s="6">
        <v>3196629</v>
      </c>
      <c r="N78" s="6">
        <v>3183236</v>
      </c>
      <c r="O78" s="6">
        <f t="shared" si="3"/>
        <v>13393</v>
      </c>
    </row>
    <row r="79" spans="1:15" ht="15.6" thickTop="1" thickBot="1" x14ac:dyDescent="0.35">
      <c r="A79" s="4">
        <v>78</v>
      </c>
      <c r="B79" s="12">
        <v>45573</v>
      </c>
      <c r="C79" s="11" t="str">
        <f t="shared" si="2"/>
        <v>October</v>
      </c>
      <c r="D79" s="5" t="s">
        <v>166</v>
      </c>
      <c r="E79" s="5" t="s">
        <v>159</v>
      </c>
      <c r="F79" s="5" t="s">
        <v>160</v>
      </c>
      <c r="G79" s="5" t="s">
        <v>23</v>
      </c>
      <c r="H79" s="5" t="s">
        <v>120</v>
      </c>
      <c r="I79" s="5" t="s">
        <v>91</v>
      </c>
      <c r="J79" s="5" t="s">
        <v>16</v>
      </c>
      <c r="K79" s="5">
        <v>3165</v>
      </c>
      <c r="L79" s="5">
        <v>903</v>
      </c>
      <c r="M79" s="6">
        <v>2857995</v>
      </c>
      <c r="N79" s="6">
        <v>2846311</v>
      </c>
      <c r="O79" s="6">
        <f t="shared" si="3"/>
        <v>11684</v>
      </c>
    </row>
    <row r="80" spans="1:15" ht="15.6" thickTop="1" thickBot="1" x14ac:dyDescent="0.35">
      <c r="A80" s="4">
        <v>79</v>
      </c>
      <c r="B80" s="12">
        <v>45576</v>
      </c>
      <c r="C80" s="11" t="str">
        <f t="shared" si="2"/>
        <v>October</v>
      </c>
      <c r="D80" s="5" t="s">
        <v>167</v>
      </c>
      <c r="E80" s="5" t="s">
        <v>31</v>
      </c>
      <c r="F80" s="5" t="s">
        <v>134</v>
      </c>
      <c r="G80" s="5" t="s">
        <v>23</v>
      </c>
      <c r="H80" s="5" t="s">
        <v>122</v>
      </c>
      <c r="I80" s="5" t="s">
        <v>25</v>
      </c>
      <c r="J80" s="5" t="s">
        <v>16</v>
      </c>
      <c r="K80" s="5">
        <v>1580</v>
      </c>
      <c r="L80" s="5">
        <v>718</v>
      </c>
      <c r="M80" s="6">
        <v>1134440</v>
      </c>
      <c r="N80" s="6">
        <v>1120363</v>
      </c>
      <c r="O80" s="6">
        <f t="shared" si="3"/>
        <v>14077</v>
      </c>
    </row>
    <row r="81" spans="1:15" ht="15.6" thickTop="1" thickBot="1" x14ac:dyDescent="0.35">
      <c r="A81" s="4">
        <v>80</v>
      </c>
      <c r="B81" s="12">
        <v>45579</v>
      </c>
      <c r="C81" s="11" t="str">
        <f t="shared" si="2"/>
        <v>October</v>
      </c>
      <c r="D81" s="5" t="s">
        <v>168</v>
      </c>
      <c r="E81" s="5" t="s">
        <v>31</v>
      </c>
      <c r="F81" s="5" t="s">
        <v>134</v>
      </c>
      <c r="G81" s="5" t="s">
        <v>27</v>
      </c>
      <c r="H81" s="5" t="s">
        <v>124</v>
      </c>
      <c r="I81" s="5" t="s">
        <v>34</v>
      </c>
      <c r="J81" s="5" t="s">
        <v>16</v>
      </c>
      <c r="K81" s="5">
        <v>5627</v>
      </c>
      <c r="L81" s="5">
        <v>539</v>
      </c>
      <c r="M81" s="6">
        <v>3032953</v>
      </c>
      <c r="N81" s="6">
        <v>3019240</v>
      </c>
      <c r="O81" s="6">
        <f t="shared" si="3"/>
        <v>13713</v>
      </c>
    </row>
    <row r="82" spans="1:15" ht="15.6" thickTop="1" thickBot="1" x14ac:dyDescent="0.35">
      <c r="A82" s="4">
        <v>81</v>
      </c>
      <c r="B82" s="12">
        <v>45580</v>
      </c>
      <c r="C82" s="11" t="str">
        <f t="shared" si="2"/>
        <v>October</v>
      </c>
      <c r="D82" s="5" t="s">
        <v>169</v>
      </c>
      <c r="E82" s="5" t="s">
        <v>31</v>
      </c>
      <c r="F82" s="5" t="s">
        <v>134</v>
      </c>
      <c r="G82" s="5" t="s">
        <v>14</v>
      </c>
      <c r="H82" s="5" t="s">
        <v>15</v>
      </c>
      <c r="I82" s="5" t="s">
        <v>15</v>
      </c>
      <c r="J82" s="5" t="s">
        <v>16</v>
      </c>
      <c r="K82" s="5">
        <v>3396</v>
      </c>
      <c r="L82" s="5">
        <v>865</v>
      </c>
      <c r="M82" s="6">
        <v>2937540</v>
      </c>
      <c r="N82" s="6">
        <v>2926020</v>
      </c>
      <c r="O82" s="6">
        <f t="shared" si="3"/>
        <v>11520</v>
      </c>
    </row>
    <row r="83" spans="1:15" ht="15.6" thickTop="1" thickBot="1" x14ac:dyDescent="0.35">
      <c r="A83" s="4">
        <v>82</v>
      </c>
      <c r="B83" s="12">
        <v>45386</v>
      </c>
      <c r="C83" s="11" t="str">
        <f t="shared" si="2"/>
        <v>April</v>
      </c>
      <c r="D83" s="5" t="s">
        <v>170</v>
      </c>
      <c r="E83" s="5" t="s">
        <v>31</v>
      </c>
      <c r="F83" s="5" t="s">
        <v>134</v>
      </c>
      <c r="G83" s="5" t="s">
        <v>19</v>
      </c>
      <c r="H83" s="5" t="s">
        <v>20</v>
      </c>
      <c r="I83" s="5" t="s">
        <v>21</v>
      </c>
      <c r="J83" s="5" t="s">
        <v>46</v>
      </c>
      <c r="K83" s="5">
        <v>7609</v>
      </c>
      <c r="L83" s="5">
        <v>636</v>
      </c>
      <c r="M83" s="6">
        <v>4839324</v>
      </c>
      <c r="N83" s="6">
        <v>4825208</v>
      </c>
      <c r="O83" s="6">
        <f t="shared" si="3"/>
        <v>14116</v>
      </c>
    </row>
    <row r="84" spans="1:15" ht="15.6" thickTop="1" thickBot="1" x14ac:dyDescent="0.35">
      <c r="A84" s="4">
        <v>83</v>
      </c>
      <c r="B84" s="12">
        <v>45389</v>
      </c>
      <c r="C84" s="11" t="str">
        <f t="shared" si="2"/>
        <v>April</v>
      </c>
      <c r="D84" s="5" t="s">
        <v>171</v>
      </c>
      <c r="E84" s="5" t="s">
        <v>31</v>
      </c>
      <c r="F84" s="5" t="s">
        <v>134</v>
      </c>
      <c r="G84" s="5" t="s">
        <v>23</v>
      </c>
      <c r="H84" s="5" t="s">
        <v>24</v>
      </c>
      <c r="I84" s="5" t="s">
        <v>25</v>
      </c>
      <c r="J84" s="5" t="s">
        <v>46</v>
      </c>
      <c r="K84" s="5">
        <v>2460</v>
      </c>
      <c r="L84" s="5">
        <v>571</v>
      </c>
      <c r="M84" s="6">
        <v>1404660</v>
      </c>
      <c r="N84" s="6">
        <v>1390201</v>
      </c>
      <c r="O84" s="6">
        <f t="shared" si="3"/>
        <v>14459</v>
      </c>
    </row>
    <row r="85" spans="1:15" ht="15.6" thickTop="1" thickBot="1" x14ac:dyDescent="0.35">
      <c r="A85" s="4">
        <v>84</v>
      </c>
      <c r="B85" s="12">
        <v>45391</v>
      </c>
      <c r="C85" s="11" t="str">
        <f t="shared" si="2"/>
        <v>April</v>
      </c>
      <c r="D85" s="5" t="s">
        <v>172</v>
      </c>
      <c r="E85" s="5" t="s">
        <v>31</v>
      </c>
      <c r="F85" s="5" t="s">
        <v>147</v>
      </c>
      <c r="G85" s="5" t="s">
        <v>27</v>
      </c>
      <c r="H85" s="5" t="s">
        <v>28</v>
      </c>
      <c r="I85" s="5" t="s">
        <v>29</v>
      </c>
      <c r="J85" s="5" t="s">
        <v>46</v>
      </c>
      <c r="K85" s="5">
        <v>8048</v>
      </c>
      <c r="L85" s="5">
        <v>648</v>
      </c>
      <c r="M85" s="6">
        <v>5215104</v>
      </c>
      <c r="N85" s="6">
        <v>5197007</v>
      </c>
      <c r="O85" s="6">
        <f t="shared" si="3"/>
        <v>18097</v>
      </c>
    </row>
    <row r="86" spans="1:15" ht="15.6" thickTop="1" thickBot="1" x14ac:dyDescent="0.35">
      <c r="A86" s="4">
        <v>85</v>
      </c>
      <c r="B86" s="12">
        <v>45395</v>
      </c>
      <c r="C86" s="11" t="str">
        <f t="shared" si="2"/>
        <v>April</v>
      </c>
      <c r="D86" s="5" t="s">
        <v>173</v>
      </c>
      <c r="E86" s="5" t="s">
        <v>31</v>
      </c>
      <c r="F86" s="5" t="s">
        <v>147</v>
      </c>
      <c r="G86" s="5" t="s">
        <v>27</v>
      </c>
      <c r="H86" s="5" t="s">
        <v>33</v>
      </c>
      <c r="I86" s="5" t="s">
        <v>34</v>
      </c>
      <c r="J86" s="5" t="s">
        <v>16</v>
      </c>
      <c r="K86" s="5">
        <v>6821</v>
      </c>
      <c r="L86" s="5">
        <v>871</v>
      </c>
      <c r="M86" s="6">
        <v>5941091</v>
      </c>
      <c r="N86" s="6">
        <v>5921313</v>
      </c>
      <c r="O86" s="6">
        <f t="shared" si="3"/>
        <v>19778</v>
      </c>
    </row>
    <row r="87" spans="1:15" ht="15.6" thickTop="1" thickBot="1" x14ac:dyDescent="0.35">
      <c r="A87" s="4">
        <v>86</v>
      </c>
      <c r="B87" s="12">
        <v>45399</v>
      </c>
      <c r="C87" s="11" t="str">
        <f t="shared" si="2"/>
        <v>April</v>
      </c>
      <c r="D87" s="5" t="s">
        <v>174</v>
      </c>
      <c r="E87" s="5" t="s">
        <v>31</v>
      </c>
      <c r="F87" s="5" t="s">
        <v>147</v>
      </c>
      <c r="G87" s="5" t="s">
        <v>27</v>
      </c>
      <c r="H87" s="5" t="s">
        <v>36</v>
      </c>
      <c r="I87" s="5" t="s">
        <v>37</v>
      </c>
      <c r="J87" s="5" t="s">
        <v>16</v>
      </c>
      <c r="K87" s="5">
        <v>1898</v>
      </c>
      <c r="L87" s="5">
        <v>726</v>
      </c>
      <c r="M87" s="6">
        <v>1377948</v>
      </c>
      <c r="N87" s="6">
        <v>1362490</v>
      </c>
      <c r="O87" s="6">
        <f t="shared" si="3"/>
        <v>15458</v>
      </c>
    </row>
    <row r="88" spans="1:15" ht="15.6" thickTop="1" thickBot="1" x14ac:dyDescent="0.35">
      <c r="A88" s="4">
        <v>87</v>
      </c>
      <c r="B88" s="12">
        <v>45401</v>
      </c>
      <c r="C88" s="11" t="str">
        <f t="shared" si="2"/>
        <v>April</v>
      </c>
      <c r="D88" s="5" t="s">
        <v>175</v>
      </c>
      <c r="E88" s="5" t="s">
        <v>31</v>
      </c>
      <c r="F88" s="5" t="s">
        <v>147</v>
      </c>
      <c r="G88" s="5" t="s">
        <v>19</v>
      </c>
      <c r="H88" s="5" t="s">
        <v>39</v>
      </c>
      <c r="I88" s="5" t="s">
        <v>40</v>
      </c>
      <c r="J88" s="5" t="s">
        <v>16</v>
      </c>
      <c r="K88" s="5">
        <v>8320</v>
      </c>
      <c r="L88" s="5">
        <v>701</v>
      </c>
      <c r="M88" s="6">
        <v>5832320</v>
      </c>
      <c r="N88" s="6">
        <v>5821479</v>
      </c>
      <c r="O88" s="6">
        <f t="shared" si="3"/>
        <v>10841</v>
      </c>
    </row>
    <row r="89" spans="1:15" ht="15.6" thickTop="1" thickBot="1" x14ac:dyDescent="0.35">
      <c r="A89" s="4">
        <v>88</v>
      </c>
      <c r="B89" s="12">
        <v>45406</v>
      </c>
      <c r="C89" s="11" t="str">
        <f t="shared" si="2"/>
        <v>April</v>
      </c>
      <c r="D89" s="5" t="s">
        <v>176</v>
      </c>
      <c r="E89" s="5" t="s">
        <v>31</v>
      </c>
      <c r="F89" s="5" t="s">
        <v>147</v>
      </c>
      <c r="G89" s="5" t="s">
        <v>19</v>
      </c>
      <c r="H89" s="5" t="s">
        <v>42</v>
      </c>
      <c r="I89" s="5" t="s">
        <v>21</v>
      </c>
      <c r="J89" s="5" t="s">
        <v>16</v>
      </c>
      <c r="K89" s="5">
        <v>7085</v>
      </c>
      <c r="L89" s="5">
        <v>980</v>
      </c>
      <c r="M89" s="6">
        <v>6943300</v>
      </c>
      <c r="N89" s="6">
        <v>6925974</v>
      </c>
      <c r="O89" s="6">
        <f t="shared" si="3"/>
        <v>17326</v>
      </c>
    </row>
    <row r="90" spans="1:15" ht="15.6" thickTop="1" thickBot="1" x14ac:dyDescent="0.35">
      <c r="A90" s="4">
        <v>89</v>
      </c>
      <c r="B90" s="12">
        <v>45412</v>
      </c>
      <c r="C90" s="11" t="str">
        <f t="shared" si="2"/>
        <v>April</v>
      </c>
      <c r="D90" s="5" t="s">
        <v>177</v>
      </c>
      <c r="E90" s="5" t="s">
        <v>31</v>
      </c>
      <c r="F90" s="5" t="s">
        <v>147</v>
      </c>
      <c r="G90" s="5" t="s">
        <v>14</v>
      </c>
      <c r="H90" s="5" t="s">
        <v>44</v>
      </c>
      <c r="I90" s="5" t="s">
        <v>45</v>
      </c>
      <c r="J90" s="5" t="s">
        <v>16</v>
      </c>
      <c r="K90" s="5">
        <v>7382</v>
      </c>
      <c r="L90" s="5">
        <v>866</v>
      </c>
      <c r="M90" s="6">
        <v>6392812</v>
      </c>
      <c r="N90" s="6">
        <v>6377193</v>
      </c>
      <c r="O90" s="6">
        <f t="shared" si="3"/>
        <v>15619</v>
      </c>
    </row>
    <row r="91" spans="1:15" ht="15.6" thickTop="1" thickBot="1" x14ac:dyDescent="0.35">
      <c r="A91" s="4">
        <v>90</v>
      </c>
      <c r="B91" s="12">
        <v>45413</v>
      </c>
      <c r="C91" s="11" t="str">
        <f t="shared" si="2"/>
        <v>May</v>
      </c>
      <c r="D91" s="5" t="s">
        <v>178</v>
      </c>
      <c r="E91" s="5" t="s">
        <v>159</v>
      </c>
      <c r="F91" s="5" t="s">
        <v>179</v>
      </c>
      <c r="G91" s="5" t="s">
        <v>19</v>
      </c>
      <c r="H91" s="5" t="s">
        <v>48</v>
      </c>
      <c r="I91" s="5" t="s">
        <v>40</v>
      </c>
      <c r="J91" s="5" t="s">
        <v>46</v>
      </c>
      <c r="K91" s="5">
        <v>4636</v>
      </c>
      <c r="L91" s="5">
        <v>976</v>
      </c>
      <c r="M91" s="6">
        <v>4524736</v>
      </c>
      <c r="N91" s="6">
        <v>4511449</v>
      </c>
      <c r="O91" s="6">
        <f t="shared" si="3"/>
        <v>13287</v>
      </c>
    </row>
    <row r="92" spans="1:15" ht="15.6" thickTop="1" thickBot="1" x14ac:dyDescent="0.35">
      <c r="A92" s="4">
        <v>91</v>
      </c>
      <c r="B92" s="12">
        <v>45416</v>
      </c>
      <c r="C92" s="11" t="str">
        <f t="shared" si="2"/>
        <v>May</v>
      </c>
      <c r="D92" s="5" t="s">
        <v>180</v>
      </c>
      <c r="E92" s="5" t="s">
        <v>159</v>
      </c>
      <c r="F92" s="5" t="s">
        <v>179</v>
      </c>
      <c r="G92" s="5" t="s">
        <v>14</v>
      </c>
      <c r="H92" s="5" t="s">
        <v>50</v>
      </c>
      <c r="I92" s="5" t="s">
        <v>51</v>
      </c>
      <c r="J92" s="5" t="s">
        <v>46</v>
      </c>
      <c r="K92" s="5">
        <v>2540</v>
      </c>
      <c r="L92" s="5">
        <v>735</v>
      </c>
      <c r="M92" s="6">
        <v>1866900</v>
      </c>
      <c r="N92" s="6">
        <v>1854141</v>
      </c>
      <c r="O92" s="6">
        <f t="shared" si="3"/>
        <v>12759</v>
      </c>
    </row>
    <row r="93" spans="1:15" ht="15.6" thickTop="1" thickBot="1" x14ac:dyDescent="0.35">
      <c r="A93" s="4">
        <v>92</v>
      </c>
      <c r="B93" s="12">
        <v>45420</v>
      </c>
      <c r="C93" s="11" t="str">
        <f t="shared" si="2"/>
        <v>May</v>
      </c>
      <c r="D93" s="5" t="s">
        <v>181</v>
      </c>
      <c r="E93" s="5" t="s">
        <v>159</v>
      </c>
      <c r="F93" s="5" t="s">
        <v>179</v>
      </c>
      <c r="G93" s="5" t="s">
        <v>14</v>
      </c>
      <c r="H93" s="5" t="s">
        <v>53</v>
      </c>
      <c r="I93" s="5" t="s">
        <v>51</v>
      </c>
      <c r="J93" s="5" t="s">
        <v>46</v>
      </c>
      <c r="K93" s="5">
        <v>6995</v>
      </c>
      <c r="L93" s="5">
        <v>959</v>
      </c>
      <c r="M93" s="6">
        <v>6708205</v>
      </c>
      <c r="N93" s="6">
        <v>6691336</v>
      </c>
      <c r="O93" s="6">
        <f t="shared" si="3"/>
        <v>16869</v>
      </c>
    </row>
    <row r="94" spans="1:15" ht="15.6" thickTop="1" thickBot="1" x14ac:dyDescent="0.35">
      <c r="A94" s="4">
        <v>93</v>
      </c>
      <c r="B94" s="12">
        <v>45422</v>
      </c>
      <c r="C94" s="11" t="str">
        <f t="shared" si="2"/>
        <v>May</v>
      </c>
      <c r="D94" s="5" t="s">
        <v>182</v>
      </c>
      <c r="E94" s="5" t="s">
        <v>159</v>
      </c>
      <c r="F94" s="5" t="s">
        <v>179</v>
      </c>
      <c r="G94" s="5" t="s">
        <v>19</v>
      </c>
      <c r="H94" s="5" t="s">
        <v>55</v>
      </c>
      <c r="I94" s="5" t="s">
        <v>21</v>
      </c>
      <c r="J94" s="5" t="s">
        <v>46</v>
      </c>
      <c r="K94" s="5">
        <v>8442</v>
      </c>
      <c r="L94" s="5">
        <v>618</v>
      </c>
      <c r="M94" s="6">
        <v>5217156</v>
      </c>
      <c r="N94" s="6">
        <v>5203179</v>
      </c>
      <c r="O94" s="6">
        <f t="shared" si="3"/>
        <v>13977</v>
      </c>
    </row>
    <row r="95" spans="1:15" ht="15.6" thickTop="1" thickBot="1" x14ac:dyDescent="0.35">
      <c r="A95" s="4">
        <v>94</v>
      </c>
      <c r="B95" s="12">
        <v>45424</v>
      </c>
      <c r="C95" s="11" t="str">
        <f t="shared" si="2"/>
        <v>May</v>
      </c>
      <c r="D95" s="5" t="s">
        <v>183</v>
      </c>
      <c r="E95" s="5" t="s">
        <v>159</v>
      </c>
      <c r="F95" s="5" t="s">
        <v>179</v>
      </c>
      <c r="G95" s="5" t="s">
        <v>57</v>
      </c>
      <c r="H95" s="5" t="s">
        <v>58</v>
      </c>
      <c r="I95" s="5" t="s">
        <v>59</v>
      </c>
      <c r="J95" s="5" t="s">
        <v>46</v>
      </c>
      <c r="K95" s="5">
        <v>8766</v>
      </c>
      <c r="L95" s="5">
        <v>813</v>
      </c>
      <c r="M95" s="6">
        <v>7126758</v>
      </c>
      <c r="N95" s="6">
        <v>7112458</v>
      </c>
      <c r="O95" s="6">
        <f t="shared" si="3"/>
        <v>14300</v>
      </c>
    </row>
    <row r="96" spans="1:15" ht="15.6" thickTop="1" thickBot="1" x14ac:dyDescent="0.35">
      <c r="A96" s="4">
        <v>95</v>
      </c>
      <c r="B96" s="12">
        <v>45426</v>
      </c>
      <c r="C96" s="11" t="str">
        <f t="shared" si="2"/>
        <v>May</v>
      </c>
      <c r="D96" s="5" t="s">
        <v>184</v>
      </c>
      <c r="E96" s="5" t="s">
        <v>159</v>
      </c>
      <c r="F96" s="5" t="s">
        <v>179</v>
      </c>
      <c r="G96" s="5" t="s">
        <v>19</v>
      </c>
      <c r="H96" s="5" t="s">
        <v>62</v>
      </c>
      <c r="I96" s="5" t="s">
        <v>21</v>
      </c>
      <c r="J96" s="5" t="s">
        <v>46</v>
      </c>
      <c r="K96" s="5">
        <v>2645</v>
      </c>
      <c r="L96" s="5">
        <v>513</v>
      </c>
      <c r="M96" s="6">
        <v>1356885</v>
      </c>
      <c r="N96" s="6">
        <v>1339194</v>
      </c>
      <c r="O96" s="6">
        <f t="shared" si="3"/>
        <v>17691</v>
      </c>
    </row>
    <row r="97" spans="1:15" ht="15.6" thickTop="1" thickBot="1" x14ac:dyDescent="0.35">
      <c r="A97" s="4">
        <v>96</v>
      </c>
      <c r="B97" s="12">
        <v>45428</v>
      </c>
      <c r="C97" s="11" t="str">
        <f t="shared" si="2"/>
        <v>May</v>
      </c>
      <c r="D97" s="5" t="s">
        <v>185</v>
      </c>
      <c r="E97" s="5" t="s">
        <v>159</v>
      </c>
      <c r="F97" s="5" t="s">
        <v>179</v>
      </c>
      <c r="G97" s="5" t="s">
        <v>64</v>
      </c>
      <c r="H97" s="5" t="s">
        <v>65</v>
      </c>
      <c r="I97" s="5" t="s">
        <v>65</v>
      </c>
      <c r="J97" s="5" t="s">
        <v>46</v>
      </c>
      <c r="K97" s="5">
        <v>4794</v>
      </c>
      <c r="L97" s="5">
        <v>703</v>
      </c>
      <c r="M97" s="6">
        <v>3370182</v>
      </c>
      <c r="N97" s="6">
        <v>3357746</v>
      </c>
      <c r="O97" s="6">
        <f t="shared" si="3"/>
        <v>12436</v>
      </c>
    </row>
    <row r="98" spans="1:15" ht="15.6" thickTop="1" thickBot="1" x14ac:dyDescent="0.35">
      <c r="A98" s="4">
        <v>97</v>
      </c>
      <c r="B98" s="12">
        <v>45431</v>
      </c>
      <c r="C98" s="11" t="str">
        <f t="shared" si="2"/>
        <v>May</v>
      </c>
      <c r="D98" s="5" t="s">
        <v>186</v>
      </c>
      <c r="E98" s="5" t="s">
        <v>159</v>
      </c>
      <c r="F98" s="5" t="s">
        <v>179</v>
      </c>
      <c r="G98" s="5" t="s">
        <v>57</v>
      </c>
      <c r="H98" s="5" t="s">
        <v>67</v>
      </c>
      <c r="I98" s="5" t="s">
        <v>59</v>
      </c>
      <c r="J98" s="5" t="s">
        <v>16</v>
      </c>
      <c r="K98" s="5">
        <v>4067</v>
      </c>
      <c r="L98" s="5">
        <v>710</v>
      </c>
      <c r="M98" s="6">
        <v>2887570</v>
      </c>
      <c r="N98" s="6">
        <v>2871526</v>
      </c>
      <c r="O98" s="6">
        <f t="shared" si="3"/>
        <v>16044</v>
      </c>
    </row>
    <row r="99" spans="1:15" ht="15.6" thickTop="1" thickBot="1" x14ac:dyDescent="0.35">
      <c r="A99" s="4">
        <v>98</v>
      </c>
      <c r="B99" s="12">
        <v>45434</v>
      </c>
      <c r="C99" s="11" t="str">
        <f t="shared" si="2"/>
        <v>May</v>
      </c>
      <c r="D99" s="5" t="s">
        <v>187</v>
      </c>
      <c r="E99" s="5" t="s">
        <v>159</v>
      </c>
      <c r="F99" s="5" t="s">
        <v>179</v>
      </c>
      <c r="G99" s="5" t="s">
        <v>27</v>
      </c>
      <c r="H99" s="5" t="s">
        <v>69</v>
      </c>
      <c r="I99" s="5" t="s">
        <v>70</v>
      </c>
      <c r="J99" s="5" t="s">
        <v>16</v>
      </c>
      <c r="K99" s="5">
        <v>9519</v>
      </c>
      <c r="L99" s="5">
        <v>949</v>
      </c>
      <c r="M99" s="6">
        <v>9033531</v>
      </c>
      <c r="N99" s="6">
        <v>9016790</v>
      </c>
      <c r="O99" s="6">
        <f t="shared" si="3"/>
        <v>16741</v>
      </c>
    </row>
    <row r="100" spans="1:15" ht="15.6" thickTop="1" thickBot="1" x14ac:dyDescent="0.35">
      <c r="A100" s="4">
        <v>99</v>
      </c>
      <c r="B100" s="12">
        <v>45437</v>
      </c>
      <c r="C100" s="11" t="str">
        <f t="shared" si="2"/>
        <v>May</v>
      </c>
      <c r="D100" s="5" t="s">
        <v>188</v>
      </c>
      <c r="E100" s="5" t="s">
        <v>159</v>
      </c>
      <c r="F100" s="5" t="s">
        <v>179</v>
      </c>
      <c r="G100" s="5" t="s">
        <v>23</v>
      </c>
      <c r="H100" s="5" t="s">
        <v>72</v>
      </c>
      <c r="I100" s="5" t="s">
        <v>73</v>
      </c>
      <c r="J100" s="5" t="s">
        <v>16</v>
      </c>
      <c r="K100" s="5">
        <v>7217</v>
      </c>
      <c r="L100" s="5">
        <v>935</v>
      </c>
      <c r="M100" s="6">
        <v>6747895</v>
      </c>
      <c r="N100" s="6">
        <v>6729198</v>
      </c>
      <c r="O100" s="6">
        <f t="shared" si="3"/>
        <v>18697</v>
      </c>
    </row>
    <row r="101" spans="1:15" ht="15.6" thickTop="1" thickBot="1" x14ac:dyDescent="0.35">
      <c r="A101" s="4">
        <v>100</v>
      </c>
      <c r="B101" s="12">
        <v>45445</v>
      </c>
      <c r="C101" s="11" t="str">
        <f t="shared" si="2"/>
        <v>June</v>
      </c>
      <c r="D101" s="5" t="s">
        <v>189</v>
      </c>
      <c r="E101" s="5" t="s">
        <v>159</v>
      </c>
      <c r="F101" s="5" t="s">
        <v>179</v>
      </c>
      <c r="G101" s="5" t="s">
        <v>19</v>
      </c>
      <c r="H101" s="5" t="s">
        <v>75</v>
      </c>
      <c r="I101" s="5" t="s">
        <v>40</v>
      </c>
      <c r="J101" s="5" t="s">
        <v>16</v>
      </c>
      <c r="K101" s="5">
        <v>1885</v>
      </c>
      <c r="L101" s="5">
        <v>811</v>
      </c>
      <c r="M101" s="6">
        <v>1528735</v>
      </c>
      <c r="N101" s="6">
        <v>1516844</v>
      </c>
      <c r="O101" s="6">
        <f t="shared" si="3"/>
        <v>11891</v>
      </c>
    </row>
    <row r="102" spans="1:15" ht="15.6" thickTop="1" thickBot="1" x14ac:dyDescent="0.35">
      <c r="A102" s="4">
        <v>101</v>
      </c>
      <c r="B102" s="12">
        <v>45448</v>
      </c>
      <c r="C102" s="11" t="str">
        <f t="shared" si="2"/>
        <v>June</v>
      </c>
      <c r="D102" s="5" t="s">
        <v>190</v>
      </c>
      <c r="E102" s="5" t="s">
        <v>159</v>
      </c>
      <c r="F102" s="5" t="s">
        <v>179</v>
      </c>
      <c r="G102" s="5" t="s">
        <v>14</v>
      </c>
      <c r="H102" s="5" t="s">
        <v>77</v>
      </c>
      <c r="I102" s="5" t="s">
        <v>51</v>
      </c>
      <c r="J102" s="5" t="s">
        <v>46</v>
      </c>
      <c r="K102" s="5">
        <v>8921</v>
      </c>
      <c r="L102" s="5">
        <v>593</v>
      </c>
      <c r="M102" s="6">
        <v>5290153</v>
      </c>
      <c r="N102" s="6">
        <v>5275034</v>
      </c>
      <c r="O102" s="6">
        <f t="shared" si="3"/>
        <v>15119</v>
      </c>
    </row>
    <row r="103" spans="1:15" ht="15.6" thickTop="1" thickBot="1" x14ac:dyDescent="0.35">
      <c r="A103" s="4">
        <v>102</v>
      </c>
      <c r="B103" s="12">
        <v>45451</v>
      </c>
      <c r="C103" s="11" t="str">
        <f t="shared" si="2"/>
        <v>June</v>
      </c>
      <c r="D103" s="5" t="s">
        <v>191</v>
      </c>
      <c r="E103" s="5" t="s">
        <v>12</v>
      </c>
      <c r="F103" s="5" t="s">
        <v>117</v>
      </c>
      <c r="G103" s="5" t="s">
        <v>14</v>
      </c>
      <c r="H103" s="5" t="s">
        <v>80</v>
      </c>
      <c r="I103" s="5" t="s">
        <v>51</v>
      </c>
      <c r="J103" s="5" t="s">
        <v>16</v>
      </c>
      <c r="K103" s="5">
        <v>6596</v>
      </c>
      <c r="L103" s="5">
        <v>501</v>
      </c>
      <c r="M103" s="6">
        <v>3304596</v>
      </c>
      <c r="N103" s="6">
        <v>3293410</v>
      </c>
      <c r="O103" s="6">
        <f t="shared" si="3"/>
        <v>11186</v>
      </c>
    </row>
    <row r="104" spans="1:15" ht="15.6" thickTop="1" thickBot="1" x14ac:dyDescent="0.35">
      <c r="A104" s="4">
        <v>103</v>
      </c>
      <c r="B104" s="12">
        <v>45454</v>
      </c>
      <c r="C104" s="11" t="str">
        <f t="shared" si="2"/>
        <v>June</v>
      </c>
      <c r="D104" s="5" t="s">
        <v>192</v>
      </c>
      <c r="E104" s="5" t="s">
        <v>12</v>
      </c>
      <c r="F104" s="5" t="s">
        <v>117</v>
      </c>
      <c r="G104" s="5" t="s">
        <v>27</v>
      </c>
      <c r="H104" s="5" t="s">
        <v>82</v>
      </c>
      <c r="I104" s="5" t="s">
        <v>29</v>
      </c>
      <c r="J104" s="5" t="s">
        <v>16</v>
      </c>
      <c r="K104" s="5">
        <v>3074</v>
      </c>
      <c r="L104" s="5">
        <v>869</v>
      </c>
      <c r="M104" s="6">
        <v>2671306</v>
      </c>
      <c r="N104" s="6">
        <v>2652666</v>
      </c>
      <c r="O104" s="6">
        <f t="shared" si="3"/>
        <v>18640</v>
      </c>
    </row>
    <row r="105" spans="1:15" ht="15.6" thickTop="1" thickBot="1" x14ac:dyDescent="0.35">
      <c r="A105" s="4">
        <v>104</v>
      </c>
      <c r="B105" s="12">
        <v>45456</v>
      </c>
      <c r="C105" s="11" t="str">
        <f t="shared" si="2"/>
        <v>June</v>
      </c>
      <c r="D105" s="5" t="s">
        <v>193</v>
      </c>
      <c r="E105" s="5" t="s">
        <v>12</v>
      </c>
      <c r="F105" s="5" t="s">
        <v>117</v>
      </c>
      <c r="G105" s="5" t="s">
        <v>27</v>
      </c>
      <c r="H105" s="5" t="s">
        <v>84</v>
      </c>
      <c r="I105" s="5" t="s">
        <v>29</v>
      </c>
      <c r="J105" s="5" t="s">
        <v>16</v>
      </c>
      <c r="K105" s="5">
        <v>6116</v>
      </c>
      <c r="L105" s="5">
        <v>699</v>
      </c>
      <c r="M105" s="6">
        <v>4275084</v>
      </c>
      <c r="N105" s="6">
        <v>4261342</v>
      </c>
      <c r="O105" s="6">
        <f t="shared" si="3"/>
        <v>13742</v>
      </c>
    </row>
    <row r="106" spans="1:15" ht="15.6" thickTop="1" thickBot="1" x14ac:dyDescent="0.35">
      <c r="A106" s="4">
        <v>105</v>
      </c>
      <c r="B106" s="12">
        <v>45458</v>
      </c>
      <c r="C106" s="11" t="str">
        <f t="shared" si="2"/>
        <v>June</v>
      </c>
      <c r="D106" s="5" t="s">
        <v>194</v>
      </c>
      <c r="E106" s="5" t="s">
        <v>12</v>
      </c>
      <c r="F106" s="5" t="s">
        <v>117</v>
      </c>
      <c r="G106" s="5" t="s">
        <v>14</v>
      </c>
      <c r="H106" s="5" t="s">
        <v>86</v>
      </c>
      <c r="I106" s="5" t="s">
        <v>45</v>
      </c>
      <c r="J106" s="5" t="s">
        <v>16</v>
      </c>
      <c r="K106" s="5">
        <v>5729</v>
      </c>
      <c r="L106" s="5">
        <v>753</v>
      </c>
      <c r="M106" s="6">
        <v>4313937</v>
      </c>
      <c r="N106" s="6">
        <v>4299035</v>
      </c>
      <c r="O106" s="6">
        <f t="shared" si="3"/>
        <v>14902</v>
      </c>
    </row>
    <row r="107" spans="1:15" ht="15.6" thickTop="1" thickBot="1" x14ac:dyDescent="0.35">
      <c r="A107" s="4">
        <v>106</v>
      </c>
      <c r="B107" s="12">
        <v>45460</v>
      </c>
      <c r="C107" s="11" t="str">
        <f t="shared" si="2"/>
        <v>June</v>
      </c>
      <c r="D107" s="5" t="s">
        <v>195</v>
      </c>
      <c r="E107" s="5" t="s">
        <v>12</v>
      </c>
      <c r="F107" s="5" t="s">
        <v>117</v>
      </c>
      <c r="G107" s="5" t="s">
        <v>14</v>
      </c>
      <c r="H107" s="5" t="s">
        <v>88</v>
      </c>
      <c r="I107" s="5" t="s">
        <v>51</v>
      </c>
      <c r="J107" s="5" t="s">
        <v>46</v>
      </c>
      <c r="K107" s="5">
        <v>7181</v>
      </c>
      <c r="L107" s="5">
        <v>668</v>
      </c>
      <c r="M107" s="6">
        <v>4796908</v>
      </c>
      <c r="N107" s="6">
        <v>4777581</v>
      </c>
      <c r="O107" s="6">
        <f t="shared" si="3"/>
        <v>19327</v>
      </c>
    </row>
    <row r="108" spans="1:15" ht="15.6" thickTop="1" thickBot="1" x14ac:dyDescent="0.35">
      <c r="A108" s="4">
        <v>107</v>
      </c>
      <c r="B108" s="12">
        <v>45463</v>
      </c>
      <c r="C108" s="11" t="str">
        <f t="shared" si="2"/>
        <v>June</v>
      </c>
      <c r="D108" s="5" t="s">
        <v>196</v>
      </c>
      <c r="E108" s="5" t="s">
        <v>12</v>
      </c>
      <c r="F108" s="5" t="s">
        <v>117</v>
      </c>
      <c r="G108" s="5" t="s">
        <v>23</v>
      </c>
      <c r="H108" s="5" t="s">
        <v>90</v>
      </c>
      <c r="I108" s="5" t="s">
        <v>91</v>
      </c>
      <c r="J108" s="5" t="s">
        <v>46</v>
      </c>
      <c r="K108" s="5">
        <v>9034</v>
      </c>
      <c r="L108" s="5">
        <v>730</v>
      </c>
      <c r="M108" s="6">
        <v>6594820</v>
      </c>
      <c r="N108" s="6">
        <v>6583087</v>
      </c>
      <c r="O108" s="6">
        <f t="shared" si="3"/>
        <v>11733</v>
      </c>
    </row>
    <row r="109" spans="1:15" ht="15.6" thickTop="1" thickBot="1" x14ac:dyDescent="0.35">
      <c r="A109" s="4">
        <v>108</v>
      </c>
      <c r="B109" s="12">
        <v>45466</v>
      </c>
      <c r="C109" s="11" t="str">
        <f t="shared" si="2"/>
        <v>June</v>
      </c>
      <c r="D109" s="5" t="s">
        <v>197</v>
      </c>
      <c r="E109" s="5" t="s">
        <v>12</v>
      </c>
      <c r="F109" s="5" t="s">
        <v>117</v>
      </c>
      <c r="G109" s="5" t="s">
        <v>27</v>
      </c>
      <c r="H109" s="5" t="s">
        <v>93</v>
      </c>
      <c r="I109" s="5" t="s">
        <v>94</v>
      </c>
      <c r="J109" s="5" t="s">
        <v>46</v>
      </c>
      <c r="K109" s="5">
        <v>6005</v>
      </c>
      <c r="L109" s="5">
        <v>739</v>
      </c>
      <c r="M109" s="6">
        <v>4437695</v>
      </c>
      <c r="N109" s="6">
        <v>4424769</v>
      </c>
      <c r="O109" s="6">
        <f t="shared" si="3"/>
        <v>12926</v>
      </c>
    </row>
    <row r="110" spans="1:15" ht="15.6" thickTop="1" thickBot="1" x14ac:dyDescent="0.35">
      <c r="A110" s="4">
        <v>109</v>
      </c>
      <c r="B110" s="12">
        <v>45471</v>
      </c>
      <c r="C110" s="11" t="str">
        <f t="shared" si="2"/>
        <v>June</v>
      </c>
      <c r="D110" s="5" t="s">
        <v>198</v>
      </c>
      <c r="E110" s="5" t="s">
        <v>12</v>
      </c>
      <c r="F110" s="5" t="s">
        <v>117</v>
      </c>
      <c r="G110" s="5" t="s">
        <v>19</v>
      </c>
      <c r="H110" s="5" t="s">
        <v>96</v>
      </c>
      <c r="I110" s="5" t="s">
        <v>21</v>
      </c>
      <c r="J110" s="5" t="s">
        <v>46</v>
      </c>
      <c r="K110" s="5">
        <v>5261</v>
      </c>
      <c r="L110" s="5">
        <v>626</v>
      </c>
      <c r="M110" s="6">
        <v>3293386</v>
      </c>
      <c r="N110" s="6">
        <v>3279721</v>
      </c>
      <c r="O110" s="6">
        <f t="shared" si="3"/>
        <v>13665</v>
      </c>
    </row>
    <row r="111" spans="1:15" ht="15.6" thickTop="1" thickBot="1" x14ac:dyDescent="0.35">
      <c r="A111" s="4">
        <v>110</v>
      </c>
      <c r="B111" s="12">
        <v>45474</v>
      </c>
      <c r="C111" s="11" t="str">
        <f t="shared" si="2"/>
        <v>July</v>
      </c>
      <c r="D111" s="5" t="s">
        <v>199</v>
      </c>
      <c r="E111" s="5" t="s">
        <v>12</v>
      </c>
      <c r="F111" s="5" t="s">
        <v>117</v>
      </c>
      <c r="G111" s="5" t="s">
        <v>14</v>
      </c>
      <c r="H111" s="5" t="s">
        <v>98</v>
      </c>
      <c r="I111" s="5" t="s">
        <v>99</v>
      </c>
      <c r="J111" s="5" t="s">
        <v>46</v>
      </c>
      <c r="K111" s="5">
        <v>5989</v>
      </c>
      <c r="L111" s="5">
        <v>889</v>
      </c>
      <c r="M111" s="6">
        <v>5324221</v>
      </c>
      <c r="N111" s="6">
        <v>5306323</v>
      </c>
      <c r="O111" s="6">
        <f t="shared" si="3"/>
        <v>17898</v>
      </c>
    </row>
    <row r="112" spans="1:15" ht="15.6" thickTop="1" thickBot="1" x14ac:dyDescent="0.35">
      <c r="A112" s="4">
        <v>111</v>
      </c>
      <c r="B112" s="12">
        <v>45477</v>
      </c>
      <c r="C112" s="11" t="str">
        <f t="shared" si="2"/>
        <v>July</v>
      </c>
      <c r="D112" s="5" t="s">
        <v>200</v>
      </c>
      <c r="E112" s="5" t="s">
        <v>12</v>
      </c>
      <c r="F112" s="5" t="s">
        <v>117</v>
      </c>
      <c r="G112" s="5" t="s">
        <v>14</v>
      </c>
      <c r="H112" s="5" t="s">
        <v>101</v>
      </c>
      <c r="I112" s="5" t="s">
        <v>102</v>
      </c>
      <c r="J112" s="5" t="s">
        <v>46</v>
      </c>
      <c r="K112" s="5">
        <v>6350</v>
      </c>
      <c r="L112" s="5">
        <v>615</v>
      </c>
      <c r="M112" s="6">
        <v>3905250</v>
      </c>
      <c r="N112" s="6">
        <v>3885824</v>
      </c>
      <c r="O112" s="6">
        <f t="shared" si="3"/>
        <v>19426</v>
      </c>
    </row>
    <row r="113" spans="1:15" ht="15.6" thickTop="1" thickBot="1" x14ac:dyDescent="0.35">
      <c r="A113" s="4">
        <v>112</v>
      </c>
      <c r="B113" s="12">
        <v>45479</v>
      </c>
      <c r="C113" s="11" t="str">
        <f t="shared" si="2"/>
        <v>July</v>
      </c>
      <c r="D113" s="5" t="s">
        <v>201</v>
      </c>
      <c r="E113" s="5" t="s">
        <v>12</v>
      </c>
      <c r="F113" s="5" t="s">
        <v>117</v>
      </c>
      <c r="G113" s="5" t="s">
        <v>104</v>
      </c>
      <c r="H113" s="5" t="s">
        <v>105</v>
      </c>
      <c r="I113" s="5" t="s">
        <v>106</v>
      </c>
      <c r="J113" s="5" t="s">
        <v>46</v>
      </c>
      <c r="K113" s="5">
        <v>9014</v>
      </c>
      <c r="L113" s="5">
        <v>687</v>
      </c>
      <c r="M113" s="6">
        <v>6192618</v>
      </c>
      <c r="N113" s="6">
        <v>6172731</v>
      </c>
      <c r="O113" s="6">
        <f t="shared" si="3"/>
        <v>19887</v>
      </c>
    </row>
    <row r="114" spans="1:15" ht="15.6" thickTop="1" thickBot="1" x14ac:dyDescent="0.35">
      <c r="A114" s="4">
        <v>113</v>
      </c>
      <c r="B114" s="12">
        <v>45483</v>
      </c>
      <c r="C114" s="11" t="str">
        <f t="shared" si="2"/>
        <v>July</v>
      </c>
      <c r="D114" s="5" t="s">
        <v>202</v>
      </c>
      <c r="E114" s="5" t="s">
        <v>31</v>
      </c>
      <c r="F114" s="5" t="s">
        <v>134</v>
      </c>
      <c r="G114" s="5" t="s">
        <v>14</v>
      </c>
      <c r="H114" s="5" t="s">
        <v>108</v>
      </c>
      <c r="I114" s="5" t="s">
        <v>109</v>
      </c>
      <c r="J114" s="5" t="s">
        <v>46</v>
      </c>
      <c r="K114" s="5">
        <v>9418</v>
      </c>
      <c r="L114" s="5">
        <v>558</v>
      </c>
      <c r="M114" s="6">
        <v>5255244</v>
      </c>
      <c r="N114" s="6">
        <v>5244107</v>
      </c>
      <c r="O114" s="6">
        <f t="shared" si="3"/>
        <v>11137</v>
      </c>
    </row>
    <row r="115" spans="1:15" ht="15.6" thickTop="1" thickBot="1" x14ac:dyDescent="0.35">
      <c r="A115" s="4">
        <v>114</v>
      </c>
      <c r="B115" s="12">
        <v>45487</v>
      </c>
      <c r="C115" s="11" t="str">
        <f t="shared" si="2"/>
        <v>July</v>
      </c>
      <c r="D115" s="5" t="s">
        <v>203</v>
      </c>
      <c r="E115" s="5" t="s">
        <v>31</v>
      </c>
      <c r="F115" s="5" t="s">
        <v>134</v>
      </c>
      <c r="G115" s="5" t="s">
        <v>57</v>
      </c>
      <c r="H115" s="5" t="s">
        <v>111</v>
      </c>
      <c r="I115" s="5" t="s">
        <v>112</v>
      </c>
      <c r="J115" s="5" t="s">
        <v>46</v>
      </c>
      <c r="K115" s="5">
        <v>8665</v>
      </c>
      <c r="L115" s="5">
        <v>743</v>
      </c>
      <c r="M115" s="6">
        <v>6438095</v>
      </c>
      <c r="N115" s="6">
        <v>6422881</v>
      </c>
      <c r="O115" s="6">
        <f t="shared" si="3"/>
        <v>15214</v>
      </c>
    </row>
    <row r="116" spans="1:15" ht="15.6" thickTop="1" thickBot="1" x14ac:dyDescent="0.35">
      <c r="A116" s="4">
        <v>115</v>
      </c>
      <c r="B116" s="12">
        <v>45490</v>
      </c>
      <c r="C116" s="11" t="str">
        <f t="shared" si="2"/>
        <v>July</v>
      </c>
      <c r="D116" s="5" t="s">
        <v>204</v>
      </c>
      <c r="E116" s="5" t="s">
        <v>31</v>
      </c>
      <c r="F116" s="5" t="s">
        <v>134</v>
      </c>
      <c r="G116" s="5" t="s">
        <v>23</v>
      </c>
      <c r="H116" s="5" t="s">
        <v>114</v>
      </c>
      <c r="I116" s="5" t="s">
        <v>25</v>
      </c>
      <c r="J116" s="5" t="s">
        <v>46</v>
      </c>
      <c r="K116" s="5">
        <v>5344</v>
      </c>
      <c r="L116" s="5">
        <v>500</v>
      </c>
      <c r="M116" s="6">
        <v>2672000</v>
      </c>
      <c r="N116" s="6">
        <v>2653864</v>
      </c>
      <c r="O116" s="6">
        <f t="shared" si="3"/>
        <v>18136</v>
      </c>
    </row>
    <row r="117" spans="1:15" ht="15.6" thickTop="1" thickBot="1" x14ac:dyDescent="0.35">
      <c r="A117" s="4">
        <v>116</v>
      </c>
      <c r="B117" s="12">
        <v>45494</v>
      </c>
      <c r="C117" s="11" t="str">
        <f t="shared" si="2"/>
        <v>July</v>
      </c>
      <c r="D117" s="5" t="s">
        <v>205</v>
      </c>
      <c r="E117" s="5" t="s">
        <v>31</v>
      </c>
      <c r="F117" s="5" t="s">
        <v>134</v>
      </c>
      <c r="G117" s="5" t="s">
        <v>23</v>
      </c>
      <c r="H117" s="5" t="s">
        <v>24</v>
      </c>
      <c r="I117" s="5" t="s">
        <v>25</v>
      </c>
      <c r="J117" s="5" t="s">
        <v>46</v>
      </c>
      <c r="K117" s="5">
        <v>7204</v>
      </c>
      <c r="L117" s="5">
        <v>944</v>
      </c>
      <c r="M117" s="6">
        <v>6800576</v>
      </c>
      <c r="N117" s="6">
        <v>6781492</v>
      </c>
      <c r="O117" s="6">
        <f t="shared" si="3"/>
        <v>19084</v>
      </c>
    </row>
    <row r="118" spans="1:15" ht="15.6" thickTop="1" thickBot="1" x14ac:dyDescent="0.35">
      <c r="A118" s="4">
        <v>117</v>
      </c>
      <c r="B118" s="12">
        <v>45506</v>
      </c>
      <c r="C118" s="11" t="str">
        <f t="shared" si="2"/>
        <v>August</v>
      </c>
      <c r="D118" s="5" t="s">
        <v>206</v>
      </c>
      <c r="E118" s="5" t="s">
        <v>31</v>
      </c>
      <c r="F118" s="5" t="s">
        <v>134</v>
      </c>
      <c r="G118" s="5" t="s">
        <v>57</v>
      </c>
      <c r="H118" s="5" t="s">
        <v>118</v>
      </c>
      <c r="I118" s="5" t="s">
        <v>59</v>
      </c>
      <c r="J118" s="5" t="s">
        <v>46</v>
      </c>
      <c r="K118" s="5">
        <v>5004</v>
      </c>
      <c r="L118" s="5">
        <v>681</v>
      </c>
      <c r="M118" s="6">
        <v>3407724</v>
      </c>
      <c r="N118" s="6">
        <v>3396708</v>
      </c>
      <c r="O118" s="6">
        <f t="shared" si="3"/>
        <v>11016</v>
      </c>
    </row>
    <row r="119" spans="1:15" ht="15.6" thickTop="1" thickBot="1" x14ac:dyDescent="0.35">
      <c r="A119" s="4">
        <v>118</v>
      </c>
      <c r="B119" s="12">
        <v>45541</v>
      </c>
      <c r="C119" s="11" t="str">
        <f t="shared" si="2"/>
        <v>September</v>
      </c>
      <c r="D119" s="5" t="s">
        <v>207</v>
      </c>
      <c r="E119" s="5" t="s">
        <v>31</v>
      </c>
      <c r="F119" s="5" t="s">
        <v>134</v>
      </c>
      <c r="G119" s="5" t="s">
        <v>23</v>
      </c>
      <c r="H119" s="5" t="s">
        <v>120</v>
      </c>
      <c r="I119" s="5" t="s">
        <v>91</v>
      </c>
      <c r="J119" s="5" t="s">
        <v>46</v>
      </c>
      <c r="K119" s="5">
        <v>2162</v>
      </c>
      <c r="L119" s="5">
        <v>880</v>
      </c>
      <c r="M119" s="6">
        <v>1902560</v>
      </c>
      <c r="N119" s="6">
        <v>1883468</v>
      </c>
      <c r="O119" s="6">
        <f t="shared" si="3"/>
        <v>19092</v>
      </c>
    </row>
    <row r="120" spans="1:15" ht="15.6" thickTop="1" thickBot="1" x14ac:dyDescent="0.35">
      <c r="A120" s="4">
        <v>119</v>
      </c>
      <c r="B120" s="12">
        <v>45545</v>
      </c>
      <c r="C120" s="11" t="str">
        <f t="shared" si="2"/>
        <v>September</v>
      </c>
      <c r="D120" s="5" t="s">
        <v>208</v>
      </c>
      <c r="E120" s="5" t="s">
        <v>31</v>
      </c>
      <c r="F120" s="5" t="s">
        <v>134</v>
      </c>
      <c r="G120" s="5" t="s">
        <v>23</v>
      </c>
      <c r="H120" s="5" t="s">
        <v>122</v>
      </c>
      <c r="I120" s="5" t="s">
        <v>25</v>
      </c>
      <c r="J120" s="5" t="s">
        <v>46</v>
      </c>
      <c r="K120" s="5">
        <v>6223</v>
      </c>
      <c r="L120" s="5">
        <v>783</v>
      </c>
      <c r="M120" s="6">
        <v>4872609</v>
      </c>
      <c r="N120" s="6">
        <v>4855621</v>
      </c>
      <c r="O120" s="6">
        <f t="shared" si="3"/>
        <v>16988</v>
      </c>
    </row>
    <row r="121" spans="1:15" ht="15.6" thickTop="1" thickBot="1" x14ac:dyDescent="0.35">
      <c r="A121" s="4">
        <v>120</v>
      </c>
      <c r="B121" s="12">
        <v>45548</v>
      </c>
      <c r="C121" s="11" t="str">
        <f t="shared" si="2"/>
        <v>September</v>
      </c>
      <c r="D121" s="5" t="s">
        <v>209</v>
      </c>
      <c r="E121" s="5" t="s">
        <v>31</v>
      </c>
      <c r="F121" s="5" t="s">
        <v>134</v>
      </c>
      <c r="G121" s="5" t="s">
        <v>27</v>
      </c>
      <c r="H121" s="5" t="s">
        <v>124</v>
      </c>
      <c r="I121" s="5" t="s">
        <v>34</v>
      </c>
      <c r="J121" s="5" t="s">
        <v>46</v>
      </c>
      <c r="K121" s="5">
        <v>5481</v>
      </c>
      <c r="L121" s="5">
        <v>646</v>
      </c>
      <c r="M121" s="6">
        <v>3540726</v>
      </c>
      <c r="N121" s="6">
        <v>3522867</v>
      </c>
      <c r="O121" s="6">
        <f t="shared" si="3"/>
        <v>17859</v>
      </c>
    </row>
    <row r="122" spans="1:15" ht="15.6" thickTop="1" thickBot="1" x14ac:dyDescent="0.35">
      <c r="A122" s="4">
        <v>121</v>
      </c>
      <c r="B122" s="12">
        <v>45551</v>
      </c>
      <c r="C122" s="11" t="str">
        <f t="shared" si="2"/>
        <v>September</v>
      </c>
      <c r="D122" s="5" t="s">
        <v>210</v>
      </c>
      <c r="E122" s="5" t="s">
        <v>31</v>
      </c>
      <c r="F122" s="5" t="s">
        <v>134</v>
      </c>
      <c r="G122" s="5" t="s">
        <v>14</v>
      </c>
      <c r="H122" s="5" t="s">
        <v>15</v>
      </c>
      <c r="I122" s="5" t="s">
        <v>15</v>
      </c>
      <c r="J122" s="5" t="s">
        <v>16</v>
      </c>
      <c r="K122" s="5">
        <v>7362</v>
      </c>
      <c r="L122" s="5">
        <v>848</v>
      </c>
      <c r="M122" s="6">
        <v>6242976</v>
      </c>
      <c r="N122" s="6">
        <v>6227178</v>
      </c>
      <c r="O122" s="6">
        <f t="shared" si="3"/>
        <v>15798</v>
      </c>
    </row>
    <row r="123" spans="1:15" ht="15.6" thickTop="1" thickBot="1" x14ac:dyDescent="0.35">
      <c r="A123" s="4">
        <v>122</v>
      </c>
      <c r="B123" s="12">
        <v>45554</v>
      </c>
      <c r="C123" s="11" t="str">
        <f t="shared" si="2"/>
        <v>September</v>
      </c>
      <c r="D123" s="5" t="s">
        <v>211</v>
      </c>
      <c r="E123" s="5" t="s">
        <v>31</v>
      </c>
      <c r="F123" s="5" t="s">
        <v>134</v>
      </c>
      <c r="G123" s="5" t="s">
        <v>19</v>
      </c>
      <c r="H123" s="5" t="s">
        <v>20</v>
      </c>
      <c r="I123" s="5" t="s">
        <v>21</v>
      </c>
      <c r="J123" s="5" t="s">
        <v>16</v>
      </c>
      <c r="K123" s="5">
        <v>6176</v>
      </c>
      <c r="L123" s="5">
        <v>639</v>
      </c>
      <c r="M123" s="6">
        <v>3946464</v>
      </c>
      <c r="N123" s="6">
        <v>3936204</v>
      </c>
      <c r="O123" s="6">
        <f t="shared" si="3"/>
        <v>10260</v>
      </c>
    </row>
    <row r="124" spans="1:15" ht="15.6" thickTop="1" thickBot="1" x14ac:dyDescent="0.35">
      <c r="A124" s="4">
        <v>123</v>
      </c>
      <c r="B124" s="12">
        <v>45558</v>
      </c>
      <c r="C124" s="11" t="str">
        <f t="shared" si="2"/>
        <v>September</v>
      </c>
      <c r="D124" s="5" t="s">
        <v>212</v>
      </c>
      <c r="E124" s="5" t="s">
        <v>31</v>
      </c>
      <c r="F124" s="5" t="s">
        <v>134</v>
      </c>
      <c r="G124" s="5" t="s">
        <v>23</v>
      </c>
      <c r="H124" s="5" t="s">
        <v>24</v>
      </c>
      <c r="I124" s="5" t="s">
        <v>25</v>
      </c>
      <c r="J124" s="5" t="s">
        <v>16</v>
      </c>
      <c r="K124" s="5">
        <v>6492</v>
      </c>
      <c r="L124" s="5">
        <v>714</v>
      </c>
      <c r="M124" s="6">
        <v>4635288</v>
      </c>
      <c r="N124" s="6">
        <v>4617535</v>
      </c>
      <c r="O124" s="6">
        <f t="shared" si="3"/>
        <v>17753</v>
      </c>
    </row>
    <row r="125" spans="1:15" ht="15.6" thickTop="1" thickBot="1" x14ac:dyDescent="0.35">
      <c r="A125" s="4">
        <v>124</v>
      </c>
      <c r="B125" s="12">
        <v>45562</v>
      </c>
      <c r="C125" s="11" t="str">
        <f t="shared" si="2"/>
        <v>September</v>
      </c>
      <c r="D125" s="5" t="s">
        <v>213</v>
      </c>
      <c r="E125" s="5" t="s">
        <v>31</v>
      </c>
      <c r="F125" s="5" t="s">
        <v>134</v>
      </c>
      <c r="G125" s="5" t="s">
        <v>27</v>
      </c>
      <c r="H125" s="5" t="s">
        <v>28</v>
      </c>
      <c r="I125" s="5" t="s">
        <v>29</v>
      </c>
      <c r="J125" s="5" t="s">
        <v>16</v>
      </c>
      <c r="K125" s="5">
        <v>5268</v>
      </c>
      <c r="L125" s="5">
        <v>992</v>
      </c>
      <c r="M125" s="6">
        <v>5225856</v>
      </c>
      <c r="N125" s="6">
        <v>5215439</v>
      </c>
      <c r="O125" s="6">
        <f t="shared" si="3"/>
        <v>10417</v>
      </c>
    </row>
    <row r="126" spans="1:15" ht="15.6" thickTop="1" thickBot="1" x14ac:dyDescent="0.35">
      <c r="A126" s="4">
        <v>125</v>
      </c>
      <c r="B126" s="12">
        <v>45565</v>
      </c>
      <c r="C126" s="11" t="str">
        <f t="shared" si="2"/>
        <v>September</v>
      </c>
      <c r="D126" s="5" t="s">
        <v>214</v>
      </c>
      <c r="E126" s="5" t="s">
        <v>31</v>
      </c>
      <c r="F126" s="5" t="s">
        <v>147</v>
      </c>
      <c r="G126" s="5" t="s">
        <v>27</v>
      </c>
      <c r="H126" s="5" t="s">
        <v>33</v>
      </c>
      <c r="I126" s="5" t="s">
        <v>34</v>
      </c>
      <c r="J126" s="5" t="s">
        <v>16</v>
      </c>
      <c r="K126" s="5">
        <v>2613</v>
      </c>
      <c r="L126" s="5">
        <v>910</v>
      </c>
      <c r="M126" s="6">
        <v>2377830</v>
      </c>
      <c r="N126" s="6">
        <v>2366772</v>
      </c>
      <c r="O126" s="6">
        <f t="shared" si="3"/>
        <v>11058</v>
      </c>
    </row>
    <row r="127" spans="1:15" ht="15.6" thickTop="1" thickBot="1" x14ac:dyDescent="0.35">
      <c r="A127" s="4">
        <v>126</v>
      </c>
      <c r="B127" s="12">
        <v>45567</v>
      </c>
      <c r="C127" s="11" t="str">
        <f t="shared" si="2"/>
        <v>October</v>
      </c>
      <c r="D127" s="5" t="s">
        <v>215</v>
      </c>
      <c r="E127" s="5" t="s">
        <v>31</v>
      </c>
      <c r="F127" s="5" t="s">
        <v>147</v>
      </c>
      <c r="G127" s="5" t="s">
        <v>27</v>
      </c>
      <c r="H127" s="5" t="s">
        <v>36</v>
      </c>
      <c r="I127" s="5" t="s">
        <v>37</v>
      </c>
      <c r="J127" s="5" t="s">
        <v>46</v>
      </c>
      <c r="K127" s="5">
        <v>3530</v>
      </c>
      <c r="L127" s="5">
        <v>693</v>
      </c>
      <c r="M127" s="6">
        <v>2446290</v>
      </c>
      <c r="N127" s="6">
        <v>2435447</v>
      </c>
      <c r="O127" s="6">
        <f t="shared" si="3"/>
        <v>10843</v>
      </c>
    </row>
    <row r="128" spans="1:15" ht="15.6" thickTop="1" thickBot="1" x14ac:dyDescent="0.35">
      <c r="A128" s="4">
        <v>127</v>
      </c>
      <c r="B128" s="12">
        <v>45570</v>
      </c>
      <c r="C128" s="11" t="str">
        <f t="shared" si="2"/>
        <v>October</v>
      </c>
      <c r="D128" s="5" t="s">
        <v>216</v>
      </c>
      <c r="E128" s="5" t="s">
        <v>31</v>
      </c>
      <c r="F128" s="5" t="s">
        <v>147</v>
      </c>
      <c r="G128" s="5" t="s">
        <v>19</v>
      </c>
      <c r="H128" s="5" t="s">
        <v>39</v>
      </c>
      <c r="I128" s="5" t="s">
        <v>40</v>
      </c>
      <c r="J128" s="5" t="s">
        <v>46</v>
      </c>
      <c r="K128" s="5">
        <v>6376</v>
      </c>
      <c r="L128" s="5">
        <v>909</v>
      </c>
      <c r="M128" s="6">
        <v>5795784</v>
      </c>
      <c r="N128" s="6">
        <v>5784474</v>
      </c>
      <c r="O128" s="6">
        <f t="shared" si="3"/>
        <v>11310</v>
      </c>
    </row>
    <row r="129" spans="1:15" ht="15.6" thickTop="1" thickBot="1" x14ac:dyDescent="0.35">
      <c r="A129" s="4">
        <v>128</v>
      </c>
      <c r="B129" s="12">
        <v>45573</v>
      </c>
      <c r="C129" s="11" t="str">
        <f t="shared" si="2"/>
        <v>October</v>
      </c>
      <c r="D129" s="5" t="s">
        <v>217</v>
      </c>
      <c r="E129" s="5" t="s">
        <v>159</v>
      </c>
      <c r="F129" s="5" t="s">
        <v>179</v>
      </c>
      <c r="G129" s="5" t="s">
        <v>19</v>
      </c>
      <c r="H129" s="5" t="s">
        <v>42</v>
      </c>
      <c r="I129" s="5" t="s">
        <v>21</v>
      </c>
      <c r="J129" s="5" t="s">
        <v>46</v>
      </c>
      <c r="K129" s="5">
        <v>5087</v>
      </c>
      <c r="L129" s="5">
        <v>555</v>
      </c>
      <c r="M129" s="6">
        <v>2823285</v>
      </c>
      <c r="N129" s="6">
        <v>2807904</v>
      </c>
      <c r="O129" s="6">
        <f t="shared" si="3"/>
        <v>15381</v>
      </c>
    </row>
    <row r="130" spans="1:15" ht="15.6" thickTop="1" thickBot="1" x14ac:dyDescent="0.35">
      <c r="A130" s="4">
        <v>129</v>
      </c>
      <c r="B130" s="12">
        <v>45576</v>
      </c>
      <c r="C130" s="11" t="str">
        <f t="shared" si="2"/>
        <v>October</v>
      </c>
      <c r="D130" s="5" t="s">
        <v>218</v>
      </c>
      <c r="E130" s="5" t="s">
        <v>159</v>
      </c>
      <c r="F130" s="5" t="s">
        <v>179</v>
      </c>
      <c r="G130" s="5" t="s">
        <v>14</v>
      </c>
      <c r="H130" s="5" t="s">
        <v>44</v>
      </c>
      <c r="I130" s="5" t="s">
        <v>45</v>
      </c>
      <c r="J130" s="5" t="s">
        <v>46</v>
      </c>
      <c r="K130" s="5">
        <v>8044</v>
      </c>
      <c r="L130" s="5">
        <v>681</v>
      </c>
      <c r="M130" s="6">
        <v>5477964</v>
      </c>
      <c r="N130" s="6">
        <v>5458567</v>
      </c>
      <c r="O130" s="6">
        <f t="shared" si="3"/>
        <v>19397</v>
      </c>
    </row>
    <row r="131" spans="1:15" ht="15.6" thickTop="1" thickBot="1" x14ac:dyDescent="0.35">
      <c r="A131" s="4">
        <v>130</v>
      </c>
      <c r="B131" s="12">
        <v>45579</v>
      </c>
      <c r="C131" s="11" t="str">
        <f t="shared" ref="C131:C194" si="4">TEXT(B131,"mmmm")</f>
        <v>October</v>
      </c>
      <c r="D131" s="5" t="s">
        <v>219</v>
      </c>
      <c r="E131" s="5" t="s">
        <v>159</v>
      </c>
      <c r="F131" s="5" t="s">
        <v>179</v>
      </c>
      <c r="G131" s="5" t="s">
        <v>19</v>
      </c>
      <c r="H131" s="5" t="s">
        <v>48</v>
      </c>
      <c r="I131" s="5" t="s">
        <v>40</v>
      </c>
      <c r="J131" s="5" t="s">
        <v>46</v>
      </c>
      <c r="K131" s="5">
        <v>4427</v>
      </c>
      <c r="L131" s="5">
        <v>818</v>
      </c>
      <c r="M131" s="6">
        <v>3621286</v>
      </c>
      <c r="N131" s="6">
        <v>3611243</v>
      </c>
      <c r="O131" s="6">
        <f t="shared" ref="O131:O194" si="5">M131-N131</f>
        <v>10043</v>
      </c>
    </row>
    <row r="132" spans="1:15" ht="15.6" thickTop="1" thickBot="1" x14ac:dyDescent="0.35">
      <c r="A132" s="4">
        <v>131</v>
      </c>
      <c r="B132" s="12">
        <v>45580</v>
      </c>
      <c r="C132" s="11" t="str">
        <f t="shared" si="4"/>
        <v>October</v>
      </c>
      <c r="D132" s="5" t="s">
        <v>220</v>
      </c>
      <c r="E132" s="5" t="s">
        <v>159</v>
      </c>
      <c r="F132" s="5" t="s">
        <v>179</v>
      </c>
      <c r="G132" s="5" t="s">
        <v>14</v>
      </c>
      <c r="H132" s="5" t="s">
        <v>50</v>
      </c>
      <c r="I132" s="5" t="s">
        <v>51</v>
      </c>
      <c r="J132" s="5" t="s">
        <v>46</v>
      </c>
      <c r="K132" s="5">
        <v>5689</v>
      </c>
      <c r="L132" s="5">
        <v>827</v>
      </c>
      <c r="M132" s="6">
        <v>4704803</v>
      </c>
      <c r="N132" s="6">
        <v>4685613</v>
      </c>
      <c r="O132" s="6">
        <f t="shared" si="5"/>
        <v>19190</v>
      </c>
    </row>
    <row r="133" spans="1:15" ht="15.6" thickTop="1" thickBot="1" x14ac:dyDescent="0.35">
      <c r="A133" s="4">
        <v>132</v>
      </c>
      <c r="B133" s="12">
        <v>45386</v>
      </c>
      <c r="C133" s="11" t="str">
        <f t="shared" si="4"/>
        <v>April</v>
      </c>
      <c r="D133" s="5" t="s">
        <v>221</v>
      </c>
      <c r="E133" s="5" t="s">
        <v>159</v>
      </c>
      <c r="F133" s="5" t="s">
        <v>179</v>
      </c>
      <c r="G133" s="5" t="s">
        <v>14</v>
      </c>
      <c r="H133" s="5" t="s">
        <v>53</v>
      </c>
      <c r="I133" s="5" t="s">
        <v>51</v>
      </c>
      <c r="J133" s="5" t="s">
        <v>46</v>
      </c>
      <c r="K133" s="5">
        <v>2431</v>
      </c>
      <c r="L133" s="5">
        <v>556</v>
      </c>
      <c r="M133" s="6">
        <v>1351636</v>
      </c>
      <c r="N133" s="6">
        <v>1340440</v>
      </c>
      <c r="O133" s="6">
        <f t="shared" si="5"/>
        <v>11196</v>
      </c>
    </row>
    <row r="134" spans="1:15" ht="15.6" thickTop="1" thickBot="1" x14ac:dyDescent="0.35">
      <c r="A134" s="4">
        <v>133</v>
      </c>
      <c r="B134" s="12">
        <v>45389</v>
      </c>
      <c r="C134" s="11" t="str">
        <f t="shared" si="4"/>
        <v>April</v>
      </c>
      <c r="D134" s="5" t="s">
        <v>222</v>
      </c>
      <c r="E134" s="5" t="s">
        <v>159</v>
      </c>
      <c r="F134" s="5" t="s">
        <v>179</v>
      </c>
      <c r="G134" s="5" t="s">
        <v>19</v>
      </c>
      <c r="H134" s="5" t="s">
        <v>55</v>
      </c>
      <c r="I134" s="5" t="s">
        <v>21</v>
      </c>
      <c r="J134" s="5" t="s">
        <v>16</v>
      </c>
      <c r="K134" s="5">
        <v>1567</v>
      </c>
      <c r="L134" s="5">
        <v>781</v>
      </c>
      <c r="M134" s="6">
        <v>1223827</v>
      </c>
      <c r="N134" s="6">
        <v>1204917</v>
      </c>
      <c r="O134" s="6">
        <f t="shared" si="5"/>
        <v>18910</v>
      </c>
    </row>
    <row r="135" spans="1:15" ht="15.6" thickTop="1" thickBot="1" x14ac:dyDescent="0.35">
      <c r="A135" s="4">
        <v>134</v>
      </c>
      <c r="B135" s="12">
        <v>45391</v>
      </c>
      <c r="C135" s="11" t="str">
        <f t="shared" si="4"/>
        <v>April</v>
      </c>
      <c r="D135" s="5" t="s">
        <v>223</v>
      </c>
      <c r="E135" s="5" t="s">
        <v>159</v>
      </c>
      <c r="F135" s="5" t="s">
        <v>179</v>
      </c>
      <c r="G135" s="5" t="s">
        <v>57</v>
      </c>
      <c r="H135" s="5" t="s">
        <v>58</v>
      </c>
      <c r="I135" s="5" t="s">
        <v>59</v>
      </c>
      <c r="J135" s="5" t="s">
        <v>16</v>
      </c>
      <c r="K135" s="5">
        <v>4760</v>
      </c>
      <c r="L135" s="5">
        <v>578</v>
      </c>
      <c r="M135" s="6">
        <v>2751280</v>
      </c>
      <c r="N135" s="6">
        <v>2738207</v>
      </c>
      <c r="O135" s="6">
        <f t="shared" si="5"/>
        <v>13073</v>
      </c>
    </row>
    <row r="136" spans="1:15" ht="15.6" thickTop="1" thickBot="1" x14ac:dyDescent="0.35">
      <c r="A136" s="4">
        <v>135</v>
      </c>
      <c r="B136" s="12">
        <v>45463</v>
      </c>
      <c r="C136" s="11" t="str">
        <f t="shared" si="4"/>
        <v>June</v>
      </c>
      <c r="D136" s="5" t="s">
        <v>224</v>
      </c>
      <c r="E136" s="5" t="s">
        <v>12</v>
      </c>
      <c r="F136" s="5" t="s">
        <v>117</v>
      </c>
      <c r="G136" s="5" t="s">
        <v>19</v>
      </c>
      <c r="H136" s="5" t="s">
        <v>62</v>
      </c>
      <c r="I136" s="5" t="s">
        <v>21</v>
      </c>
      <c r="J136" s="5" t="s">
        <v>16</v>
      </c>
      <c r="K136" s="5">
        <v>2605</v>
      </c>
      <c r="L136" s="5">
        <v>737</v>
      </c>
      <c r="M136" s="6">
        <v>1919885</v>
      </c>
      <c r="N136" s="6">
        <v>1906233</v>
      </c>
      <c r="O136" s="6">
        <f t="shared" si="5"/>
        <v>13652</v>
      </c>
    </row>
    <row r="137" spans="1:15" ht="15.6" thickTop="1" thickBot="1" x14ac:dyDescent="0.35">
      <c r="A137" s="4">
        <v>136</v>
      </c>
      <c r="B137" s="12">
        <v>45466</v>
      </c>
      <c r="C137" s="11" t="str">
        <f t="shared" si="4"/>
        <v>June</v>
      </c>
      <c r="D137" s="5" t="s">
        <v>225</v>
      </c>
      <c r="E137" s="5" t="s">
        <v>12</v>
      </c>
      <c r="F137" s="5" t="s">
        <v>117</v>
      </c>
      <c r="G137" s="5" t="s">
        <v>64</v>
      </c>
      <c r="H137" s="5" t="s">
        <v>65</v>
      </c>
      <c r="I137" s="5" t="s">
        <v>65</v>
      </c>
      <c r="J137" s="5" t="s">
        <v>16</v>
      </c>
      <c r="K137" s="5">
        <v>8431</v>
      </c>
      <c r="L137" s="5">
        <v>507</v>
      </c>
      <c r="M137" s="6">
        <v>4274517</v>
      </c>
      <c r="N137" s="6">
        <v>4261157</v>
      </c>
      <c r="O137" s="6">
        <f t="shared" si="5"/>
        <v>13360</v>
      </c>
    </row>
    <row r="138" spans="1:15" ht="15.6" thickTop="1" thickBot="1" x14ac:dyDescent="0.35">
      <c r="A138" s="4">
        <v>137</v>
      </c>
      <c r="B138" s="12">
        <v>45471</v>
      </c>
      <c r="C138" s="11" t="str">
        <f t="shared" si="4"/>
        <v>June</v>
      </c>
      <c r="D138" s="5" t="s">
        <v>226</v>
      </c>
      <c r="E138" s="5" t="s">
        <v>12</v>
      </c>
      <c r="F138" s="5" t="s">
        <v>117</v>
      </c>
      <c r="G138" s="5" t="s">
        <v>57</v>
      </c>
      <c r="H138" s="5" t="s">
        <v>67</v>
      </c>
      <c r="I138" s="5" t="s">
        <v>59</v>
      </c>
      <c r="J138" s="5" t="s">
        <v>46</v>
      </c>
      <c r="K138" s="5">
        <v>5487</v>
      </c>
      <c r="L138" s="5">
        <v>879</v>
      </c>
      <c r="M138" s="6">
        <v>4823073</v>
      </c>
      <c r="N138" s="6">
        <v>4807607</v>
      </c>
      <c r="O138" s="6">
        <f t="shared" si="5"/>
        <v>15466</v>
      </c>
    </row>
    <row r="139" spans="1:15" ht="15.6" thickTop="1" thickBot="1" x14ac:dyDescent="0.35">
      <c r="A139" s="4">
        <v>138</v>
      </c>
      <c r="B139" s="12">
        <v>45474</v>
      </c>
      <c r="C139" s="11" t="str">
        <f t="shared" si="4"/>
        <v>July</v>
      </c>
      <c r="D139" s="5" t="s">
        <v>227</v>
      </c>
      <c r="E139" s="5" t="s">
        <v>12</v>
      </c>
      <c r="F139" s="5" t="s">
        <v>117</v>
      </c>
      <c r="G139" s="5" t="s">
        <v>27</v>
      </c>
      <c r="H139" s="5" t="s">
        <v>69</v>
      </c>
      <c r="I139" s="5" t="s">
        <v>70</v>
      </c>
      <c r="J139" s="5" t="s">
        <v>16</v>
      </c>
      <c r="K139" s="5">
        <v>3782</v>
      </c>
      <c r="L139" s="5">
        <v>528</v>
      </c>
      <c r="M139" s="6">
        <v>1996896</v>
      </c>
      <c r="N139" s="6">
        <v>1982955</v>
      </c>
      <c r="O139" s="6">
        <f t="shared" si="5"/>
        <v>13941</v>
      </c>
    </row>
    <row r="140" spans="1:15" ht="15.6" thickTop="1" thickBot="1" x14ac:dyDescent="0.35">
      <c r="A140" s="4">
        <v>139</v>
      </c>
      <c r="B140" s="12">
        <v>45477</v>
      </c>
      <c r="C140" s="11" t="str">
        <f t="shared" si="4"/>
        <v>July</v>
      </c>
      <c r="D140" s="5" t="s">
        <v>228</v>
      </c>
      <c r="E140" s="5" t="s">
        <v>12</v>
      </c>
      <c r="F140" s="5" t="s">
        <v>117</v>
      </c>
      <c r="G140" s="5" t="s">
        <v>23</v>
      </c>
      <c r="H140" s="5" t="s">
        <v>72</v>
      </c>
      <c r="I140" s="5" t="s">
        <v>73</v>
      </c>
      <c r="J140" s="5" t="s">
        <v>16</v>
      </c>
      <c r="K140" s="5">
        <v>2743</v>
      </c>
      <c r="L140" s="5">
        <v>575</v>
      </c>
      <c r="M140" s="6">
        <v>1577225</v>
      </c>
      <c r="N140" s="6">
        <v>1562708</v>
      </c>
      <c r="O140" s="6">
        <f t="shared" si="5"/>
        <v>14517</v>
      </c>
    </row>
    <row r="141" spans="1:15" ht="15.6" thickTop="1" thickBot="1" x14ac:dyDescent="0.35">
      <c r="A141" s="4">
        <v>140</v>
      </c>
      <c r="B141" s="12">
        <v>45479</v>
      </c>
      <c r="C141" s="11" t="str">
        <f t="shared" si="4"/>
        <v>July</v>
      </c>
      <c r="D141" s="5" t="s">
        <v>229</v>
      </c>
      <c r="E141" s="5" t="s">
        <v>12</v>
      </c>
      <c r="F141" s="5" t="s">
        <v>117</v>
      </c>
      <c r="G141" s="5" t="s">
        <v>19</v>
      </c>
      <c r="H141" s="5" t="s">
        <v>75</v>
      </c>
      <c r="I141" s="5" t="s">
        <v>40</v>
      </c>
      <c r="J141" s="5" t="s">
        <v>16</v>
      </c>
      <c r="K141" s="5">
        <v>4239</v>
      </c>
      <c r="L141" s="5">
        <v>922</v>
      </c>
      <c r="M141" s="6">
        <v>3908358</v>
      </c>
      <c r="N141" s="6">
        <v>3895058</v>
      </c>
      <c r="O141" s="6">
        <f t="shared" si="5"/>
        <v>13300</v>
      </c>
    </row>
    <row r="142" spans="1:15" ht="15.6" thickTop="1" thickBot="1" x14ac:dyDescent="0.35">
      <c r="A142" s="4">
        <v>141</v>
      </c>
      <c r="B142" s="12">
        <v>45483</v>
      </c>
      <c r="C142" s="11" t="str">
        <f t="shared" si="4"/>
        <v>July</v>
      </c>
      <c r="D142" s="5" t="s">
        <v>230</v>
      </c>
      <c r="E142" s="5" t="s">
        <v>12</v>
      </c>
      <c r="F142" s="5" t="s">
        <v>117</v>
      </c>
      <c r="G142" s="5" t="s">
        <v>14</v>
      </c>
      <c r="H142" s="5" t="s">
        <v>77</v>
      </c>
      <c r="I142" s="5" t="s">
        <v>51</v>
      </c>
      <c r="J142" s="5" t="s">
        <v>16</v>
      </c>
      <c r="K142" s="5">
        <v>7544</v>
      </c>
      <c r="L142" s="5">
        <v>593</v>
      </c>
      <c r="M142" s="6">
        <v>4473592</v>
      </c>
      <c r="N142" s="6">
        <v>4456296</v>
      </c>
      <c r="O142" s="6">
        <f t="shared" si="5"/>
        <v>17296</v>
      </c>
    </row>
    <row r="143" spans="1:15" ht="15.6" thickTop="1" thickBot="1" x14ac:dyDescent="0.35">
      <c r="A143" s="4">
        <v>142</v>
      </c>
      <c r="B143" s="12">
        <v>45487</v>
      </c>
      <c r="C143" s="11" t="str">
        <f t="shared" si="4"/>
        <v>July</v>
      </c>
      <c r="D143" s="5" t="s">
        <v>231</v>
      </c>
      <c r="E143" s="5" t="s">
        <v>12</v>
      </c>
      <c r="F143" s="5" t="s">
        <v>117</v>
      </c>
      <c r="G143" s="5" t="s">
        <v>14</v>
      </c>
      <c r="H143" s="5" t="s">
        <v>80</v>
      </c>
      <c r="I143" s="5" t="s">
        <v>51</v>
      </c>
      <c r="J143" s="5" t="s">
        <v>46</v>
      </c>
      <c r="K143" s="5">
        <v>3400</v>
      </c>
      <c r="L143" s="5">
        <v>948</v>
      </c>
      <c r="M143" s="6">
        <v>3223200</v>
      </c>
      <c r="N143" s="6">
        <v>3204404</v>
      </c>
      <c r="O143" s="6">
        <f t="shared" si="5"/>
        <v>18796</v>
      </c>
    </row>
    <row r="144" spans="1:15" ht="15.6" thickTop="1" thickBot="1" x14ac:dyDescent="0.35">
      <c r="A144" s="4">
        <v>143</v>
      </c>
      <c r="B144" s="12">
        <v>45490</v>
      </c>
      <c r="C144" s="11" t="str">
        <f t="shared" si="4"/>
        <v>July</v>
      </c>
      <c r="D144" s="5" t="s">
        <v>232</v>
      </c>
      <c r="E144" s="5" t="s">
        <v>12</v>
      </c>
      <c r="F144" s="5" t="s">
        <v>117</v>
      </c>
      <c r="G144" s="5" t="s">
        <v>27</v>
      </c>
      <c r="H144" s="5" t="s">
        <v>82</v>
      </c>
      <c r="I144" s="5" t="s">
        <v>29</v>
      </c>
      <c r="J144" s="5" t="s">
        <v>46</v>
      </c>
      <c r="K144" s="5">
        <v>1964</v>
      </c>
      <c r="L144" s="5">
        <v>787</v>
      </c>
      <c r="M144" s="6">
        <v>1545668</v>
      </c>
      <c r="N144" s="6">
        <v>1526811</v>
      </c>
      <c r="O144" s="6">
        <f t="shared" si="5"/>
        <v>18857</v>
      </c>
    </row>
    <row r="145" spans="1:15" ht="15.6" thickTop="1" thickBot="1" x14ac:dyDescent="0.35">
      <c r="A145" s="4">
        <v>144</v>
      </c>
      <c r="B145" s="12">
        <v>45494</v>
      </c>
      <c r="C145" s="11" t="str">
        <f t="shared" si="4"/>
        <v>July</v>
      </c>
      <c r="D145" s="5" t="s">
        <v>233</v>
      </c>
      <c r="E145" s="5" t="s">
        <v>12</v>
      </c>
      <c r="F145" s="5" t="s">
        <v>117</v>
      </c>
      <c r="G145" s="5" t="s">
        <v>27</v>
      </c>
      <c r="H145" s="5" t="s">
        <v>84</v>
      </c>
      <c r="I145" s="5" t="s">
        <v>29</v>
      </c>
      <c r="J145" s="5" t="s">
        <v>46</v>
      </c>
      <c r="K145" s="5">
        <v>4945</v>
      </c>
      <c r="L145" s="5">
        <v>938</v>
      </c>
      <c r="M145" s="6">
        <v>4638410</v>
      </c>
      <c r="N145" s="6">
        <v>4623936</v>
      </c>
      <c r="O145" s="6">
        <f t="shared" si="5"/>
        <v>14474</v>
      </c>
    </row>
    <row r="146" spans="1:15" ht="15.6" thickTop="1" thickBot="1" x14ac:dyDescent="0.35">
      <c r="A146" s="4">
        <v>145</v>
      </c>
      <c r="B146" s="12">
        <v>45506</v>
      </c>
      <c r="C146" s="11" t="str">
        <f t="shared" si="4"/>
        <v>August</v>
      </c>
      <c r="D146" s="5" t="s">
        <v>234</v>
      </c>
      <c r="E146" s="5" t="s">
        <v>12</v>
      </c>
      <c r="F146" s="5" t="s">
        <v>117</v>
      </c>
      <c r="G146" s="5" t="s">
        <v>14</v>
      </c>
      <c r="H146" s="5" t="s">
        <v>86</v>
      </c>
      <c r="I146" s="5" t="s">
        <v>45</v>
      </c>
      <c r="J146" s="5" t="s">
        <v>46</v>
      </c>
      <c r="K146" s="5">
        <v>5530</v>
      </c>
      <c r="L146" s="5">
        <v>777</v>
      </c>
      <c r="M146" s="6">
        <v>4296810</v>
      </c>
      <c r="N146" s="6">
        <v>4277854</v>
      </c>
      <c r="O146" s="6">
        <f t="shared" si="5"/>
        <v>18956</v>
      </c>
    </row>
    <row r="147" spans="1:15" ht="15.6" thickTop="1" thickBot="1" x14ac:dyDescent="0.35">
      <c r="A147" s="4">
        <v>146</v>
      </c>
      <c r="B147" s="12">
        <v>45541</v>
      </c>
      <c r="C147" s="11" t="str">
        <f t="shared" si="4"/>
        <v>September</v>
      </c>
      <c r="D147" s="5" t="s">
        <v>235</v>
      </c>
      <c r="E147" s="5" t="s">
        <v>31</v>
      </c>
      <c r="F147" s="5" t="s">
        <v>134</v>
      </c>
      <c r="G147" s="5" t="s">
        <v>14</v>
      </c>
      <c r="H147" s="5" t="s">
        <v>88</v>
      </c>
      <c r="I147" s="5" t="s">
        <v>51</v>
      </c>
      <c r="J147" s="5" t="s">
        <v>46</v>
      </c>
      <c r="K147" s="5">
        <v>4862</v>
      </c>
      <c r="L147" s="5">
        <v>954</v>
      </c>
      <c r="M147" s="6">
        <v>4638348</v>
      </c>
      <c r="N147" s="6">
        <v>4622011</v>
      </c>
      <c r="O147" s="6">
        <f t="shared" si="5"/>
        <v>16337</v>
      </c>
    </row>
    <row r="148" spans="1:15" ht="15.6" thickTop="1" thickBot="1" x14ac:dyDescent="0.35">
      <c r="A148" s="4">
        <v>147</v>
      </c>
      <c r="B148" s="12">
        <v>45545</v>
      </c>
      <c r="C148" s="11" t="str">
        <f t="shared" si="4"/>
        <v>September</v>
      </c>
      <c r="D148" s="5" t="s">
        <v>236</v>
      </c>
      <c r="E148" s="5" t="s">
        <v>31</v>
      </c>
      <c r="F148" s="5" t="s">
        <v>134</v>
      </c>
      <c r="G148" s="5" t="s">
        <v>23</v>
      </c>
      <c r="H148" s="5" t="s">
        <v>90</v>
      </c>
      <c r="I148" s="5" t="s">
        <v>91</v>
      </c>
      <c r="J148" s="5" t="s">
        <v>46</v>
      </c>
      <c r="K148" s="5">
        <v>9354</v>
      </c>
      <c r="L148" s="5">
        <v>899</v>
      </c>
      <c r="M148" s="6">
        <v>8409246</v>
      </c>
      <c r="N148" s="6">
        <v>8396672</v>
      </c>
      <c r="O148" s="6">
        <f t="shared" si="5"/>
        <v>12574</v>
      </c>
    </row>
    <row r="149" spans="1:15" ht="15.6" thickTop="1" thickBot="1" x14ac:dyDescent="0.35">
      <c r="A149" s="4">
        <v>148</v>
      </c>
      <c r="B149" s="12">
        <v>45548</v>
      </c>
      <c r="C149" s="11" t="str">
        <f t="shared" si="4"/>
        <v>September</v>
      </c>
      <c r="D149" s="5" t="s">
        <v>237</v>
      </c>
      <c r="E149" s="5" t="s">
        <v>31</v>
      </c>
      <c r="F149" s="5" t="s">
        <v>134</v>
      </c>
      <c r="G149" s="5" t="s">
        <v>27</v>
      </c>
      <c r="H149" s="5" t="s">
        <v>93</v>
      </c>
      <c r="I149" s="5" t="s">
        <v>94</v>
      </c>
      <c r="J149" s="5" t="s">
        <v>46</v>
      </c>
      <c r="K149" s="5">
        <v>4121</v>
      </c>
      <c r="L149" s="5">
        <v>904</v>
      </c>
      <c r="M149" s="6">
        <v>3725384</v>
      </c>
      <c r="N149" s="6">
        <v>3711448</v>
      </c>
      <c r="O149" s="6">
        <f t="shared" si="5"/>
        <v>13936</v>
      </c>
    </row>
    <row r="150" spans="1:15" ht="15.6" thickTop="1" thickBot="1" x14ac:dyDescent="0.35">
      <c r="A150" s="4">
        <v>149</v>
      </c>
      <c r="B150" s="12">
        <v>45551</v>
      </c>
      <c r="C150" s="11" t="str">
        <f t="shared" si="4"/>
        <v>September</v>
      </c>
      <c r="D150" s="5" t="s">
        <v>238</v>
      </c>
      <c r="E150" s="5" t="s">
        <v>31</v>
      </c>
      <c r="F150" s="5" t="s">
        <v>134</v>
      </c>
      <c r="G150" s="5" t="s">
        <v>19</v>
      </c>
      <c r="H150" s="5" t="s">
        <v>96</v>
      </c>
      <c r="I150" s="5" t="s">
        <v>21</v>
      </c>
      <c r="J150" s="5" t="s">
        <v>46</v>
      </c>
      <c r="K150" s="5">
        <v>9914</v>
      </c>
      <c r="L150" s="5">
        <v>615</v>
      </c>
      <c r="M150" s="6">
        <v>6097110</v>
      </c>
      <c r="N150" s="6">
        <v>6083623</v>
      </c>
      <c r="O150" s="6">
        <f t="shared" si="5"/>
        <v>13487</v>
      </c>
    </row>
    <row r="151" spans="1:15" ht="15.6" thickTop="1" thickBot="1" x14ac:dyDescent="0.35">
      <c r="A151" s="4">
        <v>150</v>
      </c>
      <c r="B151" s="12">
        <v>45554</v>
      </c>
      <c r="C151" s="11" t="str">
        <f t="shared" si="4"/>
        <v>September</v>
      </c>
      <c r="D151" s="5" t="s">
        <v>239</v>
      </c>
      <c r="E151" s="5" t="s">
        <v>31</v>
      </c>
      <c r="F151" s="5" t="s">
        <v>134</v>
      </c>
      <c r="G151" s="5" t="s">
        <v>14</v>
      </c>
      <c r="H151" s="5" t="s">
        <v>98</v>
      </c>
      <c r="I151" s="5" t="s">
        <v>99</v>
      </c>
      <c r="J151" s="5" t="s">
        <v>46</v>
      </c>
      <c r="K151" s="5">
        <v>2904</v>
      </c>
      <c r="L151" s="5">
        <v>997</v>
      </c>
      <c r="M151" s="6">
        <v>2895288</v>
      </c>
      <c r="N151" s="6">
        <v>2882871</v>
      </c>
      <c r="O151" s="6">
        <f t="shared" si="5"/>
        <v>12417</v>
      </c>
    </row>
    <row r="152" spans="1:15" ht="15.6" thickTop="1" thickBot="1" x14ac:dyDescent="0.35">
      <c r="A152" s="4">
        <v>151</v>
      </c>
      <c r="B152" s="12">
        <v>45558</v>
      </c>
      <c r="C152" s="11" t="str">
        <f t="shared" si="4"/>
        <v>September</v>
      </c>
      <c r="D152" s="5" t="s">
        <v>240</v>
      </c>
      <c r="E152" s="5" t="s">
        <v>31</v>
      </c>
      <c r="F152" s="5" t="s">
        <v>134</v>
      </c>
      <c r="G152" s="5" t="s">
        <v>14</v>
      </c>
      <c r="H152" s="5" t="s">
        <v>101</v>
      </c>
      <c r="I152" s="5" t="s">
        <v>102</v>
      </c>
      <c r="J152" s="5" t="s">
        <v>46</v>
      </c>
      <c r="K152" s="5">
        <v>9981</v>
      </c>
      <c r="L152" s="5">
        <v>833</v>
      </c>
      <c r="M152" s="6">
        <v>8314173</v>
      </c>
      <c r="N152" s="6">
        <v>8303344</v>
      </c>
      <c r="O152" s="6">
        <f t="shared" si="5"/>
        <v>10829</v>
      </c>
    </row>
    <row r="153" spans="1:15" ht="15.6" thickTop="1" thickBot="1" x14ac:dyDescent="0.35">
      <c r="A153" s="4">
        <v>152</v>
      </c>
      <c r="B153" s="12">
        <v>45562</v>
      </c>
      <c r="C153" s="11" t="str">
        <f t="shared" si="4"/>
        <v>September</v>
      </c>
      <c r="D153" s="5" t="s">
        <v>241</v>
      </c>
      <c r="E153" s="5" t="s">
        <v>31</v>
      </c>
      <c r="F153" s="5" t="s">
        <v>134</v>
      </c>
      <c r="G153" s="5" t="s">
        <v>104</v>
      </c>
      <c r="H153" s="5" t="s">
        <v>105</v>
      </c>
      <c r="I153" s="5" t="s">
        <v>106</v>
      </c>
      <c r="J153" s="5" t="s">
        <v>16</v>
      </c>
      <c r="K153" s="5">
        <v>3876</v>
      </c>
      <c r="L153" s="5">
        <v>861</v>
      </c>
      <c r="M153" s="6">
        <v>3337236</v>
      </c>
      <c r="N153" s="6">
        <v>3318242</v>
      </c>
      <c r="O153" s="6">
        <f t="shared" si="5"/>
        <v>18994</v>
      </c>
    </row>
    <row r="154" spans="1:15" ht="15.6" thickTop="1" thickBot="1" x14ac:dyDescent="0.35">
      <c r="A154" s="4">
        <v>153</v>
      </c>
      <c r="B154" s="12">
        <v>45565</v>
      </c>
      <c r="C154" s="11" t="str">
        <f t="shared" si="4"/>
        <v>September</v>
      </c>
      <c r="D154" s="5" t="s">
        <v>242</v>
      </c>
      <c r="E154" s="5" t="s">
        <v>31</v>
      </c>
      <c r="F154" s="5" t="s">
        <v>134</v>
      </c>
      <c r="G154" s="5" t="s">
        <v>14</v>
      </c>
      <c r="H154" s="5" t="s">
        <v>108</v>
      </c>
      <c r="I154" s="5" t="s">
        <v>109</v>
      </c>
      <c r="J154" s="5" t="s">
        <v>16</v>
      </c>
      <c r="K154" s="5">
        <v>8887</v>
      </c>
      <c r="L154" s="5">
        <v>717</v>
      </c>
      <c r="M154" s="6">
        <v>6371979</v>
      </c>
      <c r="N154" s="6">
        <v>6359250</v>
      </c>
      <c r="O154" s="6">
        <f t="shared" si="5"/>
        <v>12729</v>
      </c>
    </row>
    <row r="155" spans="1:15" ht="15.6" thickTop="1" thickBot="1" x14ac:dyDescent="0.35">
      <c r="A155" s="4">
        <v>154</v>
      </c>
      <c r="B155" s="12">
        <v>45567</v>
      </c>
      <c r="C155" s="11" t="str">
        <f t="shared" si="4"/>
        <v>October</v>
      </c>
      <c r="D155" s="5" t="s">
        <v>243</v>
      </c>
      <c r="E155" s="5" t="s">
        <v>31</v>
      </c>
      <c r="F155" s="5" t="s">
        <v>134</v>
      </c>
      <c r="G155" s="5" t="s">
        <v>57</v>
      </c>
      <c r="H155" s="5" t="s">
        <v>111</v>
      </c>
      <c r="I155" s="5" t="s">
        <v>112</v>
      </c>
      <c r="J155" s="5" t="s">
        <v>16</v>
      </c>
      <c r="K155" s="5">
        <v>3673</v>
      </c>
      <c r="L155" s="5">
        <v>619</v>
      </c>
      <c r="M155" s="6">
        <v>2273587</v>
      </c>
      <c r="N155" s="6">
        <v>2258554</v>
      </c>
      <c r="O155" s="6">
        <f t="shared" si="5"/>
        <v>15033</v>
      </c>
    </row>
    <row r="156" spans="1:15" ht="15.6" thickTop="1" thickBot="1" x14ac:dyDescent="0.35">
      <c r="A156" s="4">
        <v>155</v>
      </c>
      <c r="B156" s="12">
        <v>45570</v>
      </c>
      <c r="C156" s="11" t="str">
        <f t="shared" si="4"/>
        <v>October</v>
      </c>
      <c r="D156" s="5" t="s">
        <v>244</v>
      </c>
      <c r="E156" s="5" t="s">
        <v>31</v>
      </c>
      <c r="F156" s="5" t="s">
        <v>147</v>
      </c>
      <c r="G156" s="5" t="s">
        <v>23</v>
      </c>
      <c r="H156" s="5" t="s">
        <v>114</v>
      </c>
      <c r="I156" s="5" t="s">
        <v>25</v>
      </c>
      <c r="J156" s="5" t="s">
        <v>16</v>
      </c>
      <c r="K156" s="5">
        <v>7588</v>
      </c>
      <c r="L156" s="5">
        <v>607</v>
      </c>
      <c r="M156" s="6">
        <v>4605916</v>
      </c>
      <c r="N156" s="6">
        <v>4592873</v>
      </c>
      <c r="O156" s="6">
        <f t="shared" si="5"/>
        <v>13043</v>
      </c>
    </row>
    <row r="157" spans="1:15" ht="15.6" thickTop="1" thickBot="1" x14ac:dyDescent="0.35">
      <c r="A157" s="4">
        <v>156</v>
      </c>
      <c r="B157" s="12">
        <v>45573</v>
      </c>
      <c r="C157" s="11" t="str">
        <f t="shared" si="4"/>
        <v>October</v>
      </c>
      <c r="D157" s="5" t="s">
        <v>245</v>
      </c>
      <c r="E157" s="5" t="s">
        <v>31</v>
      </c>
      <c r="F157" s="5" t="s">
        <v>147</v>
      </c>
      <c r="G157" s="5" t="s">
        <v>23</v>
      </c>
      <c r="H157" s="5" t="s">
        <v>24</v>
      </c>
      <c r="I157" s="5" t="s">
        <v>25</v>
      </c>
      <c r="J157" s="5" t="s">
        <v>16</v>
      </c>
      <c r="K157" s="5">
        <v>5137</v>
      </c>
      <c r="L157" s="5">
        <v>690</v>
      </c>
      <c r="M157" s="6">
        <v>3544530</v>
      </c>
      <c r="N157" s="6">
        <v>3528307</v>
      </c>
      <c r="O157" s="6">
        <f t="shared" si="5"/>
        <v>16223</v>
      </c>
    </row>
    <row r="158" spans="1:15" ht="15.6" thickTop="1" thickBot="1" x14ac:dyDescent="0.35">
      <c r="A158" s="4">
        <v>157</v>
      </c>
      <c r="B158" s="12">
        <v>45576</v>
      </c>
      <c r="C158" s="11" t="str">
        <f t="shared" si="4"/>
        <v>October</v>
      </c>
      <c r="D158" s="5" t="s">
        <v>246</v>
      </c>
      <c r="E158" s="5" t="s">
        <v>31</v>
      </c>
      <c r="F158" s="5" t="s">
        <v>147</v>
      </c>
      <c r="G158" s="5" t="s">
        <v>57</v>
      </c>
      <c r="H158" s="5" t="s">
        <v>118</v>
      </c>
      <c r="I158" s="5" t="s">
        <v>59</v>
      </c>
      <c r="J158" s="5" t="s">
        <v>46</v>
      </c>
      <c r="K158" s="5">
        <v>5813</v>
      </c>
      <c r="L158" s="5">
        <v>673</v>
      </c>
      <c r="M158" s="6">
        <v>3912149</v>
      </c>
      <c r="N158" s="6">
        <v>3898906</v>
      </c>
      <c r="O158" s="6">
        <f t="shared" si="5"/>
        <v>13243</v>
      </c>
    </row>
    <row r="159" spans="1:15" ht="15.6" thickTop="1" thickBot="1" x14ac:dyDescent="0.35">
      <c r="A159" s="4">
        <v>158</v>
      </c>
      <c r="B159" s="12">
        <v>45579</v>
      </c>
      <c r="C159" s="11" t="str">
        <f t="shared" si="4"/>
        <v>October</v>
      </c>
      <c r="D159" s="5" t="s">
        <v>247</v>
      </c>
      <c r="E159" s="5" t="s">
        <v>31</v>
      </c>
      <c r="F159" s="5" t="s">
        <v>147</v>
      </c>
      <c r="G159" s="5" t="s">
        <v>23</v>
      </c>
      <c r="H159" s="5" t="s">
        <v>120</v>
      </c>
      <c r="I159" s="5" t="s">
        <v>91</v>
      </c>
      <c r="J159" s="5" t="s">
        <v>46</v>
      </c>
      <c r="K159" s="5">
        <v>7330</v>
      </c>
      <c r="L159" s="5">
        <v>599</v>
      </c>
      <c r="M159" s="6">
        <v>4390670</v>
      </c>
      <c r="N159" s="6">
        <v>4370877</v>
      </c>
      <c r="O159" s="6">
        <f t="shared" si="5"/>
        <v>19793</v>
      </c>
    </row>
    <row r="160" spans="1:15" ht="15.6" thickTop="1" thickBot="1" x14ac:dyDescent="0.35">
      <c r="A160" s="4">
        <v>159</v>
      </c>
      <c r="B160" s="12">
        <v>45580</v>
      </c>
      <c r="C160" s="11" t="str">
        <f t="shared" si="4"/>
        <v>October</v>
      </c>
      <c r="D160" s="5" t="s">
        <v>248</v>
      </c>
      <c r="E160" s="5" t="s">
        <v>31</v>
      </c>
      <c r="F160" s="5" t="s">
        <v>147</v>
      </c>
      <c r="G160" s="5" t="s">
        <v>23</v>
      </c>
      <c r="H160" s="5" t="s">
        <v>122</v>
      </c>
      <c r="I160" s="5" t="s">
        <v>25</v>
      </c>
      <c r="J160" s="5" t="s">
        <v>46</v>
      </c>
      <c r="K160" s="5">
        <v>8139</v>
      </c>
      <c r="L160" s="5">
        <v>655</v>
      </c>
      <c r="M160" s="6">
        <v>5331045</v>
      </c>
      <c r="N160" s="6">
        <v>5313422</v>
      </c>
      <c r="O160" s="6">
        <f t="shared" si="5"/>
        <v>17623</v>
      </c>
    </row>
    <row r="161" spans="1:15" ht="15.6" thickTop="1" thickBot="1" x14ac:dyDescent="0.35">
      <c r="A161" s="4">
        <v>160</v>
      </c>
      <c r="B161" s="12">
        <v>45386</v>
      </c>
      <c r="C161" s="11" t="str">
        <f t="shared" si="4"/>
        <v>April</v>
      </c>
      <c r="D161" s="5" t="s">
        <v>249</v>
      </c>
      <c r="E161" s="5" t="s">
        <v>31</v>
      </c>
      <c r="F161" s="5" t="s">
        <v>147</v>
      </c>
      <c r="G161" s="5" t="s">
        <v>27</v>
      </c>
      <c r="H161" s="5" t="s">
        <v>124</v>
      </c>
      <c r="I161" s="5" t="s">
        <v>34</v>
      </c>
      <c r="J161" s="5" t="s">
        <v>16</v>
      </c>
      <c r="K161" s="5">
        <v>8203</v>
      </c>
      <c r="L161" s="5">
        <v>918</v>
      </c>
      <c r="M161" s="6">
        <v>7530354</v>
      </c>
      <c r="N161" s="6">
        <v>7513303</v>
      </c>
      <c r="O161" s="6">
        <f t="shared" si="5"/>
        <v>17051</v>
      </c>
    </row>
    <row r="162" spans="1:15" ht="15.6" thickTop="1" thickBot="1" x14ac:dyDescent="0.35">
      <c r="A162" s="4">
        <v>161</v>
      </c>
      <c r="B162" s="12">
        <v>45389</v>
      </c>
      <c r="C162" s="11" t="str">
        <f t="shared" si="4"/>
        <v>April</v>
      </c>
      <c r="D162" s="5" t="s">
        <v>250</v>
      </c>
      <c r="E162" s="5" t="s">
        <v>159</v>
      </c>
      <c r="F162" s="5" t="s">
        <v>179</v>
      </c>
      <c r="G162" s="5" t="s">
        <v>14</v>
      </c>
      <c r="H162" s="5" t="s">
        <v>15</v>
      </c>
      <c r="I162" s="5" t="s">
        <v>15</v>
      </c>
      <c r="J162" s="5" t="s">
        <v>16</v>
      </c>
      <c r="K162" s="5">
        <v>1918</v>
      </c>
      <c r="L162" s="5">
        <v>866</v>
      </c>
      <c r="M162" s="6">
        <v>1660988</v>
      </c>
      <c r="N162" s="6">
        <v>1650600</v>
      </c>
      <c r="O162" s="6">
        <f t="shared" si="5"/>
        <v>10388</v>
      </c>
    </row>
    <row r="163" spans="1:15" ht="15.6" thickTop="1" thickBot="1" x14ac:dyDescent="0.35">
      <c r="A163" s="4">
        <v>162</v>
      </c>
      <c r="B163" s="12">
        <v>45391</v>
      </c>
      <c r="C163" s="11" t="str">
        <f t="shared" si="4"/>
        <v>April</v>
      </c>
      <c r="D163" s="5" t="s">
        <v>251</v>
      </c>
      <c r="E163" s="5" t="s">
        <v>159</v>
      </c>
      <c r="F163" s="5" t="s">
        <v>179</v>
      </c>
      <c r="G163" s="5" t="s">
        <v>19</v>
      </c>
      <c r="H163" s="5" t="s">
        <v>20</v>
      </c>
      <c r="I163" s="5" t="s">
        <v>21</v>
      </c>
      <c r="J163" s="5" t="s">
        <v>16</v>
      </c>
      <c r="K163" s="5">
        <v>7692</v>
      </c>
      <c r="L163" s="5">
        <v>958</v>
      </c>
      <c r="M163" s="6">
        <v>7368936</v>
      </c>
      <c r="N163" s="6">
        <v>7352281</v>
      </c>
      <c r="O163" s="6">
        <f t="shared" si="5"/>
        <v>16655</v>
      </c>
    </row>
    <row r="164" spans="1:15" ht="15.6" thickTop="1" thickBot="1" x14ac:dyDescent="0.35">
      <c r="A164" s="4">
        <v>163</v>
      </c>
      <c r="B164" s="12">
        <v>45395</v>
      </c>
      <c r="C164" s="11" t="str">
        <f t="shared" si="4"/>
        <v>April</v>
      </c>
      <c r="D164" s="5" t="s">
        <v>252</v>
      </c>
      <c r="E164" s="5" t="s">
        <v>159</v>
      </c>
      <c r="F164" s="5" t="s">
        <v>179</v>
      </c>
      <c r="G164" s="5" t="s">
        <v>23</v>
      </c>
      <c r="H164" s="5" t="s">
        <v>24</v>
      </c>
      <c r="I164" s="5" t="s">
        <v>25</v>
      </c>
      <c r="J164" s="5" t="s">
        <v>16</v>
      </c>
      <c r="K164" s="5">
        <v>8066</v>
      </c>
      <c r="L164" s="5">
        <v>985</v>
      </c>
      <c r="M164" s="6">
        <v>7945010</v>
      </c>
      <c r="N164" s="6">
        <v>7931886</v>
      </c>
      <c r="O164" s="6">
        <f t="shared" si="5"/>
        <v>13124</v>
      </c>
    </row>
    <row r="165" spans="1:15" ht="15.6" thickTop="1" thickBot="1" x14ac:dyDescent="0.35">
      <c r="A165" s="4">
        <v>164</v>
      </c>
      <c r="B165" s="12">
        <v>45399</v>
      </c>
      <c r="C165" s="11" t="str">
        <f t="shared" si="4"/>
        <v>April</v>
      </c>
      <c r="D165" s="5" t="s">
        <v>253</v>
      </c>
      <c r="E165" s="5" t="s">
        <v>159</v>
      </c>
      <c r="F165" s="5" t="s">
        <v>179</v>
      </c>
      <c r="G165" s="5" t="s">
        <v>27</v>
      </c>
      <c r="H165" s="5" t="s">
        <v>28</v>
      </c>
      <c r="I165" s="5" t="s">
        <v>29</v>
      </c>
      <c r="J165" s="5" t="s">
        <v>16</v>
      </c>
      <c r="K165" s="5">
        <v>5931</v>
      </c>
      <c r="L165" s="5">
        <v>652</v>
      </c>
      <c r="M165" s="6">
        <v>3867012</v>
      </c>
      <c r="N165" s="6">
        <v>3850661</v>
      </c>
      <c r="O165" s="6">
        <f t="shared" si="5"/>
        <v>16351</v>
      </c>
    </row>
    <row r="166" spans="1:15" ht="15.6" thickTop="1" thickBot="1" x14ac:dyDescent="0.35">
      <c r="A166" s="4">
        <v>165</v>
      </c>
      <c r="B166" s="12">
        <v>45401</v>
      </c>
      <c r="C166" s="11" t="str">
        <f t="shared" si="4"/>
        <v>April</v>
      </c>
      <c r="D166" s="5" t="s">
        <v>254</v>
      </c>
      <c r="E166" s="5" t="s">
        <v>159</v>
      </c>
      <c r="F166" s="5" t="s">
        <v>179</v>
      </c>
      <c r="G166" s="5" t="s">
        <v>27</v>
      </c>
      <c r="H166" s="5" t="s">
        <v>33</v>
      </c>
      <c r="I166" s="5" t="s">
        <v>34</v>
      </c>
      <c r="J166" s="5" t="s">
        <v>46</v>
      </c>
      <c r="K166" s="5">
        <v>5555</v>
      </c>
      <c r="L166" s="5">
        <v>506</v>
      </c>
      <c r="M166" s="6">
        <v>2810830</v>
      </c>
      <c r="N166" s="6">
        <v>2792859</v>
      </c>
      <c r="O166" s="6">
        <f t="shared" si="5"/>
        <v>17971</v>
      </c>
    </row>
    <row r="167" spans="1:15" ht="15.6" thickTop="1" thickBot="1" x14ac:dyDescent="0.35">
      <c r="A167" s="4">
        <v>166</v>
      </c>
      <c r="B167" s="12">
        <v>45406</v>
      </c>
      <c r="C167" s="11" t="str">
        <f t="shared" si="4"/>
        <v>April</v>
      </c>
      <c r="D167" s="5" t="s">
        <v>255</v>
      </c>
      <c r="E167" s="5" t="s">
        <v>159</v>
      </c>
      <c r="F167" s="5" t="s">
        <v>179</v>
      </c>
      <c r="G167" s="5" t="s">
        <v>27</v>
      </c>
      <c r="H167" s="5" t="s">
        <v>36</v>
      </c>
      <c r="I167" s="5" t="s">
        <v>37</v>
      </c>
      <c r="J167" s="5" t="s">
        <v>46</v>
      </c>
      <c r="K167" s="5">
        <v>7543</v>
      </c>
      <c r="L167" s="5">
        <v>815</v>
      </c>
      <c r="M167" s="6">
        <v>6147545</v>
      </c>
      <c r="N167" s="6">
        <v>6129154</v>
      </c>
      <c r="O167" s="6">
        <f t="shared" si="5"/>
        <v>18391</v>
      </c>
    </row>
    <row r="168" spans="1:15" ht="15.6" thickTop="1" thickBot="1" x14ac:dyDescent="0.35">
      <c r="A168" s="4">
        <v>167</v>
      </c>
      <c r="B168" s="12">
        <v>45412</v>
      </c>
      <c r="C168" s="11" t="str">
        <f t="shared" si="4"/>
        <v>April</v>
      </c>
      <c r="D168" s="5" t="s">
        <v>256</v>
      </c>
      <c r="E168" s="5" t="s">
        <v>159</v>
      </c>
      <c r="F168" s="5" t="s">
        <v>179</v>
      </c>
      <c r="G168" s="5" t="s">
        <v>19</v>
      </c>
      <c r="H168" s="5" t="s">
        <v>39</v>
      </c>
      <c r="I168" s="5" t="s">
        <v>40</v>
      </c>
      <c r="J168" s="5" t="s">
        <v>46</v>
      </c>
      <c r="K168" s="5">
        <v>7725</v>
      </c>
      <c r="L168" s="5">
        <v>964</v>
      </c>
      <c r="M168" s="6">
        <v>7446900</v>
      </c>
      <c r="N168" s="6">
        <v>7433111</v>
      </c>
      <c r="O168" s="6">
        <f t="shared" si="5"/>
        <v>13789</v>
      </c>
    </row>
    <row r="169" spans="1:15" ht="15.6" thickTop="1" thickBot="1" x14ac:dyDescent="0.35">
      <c r="A169" s="4">
        <v>168</v>
      </c>
      <c r="B169" s="12">
        <v>45413</v>
      </c>
      <c r="C169" s="11" t="str">
        <f t="shared" si="4"/>
        <v>May</v>
      </c>
      <c r="D169" s="5" t="s">
        <v>257</v>
      </c>
      <c r="E169" s="5" t="s">
        <v>159</v>
      </c>
      <c r="F169" s="5" t="s">
        <v>179</v>
      </c>
      <c r="G169" s="5" t="s">
        <v>19</v>
      </c>
      <c r="H169" s="5" t="s">
        <v>42</v>
      </c>
      <c r="I169" s="5" t="s">
        <v>21</v>
      </c>
      <c r="J169" s="5" t="s">
        <v>46</v>
      </c>
      <c r="K169" s="5">
        <v>7125</v>
      </c>
      <c r="L169" s="5">
        <v>720</v>
      </c>
      <c r="M169" s="6">
        <v>5130000</v>
      </c>
      <c r="N169" s="6">
        <v>5119454</v>
      </c>
      <c r="O169" s="6">
        <f t="shared" si="5"/>
        <v>10546</v>
      </c>
    </row>
    <row r="170" spans="1:15" ht="15.6" thickTop="1" thickBot="1" x14ac:dyDescent="0.35">
      <c r="A170" s="4">
        <v>169</v>
      </c>
      <c r="B170" s="12">
        <v>45416</v>
      </c>
      <c r="C170" s="11" t="str">
        <f t="shared" si="4"/>
        <v>May</v>
      </c>
      <c r="D170" s="5" t="s">
        <v>258</v>
      </c>
      <c r="E170" s="5" t="s">
        <v>159</v>
      </c>
      <c r="F170" s="5" t="s">
        <v>179</v>
      </c>
      <c r="G170" s="5" t="s">
        <v>14</v>
      </c>
      <c r="H170" s="5" t="s">
        <v>44</v>
      </c>
      <c r="I170" s="5" t="s">
        <v>45</v>
      </c>
      <c r="J170" s="5" t="s">
        <v>46</v>
      </c>
      <c r="K170" s="5">
        <v>1784</v>
      </c>
      <c r="L170" s="5">
        <v>820</v>
      </c>
      <c r="M170" s="6">
        <v>1462880</v>
      </c>
      <c r="N170" s="6">
        <v>1444148</v>
      </c>
      <c r="O170" s="6">
        <f t="shared" si="5"/>
        <v>18732</v>
      </c>
    </row>
    <row r="171" spans="1:15" ht="15.6" thickTop="1" thickBot="1" x14ac:dyDescent="0.35">
      <c r="A171" s="4">
        <v>170</v>
      </c>
      <c r="B171" s="12">
        <v>45420</v>
      </c>
      <c r="C171" s="11" t="str">
        <f t="shared" si="4"/>
        <v>May</v>
      </c>
      <c r="D171" s="5" t="s">
        <v>444</v>
      </c>
      <c r="E171" s="5" t="s">
        <v>159</v>
      </c>
      <c r="F171" s="5" t="s">
        <v>179</v>
      </c>
      <c r="G171" s="5" t="s">
        <v>19</v>
      </c>
      <c r="H171" s="5" t="s">
        <v>48</v>
      </c>
      <c r="I171" s="5" t="s">
        <v>40</v>
      </c>
      <c r="J171" s="5" t="s">
        <v>46</v>
      </c>
      <c r="K171" s="5">
        <v>6571</v>
      </c>
      <c r="L171" s="5">
        <v>799</v>
      </c>
      <c r="M171" s="6">
        <v>5250229</v>
      </c>
      <c r="N171" s="6">
        <v>5235386</v>
      </c>
      <c r="O171" s="6">
        <f t="shared" si="5"/>
        <v>14843</v>
      </c>
    </row>
    <row r="172" spans="1:15" ht="15.6" thickTop="1" thickBot="1" x14ac:dyDescent="0.35">
      <c r="A172" s="4">
        <v>171</v>
      </c>
      <c r="B172" s="12">
        <v>45422</v>
      </c>
      <c r="C172" s="11" t="str">
        <f t="shared" si="4"/>
        <v>May</v>
      </c>
      <c r="D172" s="5" t="s">
        <v>259</v>
      </c>
      <c r="E172" s="5" t="s">
        <v>159</v>
      </c>
      <c r="F172" s="5" t="s">
        <v>179</v>
      </c>
      <c r="G172" s="5" t="s">
        <v>14</v>
      </c>
      <c r="H172" s="5" t="s">
        <v>50</v>
      </c>
      <c r="I172" s="5" t="s">
        <v>51</v>
      </c>
      <c r="J172" s="5" t="s">
        <v>46</v>
      </c>
      <c r="K172" s="5">
        <v>6742</v>
      </c>
      <c r="L172" s="5">
        <v>544</v>
      </c>
      <c r="M172" s="6">
        <v>3667648</v>
      </c>
      <c r="N172" s="6">
        <v>3650146</v>
      </c>
      <c r="O172" s="6">
        <f t="shared" si="5"/>
        <v>17502</v>
      </c>
    </row>
    <row r="173" spans="1:15" ht="15.6" thickTop="1" thickBot="1" x14ac:dyDescent="0.35">
      <c r="A173" s="4">
        <v>172</v>
      </c>
      <c r="B173" s="12">
        <v>45424</v>
      </c>
      <c r="C173" s="11" t="str">
        <f t="shared" si="4"/>
        <v>May</v>
      </c>
      <c r="D173" s="5" t="s">
        <v>260</v>
      </c>
      <c r="E173" s="5" t="s">
        <v>159</v>
      </c>
      <c r="F173" s="5" t="s">
        <v>179</v>
      </c>
      <c r="G173" s="5" t="s">
        <v>14</v>
      </c>
      <c r="H173" s="5" t="s">
        <v>53</v>
      </c>
      <c r="I173" s="5" t="s">
        <v>51</v>
      </c>
      <c r="J173" s="5" t="s">
        <v>16</v>
      </c>
      <c r="K173" s="5">
        <v>7493</v>
      </c>
      <c r="L173" s="5">
        <v>704</v>
      </c>
      <c r="M173" s="6">
        <v>5275072</v>
      </c>
      <c r="N173" s="6">
        <v>5256416</v>
      </c>
      <c r="O173" s="6">
        <f t="shared" si="5"/>
        <v>18656</v>
      </c>
    </row>
    <row r="174" spans="1:15" ht="15.6" thickTop="1" thickBot="1" x14ac:dyDescent="0.35">
      <c r="A174" s="4">
        <v>173</v>
      </c>
      <c r="B174" s="12">
        <v>45426</v>
      </c>
      <c r="C174" s="11" t="str">
        <f t="shared" si="4"/>
        <v>May</v>
      </c>
      <c r="D174" s="5" t="s">
        <v>261</v>
      </c>
      <c r="E174" s="5" t="s">
        <v>31</v>
      </c>
      <c r="F174" s="5" t="s">
        <v>147</v>
      </c>
      <c r="G174" s="5" t="s">
        <v>19</v>
      </c>
      <c r="H174" s="5" t="s">
        <v>55</v>
      </c>
      <c r="I174" s="5" t="s">
        <v>21</v>
      </c>
      <c r="J174" s="5" t="s">
        <v>16</v>
      </c>
      <c r="K174" s="5">
        <v>2130</v>
      </c>
      <c r="L174" s="5">
        <v>800</v>
      </c>
      <c r="M174" s="6">
        <v>1704000</v>
      </c>
      <c r="N174" s="6">
        <v>1684768</v>
      </c>
      <c r="O174" s="6">
        <f t="shared" si="5"/>
        <v>19232</v>
      </c>
    </row>
    <row r="175" spans="1:15" ht="15.6" thickTop="1" thickBot="1" x14ac:dyDescent="0.35">
      <c r="A175" s="4">
        <v>174</v>
      </c>
      <c r="B175" s="12">
        <v>45428</v>
      </c>
      <c r="C175" s="11" t="str">
        <f t="shared" si="4"/>
        <v>May</v>
      </c>
      <c r="D175" s="5" t="s">
        <v>262</v>
      </c>
      <c r="E175" s="5" t="s">
        <v>31</v>
      </c>
      <c r="F175" s="5" t="s">
        <v>147</v>
      </c>
      <c r="G175" s="5" t="s">
        <v>57</v>
      </c>
      <c r="H175" s="5" t="s">
        <v>58</v>
      </c>
      <c r="I175" s="5" t="s">
        <v>59</v>
      </c>
      <c r="J175" s="5" t="s">
        <v>16</v>
      </c>
      <c r="K175" s="5">
        <v>4543</v>
      </c>
      <c r="L175" s="5">
        <v>785</v>
      </c>
      <c r="M175" s="6">
        <v>3566255</v>
      </c>
      <c r="N175" s="6">
        <v>3546346</v>
      </c>
      <c r="O175" s="6">
        <f t="shared" si="5"/>
        <v>19909</v>
      </c>
    </row>
    <row r="176" spans="1:15" ht="15.6" thickTop="1" thickBot="1" x14ac:dyDescent="0.35">
      <c r="A176" s="4">
        <v>175</v>
      </c>
      <c r="B176" s="12">
        <v>45431</v>
      </c>
      <c r="C176" s="11" t="str">
        <f t="shared" si="4"/>
        <v>May</v>
      </c>
      <c r="D176" s="5" t="s">
        <v>263</v>
      </c>
      <c r="E176" s="5" t="s">
        <v>31</v>
      </c>
      <c r="F176" s="5" t="s">
        <v>147</v>
      </c>
      <c r="G176" s="5" t="s">
        <v>19</v>
      </c>
      <c r="H176" s="5" t="s">
        <v>62</v>
      </c>
      <c r="I176" s="5" t="s">
        <v>21</v>
      </c>
      <c r="J176" s="5" t="s">
        <v>16</v>
      </c>
      <c r="K176" s="5">
        <v>6128</v>
      </c>
      <c r="L176" s="5">
        <v>944</v>
      </c>
      <c r="M176" s="6">
        <v>5784832</v>
      </c>
      <c r="N176" s="6">
        <v>5766298</v>
      </c>
      <c r="O176" s="6">
        <f t="shared" si="5"/>
        <v>18534</v>
      </c>
    </row>
    <row r="177" spans="1:15" ht="15.6" thickTop="1" thickBot="1" x14ac:dyDescent="0.35">
      <c r="A177" s="4">
        <v>176</v>
      </c>
      <c r="B177" s="12">
        <v>45434</v>
      </c>
      <c r="C177" s="11" t="str">
        <f t="shared" si="4"/>
        <v>May</v>
      </c>
      <c r="D177" s="5" t="s">
        <v>264</v>
      </c>
      <c r="E177" s="5" t="s">
        <v>31</v>
      </c>
      <c r="F177" s="5" t="s">
        <v>147</v>
      </c>
      <c r="G177" s="5" t="s">
        <v>64</v>
      </c>
      <c r="H177" s="5" t="s">
        <v>65</v>
      </c>
      <c r="I177" s="5" t="s">
        <v>65</v>
      </c>
      <c r="J177" s="5" t="s">
        <v>46</v>
      </c>
      <c r="K177" s="5">
        <v>6210</v>
      </c>
      <c r="L177" s="5">
        <v>638</v>
      </c>
      <c r="M177" s="6">
        <v>3961980</v>
      </c>
      <c r="N177" s="6">
        <v>3951572</v>
      </c>
      <c r="O177" s="6">
        <f t="shared" si="5"/>
        <v>10408</v>
      </c>
    </row>
    <row r="178" spans="1:15" ht="15.6" thickTop="1" thickBot="1" x14ac:dyDescent="0.35">
      <c r="A178" s="4">
        <v>177</v>
      </c>
      <c r="B178" s="12">
        <v>45437</v>
      </c>
      <c r="C178" s="11" t="str">
        <f t="shared" si="4"/>
        <v>May</v>
      </c>
      <c r="D178" s="5" t="s">
        <v>265</v>
      </c>
      <c r="E178" s="5" t="s">
        <v>31</v>
      </c>
      <c r="F178" s="5" t="s">
        <v>147</v>
      </c>
      <c r="G178" s="5" t="s">
        <v>57</v>
      </c>
      <c r="H178" s="5" t="s">
        <v>67</v>
      </c>
      <c r="I178" s="5" t="s">
        <v>59</v>
      </c>
      <c r="J178" s="5" t="s">
        <v>16</v>
      </c>
      <c r="K178" s="5">
        <v>8028</v>
      </c>
      <c r="L178" s="5">
        <v>949</v>
      </c>
      <c r="M178" s="6">
        <v>7618572</v>
      </c>
      <c r="N178" s="6">
        <v>7607767</v>
      </c>
      <c r="O178" s="6">
        <f t="shared" si="5"/>
        <v>10805</v>
      </c>
    </row>
    <row r="179" spans="1:15" ht="15.6" thickTop="1" thickBot="1" x14ac:dyDescent="0.35">
      <c r="A179" s="4">
        <v>178</v>
      </c>
      <c r="B179" s="12">
        <v>45445</v>
      </c>
      <c r="C179" s="11" t="str">
        <f t="shared" si="4"/>
        <v>June</v>
      </c>
      <c r="D179" s="5" t="s">
        <v>266</v>
      </c>
      <c r="E179" s="5" t="s">
        <v>31</v>
      </c>
      <c r="F179" s="5" t="s">
        <v>147</v>
      </c>
      <c r="G179" s="5" t="s">
        <v>27</v>
      </c>
      <c r="H179" s="5" t="s">
        <v>69</v>
      </c>
      <c r="I179" s="5" t="s">
        <v>70</v>
      </c>
      <c r="J179" s="5" t="s">
        <v>16</v>
      </c>
      <c r="K179" s="5">
        <v>2734</v>
      </c>
      <c r="L179" s="5">
        <v>530</v>
      </c>
      <c r="M179" s="6">
        <v>1449020</v>
      </c>
      <c r="N179" s="6">
        <v>1430028</v>
      </c>
      <c r="O179" s="6">
        <f t="shared" si="5"/>
        <v>18992</v>
      </c>
    </row>
    <row r="180" spans="1:15" ht="15.6" thickTop="1" thickBot="1" x14ac:dyDescent="0.35">
      <c r="A180" s="4">
        <v>179</v>
      </c>
      <c r="B180" s="12">
        <v>45448</v>
      </c>
      <c r="C180" s="11" t="str">
        <f t="shared" si="4"/>
        <v>June</v>
      </c>
      <c r="D180" s="5" t="s">
        <v>267</v>
      </c>
      <c r="E180" s="5" t="s">
        <v>31</v>
      </c>
      <c r="F180" s="5" t="s">
        <v>147</v>
      </c>
      <c r="G180" s="5" t="s">
        <v>23</v>
      </c>
      <c r="H180" s="5" t="s">
        <v>72</v>
      </c>
      <c r="I180" s="5" t="s">
        <v>73</v>
      </c>
      <c r="J180" s="5" t="s">
        <v>16</v>
      </c>
      <c r="K180" s="5">
        <v>2144</v>
      </c>
      <c r="L180" s="5">
        <v>505</v>
      </c>
      <c r="M180" s="6">
        <v>1082720</v>
      </c>
      <c r="N180" s="6">
        <v>1069539</v>
      </c>
      <c r="O180" s="6">
        <f t="shared" si="5"/>
        <v>13181</v>
      </c>
    </row>
    <row r="181" spans="1:15" ht="15.6" thickTop="1" thickBot="1" x14ac:dyDescent="0.35">
      <c r="A181" s="4">
        <v>180</v>
      </c>
      <c r="B181" s="12">
        <v>45451</v>
      </c>
      <c r="C181" s="11" t="str">
        <f t="shared" si="4"/>
        <v>June</v>
      </c>
      <c r="D181" s="5" t="s">
        <v>268</v>
      </c>
      <c r="E181" s="5" t="s">
        <v>159</v>
      </c>
      <c r="F181" s="5" t="s">
        <v>160</v>
      </c>
      <c r="G181" s="5" t="s">
        <v>19</v>
      </c>
      <c r="H181" s="5" t="s">
        <v>75</v>
      </c>
      <c r="I181" s="5" t="s">
        <v>40</v>
      </c>
      <c r="J181" s="5" t="s">
        <v>16</v>
      </c>
      <c r="K181" s="5">
        <v>4799</v>
      </c>
      <c r="L181" s="5">
        <v>769</v>
      </c>
      <c r="M181" s="6">
        <v>3690431</v>
      </c>
      <c r="N181" s="6">
        <v>3676866</v>
      </c>
      <c r="O181" s="6">
        <f t="shared" si="5"/>
        <v>13565</v>
      </c>
    </row>
    <row r="182" spans="1:15" ht="15.6" thickTop="1" thickBot="1" x14ac:dyDescent="0.35">
      <c r="A182" s="4">
        <v>181</v>
      </c>
      <c r="B182" s="12">
        <v>45454</v>
      </c>
      <c r="C182" s="11" t="str">
        <f t="shared" si="4"/>
        <v>June</v>
      </c>
      <c r="D182" s="5" t="s">
        <v>269</v>
      </c>
      <c r="E182" s="5" t="s">
        <v>159</v>
      </c>
      <c r="F182" s="5" t="s">
        <v>160</v>
      </c>
      <c r="G182" s="5" t="s">
        <v>14</v>
      </c>
      <c r="H182" s="5" t="s">
        <v>77</v>
      </c>
      <c r="I182" s="5" t="s">
        <v>51</v>
      </c>
      <c r="J182" s="5" t="s">
        <v>46</v>
      </c>
      <c r="K182" s="5">
        <v>4448</v>
      </c>
      <c r="L182" s="5">
        <v>924</v>
      </c>
      <c r="M182" s="6">
        <v>4109952</v>
      </c>
      <c r="N182" s="6">
        <v>4092774</v>
      </c>
      <c r="O182" s="6">
        <f t="shared" si="5"/>
        <v>17178</v>
      </c>
    </row>
    <row r="183" spans="1:15" ht="15.6" thickTop="1" thickBot="1" x14ac:dyDescent="0.35">
      <c r="A183" s="4">
        <v>182</v>
      </c>
      <c r="B183" s="12">
        <v>45456</v>
      </c>
      <c r="C183" s="11" t="str">
        <f t="shared" si="4"/>
        <v>June</v>
      </c>
      <c r="D183" s="5" t="s">
        <v>270</v>
      </c>
      <c r="E183" s="5" t="s">
        <v>159</v>
      </c>
      <c r="F183" s="5" t="s">
        <v>160</v>
      </c>
      <c r="G183" s="5" t="s">
        <v>14</v>
      </c>
      <c r="H183" s="5" t="s">
        <v>80</v>
      </c>
      <c r="I183" s="5" t="s">
        <v>51</v>
      </c>
      <c r="J183" s="5" t="s">
        <v>46</v>
      </c>
      <c r="K183" s="5">
        <v>9290</v>
      </c>
      <c r="L183" s="5">
        <v>602</v>
      </c>
      <c r="M183" s="6">
        <v>5592580</v>
      </c>
      <c r="N183" s="6">
        <v>5573764</v>
      </c>
      <c r="O183" s="6">
        <f t="shared" si="5"/>
        <v>18816</v>
      </c>
    </row>
    <row r="184" spans="1:15" ht="15.6" thickTop="1" thickBot="1" x14ac:dyDescent="0.35">
      <c r="A184" s="4">
        <v>183</v>
      </c>
      <c r="B184" s="12">
        <v>45426</v>
      </c>
      <c r="C184" s="11" t="str">
        <f t="shared" si="4"/>
        <v>May</v>
      </c>
      <c r="D184" s="5" t="s">
        <v>271</v>
      </c>
      <c r="E184" s="5" t="s">
        <v>159</v>
      </c>
      <c r="F184" s="5" t="s">
        <v>160</v>
      </c>
      <c r="G184" s="5" t="s">
        <v>27</v>
      </c>
      <c r="H184" s="5" t="s">
        <v>82</v>
      </c>
      <c r="I184" s="5" t="s">
        <v>29</v>
      </c>
      <c r="J184" s="5" t="s">
        <v>46</v>
      </c>
      <c r="K184" s="5">
        <v>9736</v>
      </c>
      <c r="L184" s="5">
        <v>555</v>
      </c>
      <c r="M184" s="6">
        <v>5403480</v>
      </c>
      <c r="N184" s="6">
        <v>5392981</v>
      </c>
      <c r="O184" s="6">
        <f t="shared" si="5"/>
        <v>10499</v>
      </c>
    </row>
    <row r="185" spans="1:15" ht="15.6" thickTop="1" thickBot="1" x14ac:dyDescent="0.35">
      <c r="A185" s="4">
        <v>184</v>
      </c>
      <c r="B185" s="12">
        <v>45428</v>
      </c>
      <c r="C185" s="11" t="str">
        <f t="shared" si="4"/>
        <v>May</v>
      </c>
      <c r="D185" s="5" t="s">
        <v>272</v>
      </c>
      <c r="E185" s="5" t="s">
        <v>159</v>
      </c>
      <c r="F185" s="5" t="s">
        <v>160</v>
      </c>
      <c r="G185" s="5" t="s">
        <v>27</v>
      </c>
      <c r="H185" s="5" t="s">
        <v>84</v>
      </c>
      <c r="I185" s="5" t="s">
        <v>29</v>
      </c>
      <c r="J185" s="5" t="s">
        <v>46</v>
      </c>
      <c r="K185" s="5">
        <v>9499</v>
      </c>
      <c r="L185" s="5">
        <v>502</v>
      </c>
      <c r="M185" s="6">
        <v>4768498</v>
      </c>
      <c r="N185" s="6">
        <v>4749076</v>
      </c>
      <c r="O185" s="6">
        <f t="shared" si="5"/>
        <v>19422</v>
      </c>
    </row>
    <row r="186" spans="1:15" ht="15.6" thickTop="1" thickBot="1" x14ac:dyDescent="0.35">
      <c r="A186" s="4">
        <v>185</v>
      </c>
      <c r="B186" s="12">
        <v>45431</v>
      </c>
      <c r="C186" s="11" t="str">
        <f t="shared" si="4"/>
        <v>May</v>
      </c>
      <c r="D186" s="5" t="s">
        <v>273</v>
      </c>
      <c r="E186" s="5" t="s">
        <v>159</v>
      </c>
      <c r="F186" s="5" t="s">
        <v>160</v>
      </c>
      <c r="G186" s="5" t="s">
        <v>14</v>
      </c>
      <c r="H186" s="5" t="s">
        <v>86</v>
      </c>
      <c r="I186" s="5" t="s">
        <v>45</v>
      </c>
      <c r="J186" s="5" t="s">
        <v>46</v>
      </c>
      <c r="K186" s="5">
        <v>4981</v>
      </c>
      <c r="L186" s="5">
        <v>743</v>
      </c>
      <c r="M186" s="6">
        <v>3700883</v>
      </c>
      <c r="N186" s="6">
        <v>3686951</v>
      </c>
      <c r="O186" s="6">
        <f t="shared" si="5"/>
        <v>13932</v>
      </c>
    </row>
    <row r="187" spans="1:15" ht="15.6" thickTop="1" thickBot="1" x14ac:dyDescent="0.35">
      <c r="A187" s="4">
        <v>186</v>
      </c>
      <c r="B187" s="12">
        <v>45434</v>
      </c>
      <c r="C187" s="11" t="str">
        <f t="shared" si="4"/>
        <v>May</v>
      </c>
      <c r="D187" s="5" t="s">
        <v>274</v>
      </c>
      <c r="E187" s="5" t="s">
        <v>159</v>
      </c>
      <c r="F187" s="5" t="s">
        <v>160</v>
      </c>
      <c r="G187" s="5" t="s">
        <v>14</v>
      </c>
      <c r="H187" s="5" t="s">
        <v>88</v>
      </c>
      <c r="I187" s="5" t="s">
        <v>51</v>
      </c>
      <c r="J187" s="5" t="s">
        <v>46</v>
      </c>
      <c r="K187" s="5">
        <v>2084</v>
      </c>
      <c r="L187" s="5">
        <v>796</v>
      </c>
      <c r="M187" s="6">
        <v>1658864</v>
      </c>
      <c r="N187" s="6">
        <v>1644106</v>
      </c>
      <c r="O187" s="6">
        <f t="shared" si="5"/>
        <v>14758</v>
      </c>
    </row>
    <row r="188" spans="1:15" ht="15.6" thickTop="1" thickBot="1" x14ac:dyDescent="0.35">
      <c r="A188" s="4">
        <v>187</v>
      </c>
      <c r="B188" s="12">
        <v>45437</v>
      </c>
      <c r="C188" s="11" t="str">
        <f t="shared" si="4"/>
        <v>May</v>
      </c>
      <c r="D188" s="5" t="s">
        <v>275</v>
      </c>
      <c r="E188" s="5" t="s">
        <v>31</v>
      </c>
      <c r="F188" s="5" t="s">
        <v>134</v>
      </c>
      <c r="G188" s="5" t="s">
        <v>23</v>
      </c>
      <c r="H188" s="5" t="s">
        <v>90</v>
      </c>
      <c r="I188" s="5" t="s">
        <v>91</v>
      </c>
      <c r="J188" s="5" t="s">
        <v>46</v>
      </c>
      <c r="K188" s="5">
        <v>4280</v>
      </c>
      <c r="L188" s="5">
        <v>942</v>
      </c>
      <c r="M188" s="6">
        <v>4031760</v>
      </c>
      <c r="N188" s="6">
        <v>4017812</v>
      </c>
      <c r="O188" s="6">
        <f t="shared" si="5"/>
        <v>13948</v>
      </c>
    </row>
    <row r="189" spans="1:15" ht="15.6" thickTop="1" thickBot="1" x14ac:dyDescent="0.35">
      <c r="A189" s="4">
        <v>188</v>
      </c>
      <c r="B189" s="12">
        <v>45445</v>
      </c>
      <c r="C189" s="11" t="str">
        <f t="shared" si="4"/>
        <v>June</v>
      </c>
      <c r="D189" s="5" t="s">
        <v>276</v>
      </c>
      <c r="E189" s="5" t="s">
        <v>31</v>
      </c>
      <c r="F189" s="5" t="s">
        <v>134</v>
      </c>
      <c r="G189" s="5" t="s">
        <v>27</v>
      </c>
      <c r="H189" s="5" t="s">
        <v>93</v>
      </c>
      <c r="I189" s="5" t="s">
        <v>94</v>
      </c>
      <c r="J189" s="5" t="s">
        <v>46</v>
      </c>
      <c r="K189" s="5">
        <v>8113</v>
      </c>
      <c r="L189" s="5">
        <v>944</v>
      </c>
      <c r="M189" s="6">
        <v>7658672</v>
      </c>
      <c r="N189" s="6">
        <v>7638976</v>
      </c>
      <c r="O189" s="6">
        <f t="shared" si="5"/>
        <v>19696</v>
      </c>
    </row>
    <row r="190" spans="1:15" ht="15.6" thickTop="1" thickBot="1" x14ac:dyDescent="0.35">
      <c r="A190" s="4">
        <v>189</v>
      </c>
      <c r="B190" s="12">
        <v>45448</v>
      </c>
      <c r="C190" s="11" t="str">
        <f t="shared" si="4"/>
        <v>June</v>
      </c>
      <c r="D190" s="5" t="s">
        <v>277</v>
      </c>
      <c r="E190" s="5" t="s">
        <v>31</v>
      </c>
      <c r="F190" s="5" t="s">
        <v>134</v>
      </c>
      <c r="G190" s="5" t="s">
        <v>19</v>
      </c>
      <c r="H190" s="5" t="s">
        <v>96</v>
      </c>
      <c r="I190" s="5" t="s">
        <v>21</v>
      </c>
      <c r="J190" s="5" t="s">
        <v>46</v>
      </c>
      <c r="K190" s="5">
        <v>4722</v>
      </c>
      <c r="L190" s="5">
        <v>609</v>
      </c>
      <c r="M190" s="6">
        <v>2875698</v>
      </c>
      <c r="N190" s="6">
        <v>2857720</v>
      </c>
      <c r="O190" s="6">
        <f t="shared" si="5"/>
        <v>17978</v>
      </c>
    </row>
    <row r="191" spans="1:15" ht="15.6" thickTop="1" thickBot="1" x14ac:dyDescent="0.35">
      <c r="A191" s="4">
        <v>190</v>
      </c>
      <c r="B191" s="12">
        <v>45451</v>
      </c>
      <c r="C191" s="11" t="str">
        <f t="shared" si="4"/>
        <v>June</v>
      </c>
      <c r="D191" s="5" t="s">
        <v>278</v>
      </c>
      <c r="E191" s="5" t="s">
        <v>31</v>
      </c>
      <c r="F191" s="5" t="s">
        <v>134</v>
      </c>
      <c r="G191" s="5" t="s">
        <v>14</v>
      </c>
      <c r="H191" s="5" t="s">
        <v>98</v>
      </c>
      <c r="I191" s="5" t="s">
        <v>99</v>
      </c>
      <c r="J191" s="5" t="s">
        <v>46</v>
      </c>
      <c r="K191" s="5">
        <v>7358</v>
      </c>
      <c r="L191" s="5">
        <v>993</v>
      </c>
      <c r="M191" s="6">
        <v>7306494</v>
      </c>
      <c r="N191" s="6">
        <v>7288695</v>
      </c>
      <c r="O191" s="6">
        <f t="shared" si="5"/>
        <v>17799</v>
      </c>
    </row>
    <row r="192" spans="1:15" ht="15.6" thickTop="1" thickBot="1" x14ac:dyDescent="0.35">
      <c r="A192" s="4">
        <v>191</v>
      </c>
      <c r="B192" s="12">
        <v>45454</v>
      </c>
      <c r="C192" s="11" t="str">
        <f t="shared" si="4"/>
        <v>June</v>
      </c>
      <c r="D192" s="5" t="s">
        <v>279</v>
      </c>
      <c r="E192" s="5" t="s">
        <v>31</v>
      </c>
      <c r="F192" s="5" t="s">
        <v>134</v>
      </c>
      <c r="G192" s="5" t="s">
        <v>14</v>
      </c>
      <c r="H192" s="5" t="s">
        <v>101</v>
      </c>
      <c r="I192" s="5" t="s">
        <v>102</v>
      </c>
      <c r="J192" s="5" t="s">
        <v>46</v>
      </c>
      <c r="K192" s="5">
        <v>2970</v>
      </c>
      <c r="L192" s="5">
        <v>725</v>
      </c>
      <c r="M192" s="6">
        <v>2153250</v>
      </c>
      <c r="N192" s="6">
        <v>2137476</v>
      </c>
      <c r="O192" s="6">
        <f t="shared" si="5"/>
        <v>15774</v>
      </c>
    </row>
    <row r="193" spans="1:15" ht="15.6" thickTop="1" thickBot="1" x14ac:dyDescent="0.35">
      <c r="A193" s="4">
        <v>192</v>
      </c>
      <c r="B193" s="12">
        <v>45456</v>
      </c>
      <c r="C193" s="11" t="str">
        <f t="shared" si="4"/>
        <v>June</v>
      </c>
      <c r="D193" s="5" t="s">
        <v>280</v>
      </c>
      <c r="E193" s="5" t="s">
        <v>31</v>
      </c>
      <c r="F193" s="5" t="s">
        <v>147</v>
      </c>
      <c r="G193" s="5" t="s">
        <v>104</v>
      </c>
      <c r="H193" s="5" t="s">
        <v>105</v>
      </c>
      <c r="I193" s="5" t="s">
        <v>106</v>
      </c>
      <c r="J193" s="5" t="s">
        <v>46</v>
      </c>
      <c r="K193" s="5">
        <v>1939</v>
      </c>
      <c r="L193" s="5">
        <v>537</v>
      </c>
      <c r="M193" s="6">
        <v>1041243</v>
      </c>
      <c r="N193" s="6">
        <v>1028415</v>
      </c>
      <c r="O193" s="6">
        <f t="shared" si="5"/>
        <v>12828</v>
      </c>
    </row>
    <row r="194" spans="1:15" ht="15.6" thickTop="1" thickBot="1" x14ac:dyDescent="0.35">
      <c r="A194" s="4">
        <v>193</v>
      </c>
      <c r="B194" s="12">
        <v>45458</v>
      </c>
      <c r="C194" s="11" t="str">
        <f t="shared" si="4"/>
        <v>June</v>
      </c>
      <c r="D194" s="5" t="s">
        <v>281</v>
      </c>
      <c r="E194" s="5" t="s">
        <v>31</v>
      </c>
      <c r="F194" s="5" t="s">
        <v>147</v>
      </c>
      <c r="G194" s="5" t="s">
        <v>14</v>
      </c>
      <c r="H194" s="5" t="s">
        <v>108</v>
      </c>
      <c r="I194" s="5" t="s">
        <v>109</v>
      </c>
      <c r="J194" s="5" t="s">
        <v>46</v>
      </c>
      <c r="K194" s="5">
        <v>5112</v>
      </c>
      <c r="L194" s="5">
        <v>787</v>
      </c>
      <c r="M194" s="6">
        <v>4023144</v>
      </c>
      <c r="N194" s="6">
        <v>4009070</v>
      </c>
      <c r="O194" s="6">
        <f t="shared" si="5"/>
        <v>14074</v>
      </c>
    </row>
    <row r="195" spans="1:15" ht="15.6" thickTop="1" thickBot="1" x14ac:dyDescent="0.35">
      <c r="A195" s="4">
        <v>194</v>
      </c>
      <c r="B195" s="12">
        <v>45460</v>
      </c>
      <c r="C195" s="11" t="str">
        <f t="shared" ref="C195:C258" si="6">TEXT(B195,"mmmm")</f>
        <v>June</v>
      </c>
      <c r="D195" s="5" t="s">
        <v>282</v>
      </c>
      <c r="E195" s="5" t="s">
        <v>31</v>
      </c>
      <c r="F195" s="5" t="s">
        <v>147</v>
      </c>
      <c r="G195" s="5" t="s">
        <v>57</v>
      </c>
      <c r="H195" s="5" t="s">
        <v>111</v>
      </c>
      <c r="I195" s="5" t="s">
        <v>112</v>
      </c>
      <c r="J195" s="5" t="s">
        <v>46</v>
      </c>
      <c r="K195" s="5">
        <v>6357</v>
      </c>
      <c r="L195" s="5">
        <v>935</v>
      </c>
      <c r="M195" s="6">
        <v>5943795</v>
      </c>
      <c r="N195" s="6">
        <v>5926704</v>
      </c>
      <c r="O195" s="6">
        <f t="shared" ref="O195:O258" si="7">M195-N195</f>
        <v>17091</v>
      </c>
    </row>
    <row r="196" spans="1:15" ht="15.6" thickTop="1" thickBot="1" x14ac:dyDescent="0.35">
      <c r="A196" s="4">
        <v>195</v>
      </c>
      <c r="B196" s="12">
        <v>45463</v>
      </c>
      <c r="C196" s="11" t="str">
        <f t="shared" si="6"/>
        <v>June</v>
      </c>
      <c r="D196" s="5" t="s">
        <v>283</v>
      </c>
      <c r="E196" s="5" t="s">
        <v>31</v>
      </c>
      <c r="F196" s="5" t="s">
        <v>147</v>
      </c>
      <c r="G196" s="5" t="s">
        <v>23</v>
      </c>
      <c r="H196" s="5" t="s">
        <v>114</v>
      </c>
      <c r="I196" s="5" t="s">
        <v>25</v>
      </c>
      <c r="J196" s="5" t="s">
        <v>46</v>
      </c>
      <c r="K196" s="5">
        <v>4535</v>
      </c>
      <c r="L196" s="5">
        <v>634</v>
      </c>
      <c r="M196" s="6">
        <v>2875190</v>
      </c>
      <c r="N196" s="6">
        <v>2862261</v>
      </c>
      <c r="O196" s="6">
        <f t="shared" si="7"/>
        <v>12929</v>
      </c>
    </row>
    <row r="197" spans="1:15" ht="15.6" thickTop="1" thickBot="1" x14ac:dyDescent="0.35">
      <c r="A197" s="4">
        <v>196</v>
      </c>
      <c r="B197" s="12">
        <v>45466</v>
      </c>
      <c r="C197" s="11" t="str">
        <f t="shared" si="6"/>
        <v>June</v>
      </c>
      <c r="D197" s="5" t="s">
        <v>284</v>
      </c>
      <c r="E197" s="5" t="s">
        <v>31</v>
      </c>
      <c r="F197" s="5" t="s">
        <v>147</v>
      </c>
      <c r="G197" s="5" t="s">
        <v>23</v>
      </c>
      <c r="H197" s="5" t="s">
        <v>24</v>
      </c>
      <c r="I197" s="5" t="s">
        <v>25</v>
      </c>
      <c r="J197" s="5" t="s">
        <v>16</v>
      </c>
      <c r="K197" s="5">
        <v>3944</v>
      </c>
      <c r="L197" s="5">
        <v>813</v>
      </c>
      <c r="M197" s="6">
        <v>3206472</v>
      </c>
      <c r="N197" s="6">
        <v>3191403</v>
      </c>
      <c r="O197" s="6">
        <f t="shared" si="7"/>
        <v>15069</v>
      </c>
    </row>
    <row r="198" spans="1:15" ht="15.6" thickTop="1" thickBot="1" x14ac:dyDescent="0.35">
      <c r="A198" s="4">
        <v>197</v>
      </c>
      <c r="B198" s="12">
        <v>45471</v>
      </c>
      <c r="C198" s="11" t="str">
        <f t="shared" si="6"/>
        <v>June</v>
      </c>
      <c r="D198" s="5" t="s">
        <v>285</v>
      </c>
      <c r="E198" s="5" t="s">
        <v>31</v>
      </c>
      <c r="F198" s="5" t="s">
        <v>147</v>
      </c>
      <c r="G198" s="5" t="s">
        <v>57</v>
      </c>
      <c r="H198" s="5" t="s">
        <v>118</v>
      </c>
      <c r="I198" s="5" t="s">
        <v>59</v>
      </c>
      <c r="J198" s="5" t="s">
        <v>16</v>
      </c>
      <c r="K198" s="5">
        <v>2920</v>
      </c>
      <c r="L198" s="5">
        <v>859</v>
      </c>
      <c r="M198" s="6">
        <v>2508280</v>
      </c>
      <c r="N198" s="6">
        <v>2497763</v>
      </c>
      <c r="O198" s="6">
        <f t="shared" si="7"/>
        <v>10517</v>
      </c>
    </row>
    <row r="199" spans="1:15" ht="15.6" thickTop="1" thickBot="1" x14ac:dyDescent="0.35">
      <c r="A199" s="4">
        <v>198</v>
      </c>
      <c r="B199" s="12">
        <v>45474</v>
      </c>
      <c r="C199" s="11" t="str">
        <f t="shared" si="6"/>
        <v>July</v>
      </c>
      <c r="D199" s="5" t="s">
        <v>286</v>
      </c>
      <c r="E199" s="5" t="s">
        <v>159</v>
      </c>
      <c r="F199" s="5" t="s">
        <v>179</v>
      </c>
      <c r="G199" s="5" t="s">
        <v>23</v>
      </c>
      <c r="H199" s="5" t="s">
        <v>120</v>
      </c>
      <c r="I199" s="5" t="s">
        <v>91</v>
      </c>
      <c r="J199" s="5" t="s">
        <v>16</v>
      </c>
      <c r="K199" s="5">
        <v>3074</v>
      </c>
      <c r="L199" s="5">
        <v>507</v>
      </c>
      <c r="M199" s="6">
        <v>1558518</v>
      </c>
      <c r="N199" s="6">
        <v>1540756</v>
      </c>
      <c r="O199" s="6">
        <f t="shared" si="7"/>
        <v>17762</v>
      </c>
    </row>
    <row r="200" spans="1:15" ht="15.6" thickTop="1" thickBot="1" x14ac:dyDescent="0.35">
      <c r="A200" s="4">
        <v>199</v>
      </c>
      <c r="B200" s="12">
        <v>45477</v>
      </c>
      <c r="C200" s="11" t="str">
        <f t="shared" si="6"/>
        <v>July</v>
      </c>
      <c r="D200" s="5" t="s">
        <v>287</v>
      </c>
      <c r="E200" s="5" t="s">
        <v>159</v>
      </c>
      <c r="F200" s="5" t="s">
        <v>179</v>
      </c>
      <c r="G200" s="5" t="s">
        <v>23</v>
      </c>
      <c r="H200" s="5" t="s">
        <v>122</v>
      </c>
      <c r="I200" s="5" t="s">
        <v>25</v>
      </c>
      <c r="J200" s="5" t="s">
        <v>16</v>
      </c>
      <c r="K200" s="5">
        <v>1791</v>
      </c>
      <c r="L200" s="5">
        <v>542</v>
      </c>
      <c r="M200" s="6">
        <v>970722</v>
      </c>
      <c r="N200" s="6">
        <v>950934</v>
      </c>
      <c r="O200" s="6">
        <f t="shared" si="7"/>
        <v>19788</v>
      </c>
    </row>
    <row r="201" spans="1:15" ht="15.6" thickTop="1" thickBot="1" x14ac:dyDescent="0.35">
      <c r="A201" s="4">
        <v>200</v>
      </c>
      <c r="B201" s="12">
        <v>45479</v>
      </c>
      <c r="C201" s="11" t="str">
        <f t="shared" si="6"/>
        <v>July</v>
      </c>
      <c r="D201" s="5" t="s">
        <v>288</v>
      </c>
      <c r="E201" s="5" t="s">
        <v>159</v>
      </c>
      <c r="F201" s="5" t="s">
        <v>179</v>
      </c>
      <c r="G201" s="5" t="s">
        <v>27</v>
      </c>
      <c r="H201" s="5" t="s">
        <v>124</v>
      </c>
      <c r="I201" s="5" t="s">
        <v>34</v>
      </c>
      <c r="J201" s="5" t="s">
        <v>16</v>
      </c>
      <c r="K201" s="5">
        <v>4740</v>
      </c>
      <c r="L201" s="5">
        <v>578</v>
      </c>
      <c r="M201" s="6">
        <v>2739720</v>
      </c>
      <c r="N201" s="6">
        <v>2724840</v>
      </c>
      <c r="O201" s="6">
        <f t="shared" si="7"/>
        <v>14880</v>
      </c>
    </row>
    <row r="202" spans="1:15" ht="15.6" thickTop="1" thickBot="1" x14ac:dyDescent="0.35">
      <c r="A202" s="4">
        <v>201</v>
      </c>
      <c r="B202" s="12">
        <v>45483</v>
      </c>
      <c r="C202" s="11" t="str">
        <f t="shared" si="6"/>
        <v>July</v>
      </c>
      <c r="D202" s="5" t="s">
        <v>289</v>
      </c>
      <c r="E202" s="5" t="s">
        <v>159</v>
      </c>
      <c r="F202" s="5" t="s">
        <v>179</v>
      </c>
      <c r="G202" s="5" t="s">
        <v>23</v>
      </c>
      <c r="H202" s="5" t="s">
        <v>72</v>
      </c>
      <c r="I202" s="5" t="s">
        <v>73</v>
      </c>
      <c r="J202" s="5" t="s">
        <v>46</v>
      </c>
      <c r="K202" s="5">
        <v>2665</v>
      </c>
      <c r="L202" s="5">
        <v>895</v>
      </c>
      <c r="M202" s="6">
        <v>2385175</v>
      </c>
      <c r="N202" s="6">
        <v>2369465</v>
      </c>
      <c r="O202" s="6">
        <f t="shared" si="7"/>
        <v>15710</v>
      </c>
    </row>
    <row r="203" spans="1:15" ht="15.6" thickTop="1" thickBot="1" x14ac:dyDescent="0.35">
      <c r="A203" s="4">
        <v>202</v>
      </c>
      <c r="B203" s="12">
        <v>45487</v>
      </c>
      <c r="C203" s="11" t="str">
        <f t="shared" si="6"/>
        <v>July</v>
      </c>
      <c r="D203" s="5" t="s">
        <v>290</v>
      </c>
      <c r="E203" s="5" t="s">
        <v>159</v>
      </c>
      <c r="F203" s="5" t="s">
        <v>179</v>
      </c>
      <c r="G203" s="5" t="s">
        <v>19</v>
      </c>
      <c r="H203" s="5" t="s">
        <v>75</v>
      </c>
      <c r="I203" s="5" t="s">
        <v>40</v>
      </c>
      <c r="J203" s="5" t="s">
        <v>46</v>
      </c>
      <c r="K203" s="5">
        <v>5636</v>
      </c>
      <c r="L203" s="5">
        <v>565</v>
      </c>
      <c r="M203" s="6">
        <v>3184340</v>
      </c>
      <c r="N203" s="6">
        <v>3173911</v>
      </c>
      <c r="O203" s="6">
        <f t="shared" si="7"/>
        <v>10429</v>
      </c>
    </row>
    <row r="204" spans="1:15" ht="15.6" thickTop="1" thickBot="1" x14ac:dyDescent="0.35">
      <c r="A204" s="4">
        <v>203</v>
      </c>
      <c r="B204" s="12">
        <v>45490</v>
      </c>
      <c r="C204" s="11" t="str">
        <f t="shared" si="6"/>
        <v>July</v>
      </c>
      <c r="D204" s="5" t="s">
        <v>291</v>
      </c>
      <c r="E204" s="5" t="s">
        <v>159</v>
      </c>
      <c r="F204" s="5" t="s">
        <v>179</v>
      </c>
      <c r="G204" s="5" t="s">
        <v>14</v>
      </c>
      <c r="H204" s="5" t="s">
        <v>77</v>
      </c>
      <c r="I204" s="5" t="s">
        <v>51</v>
      </c>
      <c r="J204" s="5" t="s">
        <v>46</v>
      </c>
      <c r="K204" s="5">
        <v>5928</v>
      </c>
      <c r="L204" s="5">
        <v>512</v>
      </c>
      <c r="M204" s="6">
        <v>3035136</v>
      </c>
      <c r="N204" s="6">
        <v>3015562</v>
      </c>
      <c r="O204" s="6">
        <f t="shared" si="7"/>
        <v>19574</v>
      </c>
    </row>
    <row r="205" spans="1:15" ht="15.6" thickTop="1" thickBot="1" x14ac:dyDescent="0.35">
      <c r="A205" s="4">
        <v>204</v>
      </c>
      <c r="B205" s="12">
        <v>45494</v>
      </c>
      <c r="C205" s="11" t="str">
        <f t="shared" si="6"/>
        <v>July</v>
      </c>
      <c r="D205" s="5" t="s">
        <v>292</v>
      </c>
      <c r="E205" s="5" t="s">
        <v>159</v>
      </c>
      <c r="F205" s="5" t="s">
        <v>179</v>
      </c>
      <c r="G205" s="5" t="s">
        <v>14</v>
      </c>
      <c r="H205" s="5" t="s">
        <v>80</v>
      </c>
      <c r="I205" s="5" t="s">
        <v>51</v>
      </c>
      <c r="J205" s="5" t="s">
        <v>46</v>
      </c>
      <c r="K205" s="5">
        <v>9498</v>
      </c>
      <c r="L205" s="5">
        <v>570</v>
      </c>
      <c r="M205" s="6">
        <v>5413860</v>
      </c>
      <c r="N205" s="6">
        <v>5395490</v>
      </c>
      <c r="O205" s="6">
        <f t="shared" si="7"/>
        <v>18370</v>
      </c>
    </row>
    <row r="206" spans="1:15" ht="15.6" thickTop="1" thickBot="1" x14ac:dyDescent="0.35">
      <c r="A206" s="4">
        <v>205</v>
      </c>
      <c r="B206" s="12">
        <v>45506</v>
      </c>
      <c r="C206" s="11" t="str">
        <f t="shared" si="6"/>
        <v>August</v>
      </c>
      <c r="D206" s="5" t="s">
        <v>293</v>
      </c>
      <c r="E206" s="5" t="s">
        <v>159</v>
      </c>
      <c r="F206" s="5" t="s">
        <v>179</v>
      </c>
      <c r="G206" s="5" t="s">
        <v>27</v>
      </c>
      <c r="H206" s="5" t="s">
        <v>82</v>
      </c>
      <c r="I206" s="5" t="s">
        <v>29</v>
      </c>
      <c r="J206" s="5" t="s">
        <v>46</v>
      </c>
      <c r="K206" s="5">
        <v>9558</v>
      </c>
      <c r="L206" s="5">
        <v>617</v>
      </c>
      <c r="M206" s="6">
        <v>5897286</v>
      </c>
      <c r="N206" s="6">
        <v>5882626</v>
      </c>
      <c r="O206" s="6">
        <f t="shared" si="7"/>
        <v>14660</v>
      </c>
    </row>
    <row r="207" spans="1:15" ht="15.6" thickTop="1" thickBot="1" x14ac:dyDescent="0.35">
      <c r="A207" s="4">
        <v>206</v>
      </c>
      <c r="B207" s="12">
        <v>45541</v>
      </c>
      <c r="C207" s="11" t="str">
        <f t="shared" si="6"/>
        <v>September</v>
      </c>
      <c r="D207" s="5" t="s">
        <v>294</v>
      </c>
      <c r="E207" s="5" t="s">
        <v>12</v>
      </c>
      <c r="F207" s="5" t="s">
        <v>13</v>
      </c>
      <c r="G207" s="5" t="s">
        <v>27</v>
      </c>
      <c r="H207" s="5" t="s">
        <v>84</v>
      </c>
      <c r="I207" s="5" t="s">
        <v>29</v>
      </c>
      <c r="J207" s="5" t="s">
        <v>46</v>
      </c>
      <c r="K207" s="5">
        <v>2428</v>
      </c>
      <c r="L207" s="5">
        <v>662</v>
      </c>
      <c r="M207" s="6">
        <v>1607336</v>
      </c>
      <c r="N207" s="6">
        <v>1591649</v>
      </c>
      <c r="O207" s="6">
        <f t="shared" si="7"/>
        <v>15687</v>
      </c>
    </row>
    <row r="208" spans="1:15" ht="15.6" thickTop="1" thickBot="1" x14ac:dyDescent="0.35">
      <c r="A208" s="4">
        <v>207</v>
      </c>
      <c r="B208" s="12">
        <v>45545</v>
      </c>
      <c r="C208" s="11" t="str">
        <f t="shared" si="6"/>
        <v>September</v>
      </c>
      <c r="D208" s="5" t="s">
        <v>295</v>
      </c>
      <c r="E208" s="5" t="s">
        <v>12</v>
      </c>
      <c r="F208" s="5" t="s">
        <v>18</v>
      </c>
      <c r="G208" s="5" t="s">
        <v>14</v>
      </c>
      <c r="H208" s="5" t="s">
        <v>86</v>
      </c>
      <c r="I208" s="5" t="s">
        <v>45</v>
      </c>
      <c r="J208" s="5" t="s">
        <v>46</v>
      </c>
      <c r="K208" s="5">
        <v>7389</v>
      </c>
      <c r="L208" s="5">
        <v>997</v>
      </c>
      <c r="M208" s="6">
        <v>7366833</v>
      </c>
      <c r="N208" s="6">
        <v>7347088</v>
      </c>
      <c r="O208" s="6">
        <f t="shared" si="7"/>
        <v>19745</v>
      </c>
    </row>
    <row r="209" spans="1:15" ht="15.6" thickTop="1" thickBot="1" x14ac:dyDescent="0.35">
      <c r="A209" s="4">
        <v>208</v>
      </c>
      <c r="B209" s="12">
        <v>45548</v>
      </c>
      <c r="C209" s="11" t="str">
        <f t="shared" si="6"/>
        <v>September</v>
      </c>
      <c r="D209" s="5" t="s">
        <v>296</v>
      </c>
      <c r="E209" s="5" t="s">
        <v>12</v>
      </c>
      <c r="F209" s="5" t="s">
        <v>18</v>
      </c>
      <c r="G209" s="5" t="s">
        <v>14</v>
      </c>
      <c r="H209" s="5" t="s">
        <v>88</v>
      </c>
      <c r="I209" s="5" t="s">
        <v>51</v>
      </c>
      <c r="J209" s="5" t="s">
        <v>16</v>
      </c>
      <c r="K209" s="5">
        <v>3703</v>
      </c>
      <c r="L209" s="5">
        <v>568</v>
      </c>
      <c r="M209" s="6">
        <v>2103304</v>
      </c>
      <c r="N209" s="6">
        <v>2083722</v>
      </c>
      <c r="O209" s="6">
        <f t="shared" si="7"/>
        <v>19582</v>
      </c>
    </row>
    <row r="210" spans="1:15" ht="15.6" thickTop="1" thickBot="1" x14ac:dyDescent="0.35">
      <c r="A210" s="4">
        <v>209</v>
      </c>
      <c r="B210" s="12">
        <v>45551</v>
      </c>
      <c r="C210" s="11" t="str">
        <f t="shared" si="6"/>
        <v>September</v>
      </c>
      <c r="D210" s="5" t="s">
        <v>297</v>
      </c>
      <c r="E210" s="5" t="s">
        <v>12</v>
      </c>
      <c r="F210" s="5" t="s">
        <v>18</v>
      </c>
      <c r="G210" s="5" t="s">
        <v>23</v>
      </c>
      <c r="H210" s="5" t="s">
        <v>90</v>
      </c>
      <c r="I210" s="5" t="s">
        <v>91</v>
      </c>
      <c r="J210" s="5" t="s">
        <v>16</v>
      </c>
      <c r="K210" s="5">
        <v>6133</v>
      </c>
      <c r="L210" s="5">
        <v>505</v>
      </c>
      <c r="M210" s="6">
        <v>3097165</v>
      </c>
      <c r="N210" s="6">
        <v>3079250</v>
      </c>
      <c r="O210" s="6">
        <f t="shared" si="7"/>
        <v>17915</v>
      </c>
    </row>
    <row r="211" spans="1:15" ht="15.6" thickTop="1" thickBot="1" x14ac:dyDescent="0.35">
      <c r="A211" s="4">
        <v>210</v>
      </c>
      <c r="B211" s="12">
        <v>45554</v>
      </c>
      <c r="C211" s="11" t="str">
        <f t="shared" si="6"/>
        <v>September</v>
      </c>
      <c r="D211" s="5" t="s">
        <v>298</v>
      </c>
      <c r="E211" s="5" t="s">
        <v>31</v>
      </c>
      <c r="F211" s="5" t="s">
        <v>32</v>
      </c>
      <c r="G211" s="5" t="s">
        <v>27</v>
      </c>
      <c r="H211" s="5" t="s">
        <v>93</v>
      </c>
      <c r="I211" s="5" t="s">
        <v>94</v>
      </c>
      <c r="J211" s="5" t="s">
        <v>16</v>
      </c>
      <c r="K211" s="5">
        <v>7380</v>
      </c>
      <c r="L211" s="5">
        <v>794</v>
      </c>
      <c r="M211" s="6">
        <v>5859720</v>
      </c>
      <c r="N211" s="6">
        <v>5845640</v>
      </c>
      <c r="O211" s="6">
        <f t="shared" si="7"/>
        <v>14080</v>
      </c>
    </row>
    <row r="212" spans="1:15" ht="15.6" thickTop="1" thickBot="1" x14ac:dyDescent="0.35">
      <c r="A212" s="4">
        <v>211</v>
      </c>
      <c r="B212" s="12">
        <v>45558</v>
      </c>
      <c r="C212" s="11" t="str">
        <f t="shared" si="6"/>
        <v>September</v>
      </c>
      <c r="D212" s="5" t="s">
        <v>299</v>
      </c>
      <c r="E212" s="5" t="s">
        <v>31</v>
      </c>
      <c r="F212" s="5" t="s">
        <v>32</v>
      </c>
      <c r="G212" s="5" t="s">
        <v>19</v>
      </c>
      <c r="H212" s="5" t="s">
        <v>96</v>
      </c>
      <c r="I212" s="5" t="s">
        <v>21</v>
      </c>
      <c r="J212" s="5" t="s">
        <v>16</v>
      </c>
      <c r="K212" s="5">
        <v>2440</v>
      </c>
      <c r="L212" s="5">
        <v>815</v>
      </c>
      <c r="M212" s="6">
        <v>1988600</v>
      </c>
      <c r="N212" s="6">
        <v>1971627</v>
      </c>
      <c r="O212" s="6">
        <f t="shared" si="7"/>
        <v>16973</v>
      </c>
    </row>
    <row r="213" spans="1:15" ht="15.6" thickTop="1" thickBot="1" x14ac:dyDescent="0.35">
      <c r="A213" s="4">
        <v>212</v>
      </c>
      <c r="B213" s="12">
        <v>45562</v>
      </c>
      <c r="C213" s="11" t="str">
        <f t="shared" si="6"/>
        <v>September</v>
      </c>
      <c r="D213" s="5" t="s">
        <v>300</v>
      </c>
      <c r="E213" s="5" t="s">
        <v>31</v>
      </c>
      <c r="F213" s="5" t="s">
        <v>32</v>
      </c>
      <c r="G213" s="5" t="s">
        <v>14</v>
      </c>
      <c r="H213" s="5" t="s">
        <v>98</v>
      </c>
      <c r="I213" s="5" t="s">
        <v>99</v>
      </c>
      <c r="J213" s="5" t="s">
        <v>46</v>
      </c>
      <c r="K213" s="5">
        <v>4296</v>
      </c>
      <c r="L213" s="5">
        <v>960</v>
      </c>
      <c r="M213" s="6">
        <v>4124160</v>
      </c>
      <c r="N213" s="6">
        <v>4112360</v>
      </c>
      <c r="O213" s="6">
        <f t="shared" si="7"/>
        <v>11800</v>
      </c>
    </row>
    <row r="214" spans="1:15" ht="15.6" thickTop="1" thickBot="1" x14ac:dyDescent="0.35">
      <c r="A214" s="4">
        <v>213</v>
      </c>
      <c r="B214" s="12">
        <v>45565</v>
      </c>
      <c r="C214" s="11" t="str">
        <f t="shared" si="6"/>
        <v>September</v>
      </c>
      <c r="D214" s="5" t="s">
        <v>301</v>
      </c>
      <c r="E214" s="5" t="s">
        <v>31</v>
      </c>
      <c r="F214" s="5" t="s">
        <v>32</v>
      </c>
      <c r="G214" s="5" t="s">
        <v>14</v>
      </c>
      <c r="H214" s="5" t="s">
        <v>101</v>
      </c>
      <c r="I214" s="5" t="s">
        <v>102</v>
      </c>
      <c r="J214" s="5" t="s">
        <v>16</v>
      </c>
      <c r="K214" s="5">
        <v>9072</v>
      </c>
      <c r="L214" s="5">
        <v>735</v>
      </c>
      <c r="M214" s="6">
        <v>6667920</v>
      </c>
      <c r="N214" s="6">
        <v>6650142</v>
      </c>
      <c r="O214" s="6">
        <f t="shared" si="7"/>
        <v>17778</v>
      </c>
    </row>
    <row r="215" spans="1:15" ht="15.6" thickTop="1" thickBot="1" x14ac:dyDescent="0.35">
      <c r="A215" s="4">
        <v>214</v>
      </c>
      <c r="B215" s="12">
        <v>45567</v>
      </c>
      <c r="C215" s="11" t="str">
        <f t="shared" si="6"/>
        <v>October</v>
      </c>
      <c r="D215" s="5" t="s">
        <v>302</v>
      </c>
      <c r="E215" s="5" t="s">
        <v>12</v>
      </c>
      <c r="F215" s="5" t="s">
        <v>13</v>
      </c>
      <c r="G215" s="5" t="s">
        <v>104</v>
      </c>
      <c r="H215" s="5" t="s">
        <v>105</v>
      </c>
      <c r="I215" s="5" t="s">
        <v>106</v>
      </c>
      <c r="J215" s="5" t="s">
        <v>16</v>
      </c>
      <c r="K215" s="5">
        <v>6331</v>
      </c>
      <c r="L215" s="5">
        <v>573</v>
      </c>
      <c r="M215" s="6">
        <v>3627663</v>
      </c>
      <c r="N215" s="6">
        <v>3607725</v>
      </c>
      <c r="O215" s="6">
        <f t="shared" si="7"/>
        <v>19938</v>
      </c>
    </row>
    <row r="216" spans="1:15" ht="15.6" thickTop="1" thickBot="1" x14ac:dyDescent="0.35">
      <c r="A216" s="4">
        <v>215</v>
      </c>
      <c r="B216" s="12">
        <v>45570</v>
      </c>
      <c r="C216" s="11" t="str">
        <f t="shared" si="6"/>
        <v>October</v>
      </c>
      <c r="D216" s="5" t="s">
        <v>303</v>
      </c>
      <c r="E216" s="5" t="s">
        <v>12</v>
      </c>
      <c r="F216" s="5" t="s">
        <v>13</v>
      </c>
      <c r="G216" s="5" t="s">
        <v>14</v>
      </c>
      <c r="H216" s="5" t="s">
        <v>108</v>
      </c>
      <c r="I216" s="5" t="s">
        <v>109</v>
      </c>
      <c r="J216" s="5" t="s">
        <v>16</v>
      </c>
      <c r="K216" s="5">
        <v>5511</v>
      </c>
      <c r="L216" s="5">
        <v>832</v>
      </c>
      <c r="M216" s="6">
        <v>4585152</v>
      </c>
      <c r="N216" s="6">
        <v>4569182</v>
      </c>
      <c r="O216" s="6">
        <f t="shared" si="7"/>
        <v>15970</v>
      </c>
    </row>
    <row r="217" spans="1:15" ht="15.6" thickTop="1" thickBot="1" x14ac:dyDescent="0.35">
      <c r="A217" s="4">
        <v>216</v>
      </c>
      <c r="B217" s="12">
        <v>45573</v>
      </c>
      <c r="C217" s="11" t="str">
        <f t="shared" si="6"/>
        <v>October</v>
      </c>
      <c r="D217" s="5" t="s">
        <v>304</v>
      </c>
      <c r="E217" s="5" t="s">
        <v>12</v>
      </c>
      <c r="F217" s="5" t="s">
        <v>13</v>
      </c>
      <c r="G217" s="5" t="s">
        <v>57</v>
      </c>
      <c r="H217" s="5" t="s">
        <v>111</v>
      </c>
      <c r="I217" s="5" t="s">
        <v>112</v>
      </c>
      <c r="J217" s="5" t="s">
        <v>16</v>
      </c>
      <c r="K217" s="5">
        <v>7070</v>
      </c>
      <c r="L217" s="5">
        <v>896</v>
      </c>
      <c r="M217" s="6">
        <v>6334720</v>
      </c>
      <c r="N217" s="6">
        <v>6323394</v>
      </c>
      <c r="O217" s="6">
        <f t="shared" si="7"/>
        <v>11326</v>
      </c>
    </row>
    <row r="218" spans="1:15" ht="15.6" thickTop="1" thickBot="1" x14ac:dyDescent="0.35">
      <c r="A218" s="4">
        <v>217</v>
      </c>
      <c r="B218" s="12">
        <v>45576</v>
      </c>
      <c r="C218" s="11" t="str">
        <f t="shared" si="6"/>
        <v>October</v>
      </c>
      <c r="D218" s="5" t="s">
        <v>305</v>
      </c>
      <c r="E218" s="5" t="s">
        <v>12</v>
      </c>
      <c r="F218" s="5" t="s">
        <v>13</v>
      </c>
      <c r="G218" s="5" t="s">
        <v>23</v>
      </c>
      <c r="H218" s="5" t="s">
        <v>114</v>
      </c>
      <c r="I218" s="5" t="s">
        <v>25</v>
      </c>
      <c r="J218" s="5" t="s">
        <v>46</v>
      </c>
      <c r="K218" s="5">
        <v>4761</v>
      </c>
      <c r="L218" s="5">
        <v>819</v>
      </c>
      <c r="M218" s="6">
        <v>3899259</v>
      </c>
      <c r="N218" s="6">
        <v>3883538</v>
      </c>
      <c r="O218" s="6">
        <f t="shared" si="7"/>
        <v>15721</v>
      </c>
    </row>
    <row r="219" spans="1:15" ht="15.6" thickTop="1" thickBot="1" x14ac:dyDescent="0.35">
      <c r="A219" s="4">
        <v>218</v>
      </c>
      <c r="B219" s="12">
        <v>45579</v>
      </c>
      <c r="C219" s="11" t="str">
        <f t="shared" si="6"/>
        <v>October</v>
      </c>
      <c r="D219" s="5" t="s">
        <v>306</v>
      </c>
      <c r="E219" s="5" t="s">
        <v>12</v>
      </c>
      <c r="F219" s="5" t="s">
        <v>13</v>
      </c>
      <c r="G219" s="5" t="s">
        <v>23</v>
      </c>
      <c r="H219" s="5" t="s">
        <v>24</v>
      </c>
      <c r="I219" s="5" t="s">
        <v>25</v>
      </c>
      <c r="J219" s="5" t="s">
        <v>46</v>
      </c>
      <c r="K219" s="5">
        <v>8127</v>
      </c>
      <c r="L219" s="5">
        <v>956</v>
      </c>
      <c r="M219" s="6">
        <v>7769412</v>
      </c>
      <c r="N219" s="6">
        <v>7750332</v>
      </c>
      <c r="O219" s="6">
        <f t="shared" si="7"/>
        <v>19080</v>
      </c>
    </row>
    <row r="220" spans="1:15" ht="15.6" thickTop="1" thickBot="1" x14ac:dyDescent="0.35">
      <c r="A220" s="4">
        <v>219</v>
      </c>
      <c r="B220" s="12">
        <v>45580</v>
      </c>
      <c r="C220" s="11" t="str">
        <f t="shared" si="6"/>
        <v>October</v>
      </c>
      <c r="D220" s="5" t="s">
        <v>307</v>
      </c>
      <c r="E220" s="5" t="s">
        <v>12</v>
      </c>
      <c r="F220" s="5" t="s">
        <v>13</v>
      </c>
      <c r="G220" s="5" t="s">
        <v>57</v>
      </c>
      <c r="H220" s="5" t="s">
        <v>118</v>
      </c>
      <c r="I220" s="5" t="s">
        <v>59</v>
      </c>
      <c r="J220" s="5" t="s">
        <v>46</v>
      </c>
      <c r="K220" s="5">
        <v>7794</v>
      </c>
      <c r="L220" s="5">
        <v>527</v>
      </c>
      <c r="M220" s="6">
        <v>4107438</v>
      </c>
      <c r="N220" s="6">
        <v>4097344</v>
      </c>
      <c r="O220" s="6">
        <f t="shared" si="7"/>
        <v>10094</v>
      </c>
    </row>
    <row r="221" spans="1:15" ht="15.6" thickTop="1" thickBot="1" x14ac:dyDescent="0.35">
      <c r="A221" s="4">
        <v>220</v>
      </c>
      <c r="B221" s="12">
        <v>45386</v>
      </c>
      <c r="C221" s="11" t="str">
        <f t="shared" si="6"/>
        <v>April</v>
      </c>
      <c r="D221" s="5" t="s">
        <v>308</v>
      </c>
      <c r="E221" s="5" t="s">
        <v>31</v>
      </c>
      <c r="F221" s="5" t="s">
        <v>61</v>
      </c>
      <c r="G221" s="5" t="s">
        <v>23</v>
      </c>
      <c r="H221" s="5" t="s">
        <v>120</v>
      </c>
      <c r="I221" s="5" t="s">
        <v>91</v>
      </c>
      <c r="J221" s="5" t="s">
        <v>46</v>
      </c>
      <c r="K221" s="5">
        <v>7427</v>
      </c>
      <c r="L221" s="5">
        <v>604</v>
      </c>
      <c r="M221" s="6">
        <v>4485908</v>
      </c>
      <c r="N221" s="6">
        <v>4470765</v>
      </c>
      <c r="O221" s="6">
        <f t="shared" si="7"/>
        <v>15143</v>
      </c>
    </row>
    <row r="222" spans="1:15" ht="15.6" thickTop="1" thickBot="1" x14ac:dyDescent="0.35">
      <c r="A222" s="4">
        <v>221</v>
      </c>
      <c r="B222" s="12">
        <v>45389</v>
      </c>
      <c r="C222" s="11" t="str">
        <f t="shared" si="6"/>
        <v>April</v>
      </c>
      <c r="D222" s="5" t="s">
        <v>309</v>
      </c>
      <c r="E222" s="5" t="s">
        <v>31</v>
      </c>
      <c r="F222" s="5" t="s">
        <v>61</v>
      </c>
      <c r="G222" s="5" t="s">
        <v>23</v>
      </c>
      <c r="H222" s="5" t="s">
        <v>122</v>
      </c>
      <c r="I222" s="5" t="s">
        <v>25</v>
      </c>
      <c r="J222" s="5" t="s">
        <v>46</v>
      </c>
      <c r="K222" s="5">
        <v>1929</v>
      </c>
      <c r="L222" s="5">
        <v>567</v>
      </c>
      <c r="M222" s="6">
        <v>1093743</v>
      </c>
      <c r="N222" s="6">
        <v>1081863</v>
      </c>
      <c r="O222" s="6">
        <f t="shared" si="7"/>
        <v>11880</v>
      </c>
    </row>
    <row r="223" spans="1:15" ht="15.6" thickTop="1" thickBot="1" x14ac:dyDescent="0.35">
      <c r="A223" s="4">
        <v>222</v>
      </c>
      <c r="B223" s="12">
        <v>45391</v>
      </c>
      <c r="C223" s="11" t="str">
        <f t="shared" si="6"/>
        <v>April</v>
      </c>
      <c r="D223" s="5" t="s">
        <v>310</v>
      </c>
      <c r="E223" s="5" t="s">
        <v>31</v>
      </c>
      <c r="F223" s="5" t="s">
        <v>61</v>
      </c>
      <c r="G223" s="5" t="s">
        <v>27</v>
      </c>
      <c r="H223" s="5" t="s">
        <v>124</v>
      </c>
      <c r="I223" s="5" t="s">
        <v>34</v>
      </c>
      <c r="J223" s="5" t="s">
        <v>46</v>
      </c>
      <c r="K223" s="5">
        <v>5142</v>
      </c>
      <c r="L223" s="5">
        <v>514</v>
      </c>
      <c r="M223" s="6">
        <v>2642988</v>
      </c>
      <c r="N223" s="6">
        <v>2624634</v>
      </c>
      <c r="O223" s="6">
        <f t="shared" si="7"/>
        <v>18354</v>
      </c>
    </row>
    <row r="224" spans="1:15" ht="15.6" thickTop="1" thickBot="1" x14ac:dyDescent="0.35">
      <c r="A224" s="4">
        <v>223</v>
      </c>
      <c r="B224" s="12">
        <v>45463</v>
      </c>
      <c r="C224" s="11" t="str">
        <f t="shared" si="6"/>
        <v>June</v>
      </c>
      <c r="D224" s="5" t="s">
        <v>311</v>
      </c>
      <c r="E224" s="5" t="s">
        <v>31</v>
      </c>
      <c r="F224" s="5" t="s">
        <v>61</v>
      </c>
      <c r="G224" s="5" t="s">
        <v>14</v>
      </c>
      <c r="H224" s="5" t="s">
        <v>15</v>
      </c>
      <c r="I224" s="5" t="s">
        <v>15</v>
      </c>
      <c r="J224" s="5" t="s">
        <v>46</v>
      </c>
      <c r="K224" s="5">
        <v>6102</v>
      </c>
      <c r="L224" s="5">
        <v>990</v>
      </c>
      <c r="M224" s="6">
        <v>6040980</v>
      </c>
      <c r="N224" s="6">
        <v>6025568</v>
      </c>
      <c r="O224" s="6">
        <f t="shared" si="7"/>
        <v>15412</v>
      </c>
    </row>
    <row r="225" spans="1:15" ht="15.6" thickTop="1" thickBot="1" x14ac:dyDescent="0.35">
      <c r="A225" s="4">
        <v>224</v>
      </c>
      <c r="B225" s="12">
        <v>45466</v>
      </c>
      <c r="C225" s="11" t="str">
        <f t="shared" si="6"/>
        <v>June</v>
      </c>
      <c r="D225" s="5" t="s">
        <v>312</v>
      </c>
      <c r="E225" s="5" t="s">
        <v>31</v>
      </c>
      <c r="F225" s="5" t="s">
        <v>61</v>
      </c>
      <c r="G225" s="5" t="s">
        <v>19</v>
      </c>
      <c r="H225" s="5" t="s">
        <v>20</v>
      </c>
      <c r="I225" s="5" t="s">
        <v>21</v>
      </c>
      <c r="J225" s="5" t="s">
        <v>46</v>
      </c>
      <c r="K225" s="5">
        <v>8613</v>
      </c>
      <c r="L225" s="5">
        <v>796</v>
      </c>
      <c r="M225" s="6">
        <v>6855948</v>
      </c>
      <c r="N225" s="6">
        <v>6842320</v>
      </c>
      <c r="O225" s="6">
        <f t="shared" si="7"/>
        <v>13628</v>
      </c>
    </row>
    <row r="226" spans="1:15" ht="15.6" thickTop="1" thickBot="1" x14ac:dyDescent="0.35">
      <c r="A226" s="4">
        <v>225</v>
      </c>
      <c r="B226" s="12">
        <v>45471</v>
      </c>
      <c r="C226" s="11" t="str">
        <f t="shared" si="6"/>
        <v>June</v>
      </c>
      <c r="D226" s="5" t="s">
        <v>313</v>
      </c>
      <c r="E226" s="5" t="s">
        <v>31</v>
      </c>
      <c r="F226" s="5" t="s">
        <v>61</v>
      </c>
      <c r="G226" s="5" t="s">
        <v>23</v>
      </c>
      <c r="H226" s="5" t="s">
        <v>24</v>
      </c>
      <c r="I226" s="5" t="s">
        <v>25</v>
      </c>
      <c r="J226" s="5" t="s">
        <v>46</v>
      </c>
      <c r="K226" s="5">
        <v>1735</v>
      </c>
      <c r="L226" s="5">
        <v>717</v>
      </c>
      <c r="M226" s="6">
        <v>1243995</v>
      </c>
      <c r="N226" s="6">
        <v>1224453</v>
      </c>
      <c r="O226" s="6">
        <f t="shared" si="7"/>
        <v>19542</v>
      </c>
    </row>
    <row r="227" spans="1:15" ht="15.6" thickTop="1" thickBot="1" x14ac:dyDescent="0.35">
      <c r="A227" s="4">
        <v>226</v>
      </c>
      <c r="B227" s="12">
        <v>45474</v>
      </c>
      <c r="C227" s="11" t="str">
        <f t="shared" si="6"/>
        <v>July</v>
      </c>
      <c r="D227" s="5" t="s">
        <v>314</v>
      </c>
      <c r="E227" s="5" t="s">
        <v>31</v>
      </c>
      <c r="F227" s="5" t="s">
        <v>61</v>
      </c>
      <c r="G227" s="5" t="s">
        <v>27</v>
      </c>
      <c r="H227" s="5" t="s">
        <v>28</v>
      </c>
      <c r="I227" s="5" t="s">
        <v>29</v>
      </c>
      <c r="J227" s="5" t="s">
        <v>46</v>
      </c>
      <c r="K227" s="5">
        <v>4013</v>
      </c>
      <c r="L227" s="5">
        <v>818</v>
      </c>
      <c r="M227" s="6">
        <v>3282634</v>
      </c>
      <c r="N227" s="6">
        <v>3265068</v>
      </c>
      <c r="O227" s="6">
        <f t="shared" si="7"/>
        <v>17566</v>
      </c>
    </row>
    <row r="228" spans="1:15" ht="15.6" thickTop="1" thickBot="1" x14ac:dyDescent="0.35">
      <c r="A228" s="4">
        <v>227</v>
      </c>
      <c r="B228" s="12">
        <v>45477</v>
      </c>
      <c r="C228" s="11" t="str">
        <f t="shared" si="6"/>
        <v>July</v>
      </c>
      <c r="D228" s="5" t="s">
        <v>315</v>
      </c>
      <c r="E228" s="5" t="s">
        <v>12</v>
      </c>
      <c r="F228" s="5" t="s">
        <v>79</v>
      </c>
      <c r="G228" s="5" t="s">
        <v>27</v>
      </c>
      <c r="H228" s="5" t="s">
        <v>33</v>
      </c>
      <c r="I228" s="5" t="s">
        <v>34</v>
      </c>
      <c r="J228" s="5" t="s">
        <v>16</v>
      </c>
      <c r="K228" s="5">
        <v>1882</v>
      </c>
      <c r="L228" s="5">
        <v>560</v>
      </c>
      <c r="M228" s="6">
        <v>1053920</v>
      </c>
      <c r="N228" s="6">
        <v>1036933</v>
      </c>
      <c r="O228" s="6">
        <f t="shared" si="7"/>
        <v>16987</v>
      </c>
    </row>
    <row r="229" spans="1:15" ht="15.6" thickTop="1" thickBot="1" x14ac:dyDescent="0.35">
      <c r="A229" s="4">
        <v>228</v>
      </c>
      <c r="B229" s="12">
        <v>45479</v>
      </c>
      <c r="C229" s="11" t="str">
        <f t="shared" si="6"/>
        <v>July</v>
      </c>
      <c r="D229" s="5" t="s">
        <v>316</v>
      </c>
      <c r="E229" s="5" t="s">
        <v>12</v>
      </c>
      <c r="F229" s="5" t="s">
        <v>79</v>
      </c>
      <c r="G229" s="5" t="s">
        <v>27</v>
      </c>
      <c r="H229" s="5" t="s">
        <v>36</v>
      </c>
      <c r="I229" s="5" t="s">
        <v>37</v>
      </c>
      <c r="J229" s="5" t="s">
        <v>16</v>
      </c>
      <c r="K229" s="5">
        <v>3794</v>
      </c>
      <c r="L229" s="5">
        <v>734</v>
      </c>
      <c r="M229" s="6">
        <v>2784796</v>
      </c>
      <c r="N229" s="6">
        <v>2771036</v>
      </c>
      <c r="O229" s="6">
        <f t="shared" si="7"/>
        <v>13760</v>
      </c>
    </row>
    <row r="230" spans="1:15" ht="15.6" thickTop="1" thickBot="1" x14ac:dyDescent="0.35">
      <c r="A230" s="4">
        <v>229</v>
      </c>
      <c r="B230" s="12">
        <v>45483</v>
      </c>
      <c r="C230" s="11" t="str">
        <f t="shared" si="6"/>
        <v>July</v>
      </c>
      <c r="D230" s="5" t="s">
        <v>317</v>
      </c>
      <c r="E230" s="5" t="s">
        <v>12</v>
      </c>
      <c r="F230" s="5" t="s">
        <v>79</v>
      </c>
      <c r="G230" s="5" t="s">
        <v>19</v>
      </c>
      <c r="H230" s="5" t="s">
        <v>39</v>
      </c>
      <c r="I230" s="5" t="s">
        <v>40</v>
      </c>
      <c r="J230" s="5" t="s">
        <v>16</v>
      </c>
      <c r="K230" s="5">
        <v>2105</v>
      </c>
      <c r="L230" s="5">
        <v>981</v>
      </c>
      <c r="M230" s="6">
        <v>2065005</v>
      </c>
      <c r="N230" s="6">
        <v>2054588</v>
      </c>
      <c r="O230" s="6">
        <f t="shared" si="7"/>
        <v>10417</v>
      </c>
    </row>
    <row r="231" spans="1:15" ht="15.6" thickTop="1" thickBot="1" x14ac:dyDescent="0.35">
      <c r="A231" s="4">
        <v>230</v>
      </c>
      <c r="B231" s="12">
        <v>45487</v>
      </c>
      <c r="C231" s="11" t="str">
        <f t="shared" si="6"/>
        <v>July</v>
      </c>
      <c r="D231" s="5" t="s">
        <v>318</v>
      </c>
      <c r="E231" s="5" t="s">
        <v>12</v>
      </c>
      <c r="F231" s="5" t="s">
        <v>79</v>
      </c>
      <c r="G231" s="5" t="s">
        <v>19</v>
      </c>
      <c r="H231" s="5" t="s">
        <v>42</v>
      </c>
      <c r="I231" s="5" t="s">
        <v>21</v>
      </c>
      <c r="J231" s="5" t="s">
        <v>16</v>
      </c>
      <c r="K231" s="5">
        <v>7654</v>
      </c>
      <c r="L231" s="5">
        <v>881</v>
      </c>
      <c r="M231" s="6">
        <v>6743174</v>
      </c>
      <c r="N231" s="6">
        <v>6724448</v>
      </c>
      <c r="O231" s="6">
        <f t="shared" si="7"/>
        <v>18726</v>
      </c>
    </row>
    <row r="232" spans="1:15" ht="15.6" thickTop="1" thickBot="1" x14ac:dyDescent="0.35">
      <c r="A232" s="4">
        <v>231</v>
      </c>
      <c r="B232" s="12">
        <v>45490</v>
      </c>
      <c r="C232" s="11" t="str">
        <f t="shared" si="6"/>
        <v>July</v>
      </c>
      <c r="D232" s="5" t="s">
        <v>319</v>
      </c>
      <c r="E232" s="5" t="s">
        <v>12</v>
      </c>
      <c r="F232" s="5" t="s">
        <v>79</v>
      </c>
      <c r="G232" s="5" t="s">
        <v>14</v>
      </c>
      <c r="H232" s="5" t="s">
        <v>44</v>
      </c>
      <c r="I232" s="5" t="s">
        <v>45</v>
      </c>
      <c r="J232" s="5" t="s">
        <v>16</v>
      </c>
      <c r="K232" s="5">
        <v>9045</v>
      </c>
      <c r="L232" s="5">
        <v>544</v>
      </c>
      <c r="M232" s="6">
        <v>4920480</v>
      </c>
      <c r="N232" s="6">
        <v>4902851</v>
      </c>
      <c r="O232" s="6">
        <f t="shared" si="7"/>
        <v>17629</v>
      </c>
    </row>
    <row r="233" spans="1:15" ht="15.6" thickTop="1" thickBot="1" x14ac:dyDescent="0.35">
      <c r="A233" s="4">
        <v>232</v>
      </c>
      <c r="B233" s="12">
        <v>45494</v>
      </c>
      <c r="C233" s="11" t="str">
        <f t="shared" si="6"/>
        <v>July</v>
      </c>
      <c r="D233" s="5" t="s">
        <v>320</v>
      </c>
      <c r="E233" s="5" t="s">
        <v>12</v>
      </c>
      <c r="F233" s="5" t="s">
        <v>79</v>
      </c>
      <c r="G233" s="5" t="s">
        <v>19</v>
      </c>
      <c r="H233" s="5" t="s">
        <v>48</v>
      </c>
      <c r="I233" s="5" t="s">
        <v>40</v>
      </c>
      <c r="J233" s="5" t="s">
        <v>46</v>
      </c>
      <c r="K233" s="5">
        <v>2088</v>
      </c>
      <c r="L233" s="5">
        <v>678</v>
      </c>
      <c r="M233" s="6">
        <v>1415664</v>
      </c>
      <c r="N233" s="6">
        <v>1397872</v>
      </c>
      <c r="O233" s="6">
        <f t="shared" si="7"/>
        <v>17792</v>
      </c>
    </row>
    <row r="234" spans="1:15" ht="15.6" thickTop="1" thickBot="1" x14ac:dyDescent="0.35">
      <c r="A234" s="4">
        <v>233</v>
      </c>
      <c r="B234" s="12">
        <v>45506</v>
      </c>
      <c r="C234" s="11" t="str">
        <f t="shared" si="6"/>
        <v>August</v>
      </c>
      <c r="D234" s="5" t="s">
        <v>321</v>
      </c>
      <c r="E234" s="5" t="s">
        <v>12</v>
      </c>
      <c r="F234" s="5" t="s">
        <v>79</v>
      </c>
      <c r="G234" s="5" t="s">
        <v>14</v>
      </c>
      <c r="H234" s="5" t="s">
        <v>50</v>
      </c>
      <c r="I234" s="5" t="s">
        <v>51</v>
      </c>
      <c r="J234" s="5" t="s">
        <v>46</v>
      </c>
      <c r="K234" s="5">
        <v>3793</v>
      </c>
      <c r="L234" s="5">
        <v>657</v>
      </c>
      <c r="M234" s="6">
        <v>2492001</v>
      </c>
      <c r="N234" s="6">
        <v>2474529</v>
      </c>
      <c r="O234" s="6">
        <f t="shared" si="7"/>
        <v>17472</v>
      </c>
    </row>
    <row r="235" spans="1:15" ht="15.6" thickTop="1" thickBot="1" x14ac:dyDescent="0.35">
      <c r="A235" s="4">
        <v>234</v>
      </c>
      <c r="B235" s="12">
        <v>45541</v>
      </c>
      <c r="C235" s="11" t="str">
        <f t="shared" si="6"/>
        <v>September</v>
      </c>
      <c r="D235" s="5" t="s">
        <v>322</v>
      </c>
      <c r="E235" s="5" t="s">
        <v>12</v>
      </c>
      <c r="F235" s="5" t="s">
        <v>79</v>
      </c>
      <c r="G235" s="5" t="s">
        <v>14</v>
      </c>
      <c r="H235" s="5" t="s">
        <v>53</v>
      </c>
      <c r="I235" s="5" t="s">
        <v>51</v>
      </c>
      <c r="J235" s="5" t="s">
        <v>46</v>
      </c>
      <c r="K235" s="5">
        <v>6566</v>
      </c>
      <c r="L235" s="5">
        <v>674</v>
      </c>
      <c r="M235" s="6">
        <v>4425484</v>
      </c>
      <c r="N235" s="6">
        <v>4409833</v>
      </c>
      <c r="O235" s="6">
        <f t="shared" si="7"/>
        <v>15651</v>
      </c>
    </row>
    <row r="236" spans="1:15" ht="15.6" thickTop="1" thickBot="1" x14ac:dyDescent="0.35">
      <c r="A236" s="4">
        <v>235</v>
      </c>
      <c r="B236" s="12">
        <v>45545</v>
      </c>
      <c r="C236" s="11" t="str">
        <f t="shared" si="6"/>
        <v>September</v>
      </c>
      <c r="D236" s="5" t="s">
        <v>323</v>
      </c>
      <c r="E236" s="5" t="s">
        <v>12</v>
      </c>
      <c r="F236" s="5" t="s">
        <v>79</v>
      </c>
      <c r="G236" s="5" t="s">
        <v>19</v>
      </c>
      <c r="H236" s="5" t="s">
        <v>55</v>
      </c>
      <c r="I236" s="5" t="s">
        <v>21</v>
      </c>
      <c r="J236" s="5" t="s">
        <v>16</v>
      </c>
      <c r="K236" s="5">
        <v>5152</v>
      </c>
      <c r="L236" s="5">
        <v>760</v>
      </c>
      <c r="M236" s="6">
        <v>3915520</v>
      </c>
      <c r="N236" s="6">
        <v>3903433</v>
      </c>
      <c r="O236" s="6">
        <f t="shared" si="7"/>
        <v>12087</v>
      </c>
    </row>
    <row r="237" spans="1:15" ht="15.6" thickTop="1" thickBot="1" x14ac:dyDescent="0.35">
      <c r="A237" s="4">
        <v>236</v>
      </c>
      <c r="B237" s="12">
        <v>45548</v>
      </c>
      <c r="C237" s="11" t="str">
        <f t="shared" si="6"/>
        <v>September</v>
      </c>
      <c r="D237" s="5" t="s">
        <v>324</v>
      </c>
      <c r="E237" s="5" t="s">
        <v>12</v>
      </c>
      <c r="F237" s="5" t="s">
        <v>79</v>
      </c>
      <c r="G237" s="5" t="s">
        <v>57</v>
      </c>
      <c r="H237" s="5" t="s">
        <v>58</v>
      </c>
      <c r="I237" s="5" t="s">
        <v>59</v>
      </c>
      <c r="J237" s="5" t="s">
        <v>16</v>
      </c>
      <c r="K237" s="5">
        <v>2714</v>
      </c>
      <c r="L237" s="5">
        <v>607</v>
      </c>
      <c r="M237" s="6">
        <v>1647398</v>
      </c>
      <c r="N237" s="6">
        <v>1628936</v>
      </c>
      <c r="O237" s="6">
        <f t="shared" si="7"/>
        <v>18462</v>
      </c>
    </row>
    <row r="238" spans="1:15" ht="15.6" thickTop="1" thickBot="1" x14ac:dyDescent="0.35">
      <c r="A238" s="4">
        <v>237</v>
      </c>
      <c r="B238" s="12">
        <v>45551</v>
      </c>
      <c r="C238" s="11" t="str">
        <f t="shared" si="6"/>
        <v>September</v>
      </c>
      <c r="D238" s="5" t="s">
        <v>325</v>
      </c>
      <c r="E238" s="5" t="s">
        <v>12</v>
      </c>
      <c r="F238" s="5" t="s">
        <v>79</v>
      </c>
      <c r="G238" s="5" t="s">
        <v>19</v>
      </c>
      <c r="H238" s="5" t="s">
        <v>62</v>
      </c>
      <c r="I238" s="5" t="s">
        <v>21</v>
      </c>
      <c r="J238" s="5" t="s">
        <v>16</v>
      </c>
      <c r="K238" s="5">
        <v>7249</v>
      </c>
      <c r="L238" s="5">
        <v>645</v>
      </c>
      <c r="M238" s="6">
        <v>4675605</v>
      </c>
      <c r="N238" s="6">
        <v>4658185</v>
      </c>
      <c r="O238" s="6">
        <f t="shared" si="7"/>
        <v>17420</v>
      </c>
    </row>
    <row r="239" spans="1:15" ht="15.6" thickTop="1" thickBot="1" x14ac:dyDescent="0.35">
      <c r="A239" s="4">
        <v>238</v>
      </c>
      <c r="B239" s="12">
        <v>45554</v>
      </c>
      <c r="C239" s="11" t="str">
        <f t="shared" si="6"/>
        <v>September</v>
      </c>
      <c r="D239" s="5" t="s">
        <v>326</v>
      </c>
      <c r="E239" s="5" t="s">
        <v>12</v>
      </c>
      <c r="F239" s="5" t="s">
        <v>79</v>
      </c>
      <c r="G239" s="5" t="s">
        <v>64</v>
      </c>
      <c r="H239" s="5" t="s">
        <v>65</v>
      </c>
      <c r="I239" s="5" t="s">
        <v>65</v>
      </c>
      <c r="J239" s="5" t="s">
        <v>16</v>
      </c>
      <c r="K239" s="5">
        <v>7924</v>
      </c>
      <c r="L239" s="5">
        <v>855</v>
      </c>
      <c r="M239" s="6">
        <v>6775020</v>
      </c>
      <c r="N239" s="6">
        <v>6764376</v>
      </c>
      <c r="O239" s="6">
        <f t="shared" si="7"/>
        <v>10644</v>
      </c>
    </row>
    <row r="240" spans="1:15" ht="15.6" thickTop="1" thickBot="1" x14ac:dyDescent="0.35">
      <c r="A240" s="4">
        <v>239</v>
      </c>
      <c r="B240" s="12">
        <v>45558</v>
      </c>
      <c r="C240" s="11" t="str">
        <f t="shared" si="6"/>
        <v>September</v>
      </c>
      <c r="D240" s="5" t="s">
        <v>327</v>
      </c>
      <c r="E240" s="5" t="s">
        <v>12</v>
      </c>
      <c r="F240" s="5" t="s">
        <v>79</v>
      </c>
      <c r="G240" s="5" t="s">
        <v>57</v>
      </c>
      <c r="H240" s="5" t="s">
        <v>67</v>
      </c>
      <c r="I240" s="5" t="s">
        <v>59</v>
      </c>
      <c r="J240" s="5" t="s">
        <v>16</v>
      </c>
      <c r="K240" s="5">
        <v>6728</v>
      </c>
      <c r="L240" s="5">
        <v>701</v>
      </c>
      <c r="M240" s="6">
        <v>4716328</v>
      </c>
      <c r="N240" s="6">
        <v>4705348</v>
      </c>
      <c r="O240" s="6">
        <f t="shared" si="7"/>
        <v>10980</v>
      </c>
    </row>
    <row r="241" spans="1:15" ht="15.6" thickTop="1" thickBot="1" x14ac:dyDescent="0.35">
      <c r="A241" s="4">
        <v>240</v>
      </c>
      <c r="B241" s="12">
        <v>45562</v>
      </c>
      <c r="C241" s="11" t="str">
        <f t="shared" si="6"/>
        <v>September</v>
      </c>
      <c r="D241" s="5" t="s">
        <v>328</v>
      </c>
      <c r="E241" s="5" t="s">
        <v>12</v>
      </c>
      <c r="F241" s="5" t="s">
        <v>79</v>
      </c>
      <c r="G241" s="5" t="s">
        <v>27</v>
      </c>
      <c r="H241" s="5" t="s">
        <v>69</v>
      </c>
      <c r="I241" s="5" t="s">
        <v>70</v>
      </c>
      <c r="J241" s="5" t="s">
        <v>46</v>
      </c>
      <c r="K241" s="5">
        <v>6384</v>
      </c>
      <c r="L241" s="5">
        <v>575</v>
      </c>
      <c r="M241" s="6">
        <v>3670800</v>
      </c>
      <c r="N241" s="6">
        <v>3651858</v>
      </c>
      <c r="O241" s="6">
        <f t="shared" si="7"/>
        <v>18942</v>
      </c>
    </row>
    <row r="242" spans="1:15" ht="15.6" thickTop="1" thickBot="1" x14ac:dyDescent="0.35">
      <c r="A242" s="4">
        <v>241</v>
      </c>
      <c r="B242" s="12">
        <v>45565</v>
      </c>
      <c r="C242" s="11" t="str">
        <f t="shared" si="6"/>
        <v>September</v>
      </c>
      <c r="D242" s="5" t="s">
        <v>329</v>
      </c>
      <c r="E242" s="5" t="s">
        <v>12</v>
      </c>
      <c r="F242" s="5" t="s">
        <v>79</v>
      </c>
      <c r="G242" s="5" t="s">
        <v>23</v>
      </c>
      <c r="H242" s="5" t="s">
        <v>72</v>
      </c>
      <c r="I242" s="5" t="s">
        <v>73</v>
      </c>
      <c r="J242" s="5" t="s">
        <v>46</v>
      </c>
      <c r="K242" s="5">
        <v>3372</v>
      </c>
      <c r="L242" s="5">
        <v>533</v>
      </c>
      <c r="M242" s="6">
        <v>1797276</v>
      </c>
      <c r="N242" s="6">
        <v>1779195</v>
      </c>
      <c r="O242" s="6">
        <f t="shared" si="7"/>
        <v>18081</v>
      </c>
    </row>
    <row r="243" spans="1:15" ht="15.6" thickTop="1" thickBot="1" x14ac:dyDescent="0.35">
      <c r="A243" s="4">
        <v>242</v>
      </c>
      <c r="B243" s="12">
        <v>45567</v>
      </c>
      <c r="C243" s="11" t="str">
        <f t="shared" si="6"/>
        <v>October</v>
      </c>
      <c r="D243" s="5" t="s">
        <v>330</v>
      </c>
      <c r="E243" s="5" t="s">
        <v>12</v>
      </c>
      <c r="F243" s="5" t="s">
        <v>117</v>
      </c>
      <c r="G243" s="5" t="s">
        <v>19</v>
      </c>
      <c r="H243" s="5" t="s">
        <v>75</v>
      </c>
      <c r="I243" s="5" t="s">
        <v>40</v>
      </c>
      <c r="J243" s="5" t="s">
        <v>46</v>
      </c>
      <c r="K243" s="5">
        <v>1817</v>
      </c>
      <c r="L243" s="5">
        <v>615</v>
      </c>
      <c r="M243" s="6">
        <v>1117455</v>
      </c>
      <c r="N243" s="6">
        <v>1105199</v>
      </c>
      <c r="O243" s="6">
        <f t="shared" si="7"/>
        <v>12256</v>
      </c>
    </row>
    <row r="244" spans="1:15" ht="15.6" thickTop="1" thickBot="1" x14ac:dyDescent="0.35">
      <c r="A244" s="4">
        <v>243</v>
      </c>
      <c r="B244" s="12">
        <v>45570</v>
      </c>
      <c r="C244" s="11" t="str">
        <f t="shared" si="6"/>
        <v>October</v>
      </c>
      <c r="D244" s="5" t="s">
        <v>331</v>
      </c>
      <c r="E244" s="5" t="s">
        <v>12</v>
      </c>
      <c r="F244" s="5" t="s">
        <v>117</v>
      </c>
      <c r="G244" s="5" t="s">
        <v>14</v>
      </c>
      <c r="H244" s="5" t="s">
        <v>77</v>
      </c>
      <c r="I244" s="5" t="s">
        <v>51</v>
      </c>
      <c r="J244" s="5" t="s">
        <v>46</v>
      </c>
      <c r="K244" s="5">
        <v>3910</v>
      </c>
      <c r="L244" s="5">
        <v>521</v>
      </c>
      <c r="M244" s="6">
        <v>2037110</v>
      </c>
      <c r="N244" s="6">
        <v>2018290</v>
      </c>
      <c r="O244" s="6">
        <f t="shared" si="7"/>
        <v>18820</v>
      </c>
    </row>
    <row r="245" spans="1:15" ht="15.6" thickTop="1" thickBot="1" x14ac:dyDescent="0.35">
      <c r="A245" s="4">
        <v>244</v>
      </c>
      <c r="B245" s="12">
        <v>45573</v>
      </c>
      <c r="C245" s="11" t="str">
        <f t="shared" si="6"/>
        <v>October</v>
      </c>
      <c r="D245" s="5" t="s">
        <v>332</v>
      </c>
      <c r="E245" s="5" t="s">
        <v>12</v>
      </c>
      <c r="F245" s="5" t="s">
        <v>117</v>
      </c>
      <c r="G245" s="5" t="s">
        <v>14</v>
      </c>
      <c r="H245" s="5" t="s">
        <v>80</v>
      </c>
      <c r="I245" s="5" t="s">
        <v>51</v>
      </c>
      <c r="J245" s="5" t="s">
        <v>46</v>
      </c>
      <c r="K245" s="5">
        <v>9238</v>
      </c>
      <c r="L245" s="5">
        <v>630</v>
      </c>
      <c r="M245" s="6">
        <v>5819940</v>
      </c>
      <c r="N245" s="6">
        <v>5806845</v>
      </c>
      <c r="O245" s="6">
        <f t="shared" si="7"/>
        <v>13095</v>
      </c>
    </row>
    <row r="246" spans="1:15" ht="15.6" thickTop="1" thickBot="1" x14ac:dyDescent="0.35">
      <c r="A246" s="4">
        <v>245</v>
      </c>
      <c r="B246" s="12">
        <v>45576</v>
      </c>
      <c r="C246" s="11" t="str">
        <f t="shared" si="6"/>
        <v>October</v>
      </c>
      <c r="D246" s="5" t="s">
        <v>333</v>
      </c>
      <c r="E246" s="5" t="s">
        <v>12</v>
      </c>
      <c r="F246" s="5" t="s">
        <v>117</v>
      </c>
      <c r="G246" s="5" t="s">
        <v>27</v>
      </c>
      <c r="H246" s="5" t="s">
        <v>82</v>
      </c>
      <c r="I246" s="5" t="s">
        <v>29</v>
      </c>
      <c r="J246" s="5" t="s">
        <v>46</v>
      </c>
      <c r="K246" s="5">
        <v>8891</v>
      </c>
      <c r="L246" s="5">
        <v>500</v>
      </c>
      <c r="M246" s="6">
        <v>4445500</v>
      </c>
      <c r="N246" s="6">
        <v>4432447</v>
      </c>
      <c r="O246" s="6">
        <f t="shared" si="7"/>
        <v>13053</v>
      </c>
    </row>
    <row r="247" spans="1:15" ht="15.6" thickTop="1" thickBot="1" x14ac:dyDescent="0.35">
      <c r="A247" s="4">
        <v>246</v>
      </c>
      <c r="B247" s="12">
        <v>45579</v>
      </c>
      <c r="C247" s="11" t="str">
        <f t="shared" si="6"/>
        <v>October</v>
      </c>
      <c r="D247" s="5" t="s">
        <v>334</v>
      </c>
      <c r="E247" s="5" t="s">
        <v>12</v>
      </c>
      <c r="F247" s="5" t="s">
        <v>117</v>
      </c>
      <c r="G247" s="5" t="s">
        <v>27</v>
      </c>
      <c r="H247" s="5" t="s">
        <v>84</v>
      </c>
      <c r="I247" s="5" t="s">
        <v>29</v>
      </c>
      <c r="J247" s="5" t="s">
        <v>46</v>
      </c>
      <c r="K247" s="5">
        <v>5367</v>
      </c>
      <c r="L247" s="5">
        <v>606</v>
      </c>
      <c r="M247" s="6">
        <v>3252402</v>
      </c>
      <c r="N247" s="6">
        <v>3242035</v>
      </c>
      <c r="O247" s="6">
        <f t="shared" si="7"/>
        <v>10367</v>
      </c>
    </row>
    <row r="248" spans="1:15" ht="15.6" thickTop="1" thickBot="1" x14ac:dyDescent="0.35">
      <c r="A248" s="4">
        <v>247</v>
      </c>
      <c r="B248" s="12">
        <v>45580</v>
      </c>
      <c r="C248" s="11" t="str">
        <f t="shared" si="6"/>
        <v>October</v>
      </c>
      <c r="D248" s="5" t="s">
        <v>335</v>
      </c>
      <c r="E248" s="5" t="s">
        <v>12</v>
      </c>
      <c r="F248" s="5" t="s">
        <v>117</v>
      </c>
      <c r="G248" s="5" t="s">
        <v>14</v>
      </c>
      <c r="H248" s="5" t="s">
        <v>86</v>
      </c>
      <c r="I248" s="5" t="s">
        <v>45</v>
      </c>
      <c r="J248" s="5" t="s">
        <v>16</v>
      </c>
      <c r="K248" s="5">
        <v>5733</v>
      </c>
      <c r="L248" s="5">
        <v>582</v>
      </c>
      <c r="M248" s="6">
        <v>3336606</v>
      </c>
      <c r="N248" s="6">
        <v>3321119</v>
      </c>
      <c r="O248" s="6">
        <f t="shared" si="7"/>
        <v>15487</v>
      </c>
    </row>
    <row r="249" spans="1:15" ht="15.6" thickTop="1" thickBot="1" x14ac:dyDescent="0.35">
      <c r="A249" s="4">
        <v>248</v>
      </c>
      <c r="B249" s="12">
        <v>45386</v>
      </c>
      <c r="C249" s="11" t="str">
        <f t="shared" si="6"/>
        <v>April</v>
      </c>
      <c r="D249" s="5" t="s">
        <v>336</v>
      </c>
      <c r="E249" s="5" t="s">
        <v>12</v>
      </c>
      <c r="F249" s="5" t="s">
        <v>117</v>
      </c>
      <c r="G249" s="5" t="s">
        <v>14</v>
      </c>
      <c r="H249" s="5" t="s">
        <v>88</v>
      </c>
      <c r="I249" s="5" t="s">
        <v>51</v>
      </c>
      <c r="J249" s="5" t="s">
        <v>16</v>
      </c>
      <c r="K249" s="5">
        <v>6120</v>
      </c>
      <c r="L249" s="5">
        <v>647</v>
      </c>
      <c r="M249" s="6">
        <v>3959640</v>
      </c>
      <c r="N249" s="6">
        <v>3943056</v>
      </c>
      <c r="O249" s="6">
        <f t="shared" si="7"/>
        <v>16584</v>
      </c>
    </row>
    <row r="250" spans="1:15" ht="15.6" thickTop="1" thickBot="1" x14ac:dyDescent="0.35">
      <c r="A250" s="4">
        <v>249</v>
      </c>
      <c r="B250" s="12">
        <v>45389</v>
      </c>
      <c r="C250" s="11" t="str">
        <f t="shared" si="6"/>
        <v>April</v>
      </c>
      <c r="D250" s="5" t="s">
        <v>337</v>
      </c>
      <c r="E250" s="5" t="s">
        <v>12</v>
      </c>
      <c r="F250" s="5" t="s">
        <v>117</v>
      </c>
      <c r="G250" s="5" t="s">
        <v>23</v>
      </c>
      <c r="H250" s="5" t="s">
        <v>90</v>
      </c>
      <c r="I250" s="5" t="s">
        <v>91</v>
      </c>
      <c r="J250" s="5" t="s">
        <v>16</v>
      </c>
      <c r="K250" s="5">
        <v>4560</v>
      </c>
      <c r="L250" s="5">
        <v>779</v>
      </c>
      <c r="M250" s="6">
        <v>3552240</v>
      </c>
      <c r="N250" s="6">
        <v>3538715</v>
      </c>
      <c r="O250" s="6">
        <f t="shared" si="7"/>
        <v>13525</v>
      </c>
    </row>
    <row r="251" spans="1:15" ht="15.6" thickTop="1" thickBot="1" x14ac:dyDescent="0.35">
      <c r="A251" s="4">
        <v>250</v>
      </c>
      <c r="B251" s="12">
        <v>45391</v>
      </c>
      <c r="C251" s="11" t="str">
        <f t="shared" si="6"/>
        <v>April</v>
      </c>
      <c r="D251" s="5" t="s">
        <v>338</v>
      </c>
      <c r="E251" s="5" t="s">
        <v>12</v>
      </c>
      <c r="F251" s="5" t="s">
        <v>117</v>
      </c>
      <c r="G251" s="5" t="s">
        <v>27</v>
      </c>
      <c r="H251" s="5" t="s">
        <v>93</v>
      </c>
      <c r="I251" s="5" t="s">
        <v>94</v>
      </c>
      <c r="J251" s="5" t="s">
        <v>16</v>
      </c>
      <c r="K251" s="5">
        <v>7880</v>
      </c>
      <c r="L251" s="5">
        <v>814</v>
      </c>
      <c r="M251" s="6">
        <v>6414320</v>
      </c>
      <c r="N251" s="6">
        <v>6400779</v>
      </c>
      <c r="O251" s="6">
        <f t="shared" si="7"/>
        <v>13541</v>
      </c>
    </row>
    <row r="252" spans="1:15" ht="15.6" thickTop="1" thickBot="1" x14ac:dyDescent="0.35">
      <c r="A252" s="4">
        <v>251</v>
      </c>
      <c r="B252" s="12">
        <v>45395</v>
      </c>
      <c r="C252" s="11" t="str">
        <f t="shared" si="6"/>
        <v>April</v>
      </c>
      <c r="D252" s="5" t="s">
        <v>339</v>
      </c>
      <c r="E252" s="5" t="s">
        <v>12</v>
      </c>
      <c r="F252" s="5" t="s">
        <v>117</v>
      </c>
      <c r="G252" s="5" t="s">
        <v>19</v>
      </c>
      <c r="H252" s="5" t="s">
        <v>96</v>
      </c>
      <c r="I252" s="5" t="s">
        <v>21</v>
      </c>
      <c r="J252" s="5" t="s">
        <v>46</v>
      </c>
      <c r="K252" s="5">
        <v>4940</v>
      </c>
      <c r="L252" s="5">
        <v>517</v>
      </c>
      <c r="M252" s="6">
        <v>2553980</v>
      </c>
      <c r="N252" s="6">
        <v>2541607</v>
      </c>
      <c r="O252" s="6">
        <f t="shared" si="7"/>
        <v>12373</v>
      </c>
    </row>
    <row r="253" spans="1:15" ht="15.6" thickTop="1" thickBot="1" x14ac:dyDescent="0.35">
      <c r="A253" s="4">
        <v>252</v>
      </c>
      <c r="B253" s="12">
        <v>45399</v>
      </c>
      <c r="C253" s="11" t="str">
        <f t="shared" si="6"/>
        <v>April</v>
      </c>
      <c r="D253" s="5" t="s">
        <v>340</v>
      </c>
      <c r="E253" s="5" t="s">
        <v>12</v>
      </c>
      <c r="F253" s="5" t="s">
        <v>117</v>
      </c>
      <c r="G253" s="5" t="s">
        <v>14</v>
      </c>
      <c r="H253" s="5" t="s">
        <v>98</v>
      </c>
      <c r="I253" s="5" t="s">
        <v>99</v>
      </c>
      <c r="J253" s="5" t="s">
        <v>16</v>
      </c>
      <c r="K253" s="5">
        <v>4721</v>
      </c>
      <c r="L253" s="5">
        <v>620</v>
      </c>
      <c r="M253" s="6">
        <v>2927020</v>
      </c>
      <c r="N253" s="6">
        <v>2907857</v>
      </c>
      <c r="O253" s="6">
        <f t="shared" si="7"/>
        <v>19163</v>
      </c>
    </row>
    <row r="254" spans="1:15" ht="15.6" thickTop="1" thickBot="1" x14ac:dyDescent="0.35">
      <c r="A254" s="4">
        <v>253</v>
      </c>
      <c r="B254" s="12">
        <v>45401</v>
      </c>
      <c r="C254" s="11" t="str">
        <f t="shared" si="6"/>
        <v>April</v>
      </c>
      <c r="D254" s="5" t="s">
        <v>341</v>
      </c>
      <c r="E254" s="5" t="s">
        <v>12</v>
      </c>
      <c r="F254" s="5" t="s">
        <v>117</v>
      </c>
      <c r="G254" s="5" t="s">
        <v>14</v>
      </c>
      <c r="H254" s="5" t="s">
        <v>101</v>
      </c>
      <c r="I254" s="5" t="s">
        <v>102</v>
      </c>
      <c r="J254" s="5" t="s">
        <v>16</v>
      </c>
      <c r="K254" s="5">
        <v>2837</v>
      </c>
      <c r="L254" s="5">
        <v>831</v>
      </c>
      <c r="M254" s="6">
        <v>2357547</v>
      </c>
      <c r="N254" s="6">
        <v>2346649</v>
      </c>
      <c r="O254" s="6">
        <f t="shared" si="7"/>
        <v>10898</v>
      </c>
    </row>
    <row r="255" spans="1:15" ht="15.6" thickTop="1" thickBot="1" x14ac:dyDescent="0.35">
      <c r="A255" s="4">
        <v>254</v>
      </c>
      <c r="B255" s="12">
        <v>45406</v>
      </c>
      <c r="C255" s="11" t="str">
        <f t="shared" si="6"/>
        <v>April</v>
      </c>
      <c r="D255" s="5" t="s">
        <v>201</v>
      </c>
      <c r="E255" s="5" t="s">
        <v>31</v>
      </c>
      <c r="F255" s="5" t="s">
        <v>134</v>
      </c>
      <c r="G255" s="5" t="s">
        <v>104</v>
      </c>
      <c r="H255" s="5" t="s">
        <v>105</v>
      </c>
      <c r="I255" s="5" t="s">
        <v>106</v>
      </c>
      <c r="J255" s="5" t="s">
        <v>16</v>
      </c>
      <c r="K255" s="5">
        <v>2085</v>
      </c>
      <c r="L255" s="5">
        <v>595</v>
      </c>
      <c r="M255" s="6">
        <v>1240575</v>
      </c>
      <c r="N255" s="6">
        <v>1222874</v>
      </c>
      <c r="O255" s="6">
        <f t="shared" si="7"/>
        <v>17701</v>
      </c>
    </row>
    <row r="256" spans="1:15" ht="15.6" thickTop="1" thickBot="1" x14ac:dyDescent="0.35">
      <c r="A256" s="4">
        <v>255</v>
      </c>
      <c r="B256" s="12">
        <v>45412</v>
      </c>
      <c r="C256" s="11" t="str">
        <f t="shared" si="6"/>
        <v>April</v>
      </c>
      <c r="D256" s="5" t="s">
        <v>342</v>
      </c>
      <c r="E256" s="5" t="s">
        <v>31</v>
      </c>
      <c r="F256" s="5" t="s">
        <v>134</v>
      </c>
      <c r="G256" s="5" t="s">
        <v>14</v>
      </c>
      <c r="H256" s="5" t="s">
        <v>108</v>
      </c>
      <c r="I256" s="5" t="s">
        <v>109</v>
      </c>
      <c r="J256" s="5" t="s">
        <v>16</v>
      </c>
      <c r="K256" s="5">
        <v>2616</v>
      </c>
      <c r="L256" s="5">
        <v>652</v>
      </c>
      <c r="M256" s="6">
        <v>1705632</v>
      </c>
      <c r="N256" s="6">
        <v>1695159</v>
      </c>
      <c r="O256" s="6">
        <f t="shared" si="7"/>
        <v>10473</v>
      </c>
    </row>
    <row r="257" spans="1:15" ht="15.6" thickTop="1" thickBot="1" x14ac:dyDescent="0.35">
      <c r="A257" s="4">
        <v>256</v>
      </c>
      <c r="B257" s="12">
        <v>45413</v>
      </c>
      <c r="C257" s="11" t="str">
        <f t="shared" si="6"/>
        <v>May</v>
      </c>
      <c r="D257" s="5" t="s">
        <v>343</v>
      </c>
      <c r="E257" s="5" t="s">
        <v>31</v>
      </c>
      <c r="F257" s="5" t="s">
        <v>134</v>
      </c>
      <c r="G257" s="5" t="s">
        <v>57</v>
      </c>
      <c r="H257" s="5" t="s">
        <v>111</v>
      </c>
      <c r="I257" s="5" t="s">
        <v>112</v>
      </c>
      <c r="J257" s="5" t="s">
        <v>46</v>
      </c>
      <c r="K257" s="5">
        <v>6023</v>
      </c>
      <c r="L257" s="5">
        <v>707</v>
      </c>
      <c r="M257" s="6">
        <v>4258261</v>
      </c>
      <c r="N257" s="6">
        <v>4241787</v>
      </c>
      <c r="O257" s="6">
        <f t="shared" si="7"/>
        <v>16474</v>
      </c>
    </row>
    <row r="258" spans="1:15" ht="15.6" thickTop="1" thickBot="1" x14ac:dyDescent="0.35">
      <c r="A258" s="4">
        <v>257</v>
      </c>
      <c r="B258" s="12">
        <v>45416</v>
      </c>
      <c r="C258" s="11" t="str">
        <f t="shared" si="6"/>
        <v>May</v>
      </c>
      <c r="D258" s="5" t="s">
        <v>344</v>
      </c>
      <c r="E258" s="5" t="s">
        <v>31</v>
      </c>
      <c r="F258" s="5" t="s">
        <v>134</v>
      </c>
      <c r="G258" s="5" t="s">
        <v>23</v>
      </c>
      <c r="H258" s="5" t="s">
        <v>114</v>
      </c>
      <c r="I258" s="5" t="s">
        <v>25</v>
      </c>
      <c r="J258" s="5" t="s">
        <v>46</v>
      </c>
      <c r="K258" s="5">
        <v>6681</v>
      </c>
      <c r="L258" s="5">
        <v>886</v>
      </c>
      <c r="M258" s="6">
        <v>5919366</v>
      </c>
      <c r="N258" s="6">
        <v>5901176</v>
      </c>
      <c r="O258" s="6">
        <f t="shared" si="7"/>
        <v>18190</v>
      </c>
    </row>
    <row r="259" spans="1:15" ht="15.6" thickTop="1" thickBot="1" x14ac:dyDescent="0.35">
      <c r="A259" s="4">
        <v>258</v>
      </c>
      <c r="B259" s="12">
        <v>45420</v>
      </c>
      <c r="C259" s="11" t="str">
        <f t="shared" ref="C259:C322" si="8">TEXT(B259,"mmmm")</f>
        <v>May</v>
      </c>
      <c r="D259" s="5" t="s">
        <v>345</v>
      </c>
      <c r="E259" s="5" t="s">
        <v>31</v>
      </c>
      <c r="F259" s="5" t="s">
        <v>134</v>
      </c>
      <c r="G259" s="5" t="s">
        <v>19</v>
      </c>
      <c r="H259" s="5" t="s">
        <v>75</v>
      </c>
      <c r="I259" s="5" t="s">
        <v>40</v>
      </c>
      <c r="J259" s="5" t="s">
        <v>46</v>
      </c>
      <c r="K259" s="5">
        <v>8243</v>
      </c>
      <c r="L259" s="5">
        <v>630</v>
      </c>
      <c r="M259" s="6">
        <v>5193090</v>
      </c>
      <c r="N259" s="6">
        <v>5178923</v>
      </c>
      <c r="O259" s="6">
        <f t="shared" ref="O259:O322" si="9">M259-N259</f>
        <v>14167</v>
      </c>
    </row>
    <row r="260" spans="1:15" ht="15.6" thickTop="1" thickBot="1" x14ac:dyDescent="0.35">
      <c r="A260" s="4">
        <v>259</v>
      </c>
      <c r="B260" s="12">
        <v>45422</v>
      </c>
      <c r="C260" s="11" t="str">
        <f t="shared" si="8"/>
        <v>May</v>
      </c>
      <c r="D260" s="5" t="s">
        <v>346</v>
      </c>
      <c r="E260" s="5" t="s">
        <v>31</v>
      </c>
      <c r="F260" s="5" t="s">
        <v>134</v>
      </c>
      <c r="G260" s="5" t="s">
        <v>14</v>
      </c>
      <c r="H260" s="5" t="s">
        <v>77</v>
      </c>
      <c r="I260" s="5" t="s">
        <v>51</v>
      </c>
      <c r="J260" s="5" t="s">
        <v>46</v>
      </c>
      <c r="K260" s="5">
        <v>9739</v>
      </c>
      <c r="L260" s="5">
        <v>947</v>
      </c>
      <c r="M260" s="6">
        <v>9222833</v>
      </c>
      <c r="N260" s="6">
        <v>9212459</v>
      </c>
      <c r="O260" s="6">
        <f t="shared" si="9"/>
        <v>10374</v>
      </c>
    </row>
    <row r="261" spans="1:15" ht="15.6" thickTop="1" thickBot="1" x14ac:dyDescent="0.35">
      <c r="A261" s="4">
        <v>260</v>
      </c>
      <c r="B261" s="12">
        <v>45424</v>
      </c>
      <c r="C261" s="11" t="str">
        <f t="shared" si="8"/>
        <v>May</v>
      </c>
      <c r="D261" s="5" t="s">
        <v>347</v>
      </c>
      <c r="E261" s="5" t="s">
        <v>31</v>
      </c>
      <c r="F261" s="5" t="s">
        <v>134</v>
      </c>
      <c r="G261" s="5" t="s">
        <v>14</v>
      </c>
      <c r="H261" s="5" t="s">
        <v>80</v>
      </c>
      <c r="I261" s="5" t="s">
        <v>51</v>
      </c>
      <c r="J261" s="5" t="s">
        <v>46</v>
      </c>
      <c r="K261" s="5">
        <v>1974</v>
      </c>
      <c r="L261" s="5">
        <v>575</v>
      </c>
      <c r="M261" s="6">
        <v>1135050</v>
      </c>
      <c r="N261" s="6">
        <v>1119254</v>
      </c>
      <c r="O261" s="6">
        <f t="shared" si="9"/>
        <v>15796</v>
      </c>
    </row>
    <row r="262" spans="1:15" ht="15.6" thickTop="1" thickBot="1" x14ac:dyDescent="0.35">
      <c r="A262" s="4">
        <v>261</v>
      </c>
      <c r="B262" s="12">
        <v>45426</v>
      </c>
      <c r="C262" s="11" t="str">
        <f t="shared" si="8"/>
        <v>May</v>
      </c>
      <c r="D262" s="5" t="s">
        <v>348</v>
      </c>
      <c r="E262" s="5" t="s">
        <v>31</v>
      </c>
      <c r="F262" s="5" t="s">
        <v>134</v>
      </c>
      <c r="G262" s="5" t="s">
        <v>27</v>
      </c>
      <c r="H262" s="5" t="s">
        <v>82</v>
      </c>
      <c r="I262" s="5" t="s">
        <v>29</v>
      </c>
      <c r="J262" s="5" t="s">
        <v>46</v>
      </c>
      <c r="K262" s="5">
        <v>7991</v>
      </c>
      <c r="L262" s="5">
        <v>910</v>
      </c>
      <c r="M262" s="6">
        <v>7271810</v>
      </c>
      <c r="N262" s="6">
        <v>7253882</v>
      </c>
      <c r="O262" s="6">
        <f t="shared" si="9"/>
        <v>17928</v>
      </c>
    </row>
    <row r="263" spans="1:15" ht="15.6" thickTop="1" thickBot="1" x14ac:dyDescent="0.35">
      <c r="A263" s="4">
        <v>262</v>
      </c>
      <c r="B263" s="12">
        <v>45428</v>
      </c>
      <c r="C263" s="11" t="str">
        <f t="shared" si="8"/>
        <v>May</v>
      </c>
      <c r="D263" s="5" t="s">
        <v>349</v>
      </c>
      <c r="E263" s="5" t="s">
        <v>31</v>
      </c>
      <c r="F263" s="5" t="s">
        <v>134</v>
      </c>
      <c r="G263" s="5" t="s">
        <v>27</v>
      </c>
      <c r="H263" s="5" t="s">
        <v>84</v>
      </c>
      <c r="I263" s="5" t="s">
        <v>29</v>
      </c>
      <c r="J263" s="5" t="s">
        <v>46</v>
      </c>
      <c r="K263" s="5">
        <v>1888</v>
      </c>
      <c r="L263" s="5">
        <v>682</v>
      </c>
      <c r="M263" s="6">
        <v>1287616</v>
      </c>
      <c r="N263" s="6">
        <v>1274143</v>
      </c>
      <c r="O263" s="6">
        <f t="shared" si="9"/>
        <v>13473</v>
      </c>
    </row>
    <row r="264" spans="1:15" ht="15.6" thickTop="1" thickBot="1" x14ac:dyDescent="0.35">
      <c r="A264" s="4">
        <v>263</v>
      </c>
      <c r="B264" s="12">
        <v>45431</v>
      </c>
      <c r="C264" s="11" t="str">
        <f t="shared" si="8"/>
        <v>May</v>
      </c>
      <c r="D264" s="5" t="s">
        <v>350</v>
      </c>
      <c r="E264" s="5" t="s">
        <v>31</v>
      </c>
      <c r="F264" s="5" t="s">
        <v>134</v>
      </c>
      <c r="G264" s="5" t="s">
        <v>14</v>
      </c>
      <c r="H264" s="5" t="s">
        <v>86</v>
      </c>
      <c r="I264" s="5" t="s">
        <v>45</v>
      </c>
      <c r="J264" s="5" t="s">
        <v>46</v>
      </c>
      <c r="K264" s="5">
        <v>3251</v>
      </c>
      <c r="L264" s="5">
        <v>720</v>
      </c>
      <c r="M264" s="6">
        <v>2340720</v>
      </c>
      <c r="N264" s="6">
        <v>2329240</v>
      </c>
      <c r="O264" s="6">
        <f t="shared" si="9"/>
        <v>11480</v>
      </c>
    </row>
    <row r="265" spans="1:15" ht="15.6" thickTop="1" thickBot="1" x14ac:dyDescent="0.35">
      <c r="A265" s="4">
        <v>264</v>
      </c>
      <c r="B265" s="12">
        <v>45434</v>
      </c>
      <c r="C265" s="11" t="str">
        <f t="shared" si="8"/>
        <v>May</v>
      </c>
      <c r="D265" s="5" t="s">
        <v>351</v>
      </c>
      <c r="E265" s="5" t="s">
        <v>31</v>
      </c>
      <c r="F265" s="5" t="s">
        <v>134</v>
      </c>
      <c r="G265" s="5" t="s">
        <v>14</v>
      </c>
      <c r="H265" s="5" t="s">
        <v>88</v>
      </c>
      <c r="I265" s="5" t="s">
        <v>51</v>
      </c>
      <c r="J265" s="5" t="s">
        <v>46</v>
      </c>
      <c r="K265" s="5">
        <v>7341</v>
      </c>
      <c r="L265" s="5">
        <v>848</v>
      </c>
      <c r="M265" s="6">
        <v>6225168</v>
      </c>
      <c r="N265" s="6">
        <v>6205451</v>
      </c>
      <c r="O265" s="6">
        <f t="shared" si="9"/>
        <v>19717</v>
      </c>
    </row>
    <row r="266" spans="1:15" ht="15.6" thickTop="1" thickBot="1" x14ac:dyDescent="0.35">
      <c r="A266" s="4">
        <v>265</v>
      </c>
      <c r="B266" s="12">
        <v>45437</v>
      </c>
      <c r="C266" s="11" t="str">
        <f t="shared" si="8"/>
        <v>May</v>
      </c>
      <c r="D266" s="5" t="s">
        <v>352</v>
      </c>
      <c r="E266" s="5" t="s">
        <v>31</v>
      </c>
      <c r="F266" s="5" t="s">
        <v>134</v>
      </c>
      <c r="G266" s="5" t="s">
        <v>23</v>
      </c>
      <c r="H266" s="5" t="s">
        <v>90</v>
      </c>
      <c r="I266" s="5" t="s">
        <v>91</v>
      </c>
      <c r="J266" s="5" t="s">
        <v>46</v>
      </c>
      <c r="K266" s="5">
        <v>7168</v>
      </c>
      <c r="L266" s="5">
        <v>642</v>
      </c>
      <c r="M266" s="6">
        <v>4601856</v>
      </c>
      <c r="N266" s="6">
        <v>4590194</v>
      </c>
      <c r="O266" s="6">
        <f t="shared" si="9"/>
        <v>11662</v>
      </c>
    </row>
    <row r="267" spans="1:15" ht="15.6" thickTop="1" thickBot="1" x14ac:dyDescent="0.35">
      <c r="A267" s="4">
        <v>266</v>
      </c>
      <c r="B267" s="12">
        <v>45445</v>
      </c>
      <c r="C267" s="11" t="str">
        <f t="shared" si="8"/>
        <v>June</v>
      </c>
      <c r="D267" s="5" t="s">
        <v>353</v>
      </c>
      <c r="E267" s="5" t="s">
        <v>31</v>
      </c>
      <c r="F267" s="5" t="s">
        <v>147</v>
      </c>
      <c r="G267" s="5" t="s">
        <v>27</v>
      </c>
      <c r="H267" s="5" t="s">
        <v>93</v>
      </c>
      <c r="I267" s="5" t="s">
        <v>94</v>
      </c>
      <c r="J267" s="5" t="s">
        <v>46</v>
      </c>
      <c r="K267" s="5">
        <v>8503</v>
      </c>
      <c r="L267" s="5">
        <v>591</v>
      </c>
      <c r="M267" s="6">
        <v>5025273</v>
      </c>
      <c r="N267" s="6">
        <v>5014507</v>
      </c>
      <c r="O267" s="6">
        <f t="shared" si="9"/>
        <v>10766</v>
      </c>
    </row>
    <row r="268" spans="1:15" ht="15.6" thickTop="1" thickBot="1" x14ac:dyDescent="0.35">
      <c r="A268" s="4">
        <v>267</v>
      </c>
      <c r="B268" s="12">
        <v>45448</v>
      </c>
      <c r="C268" s="11" t="str">
        <f t="shared" si="8"/>
        <v>June</v>
      </c>
      <c r="D268" s="5" t="s">
        <v>354</v>
      </c>
      <c r="E268" s="5" t="s">
        <v>31</v>
      </c>
      <c r="F268" s="5" t="s">
        <v>147</v>
      </c>
      <c r="G268" s="5" t="s">
        <v>19</v>
      </c>
      <c r="H268" s="5" t="s">
        <v>96</v>
      </c>
      <c r="I268" s="5" t="s">
        <v>21</v>
      </c>
      <c r="J268" s="5" t="s">
        <v>46</v>
      </c>
      <c r="K268" s="5">
        <v>3099</v>
      </c>
      <c r="L268" s="5">
        <v>601</v>
      </c>
      <c r="M268" s="6">
        <v>1862499</v>
      </c>
      <c r="N268" s="6">
        <v>1845887</v>
      </c>
      <c r="O268" s="6">
        <f t="shared" si="9"/>
        <v>16612</v>
      </c>
    </row>
    <row r="269" spans="1:15" ht="15.6" thickTop="1" thickBot="1" x14ac:dyDescent="0.35">
      <c r="A269" s="4">
        <v>268</v>
      </c>
      <c r="B269" s="12">
        <v>45451</v>
      </c>
      <c r="C269" s="11" t="str">
        <f t="shared" si="8"/>
        <v>June</v>
      </c>
      <c r="D269" s="5" t="s">
        <v>355</v>
      </c>
      <c r="E269" s="5" t="s">
        <v>31</v>
      </c>
      <c r="F269" s="5" t="s">
        <v>147</v>
      </c>
      <c r="G269" s="5" t="s">
        <v>14</v>
      </c>
      <c r="H269" s="5" t="s">
        <v>98</v>
      </c>
      <c r="I269" s="5" t="s">
        <v>99</v>
      </c>
      <c r="J269" s="5" t="s">
        <v>46</v>
      </c>
      <c r="K269" s="5">
        <v>2916</v>
      </c>
      <c r="L269" s="5">
        <v>767</v>
      </c>
      <c r="M269" s="6">
        <v>2236572</v>
      </c>
      <c r="N269" s="6">
        <v>2221033</v>
      </c>
      <c r="O269" s="6">
        <f t="shared" si="9"/>
        <v>15539</v>
      </c>
    </row>
    <row r="270" spans="1:15" ht="15.6" thickTop="1" thickBot="1" x14ac:dyDescent="0.35">
      <c r="A270" s="4">
        <v>269</v>
      </c>
      <c r="B270" s="12">
        <v>45454</v>
      </c>
      <c r="C270" s="11" t="str">
        <f t="shared" si="8"/>
        <v>June</v>
      </c>
      <c r="D270" s="5" t="s">
        <v>356</v>
      </c>
      <c r="E270" s="5" t="s">
        <v>31</v>
      </c>
      <c r="F270" s="5" t="s">
        <v>147</v>
      </c>
      <c r="G270" s="5" t="s">
        <v>14</v>
      </c>
      <c r="H270" s="5" t="s">
        <v>101</v>
      </c>
      <c r="I270" s="5" t="s">
        <v>102</v>
      </c>
      <c r="J270" s="5" t="s">
        <v>46</v>
      </c>
      <c r="K270" s="5">
        <v>5674</v>
      </c>
      <c r="L270" s="5">
        <v>975</v>
      </c>
      <c r="M270" s="6">
        <v>5532150</v>
      </c>
      <c r="N270" s="6">
        <v>5522090</v>
      </c>
      <c r="O270" s="6">
        <f t="shared" si="9"/>
        <v>10060</v>
      </c>
    </row>
    <row r="271" spans="1:15" ht="15.6" thickTop="1" thickBot="1" x14ac:dyDescent="0.35">
      <c r="A271" s="4">
        <v>270</v>
      </c>
      <c r="B271" s="12">
        <v>45426</v>
      </c>
      <c r="C271" s="11" t="str">
        <f t="shared" si="8"/>
        <v>May</v>
      </c>
      <c r="D271" s="5" t="s">
        <v>357</v>
      </c>
      <c r="E271" s="5" t="s">
        <v>31</v>
      </c>
      <c r="F271" s="5" t="s">
        <v>147</v>
      </c>
      <c r="G271" s="5" t="s">
        <v>104</v>
      </c>
      <c r="H271" s="5" t="s">
        <v>105</v>
      </c>
      <c r="I271" s="5" t="s">
        <v>106</v>
      </c>
      <c r="J271" s="5" t="s">
        <v>46</v>
      </c>
      <c r="K271" s="5">
        <v>4048</v>
      </c>
      <c r="L271" s="5">
        <v>713</v>
      </c>
      <c r="M271" s="6">
        <v>2886224</v>
      </c>
      <c r="N271" s="6">
        <v>2868514</v>
      </c>
      <c r="O271" s="6">
        <f t="shared" si="9"/>
        <v>17710</v>
      </c>
    </row>
    <row r="272" spans="1:15" ht="15.6" thickTop="1" thickBot="1" x14ac:dyDescent="0.35">
      <c r="A272" s="4">
        <v>271</v>
      </c>
      <c r="B272" s="12">
        <v>45428</v>
      </c>
      <c r="C272" s="11" t="str">
        <f t="shared" si="8"/>
        <v>May</v>
      </c>
      <c r="D272" s="5" t="s">
        <v>358</v>
      </c>
      <c r="E272" s="5" t="s">
        <v>31</v>
      </c>
      <c r="F272" s="5" t="s">
        <v>147</v>
      </c>
      <c r="G272" s="5" t="s">
        <v>14</v>
      </c>
      <c r="H272" s="5" t="s">
        <v>108</v>
      </c>
      <c r="I272" s="5" t="s">
        <v>109</v>
      </c>
      <c r="J272" s="5" t="s">
        <v>16</v>
      </c>
      <c r="K272" s="5">
        <v>1663</v>
      </c>
      <c r="L272" s="5">
        <v>659</v>
      </c>
      <c r="M272" s="6">
        <v>1095917</v>
      </c>
      <c r="N272" s="6">
        <v>1076777</v>
      </c>
      <c r="O272" s="6">
        <f t="shared" si="9"/>
        <v>19140</v>
      </c>
    </row>
    <row r="273" spans="1:15" ht="15.6" thickTop="1" thickBot="1" x14ac:dyDescent="0.35">
      <c r="A273" s="4">
        <v>272</v>
      </c>
      <c r="B273" s="12">
        <v>45431</v>
      </c>
      <c r="C273" s="11" t="str">
        <f t="shared" si="8"/>
        <v>May</v>
      </c>
      <c r="D273" s="5" t="s">
        <v>359</v>
      </c>
      <c r="E273" s="5" t="s">
        <v>31</v>
      </c>
      <c r="F273" s="5" t="s">
        <v>147</v>
      </c>
      <c r="G273" s="5" t="s">
        <v>57</v>
      </c>
      <c r="H273" s="5" t="s">
        <v>111</v>
      </c>
      <c r="I273" s="5" t="s">
        <v>112</v>
      </c>
      <c r="J273" s="5" t="s">
        <v>16</v>
      </c>
      <c r="K273" s="5">
        <v>9541</v>
      </c>
      <c r="L273" s="5">
        <v>984</v>
      </c>
      <c r="M273" s="6">
        <v>9388344</v>
      </c>
      <c r="N273" s="6">
        <v>9377536</v>
      </c>
      <c r="O273" s="6">
        <f t="shared" si="9"/>
        <v>10808</v>
      </c>
    </row>
    <row r="274" spans="1:15" ht="15.6" thickTop="1" thickBot="1" x14ac:dyDescent="0.35">
      <c r="A274" s="4">
        <v>273</v>
      </c>
      <c r="B274" s="12">
        <v>45434</v>
      </c>
      <c r="C274" s="11" t="str">
        <f t="shared" si="8"/>
        <v>May</v>
      </c>
      <c r="D274" s="5" t="s">
        <v>360</v>
      </c>
      <c r="E274" s="5" t="s">
        <v>31</v>
      </c>
      <c r="F274" s="5" t="s">
        <v>147</v>
      </c>
      <c r="G274" s="5" t="s">
        <v>23</v>
      </c>
      <c r="H274" s="5" t="s">
        <v>114</v>
      </c>
      <c r="I274" s="5" t="s">
        <v>25</v>
      </c>
      <c r="J274" s="5" t="s">
        <v>16</v>
      </c>
      <c r="K274" s="5">
        <v>3649</v>
      </c>
      <c r="L274" s="5">
        <v>503</v>
      </c>
      <c r="M274" s="6">
        <v>1835447</v>
      </c>
      <c r="N274" s="6">
        <v>1820218</v>
      </c>
      <c r="O274" s="6">
        <f t="shared" si="9"/>
        <v>15229</v>
      </c>
    </row>
    <row r="275" spans="1:15" ht="15.6" thickTop="1" thickBot="1" x14ac:dyDescent="0.35">
      <c r="A275" s="4">
        <v>274</v>
      </c>
      <c r="B275" s="12">
        <v>45437</v>
      </c>
      <c r="C275" s="11" t="str">
        <f t="shared" si="8"/>
        <v>May</v>
      </c>
      <c r="D275" s="5" t="s">
        <v>361</v>
      </c>
      <c r="E275" s="5" t="s">
        <v>31</v>
      </c>
      <c r="F275" s="5" t="s">
        <v>147</v>
      </c>
      <c r="G275" s="5" t="s">
        <v>23</v>
      </c>
      <c r="H275" s="5" t="s">
        <v>24</v>
      </c>
      <c r="I275" s="5" t="s">
        <v>25</v>
      </c>
      <c r="J275" s="5" t="s">
        <v>16</v>
      </c>
      <c r="K275" s="5">
        <v>1737</v>
      </c>
      <c r="L275" s="5">
        <v>571</v>
      </c>
      <c r="M275" s="6">
        <v>991827</v>
      </c>
      <c r="N275" s="6">
        <v>975112</v>
      </c>
      <c r="O275" s="6">
        <f t="shared" si="9"/>
        <v>16715</v>
      </c>
    </row>
    <row r="276" spans="1:15" ht="15.6" thickTop="1" thickBot="1" x14ac:dyDescent="0.35">
      <c r="A276" s="4">
        <v>275</v>
      </c>
      <c r="B276" s="12">
        <v>45445</v>
      </c>
      <c r="C276" s="11" t="str">
        <f t="shared" si="8"/>
        <v>June</v>
      </c>
      <c r="D276" s="5" t="s">
        <v>362</v>
      </c>
      <c r="E276" s="5" t="s">
        <v>31</v>
      </c>
      <c r="F276" s="5" t="s">
        <v>147</v>
      </c>
      <c r="G276" s="5" t="s">
        <v>57</v>
      </c>
      <c r="H276" s="5" t="s">
        <v>118</v>
      </c>
      <c r="I276" s="5" t="s">
        <v>59</v>
      </c>
      <c r="J276" s="5" t="s">
        <v>16</v>
      </c>
      <c r="K276" s="5">
        <v>7995</v>
      </c>
      <c r="L276" s="5">
        <v>910</v>
      </c>
      <c r="M276" s="6">
        <v>7275450</v>
      </c>
      <c r="N276" s="6">
        <v>7264479</v>
      </c>
      <c r="O276" s="6">
        <f t="shared" si="9"/>
        <v>10971</v>
      </c>
    </row>
    <row r="277" spans="1:15" ht="15.6" thickTop="1" thickBot="1" x14ac:dyDescent="0.35">
      <c r="A277" s="4">
        <v>276</v>
      </c>
      <c r="B277" s="12">
        <v>45448</v>
      </c>
      <c r="C277" s="11" t="str">
        <f t="shared" si="8"/>
        <v>June</v>
      </c>
      <c r="D277" s="5" t="s">
        <v>363</v>
      </c>
      <c r="E277" s="5" t="s">
        <v>31</v>
      </c>
      <c r="F277" s="5" t="s">
        <v>147</v>
      </c>
      <c r="G277" s="5" t="s">
        <v>23</v>
      </c>
      <c r="H277" s="5" t="s">
        <v>120</v>
      </c>
      <c r="I277" s="5" t="s">
        <v>91</v>
      </c>
      <c r="J277" s="5" t="s">
        <v>46</v>
      </c>
      <c r="K277" s="5">
        <v>5228</v>
      </c>
      <c r="L277" s="5">
        <v>781</v>
      </c>
      <c r="M277" s="6">
        <v>4083068</v>
      </c>
      <c r="N277" s="6">
        <v>4064818</v>
      </c>
      <c r="O277" s="6">
        <f t="shared" si="9"/>
        <v>18250</v>
      </c>
    </row>
    <row r="278" spans="1:15" ht="15.6" thickTop="1" thickBot="1" x14ac:dyDescent="0.35">
      <c r="A278" s="4">
        <v>277</v>
      </c>
      <c r="B278" s="12">
        <v>45451</v>
      </c>
      <c r="C278" s="11" t="str">
        <f t="shared" si="8"/>
        <v>June</v>
      </c>
      <c r="D278" s="5" t="s">
        <v>364</v>
      </c>
      <c r="E278" s="5" t="s">
        <v>159</v>
      </c>
      <c r="F278" s="5" t="s">
        <v>160</v>
      </c>
      <c r="G278" s="5" t="s">
        <v>23</v>
      </c>
      <c r="H278" s="5" t="s">
        <v>122</v>
      </c>
      <c r="I278" s="5" t="s">
        <v>25</v>
      </c>
      <c r="J278" s="5" t="s">
        <v>46</v>
      </c>
      <c r="K278" s="5">
        <v>7710</v>
      </c>
      <c r="L278" s="5">
        <v>954</v>
      </c>
      <c r="M278" s="6">
        <v>7355340</v>
      </c>
      <c r="N278" s="6">
        <v>7344548</v>
      </c>
      <c r="O278" s="6">
        <f t="shared" si="9"/>
        <v>10792</v>
      </c>
    </row>
    <row r="279" spans="1:15" ht="15.6" thickTop="1" thickBot="1" x14ac:dyDescent="0.35">
      <c r="A279" s="4">
        <v>278</v>
      </c>
      <c r="B279" s="12">
        <v>45454</v>
      </c>
      <c r="C279" s="11" t="str">
        <f t="shared" si="8"/>
        <v>June</v>
      </c>
      <c r="D279" s="5" t="s">
        <v>365</v>
      </c>
      <c r="E279" s="5" t="s">
        <v>159</v>
      </c>
      <c r="F279" s="5" t="s">
        <v>160</v>
      </c>
      <c r="G279" s="5" t="s">
        <v>27</v>
      </c>
      <c r="H279" s="5" t="s">
        <v>124</v>
      </c>
      <c r="I279" s="5" t="s">
        <v>34</v>
      </c>
      <c r="J279" s="5" t="s">
        <v>46</v>
      </c>
      <c r="K279" s="5">
        <v>3333</v>
      </c>
      <c r="L279" s="5">
        <v>945</v>
      </c>
      <c r="M279" s="6">
        <v>3149685</v>
      </c>
      <c r="N279" s="6">
        <v>3130448</v>
      </c>
      <c r="O279" s="6">
        <f t="shared" si="9"/>
        <v>19237</v>
      </c>
    </row>
    <row r="280" spans="1:15" ht="15.6" thickTop="1" thickBot="1" x14ac:dyDescent="0.35">
      <c r="A280" s="4">
        <v>279</v>
      </c>
      <c r="B280" s="12">
        <v>45456</v>
      </c>
      <c r="C280" s="11" t="str">
        <f t="shared" si="8"/>
        <v>June</v>
      </c>
      <c r="D280" s="5" t="s">
        <v>366</v>
      </c>
      <c r="E280" s="5" t="s">
        <v>159</v>
      </c>
      <c r="F280" s="5" t="s">
        <v>160</v>
      </c>
      <c r="G280" s="5" t="s">
        <v>14</v>
      </c>
      <c r="H280" s="5" t="s">
        <v>15</v>
      </c>
      <c r="I280" s="5" t="s">
        <v>15</v>
      </c>
      <c r="J280" s="5" t="s">
        <v>46</v>
      </c>
      <c r="K280" s="5">
        <v>9277</v>
      </c>
      <c r="L280" s="5">
        <v>839</v>
      </c>
      <c r="M280" s="6">
        <v>7783403</v>
      </c>
      <c r="N280" s="6">
        <v>7765438</v>
      </c>
      <c r="O280" s="6">
        <f t="shared" si="9"/>
        <v>17965</v>
      </c>
    </row>
    <row r="281" spans="1:15" ht="15.6" thickTop="1" thickBot="1" x14ac:dyDescent="0.35">
      <c r="A281" s="4">
        <v>280</v>
      </c>
      <c r="B281" s="12">
        <v>45458</v>
      </c>
      <c r="C281" s="11" t="str">
        <f t="shared" si="8"/>
        <v>June</v>
      </c>
      <c r="D281" s="5" t="s">
        <v>367</v>
      </c>
      <c r="E281" s="5" t="s">
        <v>159</v>
      </c>
      <c r="F281" s="5" t="s">
        <v>160</v>
      </c>
      <c r="G281" s="5" t="s">
        <v>19</v>
      </c>
      <c r="H281" s="5" t="s">
        <v>20</v>
      </c>
      <c r="I281" s="5" t="s">
        <v>21</v>
      </c>
      <c r="J281" s="5" t="s">
        <v>46</v>
      </c>
      <c r="K281" s="5">
        <v>4277</v>
      </c>
      <c r="L281" s="5">
        <v>857</v>
      </c>
      <c r="M281" s="6">
        <v>3665389</v>
      </c>
      <c r="N281" s="6">
        <v>3650678</v>
      </c>
      <c r="O281" s="6">
        <f t="shared" si="9"/>
        <v>14711</v>
      </c>
    </row>
    <row r="282" spans="1:15" ht="15.6" thickTop="1" thickBot="1" x14ac:dyDescent="0.35">
      <c r="A282" s="4">
        <v>281</v>
      </c>
      <c r="B282" s="12">
        <v>45460</v>
      </c>
      <c r="C282" s="11" t="str">
        <f t="shared" si="8"/>
        <v>June</v>
      </c>
      <c r="D282" s="5" t="s">
        <v>368</v>
      </c>
      <c r="E282" s="5" t="s">
        <v>159</v>
      </c>
      <c r="F282" s="5" t="s">
        <v>160</v>
      </c>
      <c r="G282" s="5" t="s">
        <v>14</v>
      </c>
      <c r="H282" s="5" t="s">
        <v>108</v>
      </c>
      <c r="I282" s="5" t="s">
        <v>109</v>
      </c>
      <c r="J282" s="5" t="s">
        <v>46</v>
      </c>
      <c r="K282" s="5">
        <v>1696</v>
      </c>
      <c r="L282" s="5">
        <v>868</v>
      </c>
      <c r="M282" s="6">
        <v>1472128</v>
      </c>
      <c r="N282" s="6">
        <v>1460331</v>
      </c>
      <c r="O282" s="6">
        <f t="shared" si="9"/>
        <v>11797</v>
      </c>
    </row>
    <row r="283" spans="1:15" ht="15.6" thickTop="1" thickBot="1" x14ac:dyDescent="0.35">
      <c r="A283" s="4">
        <v>282</v>
      </c>
      <c r="B283" s="12">
        <v>45463</v>
      </c>
      <c r="C283" s="11" t="str">
        <f t="shared" si="8"/>
        <v>June</v>
      </c>
      <c r="D283" s="5" t="s">
        <v>369</v>
      </c>
      <c r="E283" s="5" t="s">
        <v>159</v>
      </c>
      <c r="F283" s="5" t="s">
        <v>160</v>
      </c>
      <c r="G283" s="5" t="s">
        <v>57</v>
      </c>
      <c r="H283" s="5" t="s">
        <v>111</v>
      </c>
      <c r="I283" s="5" t="s">
        <v>112</v>
      </c>
      <c r="J283" s="5" t="s">
        <v>46</v>
      </c>
      <c r="K283" s="5">
        <v>7071</v>
      </c>
      <c r="L283" s="5">
        <v>778</v>
      </c>
      <c r="M283" s="6">
        <v>5501238</v>
      </c>
      <c r="N283" s="6">
        <v>5484007</v>
      </c>
      <c r="O283" s="6">
        <f t="shared" si="9"/>
        <v>17231</v>
      </c>
    </row>
    <row r="284" spans="1:15" ht="15.6" thickTop="1" thickBot="1" x14ac:dyDescent="0.35">
      <c r="A284" s="4">
        <v>283</v>
      </c>
      <c r="B284" s="12">
        <v>45466</v>
      </c>
      <c r="C284" s="11" t="str">
        <f t="shared" si="8"/>
        <v>June</v>
      </c>
      <c r="D284" s="5" t="s">
        <v>370</v>
      </c>
      <c r="E284" s="5" t="s">
        <v>159</v>
      </c>
      <c r="F284" s="5" t="s">
        <v>160</v>
      </c>
      <c r="G284" s="5" t="s">
        <v>23</v>
      </c>
      <c r="H284" s="5" t="s">
        <v>114</v>
      </c>
      <c r="I284" s="5" t="s">
        <v>25</v>
      </c>
      <c r="J284" s="5" t="s">
        <v>16</v>
      </c>
      <c r="K284" s="5">
        <v>2536</v>
      </c>
      <c r="L284" s="5">
        <v>798</v>
      </c>
      <c r="M284" s="6">
        <v>2023728</v>
      </c>
      <c r="N284" s="6">
        <v>2006739</v>
      </c>
      <c r="O284" s="6">
        <f t="shared" si="9"/>
        <v>16989</v>
      </c>
    </row>
    <row r="285" spans="1:15" ht="15.6" thickTop="1" thickBot="1" x14ac:dyDescent="0.35">
      <c r="A285" s="4">
        <v>284</v>
      </c>
      <c r="B285" s="12">
        <v>45471</v>
      </c>
      <c r="C285" s="11" t="str">
        <f t="shared" si="8"/>
        <v>June</v>
      </c>
      <c r="D285" s="5" t="s">
        <v>371</v>
      </c>
      <c r="E285" s="5" t="s">
        <v>31</v>
      </c>
      <c r="F285" s="5" t="s">
        <v>134</v>
      </c>
      <c r="G285" s="5" t="s">
        <v>19</v>
      </c>
      <c r="H285" s="5" t="s">
        <v>75</v>
      </c>
      <c r="I285" s="5" t="s">
        <v>40</v>
      </c>
      <c r="J285" s="5" t="s">
        <v>16</v>
      </c>
      <c r="K285" s="5">
        <v>7823</v>
      </c>
      <c r="L285" s="5">
        <v>833</v>
      </c>
      <c r="M285" s="6">
        <v>6516559</v>
      </c>
      <c r="N285" s="6">
        <v>6501093</v>
      </c>
      <c r="O285" s="6">
        <f t="shared" si="9"/>
        <v>15466</v>
      </c>
    </row>
    <row r="286" spans="1:15" ht="15.6" thickTop="1" thickBot="1" x14ac:dyDescent="0.35">
      <c r="A286" s="4">
        <v>285</v>
      </c>
      <c r="B286" s="12">
        <v>45474</v>
      </c>
      <c r="C286" s="11" t="str">
        <f t="shared" si="8"/>
        <v>July</v>
      </c>
      <c r="D286" s="5" t="s">
        <v>372</v>
      </c>
      <c r="E286" s="5" t="s">
        <v>31</v>
      </c>
      <c r="F286" s="5" t="s">
        <v>134</v>
      </c>
      <c r="G286" s="5" t="s">
        <v>14</v>
      </c>
      <c r="H286" s="5" t="s">
        <v>77</v>
      </c>
      <c r="I286" s="5" t="s">
        <v>51</v>
      </c>
      <c r="J286" s="5" t="s">
        <v>16</v>
      </c>
      <c r="K286" s="5">
        <v>7275</v>
      </c>
      <c r="L286" s="5">
        <v>776</v>
      </c>
      <c r="M286" s="6">
        <v>5645400</v>
      </c>
      <c r="N286" s="6">
        <v>5630382</v>
      </c>
      <c r="O286" s="6">
        <f t="shared" si="9"/>
        <v>15018</v>
      </c>
    </row>
    <row r="287" spans="1:15" ht="15.6" thickTop="1" thickBot="1" x14ac:dyDescent="0.35">
      <c r="A287" s="4">
        <v>286</v>
      </c>
      <c r="B287" s="12">
        <v>45477</v>
      </c>
      <c r="C287" s="11" t="str">
        <f t="shared" si="8"/>
        <v>July</v>
      </c>
      <c r="D287" s="5" t="s">
        <v>373</v>
      </c>
      <c r="E287" s="5" t="s">
        <v>31</v>
      </c>
      <c r="F287" s="5" t="s">
        <v>134</v>
      </c>
      <c r="G287" s="5" t="s">
        <v>14</v>
      </c>
      <c r="H287" s="5" t="s">
        <v>80</v>
      </c>
      <c r="I287" s="5" t="s">
        <v>51</v>
      </c>
      <c r="J287" s="5" t="s">
        <v>16</v>
      </c>
      <c r="K287" s="5">
        <v>8910</v>
      </c>
      <c r="L287" s="5">
        <v>529</v>
      </c>
      <c r="M287" s="6">
        <v>4713390</v>
      </c>
      <c r="N287" s="6">
        <v>4696541</v>
      </c>
      <c r="O287" s="6">
        <f t="shared" si="9"/>
        <v>16849</v>
      </c>
    </row>
    <row r="288" spans="1:15" ht="15.6" thickTop="1" thickBot="1" x14ac:dyDescent="0.35">
      <c r="A288" s="4">
        <v>287</v>
      </c>
      <c r="B288" s="12">
        <v>45479</v>
      </c>
      <c r="C288" s="11" t="str">
        <f t="shared" si="8"/>
        <v>July</v>
      </c>
      <c r="D288" s="5" t="s">
        <v>374</v>
      </c>
      <c r="E288" s="5" t="s">
        <v>31</v>
      </c>
      <c r="F288" s="5" t="s">
        <v>134</v>
      </c>
      <c r="G288" s="5" t="s">
        <v>27</v>
      </c>
      <c r="H288" s="5" t="s">
        <v>82</v>
      </c>
      <c r="I288" s="5" t="s">
        <v>29</v>
      </c>
      <c r="J288" s="5" t="s">
        <v>46</v>
      </c>
      <c r="K288" s="5">
        <v>2683</v>
      </c>
      <c r="L288" s="5">
        <v>705</v>
      </c>
      <c r="M288" s="6">
        <v>1891515</v>
      </c>
      <c r="N288" s="6">
        <v>1873378</v>
      </c>
      <c r="O288" s="6">
        <f t="shared" si="9"/>
        <v>18137</v>
      </c>
    </row>
    <row r="289" spans="1:15" ht="15.6" thickTop="1" thickBot="1" x14ac:dyDescent="0.35">
      <c r="A289" s="4">
        <v>288</v>
      </c>
      <c r="B289" s="12">
        <v>45483</v>
      </c>
      <c r="C289" s="11" t="str">
        <f t="shared" si="8"/>
        <v>July</v>
      </c>
      <c r="D289" s="5" t="s">
        <v>375</v>
      </c>
      <c r="E289" s="5" t="s">
        <v>31</v>
      </c>
      <c r="F289" s="5" t="s">
        <v>134</v>
      </c>
      <c r="G289" s="5" t="s">
        <v>27</v>
      </c>
      <c r="H289" s="5" t="s">
        <v>84</v>
      </c>
      <c r="I289" s="5" t="s">
        <v>29</v>
      </c>
      <c r="J289" s="5" t="s">
        <v>16</v>
      </c>
      <c r="K289" s="5">
        <v>7046</v>
      </c>
      <c r="L289" s="5">
        <v>576</v>
      </c>
      <c r="M289" s="6">
        <v>4058496</v>
      </c>
      <c r="N289" s="6">
        <v>4046754</v>
      </c>
      <c r="O289" s="6">
        <f t="shared" si="9"/>
        <v>11742</v>
      </c>
    </row>
    <row r="290" spans="1:15" ht="15.6" thickTop="1" thickBot="1" x14ac:dyDescent="0.35">
      <c r="A290" s="4">
        <v>289</v>
      </c>
      <c r="B290" s="12">
        <v>45487</v>
      </c>
      <c r="C290" s="11" t="str">
        <f t="shared" si="8"/>
        <v>July</v>
      </c>
      <c r="D290" s="5" t="s">
        <v>376</v>
      </c>
      <c r="E290" s="5" t="s">
        <v>31</v>
      </c>
      <c r="F290" s="5" t="s">
        <v>147</v>
      </c>
      <c r="G290" s="5" t="s">
        <v>14</v>
      </c>
      <c r="H290" s="5" t="s">
        <v>86</v>
      </c>
      <c r="I290" s="5" t="s">
        <v>45</v>
      </c>
      <c r="J290" s="5" t="s">
        <v>16</v>
      </c>
      <c r="K290" s="5">
        <v>9395</v>
      </c>
      <c r="L290" s="5">
        <v>922</v>
      </c>
      <c r="M290" s="6">
        <v>8662190</v>
      </c>
      <c r="N290" s="6">
        <v>8647865</v>
      </c>
      <c r="O290" s="6">
        <f t="shared" si="9"/>
        <v>14325</v>
      </c>
    </row>
    <row r="291" spans="1:15" ht="15.6" thickTop="1" thickBot="1" x14ac:dyDescent="0.35">
      <c r="A291" s="4">
        <v>290</v>
      </c>
      <c r="B291" s="12">
        <v>45490</v>
      </c>
      <c r="C291" s="11" t="str">
        <f t="shared" si="8"/>
        <v>July</v>
      </c>
      <c r="D291" s="5" t="s">
        <v>377</v>
      </c>
      <c r="E291" s="5" t="s">
        <v>31</v>
      </c>
      <c r="F291" s="5" t="s">
        <v>147</v>
      </c>
      <c r="G291" s="5" t="s">
        <v>14</v>
      </c>
      <c r="H291" s="5" t="s">
        <v>88</v>
      </c>
      <c r="I291" s="5" t="s">
        <v>51</v>
      </c>
      <c r="J291" s="5" t="s">
        <v>16</v>
      </c>
      <c r="K291" s="5">
        <v>5242</v>
      </c>
      <c r="L291" s="5">
        <v>838</v>
      </c>
      <c r="M291" s="6">
        <v>4392796</v>
      </c>
      <c r="N291" s="6">
        <v>4377042</v>
      </c>
      <c r="O291" s="6">
        <f t="shared" si="9"/>
        <v>15754</v>
      </c>
    </row>
    <row r="292" spans="1:15" ht="15.6" thickTop="1" thickBot="1" x14ac:dyDescent="0.35">
      <c r="A292" s="4">
        <v>291</v>
      </c>
      <c r="B292" s="12">
        <v>45494</v>
      </c>
      <c r="C292" s="11" t="str">
        <f t="shared" si="8"/>
        <v>July</v>
      </c>
      <c r="D292" s="5" t="s">
        <v>378</v>
      </c>
      <c r="E292" s="5" t="s">
        <v>31</v>
      </c>
      <c r="F292" s="5" t="s">
        <v>147</v>
      </c>
      <c r="G292" s="5" t="s">
        <v>23</v>
      </c>
      <c r="H292" s="5" t="s">
        <v>90</v>
      </c>
      <c r="I292" s="5" t="s">
        <v>91</v>
      </c>
      <c r="J292" s="5" t="s">
        <v>16</v>
      </c>
      <c r="K292" s="5">
        <v>9909</v>
      </c>
      <c r="L292" s="5">
        <v>657</v>
      </c>
      <c r="M292" s="6">
        <v>6510213</v>
      </c>
      <c r="N292" s="6">
        <v>6496654</v>
      </c>
      <c r="O292" s="6">
        <f t="shared" si="9"/>
        <v>13559</v>
      </c>
    </row>
    <row r="293" spans="1:15" ht="15.6" thickTop="1" thickBot="1" x14ac:dyDescent="0.35">
      <c r="A293" s="4">
        <v>292</v>
      </c>
      <c r="B293" s="12">
        <v>45506</v>
      </c>
      <c r="C293" s="11" t="str">
        <f t="shared" si="8"/>
        <v>August</v>
      </c>
      <c r="D293" s="5" t="s">
        <v>379</v>
      </c>
      <c r="E293" s="5" t="s">
        <v>31</v>
      </c>
      <c r="F293" s="5" t="s">
        <v>147</v>
      </c>
      <c r="G293" s="5" t="s">
        <v>27</v>
      </c>
      <c r="H293" s="5" t="s">
        <v>93</v>
      </c>
      <c r="I293" s="5" t="s">
        <v>94</v>
      </c>
      <c r="J293" s="5" t="s">
        <v>46</v>
      </c>
      <c r="K293" s="5">
        <v>2005</v>
      </c>
      <c r="L293" s="5">
        <v>748</v>
      </c>
      <c r="M293" s="6">
        <v>1499740</v>
      </c>
      <c r="N293" s="6">
        <v>1480057</v>
      </c>
      <c r="O293" s="6">
        <f t="shared" si="9"/>
        <v>19683</v>
      </c>
    </row>
    <row r="294" spans="1:15" ht="15.6" thickTop="1" thickBot="1" x14ac:dyDescent="0.35">
      <c r="A294" s="4">
        <v>293</v>
      </c>
      <c r="B294" s="12">
        <v>45541</v>
      </c>
      <c r="C294" s="11" t="str">
        <f t="shared" si="8"/>
        <v>September</v>
      </c>
      <c r="D294" s="5" t="s">
        <v>380</v>
      </c>
      <c r="E294" s="5" t="s">
        <v>31</v>
      </c>
      <c r="F294" s="5" t="s">
        <v>147</v>
      </c>
      <c r="G294" s="5" t="s">
        <v>19</v>
      </c>
      <c r="H294" s="5" t="s">
        <v>96</v>
      </c>
      <c r="I294" s="5" t="s">
        <v>21</v>
      </c>
      <c r="J294" s="5" t="s">
        <v>46</v>
      </c>
      <c r="K294" s="5">
        <v>1891</v>
      </c>
      <c r="L294" s="5">
        <v>953</v>
      </c>
      <c r="M294" s="6">
        <v>1802123</v>
      </c>
      <c r="N294" s="6">
        <v>1791213</v>
      </c>
      <c r="O294" s="6">
        <f t="shared" si="9"/>
        <v>10910</v>
      </c>
    </row>
    <row r="295" spans="1:15" ht="15.6" thickTop="1" thickBot="1" x14ac:dyDescent="0.35">
      <c r="A295" s="4">
        <v>294</v>
      </c>
      <c r="B295" s="12">
        <v>45545</v>
      </c>
      <c r="C295" s="11" t="str">
        <f t="shared" si="8"/>
        <v>September</v>
      </c>
      <c r="D295" s="5" t="s">
        <v>381</v>
      </c>
      <c r="E295" s="5" t="s">
        <v>31</v>
      </c>
      <c r="F295" s="5" t="s">
        <v>147</v>
      </c>
      <c r="G295" s="5" t="s">
        <v>14</v>
      </c>
      <c r="H295" s="5" t="s">
        <v>98</v>
      </c>
      <c r="I295" s="5" t="s">
        <v>99</v>
      </c>
      <c r="J295" s="5" t="s">
        <v>46</v>
      </c>
      <c r="K295" s="5">
        <v>6839</v>
      </c>
      <c r="L295" s="5">
        <v>909</v>
      </c>
      <c r="M295" s="6">
        <v>6216651</v>
      </c>
      <c r="N295" s="6">
        <v>6202822</v>
      </c>
      <c r="O295" s="6">
        <f t="shared" si="9"/>
        <v>13829</v>
      </c>
    </row>
    <row r="296" spans="1:15" ht="15.6" thickTop="1" thickBot="1" x14ac:dyDescent="0.35">
      <c r="A296" s="4">
        <v>295</v>
      </c>
      <c r="B296" s="12">
        <v>45548</v>
      </c>
      <c r="C296" s="11" t="str">
        <f t="shared" si="8"/>
        <v>September</v>
      </c>
      <c r="D296" s="5" t="s">
        <v>271</v>
      </c>
      <c r="E296" s="5" t="s">
        <v>159</v>
      </c>
      <c r="F296" s="5" t="s">
        <v>179</v>
      </c>
      <c r="G296" s="5" t="s">
        <v>14</v>
      </c>
      <c r="H296" s="5" t="s">
        <v>101</v>
      </c>
      <c r="I296" s="5" t="s">
        <v>102</v>
      </c>
      <c r="J296" s="5" t="s">
        <v>46</v>
      </c>
      <c r="K296" s="5">
        <v>8854</v>
      </c>
      <c r="L296" s="5">
        <v>944</v>
      </c>
      <c r="M296" s="6">
        <v>8358176</v>
      </c>
      <c r="N296" s="6">
        <v>8341405</v>
      </c>
      <c r="O296" s="6">
        <f t="shared" si="9"/>
        <v>16771</v>
      </c>
    </row>
    <row r="297" spans="1:15" ht="15.6" thickTop="1" thickBot="1" x14ac:dyDescent="0.35">
      <c r="A297" s="4">
        <v>296</v>
      </c>
      <c r="B297" s="12">
        <v>45551</v>
      </c>
      <c r="C297" s="11" t="str">
        <f t="shared" si="8"/>
        <v>September</v>
      </c>
      <c r="D297" s="5" t="s">
        <v>382</v>
      </c>
      <c r="E297" s="5" t="s">
        <v>159</v>
      </c>
      <c r="F297" s="5" t="s">
        <v>179</v>
      </c>
      <c r="G297" s="5" t="s">
        <v>104</v>
      </c>
      <c r="H297" s="5" t="s">
        <v>105</v>
      </c>
      <c r="I297" s="5" t="s">
        <v>106</v>
      </c>
      <c r="J297" s="5" t="s">
        <v>46</v>
      </c>
      <c r="K297" s="5">
        <v>8143</v>
      </c>
      <c r="L297" s="5">
        <v>786</v>
      </c>
      <c r="M297" s="6">
        <v>6400398</v>
      </c>
      <c r="N297" s="6">
        <v>6381584</v>
      </c>
      <c r="O297" s="6">
        <f t="shared" si="9"/>
        <v>18814</v>
      </c>
    </row>
    <row r="298" spans="1:15" ht="15.6" thickTop="1" thickBot="1" x14ac:dyDescent="0.35">
      <c r="A298" s="4">
        <v>297</v>
      </c>
      <c r="B298" s="12">
        <v>45554</v>
      </c>
      <c r="C298" s="11" t="str">
        <f t="shared" si="8"/>
        <v>September</v>
      </c>
      <c r="D298" s="5" t="s">
        <v>383</v>
      </c>
      <c r="E298" s="5" t="s">
        <v>159</v>
      </c>
      <c r="F298" s="5" t="s">
        <v>179</v>
      </c>
      <c r="G298" s="5" t="s">
        <v>14</v>
      </c>
      <c r="H298" s="5" t="s">
        <v>108</v>
      </c>
      <c r="I298" s="5" t="s">
        <v>109</v>
      </c>
      <c r="J298" s="5" t="s">
        <v>46</v>
      </c>
      <c r="K298" s="5">
        <v>8069</v>
      </c>
      <c r="L298" s="5">
        <v>553</v>
      </c>
      <c r="M298" s="6">
        <v>4462157</v>
      </c>
      <c r="N298" s="6">
        <v>4452081</v>
      </c>
      <c r="O298" s="6">
        <f t="shared" si="9"/>
        <v>10076</v>
      </c>
    </row>
    <row r="299" spans="1:15" ht="15.6" thickTop="1" thickBot="1" x14ac:dyDescent="0.35">
      <c r="A299" s="4">
        <v>298</v>
      </c>
      <c r="B299" s="12">
        <v>45558</v>
      </c>
      <c r="C299" s="11" t="str">
        <f t="shared" si="8"/>
        <v>September</v>
      </c>
      <c r="D299" s="5" t="s">
        <v>231</v>
      </c>
      <c r="E299" s="5" t="s">
        <v>159</v>
      </c>
      <c r="F299" s="5" t="s">
        <v>179</v>
      </c>
      <c r="G299" s="5" t="s">
        <v>57</v>
      </c>
      <c r="H299" s="5" t="s">
        <v>111</v>
      </c>
      <c r="I299" s="5" t="s">
        <v>112</v>
      </c>
      <c r="J299" s="5" t="s">
        <v>46</v>
      </c>
      <c r="K299" s="5">
        <v>2268</v>
      </c>
      <c r="L299" s="5">
        <v>911</v>
      </c>
      <c r="M299" s="6">
        <v>2066148</v>
      </c>
      <c r="N299" s="6">
        <v>2048522</v>
      </c>
      <c r="O299" s="6">
        <f t="shared" si="9"/>
        <v>17626</v>
      </c>
    </row>
    <row r="300" spans="1:15" ht="15.6" thickTop="1" thickBot="1" x14ac:dyDescent="0.35">
      <c r="A300" s="4">
        <v>299</v>
      </c>
      <c r="B300" s="12">
        <v>45562</v>
      </c>
      <c r="C300" s="11" t="str">
        <f t="shared" si="8"/>
        <v>September</v>
      </c>
      <c r="D300" s="5" t="s">
        <v>384</v>
      </c>
      <c r="E300" s="5" t="s">
        <v>159</v>
      </c>
      <c r="F300" s="5" t="s">
        <v>179</v>
      </c>
      <c r="G300" s="5" t="s">
        <v>23</v>
      </c>
      <c r="H300" s="5" t="s">
        <v>114</v>
      </c>
      <c r="I300" s="5" t="s">
        <v>25</v>
      </c>
      <c r="J300" s="5" t="s">
        <v>46</v>
      </c>
      <c r="K300" s="5">
        <v>2576</v>
      </c>
      <c r="L300" s="5">
        <v>987</v>
      </c>
      <c r="M300" s="6">
        <v>2542512</v>
      </c>
      <c r="N300" s="6">
        <v>2522686</v>
      </c>
      <c r="O300" s="6">
        <f t="shared" si="9"/>
        <v>19826</v>
      </c>
    </row>
    <row r="301" spans="1:15" ht="15.6" thickTop="1" thickBot="1" x14ac:dyDescent="0.35">
      <c r="A301" s="4">
        <v>300</v>
      </c>
      <c r="B301" s="12">
        <v>45565</v>
      </c>
      <c r="C301" s="11" t="str">
        <f t="shared" si="8"/>
        <v>September</v>
      </c>
      <c r="D301" s="5" t="s">
        <v>229</v>
      </c>
      <c r="E301" s="5" t="s">
        <v>159</v>
      </c>
      <c r="F301" s="5" t="s">
        <v>179</v>
      </c>
      <c r="G301" s="5" t="s">
        <v>23</v>
      </c>
      <c r="H301" s="5" t="s">
        <v>24</v>
      </c>
      <c r="I301" s="5" t="s">
        <v>25</v>
      </c>
      <c r="J301" s="5" t="s">
        <v>46</v>
      </c>
      <c r="K301" s="5">
        <v>7694</v>
      </c>
      <c r="L301" s="5">
        <v>907</v>
      </c>
      <c r="M301" s="6">
        <v>6978458</v>
      </c>
      <c r="N301" s="6">
        <v>6965877</v>
      </c>
      <c r="O301" s="6">
        <f t="shared" si="9"/>
        <v>12581</v>
      </c>
    </row>
    <row r="302" spans="1:15" ht="15.6" thickTop="1" thickBot="1" x14ac:dyDescent="0.35">
      <c r="A302" s="4">
        <v>301</v>
      </c>
      <c r="B302" s="12">
        <v>45567</v>
      </c>
      <c r="C302" s="11" t="str">
        <f t="shared" si="8"/>
        <v>October</v>
      </c>
      <c r="D302" s="5" t="s">
        <v>385</v>
      </c>
      <c r="E302" s="5" t="s">
        <v>159</v>
      </c>
      <c r="F302" s="5" t="s">
        <v>179</v>
      </c>
      <c r="G302" s="5" t="s">
        <v>57</v>
      </c>
      <c r="H302" s="5" t="s">
        <v>118</v>
      </c>
      <c r="I302" s="5" t="s">
        <v>59</v>
      </c>
      <c r="J302" s="5" t="s">
        <v>46</v>
      </c>
      <c r="K302" s="5">
        <v>8952</v>
      </c>
      <c r="L302" s="5">
        <v>760</v>
      </c>
      <c r="M302" s="6">
        <v>6803520</v>
      </c>
      <c r="N302" s="6">
        <v>6791157</v>
      </c>
      <c r="O302" s="6">
        <f t="shared" si="9"/>
        <v>12363</v>
      </c>
    </row>
    <row r="303" spans="1:15" ht="15.6" thickTop="1" thickBot="1" x14ac:dyDescent="0.35">
      <c r="A303" s="4">
        <v>302</v>
      </c>
      <c r="B303" s="12">
        <v>45570</v>
      </c>
      <c r="C303" s="11" t="str">
        <f t="shared" si="8"/>
        <v>October</v>
      </c>
      <c r="D303" s="5" t="s">
        <v>386</v>
      </c>
      <c r="E303" s="5" t="s">
        <v>159</v>
      </c>
      <c r="F303" s="5" t="s">
        <v>179</v>
      </c>
      <c r="G303" s="5" t="s">
        <v>23</v>
      </c>
      <c r="H303" s="5" t="s">
        <v>120</v>
      </c>
      <c r="I303" s="5" t="s">
        <v>91</v>
      </c>
      <c r="J303" s="5" t="s">
        <v>16</v>
      </c>
      <c r="K303" s="5">
        <v>5764</v>
      </c>
      <c r="L303" s="5">
        <v>622</v>
      </c>
      <c r="M303" s="6">
        <v>3585208</v>
      </c>
      <c r="N303" s="6">
        <v>3567032</v>
      </c>
      <c r="O303" s="6">
        <f t="shared" si="9"/>
        <v>18176</v>
      </c>
    </row>
    <row r="304" spans="1:15" ht="15.6" thickTop="1" thickBot="1" x14ac:dyDescent="0.35">
      <c r="A304" s="4">
        <v>303</v>
      </c>
      <c r="B304" s="12">
        <v>45573</v>
      </c>
      <c r="C304" s="11" t="str">
        <f t="shared" si="8"/>
        <v>October</v>
      </c>
      <c r="D304" s="5" t="s">
        <v>387</v>
      </c>
      <c r="E304" s="5" t="s">
        <v>159</v>
      </c>
      <c r="F304" s="5" t="s">
        <v>179</v>
      </c>
      <c r="G304" s="5" t="s">
        <v>23</v>
      </c>
      <c r="H304" s="5" t="s">
        <v>122</v>
      </c>
      <c r="I304" s="5" t="s">
        <v>25</v>
      </c>
      <c r="J304" s="5" t="s">
        <v>16</v>
      </c>
      <c r="K304" s="5">
        <v>9098</v>
      </c>
      <c r="L304" s="5">
        <v>677</v>
      </c>
      <c r="M304" s="6">
        <v>6159346</v>
      </c>
      <c r="N304" s="6">
        <v>6143773</v>
      </c>
      <c r="O304" s="6">
        <f t="shared" si="9"/>
        <v>15573</v>
      </c>
    </row>
    <row r="305" spans="1:15" ht="15.6" thickTop="1" thickBot="1" x14ac:dyDescent="0.35">
      <c r="A305" s="4">
        <v>304</v>
      </c>
      <c r="B305" s="12">
        <v>45576</v>
      </c>
      <c r="C305" s="11" t="str">
        <f t="shared" si="8"/>
        <v>October</v>
      </c>
      <c r="D305" s="5" t="s">
        <v>388</v>
      </c>
      <c r="E305" s="5" t="s">
        <v>159</v>
      </c>
      <c r="F305" s="5" t="s">
        <v>179</v>
      </c>
      <c r="G305" s="5" t="s">
        <v>14</v>
      </c>
      <c r="H305" s="5" t="s">
        <v>88</v>
      </c>
      <c r="I305" s="5" t="s">
        <v>51</v>
      </c>
      <c r="J305" s="5" t="s">
        <v>16</v>
      </c>
      <c r="K305" s="5">
        <v>2777</v>
      </c>
      <c r="L305" s="5">
        <v>986</v>
      </c>
      <c r="M305" s="6">
        <v>2738122</v>
      </c>
      <c r="N305" s="6">
        <v>2722533</v>
      </c>
      <c r="O305" s="6">
        <f t="shared" si="9"/>
        <v>15589</v>
      </c>
    </row>
    <row r="306" spans="1:15" ht="15.6" thickTop="1" thickBot="1" x14ac:dyDescent="0.35">
      <c r="A306" s="4">
        <v>305</v>
      </c>
      <c r="B306" s="12">
        <v>45579</v>
      </c>
      <c r="C306" s="11" t="str">
        <f t="shared" si="8"/>
        <v>October</v>
      </c>
      <c r="D306" s="5" t="s">
        <v>389</v>
      </c>
      <c r="E306" s="5" t="s">
        <v>159</v>
      </c>
      <c r="F306" s="5" t="s">
        <v>179</v>
      </c>
      <c r="G306" s="5" t="s">
        <v>23</v>
      </c>
      <c r="H306" s="5" t="s">
        <v>90</v>
      </c>
      <c r="I306" s="5" t="s">
        <v>91</v>
      </c>
      <c r="J306" s="5" t="s">
        <v>16</v>
      </c>
      <c r="K306" s="5">
        <v>9218</v>
      </c>
      <c r="L306" s="5">
        <v>927</v>
      </c>
      <c r="M306" s="6">
        <v>8545086</v>
      </c>
      <c r="N306" s="6">
        <v>8533632</v>
      </c>
      <c r="O306" s="6">
        <f t="shared" si="9"/>
        <v>11454</v>
      </c>
    </row>
    <row r="307" spans="1:15" ht="15.6" thickTop="1" thickBot="1" x14ac:dyDescent="0.35">
      <c r="A307" s="4">
        <v>306</v>
      </c>
      <c r="B307" s="12">
        <v>45580</v>
      </c>
      <c r="C307" s="11" t="str">
        <f t="shared" si="8"/>
        <v>October</v>
      </c>
      <c r="D307" s="5" t="s">
        <v>390</v>
      </c>
      <c r="E307" s="5" t="s">
        <v>159</v>
      </c>
      <c r="F307" s="5" t="s">
        <v>179</v>
      </c>
      <c r="G307" s="5" t="s">
        <v>27</v>
      </c>
      <c r="H307" s="5" t="s">
        <v>93</v>
      </c>
      <c r="I307" s="5" t="s">
        <v>94</v>
      </c>
      <c r="J307" s="5" t="s">
        <v>16</v>
      </c>
      <c r="K307" s="5">
        <v>6785</v>
      </c>
      <c r="L307" s="5">
        <v>751</v>
      </c>
      <c r="M307" s="6">
        <v>5095535</v>
      </c>
      <c r="N307" s="6">
        <v>5078723</v>
      </c>
      <c r="O307" s="6">
        <f t="shared" si="9"/>
        <v>16812</v>
      </c>
    </row>
    <row r="308" spans="1:15" ht="15.6" thickTop="1" thickBot="1" x14ac:dyDescent="0.35">
      <c r="A308" s="4">
        <v>307</v>
      </c>
      <c r="B308" s="12">
        <v>45386</v>
      </c>
      <c r="C308" s="11" t="str">
        <f t="shared" si="8"/>
        <v>April</v>
      </c>
      <c r="D308" s="5" t="s">
        <v>391</v>
      </c>
      <c r="E308" s="5" t="s">
        <v>12</v>
      </c>
      <c r="F308" s="5" t="s">
        <v>117</v>
      </c>
      <c r="G308" s="5" t="s">
        <v>19</v>
      </c>
      <c r="H308" s="5" t="s">
        <v>96</v>
      </c>
      <c r="I308" s="5" t="s">
        <v>21</v>
      </c>
      <c r="J308" s="5" t="s">
        <v>46</v>
      </c>
      <c r="K308" s="5">
        <v>1980</v>
      </c>
      <c r="L308" s="5">
        <v>648</v>
      </c>
      <c r="M308" s="6">
        <v>1283040</v>
      </c>
      <c r="N308" s="6">
        <v>1263933</v>
      </c>
      <c r="O308" s="6">
        <f t="shared" si="9"/>
        <v>19107</v>
      </c>
    </row>
    <row r="309" spans="1:15" ht="15.6" thickTop="1" thickBot="1" x14ac:dyDescent="0.35">
      <c r="A309" s="4">
        <v>308</v>
      </c>
      <c r="B309" s="12">
        <v>45389</v>
      </c>
      <c r="C309" s="11" t="str">
        <f t="shared" si="8"/>
        <v>April</v>
      </c>
      <c r="D309" s="5" t="s">
        <v>392</v>
      </c>
      <c r="E309" s="5" t="s">
        <v>12</v>
      </c>
      <c r="F309" s="5" t="s">
        <v>117</v>
      </c>
      <c r="G309" s="5" t="s">
        <v>14</v>
      </c>
      <c r="H309" s="5" t="s">
        <v>98</v>
      </c>
      <c r="I309" s="5" t="s">
        <v>99</v>
      </c>
      <c r="J309" s="5" t="s">
        <v>46</v>
      </c>
      <c r="K309" s="5">
        <v>6082</v>
      </c>
      <c r="L309" s="5">
        <v>810</v>
      </c>
      <c r="M309" s="6">
        <v>4926420</v>
      </c>
      <c r="N309" s="6">
        <v>4912311</v>
      </c>
      <c r="O309" s="6">
        <f t="shared" si="9"/>
        <v>14109</v>
      </c>
    </row>
    <row r="310" spans="1:15" ht="15.6" thickTop="1" thickBot="1" x14ac:dyDescent="0.35">
      <c r="A310" s="4">
        <v>309</v>
      </c>
      <c r="B310" s="12">
        <v>45391</v>
      </c>
      <c r="C310" s="11" t="str">
        <f t="shared" si="8"/>
        <v>April</v>
      </c>
      <c r="D310" s="5" t="s">
        <v>393</v>
      </c>
      <c r="E310" s="5" t="s">
        <v>12</v>
      </c>
      <c r="F310" s="5" t="s">
        <v>117</v>
      </c>
      <c r="G310" s="5" t="s">
        <v>14</v>
      </c>
      <c r="H310" s="5" t="s">
        <v>101</v>
      </c>
      <c r="I310" s="5" t="s">
        <v>102</v>
      </c>
      <c r="J310" s="5" t="s">
        <v>46</v>
      </c>
      <c r="K310" s="5">
        <v>9433</v>
      </c>
      <c r="L310" s="5">
        <v>540</v>
      </c>
      <c r="M310" s="6">
        <v>5093820</v>
      </c>
      <c r="N310" s="6">
        <v>5080735</v>
      </c>
      <c r="O310" s="6">
        <f t="shared" si="9"/>
        <v>13085</v>
      </c>
    </row>
    <row r="311" spans="1:15" ht="15.6" thickTop="1" thickBot="1" x14ac:dyDescent="0.35">
      <c r="A311" s="4">
        <v>310</v>
      </c>
      <c r="B311" s="12">
        <v>45463</v>
      </c>
      <c r="C311" s="11" t="str">
        <f t="shared" si="8"/>
        <v>June</v>
      </c>
      <c r="D311" s="5" t="s">
        <v>394</v>
      </c>
      <c r="E311" s="5" t="s">
        <v>12</v>
      </c>
      <c r="F311" s="5" t="s">
        <v>117</v>
      </c>
      <c r="G311" s="5" t="s">
        <v>104</v>
      </c>
      <c r="H311" s="5" t="s">
        <v>105</v>
      </c>
      <c r="I311" s="5" t="s">
        <v>106</v>
      </c>
      <c r="J311" s="5" t="s">
        <v>16</v>
      </c>
      <c r="K311" s="5">
        <v>5549</v>
      </c>
      <c r="L311" s="5">
        <v>973</v>
      </c>
      <c r="M311" s="6">
        <v>5399177</v>
      </c>
      <c r="N311" s="6">
        <v>5381871</v>
      </c>
      <c r="O311" s="6">
        <f t="shared" si="9"/>
        <v>17306</v>
      </c>
    </row>
    <row r="312" spans="1:15" ht="15.6" thickTop="1" thickBot="1" x14ac:dyDescent="0.35">
      <c r="A312" s="4">
        <v>311</v>
      </c>
      <c r="B312" s="12">
        <v>45466</v>
      </c>
      <c r="C312" s="11" t="str">
        <f t="shared" si="8"/>
        <v>June</v>
      </c>
      <c r="D312" s="5" t="s">
        <v>395</v>
      </c>
      <c r="E312" s="5" t="s">
        <v>12</v>
      </c>
      <c r="F312" s="5" t="s">
        <v>117</v>
      </c>
      <c r="G312" s="5" t="s">
        <v>14</v>
      </c>
      <c r="H312" s="5" t="s">
        <v>108</v>
      </c>
      <c r="I312" s="5" t="s">
        <v>109</v>
      </c>
      <c r="J312" s="5" t="s">
        <v>16</v>
      </c>
      <c r="K312" s="5">
        <v>2572</v>
      </c>
      <c r="L312" s="5">
        <v>777</v>
      </c>
      <c r="M312" s="6">
        <v>1998444</v>
      </c>
      <c r="N312" s="6">
        <v>1982048</v>
      </c>
      <c r="O312" s="6">
        <f t="shared" si="9"/>
        <v>16396</v>
      </c>
    </row>
    <row r="313" spans="1:15" ht="15.6" thickTop="1" thickBot="1" x14ac:dyDescent="0.35">
      <c r="A313" s="4">
        <v>312</v>
      </c>
      <c r="B313" s="12">
        <v>45471</v>
      </c>
      <c r="C313" s="11" t="str">
        <f t="shared" si="8"/>
        <v>June</v>
      </c>
      <c r="D313" s="5" t="s">
        <v>396</v>
      </c>
      <c r="E313" s="5" t="s">
        <v>12</v>
      </c>
      <c r="F313" s="5" t="s">
        <v>117</v>
      </c>
      <c r="G313" s="5" t="s">
        <v>57</v>
      </c>
      <c r="H313" s="5" t="s">
        <v>111</v>
      </c>
      <c r="I313" s="5" t="s">
        <v>112</v>
      </c>
      <c r="J313" s="5" t="s">
        <v>16</v>
      </c>
      <c r="K313" s="5">
        <v>5503</v>
      </c>
      <c r="L313" s="5">
        <v>717</v>
      </c>
      <c r="M313" s="6">
        <v>3945651</v>
      </c>
      <c r="N313" s="6">
        <v>3932127</v>
      </c>
      <c r="O313" s="6">
        <f t="shared" si="9"/>
        <v>13524</v>
      </c>
    </row>
    <row r="314" spans="1:15" ht="15.6" thickTop="1" thickBot="1" x14ac:dyDescent="0.35">
      <c r="A314" s="4">
        <v>313</v>
      </c>
      <c r="B314" s="12">
        <v>45474</v>
      </c>
      <c r="C314" s="11" t="str">
        <f t="shared" si="8"/>
        <v>July</v>
      </c>
      <c r="D314" s="5" t="s">
        <v>397</v>
      </c>
      <c r="E314" s="5" t="s">
        <v>12</v>
      </c>
      <c r="F314" s="5" t="s">
        <v>117</v>
      </c>
      <c r="G314" s="5" t="s">
        <v>23</v>
      </c>
      <c r="H314" s="5" t="s">
        <v>114</v>
      </c>
      <c r="I314" s="5" t="s">
        <v>25</v>
      </c>
      <c r="J314" s="5" t="s">
        <v>16</v>
      </c>
      <c r="K314" s="5">
        <v>5562</v>
      </c>
      <c r="L314" s="5">
        <v>986</v>
      </c>
      <c r="M314" s="6">
        <v>5484132</v>
      </c>
      <c r="N314" s="6">
        <v>5471404</v>
      </c>
      <c r="O314" s="6">
        <f t="shared" si="9"/>
        <v>12728</v>
      </c>
    </row>
    <row r="315" spans="1:15" ht="15.6" thickTop="1" thickBot="1" x14ac:dyDescent="0.35">
      <c r="A315" s="4">
        <v>314</v>
      </c>
      <c r="B315" s="12">
        <v>45477</v>
      </c>
      <c r="C315" s="11" t="str">
        <f t="shared" si="8"/>
        <v>July</v>
      </c>
      <c r="D315" s="5" t="s">
        <v>398</v>
      </c>
      <c r="E315" s="5" t="s">
        <v>12</v>
      </c>
      <c r="F315" s="5" t="s">
        <v>117</v>
      </c>
      <c r="G315" s="5" t="s">
        <v>23</v>
      </c>
      <c r="H315" s="5" t="s">
        <v>24</v>
      </c>
      <c r="I315" s="5" t="s">
        <v>25</v>
      </c>
      <c r="J315" s="5" t="s">
        <v>16</v>
      </c>
      <c r="K315" s="5">
        <v>3673</v>
      </c>
      <c r="L315" s="5">
        <v>855</v>
      </c>
      <c r="M315" s="6">
        <v>3140415</v>
      </c>
      <c r="N315" s="6">
        <v>3128328</v>
      </c>
      <c r="O315" s="6">
        <f t="shared" si="9"/>
        <v>12087</v>
      </c>
    </row>
    <row r="316" spans="1:15" ht="15.6" thickTop="1" thickBot="1" x14ac:dyDescent="0.35">
      <c r="A316" s="4">
        <v>315</v>
      </c>
      <c r="B316" s="12">
        <v>45479</v>
      </c>
      <c r="C316" s="11" t="str">
        <f t="shared" si="8"/>
        <v>July</v>
      </c>
      <c r="D316" s="5" t="s">
        <v>399</v>
      </c>
      <c r="E316" s="5" t="s">
        <v>12</v>
      </c>
      <c r="F316" s="5" t="s">
        <v>117</v>
      </c>
      <c r="G316" s="5" t="s">
        <v>57</v>
      </c>
      <c r="H316" s="5" t="s">
        <v>118</v>
      </c>
      <c r="I316" s="5" t="s">
        <v>59</v>
      </c>
      <c r="J316" s="5" t="s">
        <v>46</v>
      </c>
      <c r="K316" s="5">
        <v>2344</v>
      </c>
      <c r="L316" s="5">
        <v>536</v>
      </c>
      <c r="M316" s="6">
        <v>1256384</v>
      </c>
      <c r="N316" s="6">
        <v>1246058</v>
      </c>
      <c r="O316" s="6">
        <f t="shared" si="9"/>
        <v>10326</v>
      </c>
    </row>
    <row r="317" spans="1:15" ht="15.6" thickTop="1" thickBot="1" x14ac:dyDescent="0.35">
      <c r="A317" s="4">
        <v>316</v>
      </c>
      <c r="B317" s="12">
        <v>45483</v>
      </c>
      <c r="C317" s="11" t="str">
        <f t="shared" si="8"/>
        <v>July</v>
      </c>
      <c r="D317" s="5" t="s">
        <v>400</v>
      </c>
      <c r="E317" s="5" t="s">
        <v>12</v>
      </c>
      <c r="F317" s="5" t="s">
        <v>117</v>
      </c>
      <c r="G317" s="5" t="s">
        <v>23</v>
      </c>
      <c r="H317" s="5" t="s">
        <v>120</v>
      </c>
      <c r="I317" s="5" t="s">
        <v>91</v>
      </c>
      <c r="J317" s="5" t="s">
        <v>46</v>
      </c>
      <c r="K317" s="5">
        <v>6278</v>
      </c>
      <c r="L317" s="5">
        <v>540</v>
      </c>
      <c r="M317" s="6">
        <v>3390120</v>
      </c>
      <c r="N317" s="6">
        <v>3371448</v>
      </c>
      <c r="O317" s="6">
        <f t="shared" si="9"/>
        <v>18672</v>
      </c>
    </row>
    <row r="318" spans="1:15" ht="15.6" thickTop="1" thickBot="1" x14ac:dyDescent="0.35">
      <c r="A318" s="4">
        <v>317</v>
      </c>
      <c r="B318" s="12">
        <v>45487</v>
      </c>
      <c r="C318" s="11" t="str">
        <f t="shared" si="8"/>
        <v>July</v>
      </c>
      <c r="D318" s="5" t="s">
        <v>401</v>
      </c>
      <c r="E318" s="5" t="s">
        <v>12</v>
      </c>
      <c r="F318" s="5" t="s">
        <v>117</v>
      </c>
      <c r="G318" s="5" t="s">
        <v>19</v>
      </c>
      <c r="H318" s="5" t="s">
        <v>75</v>
      </c>
      <c r="I318" s="5" t="s">
        <v>40</v>
      </c>
      <c r="J318" s="5" t="s">
        <v>46</v>
      </c>
      <c r="K318" s="5">
        <v>9561</v>
      </c>
      <c r="L318" s="5">
        <v>674</v>
      </c>
      <c r="M318" s="6">
        <v>6444114</v>
      </c>
      <c r="N318" s="6">
        <v>6427721</v>
      </c>
      <c r="O318" s="6">
        <f t="shared" si="9"/>
        <v>16393</v>
      </c>
    </row>
    <row r="319" spans="1:15" ht="15.6" thickTop="1" thickBot="1" x14ac:dyDescent="0.35">
      <c r="A319" s="4">
        <v>318</v>
      </c>
      <c r="B319" s="12">
        <v>45490</v>
      </c>
      <c r="C319" s="11" t="str">
        <f t="shared" si="8"/>
        <v>July</v>
      </c>
      <c r="D319" s="5" t="s">
        <v>402</v>
      </c>
      <c r="E319" s="5" t="s">
        <v>31</v>
      </c>
      <c r="F319" s="5" t="s">
        <v>134</v>
      </c>
      <c r="G319" s="5" t="s">
        <v>14</v>
      </c>
      <c r="H319" s="5" t="s">
        <v>77</v>
      </c>
      <c r="I319" s="5" t="s">
        <v>51</v>
      </c>
      <c r="J319" s="5" t="s">
        <v>46</v>
      </c>
      <c r="K319" s="5">
        <v>2952</v>
      </c>
      <c r="L319" s="5">
        <v>640</v>
      </c>
      <c r="M319" s="6">
        <v>1889280</v>
      </c>
      <c r="N319" s="6">
        <v>1874899</v>
      </c>
      <c r="O319" s="6">
        <f t="shared" si="9"/>
        <v>14381</v>
      </c>
    </row>
    <row r="320" spans="1:15" ht="15.6" thickTop="1" thickBot="1" x14ac:dyDescent="0.35">
      <c r="A320" s="4">
        <v>319</v>
      </c>
      <c r="B320" s="12">
        <v>45494</v>
      </c>
      <c r="C320" s="11" t="str">
        <f t="shared" si="8"/>
        <v>July</v>
      </c>
      <c r="D320" s="5" t="s">
        <v>403</v>
      </c>
      <c r="E320" s="5" t="s">
        <v>31</v>
      </c>
      <c r="F320" s="5" t="s">
        <v>134</v>
      </c>
      <c r="G320" s="5" t="s">
        <v>14</v>
      </c>
      <c r="H320" s="5" t="s">
        <v>80</v>
      </c>
      <c r="I320" s="5" t="s">
        <v>51</v>
      </c>
      <c r="J320" s="5" t="s">
        <v>46</v>
      </c>
      <c r="K320" s="5">
        <v>5507</v>
      </c>
      <c r="L320" s="5">
        <v>618</v>
      </c>
      <c r="M320" s="6">
        <v>3403326</v>
      </c>
      <c r="N320" s="6">
        <v>3383790</v>
      </c>
      <c r="O320" s="6">
        <f t="shared" si="9"/>
        <v>19536</v>
      </c>
    </row>
    <row r="321" spans="1:15" ht="15.6" thickTop="1" thickBot="1" x14ac:dyDescent="0.35">
      <c r="A321" s="4">
        <v>320</v>
      </c>
      <c r="B321" s="12">
        <v>45506</v>
      </c>
      <c r="C321" s="11" t="str">
        <f t="shared" si="8"/>
        <v>August</v>
      </c>
      <c r="D321" s="5" t="s">
        <v>404</v>
      </c>
      <c r="E321" s="5" t="s">
        <v>31</v>
      </c>
      <c r="F321" s="5" t="s">
        <v>134</v>
      </c>
      <c r="G321" s="5" t="s">
        <v>27</v>
      </c>
      <c r="H321" s="5" t="s">
        <v>82</v>
      </c>
      <c r="I321" s="5" t="s">
        <v>29</v>
      </c>
      <c r="J321" s="5" t="s">
        <v>46</v>
      </c>
      <c r="K321" s="5">
        <v>9862</v>
      </c>
      <c r="L321" s="5">
        <v>755</v>
      </c>
      <c r="M321" s="6">
        <v>7445810</v>
      </c>
      <c r="N321" s="6">
        <v>7430768</v>
      </c>
      <c r="O321" s="6">
        <f t="shared" si="9"/>
        <v>15042</v>
      </c>
    </row>
    <row r="322" spans="1:15" ht="15.6" thickTop="1" thickBot="1" x14ac:dyDescent="0.35">
      <c r="A322" s="4">
        <v>321</v>
      </c>
      <c r="B322" s="12">
        <v>45541</v>
      </c>
      <c r="C322" s="11" t="str">
        <f t="shared" si="8"/>
        <v>September</v>
      </c>
      <c r="D322" s="5" t="s">
        <v>405</v>
      </c>
      <c r="E322" s="5" t="s">
        <v>31</v>
      </c>
      <c r="F322" s="5" t="s">
        <v>134</v>
      </c>
      <c r="G322" s="5" t="s">
        <v>27</v>
      </c>
      <c r="H322" s="5" t="s">
        <v>84</v>
      </c>
      <c r="I322" s="5" t="s">
        <v>29</v>
      </c>
      <c r="J322" s="5" t="s">
        <v>46</v>
      </c>
      <c r="K322" s="5">
        <v>9694</v>
      </c>
      <c r="L322" s="5">
        <v>829</v>
      </c>
      <c r="M322" s="6">
        <v>8036326</v>
      </c>
      <c r="N322" s="6">
        <v>8019738</v>
      </c>
      <c r="O322" s="6">
        <f t="shared" si="9"/>
        <v>16588</v>
      </c>
    </row>
    <row r="323" spans="1:15" ht="15.6" thickTop="1" thickBot="1" x14ac:dyDescent="0.35">
      <c r="A323" s="4">
        <v>322</v>
      </c>
      <c r="B323" s="12">
        <v>45545</v>
      </c>
      <c r="C323" s="11" t="str">
        <f t="shared" ref="C323:C331" si="10">TEXT(B323,"mmmm")</f>
        <v>September</v>
      </c>
      <c r="D323" s="5" t="s">
        <v>406</v>
      </c>
      <c r="E323" s="5" t="s">
        <v>31</v>
      </c>
      <c r="F323" s="5" t="s">
        <v>134</v>
      </c>
      <c r="G323" s="5" t="s">
        <v>14</v>
      </c>
      <c r="H323" s="5" t="s">
        <v>86</v>
      </c>
      <c r="I323" s="5" t="s">
        <v>45</v>
      </c>
      <c r="J323" s="5" t="s">
        <v>16</v>
      </c>
      <c r="K323" s="5">
        <v>6821</v>
      </c>
      <c r="L323" s="5">
        <v>919</v>
      </c>
      <c r="M323" s="6">
        <v>6268499</v>
      </c>
      <c r="N323" s="6">
        <v>6257775</v>
      </c>
      <c r="O323" s="6">
        <f t="shared" ref="O323:O331" si="11">M323-N323</f>
        <v>10724</v>
      </c>
    </row>
    <row r="324" spans="1:15" ht="15.6" thickTop="1" thickBot="1" x14ac:dyDescent="0.35">
      <c r="A324" s="4">
        <v>323</v>
      </c>
      <c r="B324" s="12">
        <v>45548</v>
      </c>
      <c r="C324" s="11" t="str">
        <f t="shared" si="10"/>
        <v>September</v>
      </c>
      <c r="D324" s="5" t="s">
        <v>407</v>
      </c>
      <c r="E324" s="5" t="s">
        <v>31</v>
      </c>
      <c r="F324" s="5" t="s">
        <v>134</v>
      </c>
      <c r="G324" s="5" t="s">
        <v>14</v>
      </c>
      <c r="H324" s="5" t="s">
        <v>88</v>
      </c>
      <c r="I324" s="5" t="s">
        <v>51</v>
      </c>
      <c r="J324" s="5" t="s">
        <v>16</v>
      </c>
      <c r="K324" s="5">
        <v>7329</v>
      </c>
      <c r="L324" s="5">
        <v>778</v>
      </c>
      <c r="M324" s="6">
        <v>5701962</v>
      </c>
      <c r="N324" s="6">
        <v>5686747</v>
      </c>
      <c r="O324" s="6">
        <f t="shared" si="11"/>
        <v>15215</v>
      </c>
    </row>
    <row r="325" spans="1:15" ht="15.6" thickTop="1" thickBot="1" x14ac:dyDescent="0.35">
      <c r="A325" s="4">
        <v>324</v>
      </c>
      <c r="B325" s="12">
        <v>45551</v>
      </c>
      <c r="C325" s="11" t="str">
        <f t="shared" si="10"/>
        <v>September</v>
      </c>
      <c r="D325" s="5" t="s">
        <v>408</v>
      </c>
      <c r="E325" s="5" t="s">
        <v>31</v>
      </c>
      <c r="F325" s="5" t="s">
        <v>134</v>
      </c>
      <c r="G325" s="5" t="s">
        <v>23</v>
      </c>
      <c r="H325" s="5" t="s">
        <v>90</v>
      </c>
      <c r="I325" s="5" t="s">
        <v>91</v>
      </c>
      <c r="J325" s="5" t="s">
        <v>16</v>
      </c>
      <c r="K325" s="5">
        <v>6427</v>
      </c>
      <c r="L325" s="5">
        <v>825</v>
      </c>
      <c r="M325" s="6">
        <v>5302275</v>
      </c>
      <c r="N325" s="6">
        <v>5290689</v>
      </c>
      <c r="O325" s="6">
        <f t="shared" si="11"/>
        <v>11586</v>
      </c>
    </row>
    <row r="326" spans="1:15" ht="15.6" thickTop="1" thickBot="1" x14ac:dyDescent="0.35">
      <c r="A326" s="4">
        <v>325</v>
      </c>
      <c r="B326" s="12">
        <v>45554</v>
      </c>
      <c r="C326" s="11" t="str">
        <f t="shared" si="10"/>
        <v>September</v>
      </c>
      <c r="D326" s="5" t="s">
        <v>409</v>
      </c>
      <c r="E326" s="5" t="s">
        <v>31</v>
      </c>
      <c r="F326" s="5" t="s">
        <v>134</v>
      </c>
      <c r="G326" s="5" t="s">
        <v>27</v>
      </c>
      <c r="H326" s="5" t="s">
        <v>93</v>
      </c>
      <c r="I326" s="5" t="s">
        <v>94</v>
      </c>
      <c r="J326" s="5" t="s">
        <v>16</v>
      </c>
      <c r="K326" s="5">
        <v>8915</v>
      </c>
      <c r="L326" s="5">
        <v>586</v>
      </c>
      <c r="M326" s="6">
        <v>5224190</v>
      </c>
      <c r="N326" s="6">
        <v>5205076</v>
      </c>
      <c r="O326" s="6">
        <f t="shared" si="11"/>
        <v>19114</v>
      </c>
    </row>
    <row r="327" spans="1:15" ht="15.6" thickTop="1" thickBot="1" x14ac:dyDescent="0.35">
      <c r="A327" s="4">
        <v>326</v>
      </c>
      <c r="B327" s="12">
        <v>45558</v>
      </c>
      <c r="C327" s="11" t="str">
        <f t="shared" si="10"/>
        <v>September</v>
      </c>
      <c r="D327" s="5" t="s">
        <v>410</v>
      </c>
      <c r="E327" s="5" t="s">
        <v>31</v>
      </c>
      <c r="F327" s="5" t="s">
        <v>134</v>
      </c>
      <c r="G327" s="5" t="s">
        <v>19</v>
      </c>
      <c r="H327" s="5" t="s">
        <v>96</v>
      </c>
      <c r="I327" s="5" t="s">
        <v>21</v>
      </c>
      <c r="J327" s="5" t="s">
        <v>46</v>
      </c>
      <c r="K327" s="5">
        <v>4848</v>
      </c>
      <c r="L327" s="5">
        <v>556</v>
      </c>
      <c r="M327" s="6">
        <v>2695488</v>
      </c>
      <c r="N327" s="6">
        <v>2676672</v>
      </c>
      <c r="O327" s="6">
        <f t="shared" si="11"/>
        <v>18816</v>
      </c>
    </row>
    <row r="328" spans="1:15" ht="15.6" thickTop="1" thickBot="1" x14ac:dyDescent="0.35">
      <c r="A328" s="4">
        <v>327</v>
      </c>
      <c r="B328" s="12">
        <v>45562</v>
      </c>
      <c r="C328" s="11" t="str">
        <f t="shared" si="10"/>
        <v>September</v>
      </c>
      <c r="D328" s="5" t="s">
        <v>411</v>
      </c>
      <c r="E328" s="5" t="s">
        <v>31</v>
      </c>
      <c r="F328" s="5" t="s">
        <v>134</v>
      </c>
      <c r="G328" s="5" t="s">
        <v>14</v>
      </c>
      <c r="H328" s="5" t="s">
        <v>98</v>
      </c>
      <c r="I328" s="5" t="s">
        <v>99</v>
      </c>
      <c r="J328" s="5" t="s">
        <v>16</v>
      </c>
      <c r="K328" s="5">
        <v>5990</v>
      </c>
      <c r="L328" s="5">
        <v>859</v>
      </c>
      <c r="M328" s="6">
        <v>5145410</v>
      </c>
      <c r="N328" s="6">
        <v>5133995</v>
      </c>
      <c r="O328" s="6">
        <f t="shared" si="11"/>
        <v>11415</v>
      </c>
    </row>
    <row r="329" spans="1:15" ht="15.6" thickTop="1" thickBot="1" x14ac:dyDescent="0.35">
      <c r="A329" s="4">
        <v>328</v>
      </c>
      <c r="B329" s="12">
        <v>45565</v>
      </c>
      <c r="C329" s="11" t="str">
        <f t="shared" si="10"/>
        <v>September</v>
      </c>
      <c r="D329" s="5" t="s">
        <v>412</v>
      </c>
      <c r="E329" s="5" t="s">
        <v>31</v>
      </c>
      <c r="F329" s="5" t="s">
        <v>134</v>
      </c>
      <c r="G329" s="5" t="s">
        <v>14</v>
      </c>
      <c r="H329" s="5" t="s">
        <v>101</v>
      </c>
      <c r="I329" s="5" t="s">
        <v>102</v>
      </c>
      <c r="J329" s="5" t="s">
        <v>16</v>
      </c>
      <c r="K329" s="5">
        <v>6726</v>
      </c>
      <c r="L329" s="5">
        <v>900</v>
      </c>
      <c r="M329" s="6">
        <v>6053400</v>
      </c>
      <c r="N329" s="6">
        <v>6038236</v>
      </c>
      <c r="O329" s="6">
        <f t="shared" si="11"/>
        <v>15164</v>
      </c>
    </row>
    <row r="330" spans="1:15" ht="15.6" thickTop="1" thickBot="1" x14ac:dyDescent="0.35">
      <c r="A330" s="4">
        <v>329</v>
      </c>
      <c r="B330" s="12">
        <v>45567</v>
      </c>
      <c r="C330" s="11" t="str">
        <f t="shared" si="10"/>
        <v>October</v>
      </c>
      <c r="D330" s="5" t="s">
        <v>413</v>
      </c>
      <c r="E330" s="5" t="s">
        <v>31</v>
      </c>
      <c r="F330" s="5" t="s">
        <v>134</v>
      </c>
      <c r="G330" s="5" t="s">
        <v>104</v>
      </c>
      <c r="H330" s="5" t="s">
        <v>105</v>
      </c>
      <c r="I330" s="5" t="s">
        <v>106</v>
      </c>
      <c r="J330" s="5" t="s">
        <v>16</v>
      </c>
      <c r="K330" s="5">
        <v>5686</v>
      </c>
      <c r="L330" s="5">
        <v>731</v>
      </c>
      <c r="M330" s="6">
        <v>4156466</v>
      </c>
      <c r="N330" s="6">
        <v>4137912</v>
      </c>
      <c r="O330" s="6">
        <f t="shared" si="11"/>
        <v>18554</v>
      </c>
    </row>
    <row r="331" spans="1:15" ht="15.6" thickTop="1" thickBot="1" x14ac:dyDescent="0.35">
      <c r="A331" s="7">
        <v>330</v>
      </c>
      <c r="B331" s="15">
        <v>45570</v>
      </c>
      <c r="C331" s="11" t="str">
        <f t="shared" si="10"/>
        <v>October</v>
      </c>
      <c r="D331" s="8" t="s">
        <v>414</v>
      </c>
      <c r="E331" s="8" t="s">
        <v>31</v>
      </c>
      <c r="F331" s="8" t="s">
        <v>147</v>
      </c>
      <c r="G331" s="8" t="s">
        <v>14</v>
      </c>
      <c r="H331" s="8" t="s">
        <v>108</v>
      </c>
      <c r="I331" s="8" t="s">
        <v>109</v>
      </c>
      <c r="J331" s="5" t="s">
        <v>16</v>
      </c>
      <c r="K331" s="8">
        <v>5246</v>
      </c>
      <c r="L331" s="8">
        <v>653</v>
      </c>
      <c r="M331" s="9">
        <v>3425638</v>
      </c>
      <c r="N331" s="9">
        <v>3409693</v>
      </c>
      <c r="O331" s="9">
        <f t="shared" si="11"/>
        <v>15945</v>
      </c>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1</vt:lpstr>
      <vt:lpstr>Dashboard</vt:lpstr>
      <vt:lpstr>KPI</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 SINGHAL</dc:creator>
  <cp:lastModifiedBy>JOYBOY PC®</cp:lastModifiedBy>
  <dcterms:created xsi:type="dcterms:W3CDTF">2024-10-18T05:09:29Z</dcterms:created>
  <dcterms:modified xsi:type="dcterms:W3CDTF">2026-03-28T16:51:23Z</dcterms:modified>
</cp:coreProperties>
</file>