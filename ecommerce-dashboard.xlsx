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Hello\Documents\EXCEL PROJECT\"/>
    </mc:Choice>
  </mc:AlternateContent>
  <xr:revisionPtr revIDLastSave="0" documentId="8_{B758FD4F-954E-40B3-9921-1C85A98872B4}" xr6:coauthVersionLast="47" xr6:coauthVersionMax="47" xr10:uidLastSave="{00000000-0000-0000-0000-000000000000}"/>
  <bookViews>
    <workbookView xWindow="-108" yWindow="-108" windowWidth="23256" windowHeight="12456" firstSheet="1" activeTab="3" xr2:uid="{346724B3-1C49-40AE-AA36-C77CF5D6DD09}"/>
  </bookViews>
  <sheets>
    <sheet name="Sheet2" sheetId="6" state="hidden" r:id="rId1"/>
    <sheet name="Data" sheetId="1" r:id="rId2"/>
    <sheet name="Questions &amp; KPIs" sheetId="2" r:id="rId3"/>
    <sheet name="Sheet1" sheetId="5" r:id="rId4"/>
  </sheets>
  <definedNames>
    <definedName name="_xlchart.v5.0" hidden="1">Sheet2!$D$213</definedName>
    <definedName name="_xlchart.v5.1" hidden="1">Sheet2!$D$214:$D$271</definedName>
    <definedName name="_xlchart.v5.2" hidden="1">Sheet2!$E$213</definedName>
    <definedName name="_xlchart.v5.3" hidden="1">Sheet2!$E$214:$E$271</definedName>
    <definedName name="_xlchart.v5.4" hidden="1">Sheet2!$D$213</definedName>
    <definedName name="_xlchart.v5.5" hidden="1">Sheet2!$D$214:$D$271</definedName>
    <definedName name="_xlchart.v5.6" hidden="1">Sheet2!$E$213</definedName>
    <definedName name="_xlchart.v5.7" hidden="1">Sheet2!$E$214:$E$271</definedName>
    <definedName name="Slicer_Customer_Gender">#N/A</definedName>
    <definedName name="Slicer_Order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01" i="1" l="1" a="1"/>
  <c r="L2401" i="1" s="1"/>
  <c r="K2401" i="1"/>
  <c r="J2401" i="1"/>
  <c r="L2400" i="1" a="1"/>
  <c r="L2400" i="1" s="1"/>
  <c r="K2400" i="1"/>
  <c r="J2400" i="1"/>
  <c r="L2399" i="1" a="1"/>
  <c r="L2399" i="1" s="1"/>
  <c r="K2399" i="1"/>
  <c r="J2399" i="1"/>
  <c r="L2398" i="1" a="1"/>
  <c r="L2398" i="1" s="1"/>
  <c r="K2398" i="1"/>
  <c r="J2398" i="1"/>
  <c r="L2397" i="1" a="1"/>
  <c r="L2397" i="1" s="1"/>
  <c r="K2397" i="1"/>
  <c r="J2397" i="1"/>
  <c r="L2396" i="1" a="1"/>
  <c r="L2396" i="1" s="1"/>
  <c r="K2396" i="1"/>
  <c r="J2396" i="1"/>
  <c r="L2395" i="1" a="1"/>
  <c r="L2395" i="1" s="1"/>
  <c r="K2395" i="1"/>
  <c r="J2395" i="1"/>
  <c r="L2394" i="1" a="1"/>
  <c r="L2394" i="1" s="1"/>
  <c r="K2394" i="1"/>
  <c r="J2394" i="1"/>
  <c r="L2393" i="1" a="1"/>
  <c r="L2393" i="1" s="1"/>
  <c r="K2393" i="1"/>
  <c r="J2393" i="1"/>
  <c r="L2392" i="1" a="1"/>
  <c r="L2392" i="1" s="1"/>
  <c r="K2392" i="1"/>
  <c r="J2392" i="1"/>
  <c r="L2391" i="1" a="1"/>
  <c r="L2391" i="1" s="1"/>
  <c r="K2391" i="1"/>
  <c r="J2391" i="1"/>
  <c r="L2390" i="1" a="1"/>
  <c r="L2390" i="1" s="1"/>
  <c r="K2390" i="1"/>
  <c r="J2390" i="1"/>
  <c r="L2389" i="1" a="1"/>
  <c r="L2389" i="1" s="1"/>
  <c r="K2389" i="1"/>
  <c r="J2389" i="1"/>
  <c r="L2388" i="1" a="1"/>
  <c r="L2388" i="1" s="1"/>
  <c r="K2388" i="1"/>
  <c r="J2388" i="1"/>
  <c r="L2387" i="1" a="1"/>
  <c r="L2387" i="1" s="1"/>
  <c r="K2387" i="1"/>
  <c r="J2387" i="1"/>
  <c r="L2386" i="1" a="1"/>
  <c r="L2386" i="1" s="1"/>
  <c r="K2386" i="1"/>
  <c r="J2386" i="1"/>
  <c r="L2385" i="1" a="1"/>
  <c r="L2385" i="1" s="1"/>
  <c r="K2385" i="1"/>
  <c r="J2385" i="1"/>
  <c r="L2384" i="1" a="1"/>
  <c r="L2384" i="1" s="1"/>
  <c r="K2384" i="1"/>
  <c r="J2384" i="1"/>
  <c r="L2383" i="1" a="1"/>
  <c r="L2383" i="1" s="1"/>
  <c r="K2383" i="1"/>
  <c r="J2383" i="1"/>
  <c r="L2382" i="1" a="1"/>
  <c r="L2382" i="1" s="1"/>
  <c r="K2382" i="1"/>
  <c r="J2382" i="1"/>
  <c r="L2381" i="1" a="1"/>
  <c r="L2381" i="1" s="1"/>
  <c r="K2381" i="1"/>
  <c r="J2381" i="1"/>
  <c r="L2380" i="1" a="1"/>
  <c r="L2380" i="1" s="1"/>
  <c r="K2380" i="1"/>
  <c r="J2380" i="1"/>
  <c r="L2379" i="1" a="1"/>
  <c r="L2379" i="1" s="1"/>
  <c r="K2379" i="1"/>
  <c r="J2379" i="1"/>
  <c r="L2378" i="1" a="1"/>
  <c r="L2378" i="1" s="1"/>
  <c r="K2378" i="1"/>
  <c r="J2378" i="1"/>
  <c r="L2377" i="1" a="1"/>
  <c r="L2377" i="1" s="1"/>
  <c r="K2377" i="1"/>
  <c r="J2377" i="1"/>
  <c r="L2376" i="1" a="1"/>
  <c r="L2376" i="1" s="1"/>
  <c r="K2376" i="1"/>
  <c r="J2376" i="1"/>
  <c r="L2375" i="1" a="1"/>
  <c r="L2375" i="1" s="1"/>
  <c r="K2375" i="1"/>
  <c r="J2375" i="1"/>
  <c r="L2374" i="1" a="1"/>
  <c r="L2374" i="1" s="1"/>
  <c r="K2374" i="1"/>
  <c r="J2374" i="1"/>
  <c r="L2373" i="1" a="1"/>
  <c r="L2373" i="1" s="1"/>
  <c r="K2373" i="1"/>
  <c r="J2373" i="1"/>
  <c r="L2372" i="1" a="1"/>
  <c r="L2372" i="1" s="1"/>
  <c r="K2372" i="1"/>
  <c r="J2372" i="1"/>
  <c r="L2371" i="1" a="1"/>
  <c r="L2371" i="1" s="1"/>
  <c r="K2371" i="1"/>
  <c r="J2371" i="1"/>
  <c r="L2370" i="1" a="1"/>
  <c r="L2370" i="1" s="1"/>
  <c r="K2370" i="1"/>
  <c r="J2370" i="1"/>
  <c r="L2369" i="1" a="1"/>
  <c r="L2369" i="1" s="1"/>
  <c r="K2369" i="1"/>
  <c r="J2369" i="1"/>
  <c r="L2368" i="1" a="1"/>
  <c r="L2368" i="1" s="1"/>
  <c r="K2368" i="1"/>
  <c r="J2368" i="1"/>
  <c r="L2367" i="1" a="1"/>
  <c r="L2367" i="1" s="1"/>
  <c r="K2367" i="1"/>
  <c r="J2367" i="1"/>
  <c r="L2366" i="1" a="1"/>
  <c r="L2366" i="1" s="1"/>
  <c r="K2366" i="1"/>
  <c r="J2366" i="1"/>
  <c r="L2365" i="1" a="1"/>
  <c r="L2365" i="1" s="1"/>
  <c r="K2365" i="1"/>
  <c r="J2365" i="1"/>
  <c r="L2364" i="1" a="1"/>
  <c r="L2364" i="1" s="1"/>
  <c r="K2364" i="1"/>
  <c r="J2364" i="1"/>
  <c r="L2363" i="1" a="1"/>
  <c r="L2363" i="1" s="1"/>
  <c r="K2363" i="1"/>
  <c r="J2363" i="1"/>
  <c r="L2362" i="1" a="1"/>
  <c r="L2362" i="1" s="1"/>
  <c r="K2362" i="1"/>
  <c r="J2362" i="1"/>
  <c r="L2361" i="1" a="1"/>
  <c r="L2361" i="1" s="1"/>
  <c r="K2361" i="1"/>
  <c r="J2361" i="1"/>
  <c r="L2360" i="1" a="1"/>
  <c r="L2360" i="1" s="1"/>
  <c r="K2360" i="1"/>
  <c r="J2360" i="1"/>
  <c r="L2359" i="1" a="1"/>
  <c r="L2359" i="1" s="1"/>
  <c r="K2359" i="1"/>
  <c r="J2359" i="1"/>
  <c r="L2358" i="1" a="1"/>
  <c r="L2358" i="1" s="1"/>
  <c r="K2358" i="1"/>
  <c r="J2358" i="1"/>
  <c r="L2357" i="1" a="1"/>
  <c r="L2357" i="1" s="1"/>
  <c r="K2357" i="1"/>
  <c r="J2357" i="1"/>
  <c r="L2356" i="1" a="1"/>
  <c r="L2356" i="1" s="1"/>
  <c r="K2356" i="1"/>
  <c r="J2356" i="1"/>
  <c r="L2355" i="1" a="1"/>
  <c r="L2355" i="1" s="1"/>
  <c r="K2355" i="1"/>
  <c r="J2355" i="1"/>
  <c r="L2354" i="1" a="1"/>
  <c r="L2354" i="1" s="1"/>
  <c r="K2354" i="1"/>
  <c r="J2354" i="1"/>
  <c r="L2353" i="1" a="1"/>
  <c r="L2353" i="1" s="1"/>
  <c r="K2353" i="1"/>
  <c r="J2353" i="1"/>
  <c r="L2352" i="1" a="1"/>
  <c r="L2352" i="1" s="1"/>
  <c r="K2352" i="1"/>
  <c r="J2352" i="1"/>
  <c r="L2351" i="1" a="1"/>
  <c r="L2351" i="1" s="1"/>
  <c r="K2351" i="1"/>
  <c r="J2351" i="1"/>
  <c r="L2350" i="1" a="1"/>
  <c r="L2350" i="1" s="1"/>
  <c r="K2350" i="1"/>
  <c r="J2350" i="1"/>
  <c r="L2349" i="1" a="1"/>
  <c r="L2349" i="1" s="1"/>
  <c r="K2349" i="1"/>
  <c r="J2349" i="1"/>
  <c r="L2348" i="1" a="1"/>
  <c r="L2348" i="1" s="1"/>
  <c r="K2348" i="1"/>
  <c r="J2348" i="1"/>
  <c r="L2347" i="1" a="1"/>
  <c r="L2347" i="1" s="1"/>
  <c r="K2347" i="1"/>
  <c r="J2347" i="1"/>
  <c r="L2346" i="1" a="1"/>
  <c r="L2346" i="1" s="1"/>
  <c r="K2346" i="1"/>
  <c r="J2346" i="1"/>
  <c r="L2345" i="1" a="1"/>
  <c r="L2345" i="1" s="1"/>
  <c r="K2345" i="1"/>
  <c r="J2345" i="1"/>
  <c r="L2344" i="1" a="1"/>
  <c r="L2344" i="1" s="1"/>
  <c r="K2344" i="1"/>
  <c r="J2344" i="1"/>
  <c r="L2343" i="1" a="1"/>
  <c r="L2343" i="1" s="1"/>
  <c r="K2343" i="1"/>
  <c r="J2343" i="1"/>
  <c r="L2342" i="1" a="1"/>
  <c r="L2342" i="1" s="1"/>
  <c r="K2342" i="1"/>
  <c r="J2342" i="1"/>
  <c r="L2341" i="1" a="1"/>
  <c r="L2341" i="1" s="1"/>
  <c r="K2341" i="1"/>
  <c r="J2341" i="1"/>
  <c r="L2340" i="1" a="1"/>
  <c r="L2340" i="1" s="1"/>
  <c r="K2340" i="1"/>
  <c r="J2340" i="1"/>
  <c r="L2339" i="1" a="1"/>
  <c r="L2339" i="1" s="1"/>
  <c r="K2339" i="1"/>
  <c r="J2339" i="1"/>
  <c r="L2338" i="1" a="1"/>
  <c r="L2338" i="1" s="1"/>
  <c r="K2338" i="1"/>
  <c r="J2338" i="1"/>
  <c r="L2337" i="1" a="1"/>
  <c r="L2337" i="1" s="1"/>
  <c r="K2337" i="1"/>
  <c r="J2337" i="1"/>
  <c r="L2336" i="1" a="1"/>
  <c r="L2336" i="1" s="1"/>
  <c r="K2336" i="1"/>
  <c r="J2336" i="1"/>
  <c r="L2335" i="1" a="1"/>
  <c r="L2335" i="1" s="1"/>
  <c r="K2335" i="1"/>
  <c r="J2335" i="1"/>
  <c r="L2334" i="1" a="1"/>
  <c r="L2334" i="1" s="1"/>
  <c r="K2334" i="1"/>
  <c r="J2334" i="1"/>
  <c r="L2333" i="1" a="1"/>
  <c r="L2333" i="1" s="1"/>
  <c r="K2333" i="1"/>
  <c r="J2333" i="1"/>
  <c r="L2332" i="1" a="1"/>
  <c r="L2332" i="1" s="1"/>
  <c r="K2332" i="1"/>
  <c r="J2332" i="1"/>
  <c r="L2331" i="1" a="1"/>
  <c r="L2331" i="1" s="1"/>
  <c r="K2331" i="1"/>
  <c r="J2331" i="1"/>
  <c r="L2330" i="1" a="1"/>
  <c r="L2330" i="1" s="1"/>
  <c r="K2330" i="1"/>
  <c r="J2330" i="1"/>
  <c r="L2329" i="1" a="1"/>
  <c r="L2329" i="1" s="1"/>
  <c r="K2329" i="1"/>
  <c r="J2329" i="1"/>
  <c r="L2328" i="1" a="1"/>
  <c r="L2328" i="1" s="1"/>
  <c r="K2328" i="1"/>
  <c r="J2328" i="1"/>
  <c r="L2327" i="1" a="1"/>
  <c r="L2327" i="1" s="1"/>
  <c r="K2327" i="1"/>
  <c r="J2327" i="1"/>
  <c r="L2326" i="1" a="1"/>
  <c r="L2326" i="1" s="1"/>
  <c r="K2326" i="1"/>
  <c r="J2326" i="1"/>
  <c r="L2325" i="1" a="1"/>
  <c r="L2325" i="1" s="1"/>
  <c r="K2325" i="1"/>
  <c r="J2325" i="1"/>
  <c r="L2324" i="1" a="1"/>
  <c r="L2324" i="1" s="1"/>
  <c r="K2324" i="1"/>
  <c r="J2324" i="1"/>
  <c r="L2323" i="1" a="1"/>
  <c r="L2323" i="1" s="1"/>
  <c r="K2323" i="1"/>
  <c r="J2323" i="1"/>
  <c r="L2322" i="1" a="1"/>
  <c r="L2322" i="1" s="1"/>
  <c r="K2322" i="1"/>
  <c r="J2322" i="1"/>
  <c r="L2321" i="1" a="1"/>
  <c r="L2321" i="1" s="1"/>
  <c r="K2321" i="1"/>
  <c r="J2321" i="1"/>
  <c r="L2320" i="1" a="1"/>
  <c r="L2320" i="1" s="1"/>
  <c r="K2320" i="1"/>
  <c r="J2320" i="1"/>
  <c r="L2319" i="1" a="1"/>
  <c r="L2319" i="1" s="1"/>
  <c r="K2319" i="1"/>
  <c r="J2319" i="1"/>
  <c r="L2318" i="1" a="1"/>
  <c r="L2318" i="1" s="1"/>
  <c r="K2318" i="1"/>
  <c r="J2318" i="1"/>
  <c r="L2317" i="1" a="1"/>
  <c r="L2317" i="1" s="1"/>
  <c r="K2317" i="1"/>
  <c r="J2317" i="1"/>
  <c r="L2316" i="1" a="1"/>
  <c r="L2316" i="1" s="1"/>
  <c r="K2316" i="1"/>
  <c r="J2316" i="1"/>
  <c r="L2315" i="1" a="1"/>
  <c r="L2315" i="1" s="1"/>
  <c r="K2315" i="1"/>
  <c r="J2315" i="1"/>
  <c r="L2314" i="1" a="1"/>
  <c r="L2314" i="1" s="1"/>
  <c r="K2314" i="1"/>
  <c r="J2314" i="1"/>
  <c r="L2313" i="1" a="1"/>
  <c r="L2313" i="1" s="1"/>
  <c r="K2313" i="1"/>
  <c r="J2313" i="1"/>
  <c r="L2312" i="1" a="1"/>
  <c r="L2312" i="1" s="1"/>
  <c r="K2312" i="1"/>
  <c r="J2312" i="1"/>
  <c r="L2311" i="1" a="1"/>
  <c r="L2311" i="1" s="1"/>
  <c r="K2311" i="1"/>
  <c r="J2311" i="1"/>
  <c r="L2310" i="1" a="1"/>
  <c r="L2310" i="1" s="1"/>
  <c r="K2310" i="1"/>
  <c r="J2310" i="1"/>
  <c r="L2309" i="1" a="1"/>
  <c r="L2309" i="1" s="1"/>
  <c r="K2309" i="1"/>
  <c r="J2309" i="1"/>
  <c r="L2308" i="1" a="1"/>
  <c r="L2308" i="1" s="1"/>
  <c r="K2308" i="1"/>
  <c r="J2308" i="1"/>
  <c r="L2307" i="1" a="1"/>
  <c r="L2307" i="1" s="1"/>
  <c r="K2307" i="1"/>
  <c r="J2307" i="1"/>
  <c r="L2306" i="1" a="1"/>
  <c r="L2306" i="1" s="1"/>
  <c r="K2306" i="1"/>
  <c r="J2306" i="1"/>
  <c r="L2305" i="1" a="1"/>
  <c r="L2305" i="1" s="1"/>
  <c r="K2305" i="1"/>
  <c r="J2305" i="1"/>
  <c r="L2304" i="1" a="1"/>
  <c r="L2304" i="1" s="1"/>
  <c r="K2304" i="1"/>
  <c r="J2304" i="1"/>
  <c r="L2303" i="1" a="1"/>
  <c r="L2303" i="1" s="1"/>
  <c r="K2303" i="1"/>
  <c r="J2303" i="1"/>
  <c r="L2302" i="1" a="1"/>
  <c r="L2302" i="1" s="1"/>
  <c r="K2302" i="1"/>
  <c r="J2302" i="1"/>
  <c r="L2301" i="1" a="1"/>
  <c r="L2301" i="1" s="1"/>
  <c r="K2301" i="1"/>
  <c r="J2301" i="1"/>
  <c r="L2300" i="1" a="1"/>
  <c r="L2300" i="1" s="1"/>
  <c r="K2300" i="1"/>
  <c r="J2300" i="1"/>
  <c r="L2299" i="1" a="1"/>
  <c r="L2299" i="1" s="1"/>
  <c r="K2299" i="1"/>
  <c r="J2299" i="1"/>
  <c r="L2298" i="1" a="1"/>
  <c r="L2298" i="1" s="1"/>
  <c r="K2298" i="1"/>
  <c r="J2298" i="1"/>
  <c r="L2297" i="1" a="1"/>
  <c r="L2297" i="1" s="1"/>
  <c r="K2297" i="1"/>
  <c r="J2297" i="1"/>
  <c r="L2296" i="1" a="1"/>
  <c r="L2296" i="1" s="1"/>
  <c r="K2296" i="1"/>
  <c r="J2296" i="1"/>
  <c r="L2295" i="1" a="1"/>
  <c r="L2295" i="1" s="1"/>
  <c r="K2295" i="1"/>
  <c r="J2295" i="1"/>
  <c r="L2294" i="1" a="1"/>
  <c r="L2294" i="1" s="1"/>
  <c r="K2294" i="1"/>
  <c r="J2294" i="1"/>
  <c r="L2293" i="1" a="1"/>
  <c r="L2293" i="1" s="1"/>
  <c r="K2293" i="1"/>
  <c r="J2293" i="1"/>
  <c r="L2292" i="1" a="1"/>
  <c r="L2292" i="1" s="1"/>
  <c r="K2292" i="1"/>
  <c r="J2292" i="1"/>
  <c r="L2291" i="1" a="1"/>
  <c r="L2291" i="1" s="1"/>
  <c r="K2291" i="1"/>
  <c r="J2291" i="1"/>
  <c r="L2290" i="1" a="1"/>
  <c r="L2290" i="1" s="1"/>
  <c r="K2290" i="1"/>
  <c r="J2290" i="1"/>
  <c r="L2289" i="1" a="1"/>
  <c r="L2289" i="1" s="1"/>
  <c r="K2289" i="1"/>
  <c r="J2289" i="1"/>
  <c r="L2288" i="1" a="1"/>
  <c r="L2288" i="1" s="1"/>
  <c r="K2288" i="1"/>
  <c r="J2288" i="1"/>
  <c r="L2287" i="1" a="1"/>
  <c r="L2287" i="1" s="1"/>
  <c r="K2287" i="1"/>
  <c r="J2287" i="1"/>
  <c r="L2286" i="1" a="1"/>
  <c r="L2286" i="1" s="1"/>
  <c r="K2286" i="1"/>
  <c r="J2286" i="1"/>
  <c r="L2285" i="1" a="1"/>
  <c r="L2285" i="1" s="1"/>
  <c r="K2285" i="1"/>
  <c r="J2285" i="1"/>
  <c r="L2284" i="1" a="1"/>
  <c r="L2284" i="1" s="1"/>
  <c r="K2284" i="1"/>
  <c r="J2284" i="1"/>
  <c r="L2283" i="1" a="1"/>
  <c r="L2283" i="1" s="1"/>
  <c r="K2283" i="1"/>
  <c r="J2283" i="1"/>
  <c r="L2282" i="1" a="1"/>
  <c r="L2282" i="1" s="1"/>
  <c r="K2282" i="1"/>
  <c r="J2282" i="1"/>
  <c r="L2281" i="1" a="1"/>
  <c r="L2281" i="1" s="1"/>
  <c r="K2281" i="1"/>
  <c r="J2281" i="1"/>
  <c r="L2280" i="1" a="1"/>
  <c r="L2280" i="1" s="1"/>
  <c r="K2280" i="1"/>
  <c r="J2280" i="1"/>
  <c r="L2279" i="1" a="1"/>
  <c r="L2279" i="1" s="1"/>
  <c r="K2279" i="1"/>
  <c r="J2279" i="1"/>
  <c r="L2278" i="1" a="1"/>
  <c r="L2278" i="1" s="1"/>
  <c r="K2278" i="1"/>
  <c r="J2278" i="1"/>
  <c r="L2277" i="1" a="1"/>
  <c r="L2277" i="1" s="1"/>
  <c r="K2277" i="1"/>
  <c r="J2277" i="1"/>
  <c r="L2276" i="1" a="1"/>
  <c r="L2276" i="1" s="1"/>
  <c r="K2276" i="1"/>
  <c r="J2276" i="1"/>
  <c r="L2275" i="1" a="1"/>
  <c r="L2275" i="1" s="1"/>
  <c r="K2275" i="1"/>
  <c r="J2275" i="1"/>
  <c r="L2274" i="1" a="1"/>
  <c r="L2274" i="1" s="1"/>
  <c r="K2274" i="1"/>
  <c r="J2274" i="1"/>
  <c r="L2273" i="1" a="1"/>
  <c r="L2273" i="1" s="1"/>
  <c r="K2273" i="1"/>
  <c r="J2273" i="1"/>
  <c r="L2272" i="1" a="1"/>
  <c r="L2272" i="1" s="1"/>
  <c r="K2272" i="1"/>
  <c r="J2272" i="1"/>
  <c r="L2271" i="1" a="1"/>
  <c r="L2271" i="1" s="1"/>
  <c r="K2271" i="1"/>
  <c r="J2271" i="1"/>
  <c r="L2270" i="1" a="1"/>
  <c r="L2270" i="1" s="1"/>
  <c r="K2270" i="1"/>
  <c r="J2270" i="1"/>
  <c r="L2269" i="1" a="1"/>
  <c r="L2269" i="1" s="1"/>
  <c r="K2269" i="1"/>
  <c r="J2269" i="1"/>
  <c r="L2268" i="1" a="1"/>
  <c r="L2268" i="1" s="1"/>
  <c r="K2268" i="1"/>
  <c r="J2268" i="1"/>
  <c r="L2267" i="1" a="1"/>
  <c r="L2267" i="1" s="1"/>
  <c r="K2267" i="1"/>
  <c r="J2267" i="1"/>
  <c r="L2266" i="1" a="1"/>
  <c r="L2266" i="1" s="1"/>
  <c r="K2266" i="1"/>
  <c r="J2266" i="1"/>
  <c r="L2265" i="1" a="1"/>
  <c r="L2265" i="1" s="1"/>
  <c r="K2265" i="1"/>
  <c r="J2265" i="1"/>
  <c r="L2264" i="1" a="1"/>
  <c r="L2264" i="1" s="1"/>
  <c r="K2264" i="1"/>
  <c r="J2264" i="1"/>
  <c r="L2263" i="1" a="1"/>
  <c r="L2263" i="1" s="1"/>
  <c r="K2263" i="1"/>
  <c r="J2263" i="1"/>
  <c r="L2262" i="1" a="1"/>
  <c r="L2262" i="1" s="1"/>
  <c r="K2262" i="1"/>
  <c r="J2262" i="1"/>
  <c r="L2261" i="1" a="1"/>
  <c r="L2261" i="1" s="1"/>
  <c r="K2261" i="1"/>
  <c r="J2261" i="1"/>
  <c r="L2260" i="1" a="1"/>
  <c r="L2260" i="1" s="1"/>
  <c r="K2260" i="1"/>
  <c r="J2260" i="1"/>
  <c r="L2259" i="1" a="1"/>
  <c r="L2259" i="1" s="1"/>
  <c r="K2259" i="1"/>
  <c r="J2259" i="1"/>
  <c r="L2258" i="1" a="1"/>
  <c r="L2258" i="1" s="1"/>
  <c r="K2258" i="1"/>
  <c r="J2258" i="1"/>
  <c r="L2257" i="1" a="1"/>
  <c r="L2257" i="1" s="1"/>
  <c r="K2257" i="1"/>
  <c r="J2257" i="1"/>
  <c r="L2256" i="1" a="1"/>
  <c r="L2256" i="1" s="1"/>
  <c r="K2256" i="1"/>
  <c r="J2256" i="1"/>
  <c r="L2255" i="1" a="1"/>
  <c r="L2255" i="1" s="1"/>
  <c r="K2255" i="1"/>
  <c r="J2255" i="1"/>
  <c r="L2254" i="1" a="1"/>
  <c r="L2254" i="1" s="1"/>
  <c r="K2254" i="1"/>
  <c r="J2254" i="1"/>
  <c r="L2253" i="1" a="1"/>
  <c r="L2253" i="1" s="1"/>
  <c r="K2253" i="1"/>
  <c r="J2253" i="1"/>
  <c r="L2252" i="1" a="1"/>
  <c r="L2252" i="1" s="1"/>
  <c r="K2252" i="1"/>
  <c r="J2252" i="1"/>
  <c r="L2251" i="1" a="1"/>
  <c r="L2251" i="1" s="1"/>
  <c r="K2251" i="1"/>
  <c r="J2251" i="1"/>
  <c r="L2250" i="1" a="1"/>
  <c r="L2250" i="1" s="1"/>
  <c r="K2250" i="1"/>
  <c r="J2250" i="1"/>
  <c r="L2249" i="1" a="1"/>
  <c r="L2249" i="1" s="1"/>
  <c r="K2249" i="1"/>
  <c r="J2249" i="1"/>
  <c r="L2248" i="1" a="1"/>
  <c r="L2248" i="1" s="1"/>
  <c r="K2248" i="1"/>
  <c r="J2248" i="1"/>
  <c r="L2247" i="1" a="1"/>
  <c r="L2247" i="1" s="1"/>
  <c r="K2247" i="1"/>
  <c r="J2247" i="1"/>
  <c r="L2246" i="1" a="1"/>
  <c r="L2246" i="1" s="1"/>
  <c r="K2246" i="1"/>
  <c r="J2246" i="1"/>
  <c r="L2245" i="1" a="1"/>
  <c r="L2245" i="1" s="1"/>
  <c r="K2245" i="1"/>
  <c r="J2245" i="1"/>
  <c r="L2244" i="1" a="1"/>
  <c r="L2244" i="1" s="1"/>
  <c r="K2244" i="1"/>
  <c r="J2244" i="1"/>
  <c r="L2243" i="1" a="1"/>
  <c r="L2243" i="1" s="1"/>
  <c r="K2243" i="1"/>
  <c r="J2243" i="1"/>
  <c r="L2242" i="1" a="1"/>
  <c r="L2242" i="1" s="1"/>
  <c r="K2242" i="1"/>
  <c r="J2242" i="1"/>
  <c r="L2241" i="1" a="1"/>
  <c r="L2241" i="1" s="1"/>
  <c r="K2241" i="1"/>
  <c r="J2241" i="1"/>
  <c r="L2240" i="1" a="1"/>
  <c r="L2240" i="1" s="1"/>
  <c r="K2240" i="1"/>
  <c r="J2240" i="1"/>
  <c r="L2239" i="1" a="1"/>
  <c r="L2239" i="1" s="1"/>
  <c r="K2239" i="1"/>
  <c r="J2239" i="1"/>
  <c r="L2238" i="1" a="1"/>
  <c r="L2238" i="1" s="1"/>
  <c r="K2238" i="1"/>
  <c r="J2238" i="1"/>
  <c r="L2237" i="1" a="1"/>
  <c r="L2237" i="1" s="1"/>
  <c r="K2237" i="1"/>
  <c r="J2237" i="1"/>
  <c r="L2236" i="1" a="1"/>
  <c r="L2236" i="1" s="1"/>
  <c r="K2236" i="1"/>
  <c r="J2236" i="1"/>
  <c r="L2235" i="1" a="1"/>
  <c r="L2235" i="1" s="1"/>
  <c r="K2235" i="1"/>
  <c r="J2235" i="1"/>
  <c r="L2234" i="1" a="1"/>
  <c r="L2234" i="1" s="1"/>
  <c r="K2234" i="1"/>
  <c r="J2234" i="1"/>
  <c r="L2233" i="1" a="1"/>
  <c r="L2233" i="1" s="1"/>
  <c r="K2233" i="1"/>
  <c r="J2233" i="1"/>
  <c r="L2232" i="1" a="1"/>
  <c r="L2232" i="1" s="1"/>
  <c r="K2232" i="1"/>
  <c r="J2232" i="1"/>
  <c r="L2231" i="1" a="1"/>
  <c r="L2231" i="1" s="1"/>
  <c r="K2231" i="1"/>
  <c r="J2231" i="1"/>
  <c r="L2230" i="1" a="1"/>
  <c r="L2230" i="1" s="1"/>
  <c r="K2230" i="1"/>
  <c r="J2230" i="1"/>
  <c r="L2229" i="1" a="1"/>
  <c r="L2229" i="1" s="1"/>
  <c r="K2229" i="1"/>
  <c r="J2229" i="1"/>
  <c r="L2228" i="1" a="1"/>
  <c r="L2228" i="1" s="1"/>
  <c r="K2228" i="1"/>
  <c r="J2228" i="1"/>
  <c r="L2227" i="1" a="1"/>
  <c r="L2227" i="1" s="1"/>
  <c r="K2227" i="1"/>
  <c r="J2227" i="1"/>
  <c r="L2226" i="1" a="1"/>
  <c r="L2226" i="1" s="1"/>
  <c r="K2226" i="1"/>
  <c r="J2226" i="1"/>
  <c r="L2225" i="1" a="1"/>
  <c r="L2225" i="1" s="1"/>
  <c r="K2225" i="1"/>
  <c r="J2225" i="1"/>
  <c r="L2224" i="1" a="1"/>
  <c r="L2224" i="1" s="1"/>
  <c r="K2224" i="1"/>
  <c r="J2224" i="1"/>
  <c r="L2223" i="1" a="1"/>
  <c r="L2223" i="1" s="1"/>
  <c r="K2223" i="1"/>
  <c r="J2223" i="1"/>
  <c r="L2222" i="1" a="1"/>
  <c r="L2222" i="1" s="1"/>
  <c r="K2222" i="1"/>
  <c r="J2222" i="1"/>
  <c r="L2221" i="1" a="1"/>
  <c r="L2221" i="1" s="1"/>
  <c r="K2221" i="1"/>
  <c r="J2221" i="1"/>
  <c r="L2220" i="1" a="1"/>
  <c r="L2220" i="1" s="1"/>
  <c r="K2220" i="1"/>
  <c r="J2220" i="1"/>
  <c r="L2219" i="1" a="1"/>
  <c r="L2219" i="1" s="1"/>
  <c r="K2219" i="1"/>
  <c r="J2219" i="1"/>
  <c r="L2218" i="1" a="1"/>
  <c r="L2218" i="1" s="1"/>
  <c r="K2218" i="1"/>
  <c r="J2218" i="1"/>
  <c r="L2217" i="1" a="1"/>
  <c r="L2217" i="1" s="1"/>
  <c r="K2217" i="1"/>
  <c r="J2217" i="1"/>
  <c r="L2216" i="1" a="1"/>
  <c r="L2216" i="1" s="1"/>
  <c r="K2216" i="1"/>
  <c r="J2216" i="1"/>
  <c r="L2215" i="1" a="1"/>
  <c r="L2215" i="1" s="1"/>
  <c r="K2215" i="1"/>
  <c r="J2215" i="1"/>
  <c r="L2214" i="1" a="1"/>
  <c r="L2214" i="1" s="1"/>
  <c r="K2214" i="1"/>
  <c r="J2214" i="1"/>
  <c r="L2213" i="1" a="1"/>
  <c r="L2213" i="1" s="1"/>
  <c r="K2213" i="1"/>
  <c r="J2213" i="1"/>
  <c r="L2212" i="1" a="1"/>
  <c r="L2212" i="1" s="1"/>
  <c r="K2212" i="1"/>
  <c r="J2212" i="1"/>
  <c r="L2211" i="1" a="1"/>
  <c r="L2211" i="1" s="1"/>
  <c r="K2211" i="1"/>
  <c r="J2211" i="1"/>
  <c r="L2210" i="1" a="1"/>
  <c r="L2210" i="1" s="1"/>
  <c r="K2210" i="1"/>
  <c r="J2210" i="1"/>
  <c r="L2209" i="1" a="1"/>
  <c r="L2209" i="1" s="1"/>
  <c r="K2209" i="1"/>
  <c r="J2209" i="1"/>
  <c r="L2208" i="1" a="1"/>
  <c r="L2208" i="1" s="1"/>
  <c r="K2208" i="1"/>
  <c r="J2208" i="1"/>
  <c r="L2207" i="1" a="1"/>
  <c r="L2207" i="1" s="1"/>
  <c r="K2207" i="1"/>
  <c r="J2207" i="1"/>
  <c r="L2206" i="1" a="1"/>
  <c r="L2206" i="1" s="1"/>
  <c r="K2206" i="1"/>
  <c r="J2206" i="1"/>
  <c r="L2205" i="1" a="1"/>
  <c r="L2205" i="1" s="1"/>
  <c r="K2205" i="1"/>
  <c r="J2205" i="1"/>
  <c r="L2204" i="1" a="1"/>
  <c r="L2204" i="1" s="1"/>
  <c r="K2204" i="1"/>
  <c r="J2204" i="1"/>
  <c r="L2203" i="1" a="1"/>
  <c r="L2203" i="1" s="1"/>
  <c r="K2203" i="1"/>
  <c r="J2203" i="1"/>
  <c r="L2202" i="1" a="1"/>
  <c r="L2202" i="1" s="1"/>
  <c r="K2202" i="1"/>
  <c r="J2202" i="1"/>
  <c r="L2201" i="1" a="1"/>
  <c r="L2201" i="1" s="1"/>
  <c r="K2201" i="1"/>
  <c r="J2201" i="1"/>
  <c r="L2200" i="1" a="1"/>
  <c r="L2200" i="1" s="1"/>
  <c r="K2200" i="1"/>
  <c r="J2200" i="1"/>
  <c r="L2199" i="1" a="1"/>
  <c r="L2199" i="1" s="1"/>
  <c r="K2199" i="1"/>
  <c r="J2199" i="1"/>
  <c r="L2198" i="1" a="1"/>
  <c r="L2198" i="1" s="1"/>
  <c r="K2198" i="1"/>
  <c r="J2198" i="1"/>
  <c r="L2197" i="1" a="1"/>
  <c r="L2197" i="1" s="1"/>
  <c r="K2197" i="1"/>
  <c r="J2197" i="1"/>
  <c r="L2196" i="1" a="1"/>
  <c r="L2196" i="1" s="1"/>
  <c r="K2196" i="1"/>
  <c r="J2196" i="1"/>
  <c r="L2195" i="1" a="1"/>
  <c r="L2195" i="1" s="1"/>
  <c r="K2195" i="1"/>
  <c r="J2195" i="1"/>
  <c r="L2194" i="1" a="1"/>
  <c r="L2194" i="1" s="1"/>
  <c r="K2194" i="1"/>
  <c r="J2194" i="1"/>
  <c r="L2193" i="1" a="1"/>
  <c r="L2193" i="1" s="1"/>
  <c r="K2193" i="1"/>
  <c r="J2193" i="1"/>
  <c r="L2192" i="1" a="1"/>
  <c r="L2192" i="1" s="1"/>
  <c r="K2192" i="1"/>
  <c r="J2192" i="1"/>
  <c r="L2191" i="1" a="1"/>
  <c r="L2191" i="1" s="1"/>
  <c r="K2191" i="1"/>
  <c r="J2191" i="1"/>
  <c r="L2190" i="1" a="1"/>
  <c r="L2190" i="1" s="1"/>
  <c r="K2190" i="1"/>
  <c r="J2190" i="1"/>
  <c r="L2189" i="1" a="1"/>
  <c r="L2189" i="1" s="1"/>
  <c r="K2189" i="1"/>
  <c r="J2189" i="1"/>
  <c r="L2188" i="1" a="1"/>
  <c r="L2188" i="1" s="1"/>
  <c r="K2188" i="1"/>
  <c r="J2188" i="1"/>
  <c r="L2187" i="1" a="1"/>
  <c r="L2187" i="1" s="1"/>
  <c r="K2187" i="1"/>
  <c r="J2187" i="1"/>
  <c r="L2186" i="1" a="1"/>
  <c r="L2186" i="1" s="1"/>
  <c r="K2186" i="1"/>
  <c r="J2186" i="1"/>
  <c r="L2185" i="1" a="1"/>
  <c r="L2185" i="1" s="1"/>
  <c r="K2185" i="1"/>
  <c r="J2185" i="1"/>
  <c r="L2184" i="1" a="1"/>
  <c r="L2184" i="1" s="1"/>
  <c r="K2184" i="1"/>
  <c r="J2184" i="1"/>
  <c r="L2183" i="1" a="1"/>
  <c r="L2183" i="1" s="1"/>
  <c r="K2183" i="1"/>
  <c r="J2183" i="1"/>
  <c r="L2182" i="1" a="1"/>
  <c r="L2182" i="1" s="1"/>
  <c r="K2182" i="1"/>
  <c r="J2182" i="1"/>
  <c r="L2181" i="1" a="1"/>
  <c r="L2181" i="1" s="1"/>
  <c r="K2181" i="1"/>
  <c r="J2181" i="1"/>
  <c r="L2180" i="1" a="1"/>
  <c r="L2180" i="1" s="1"/>
  <c r="K2180" i="1"/>
  <c r="J2180" i="1"/>
  <c r="L2179" i="1" a="1"/>
  <c r="L2179" i="1" s="1"/>
  <c r="K2179" i="1"/>
  <c r="J2179" i="1"/>
  <c r="L2178" i="1" a="1"/>
  <c r="L2178" i="1" s="1"/>
  <c r="K2178" i="1"/>
  <c r="J2178" i="1"/>
  <c r="L2177" i="1" a="1"/>
  <c r="L2177" i="1" s="1"/>
  <c r="K2177" i="1"/>
  <c r="J2177" i="1"/>
  <c r="L2176" i="1" a="1"/>
  <c r="L2176" i="1" s="1"/>
  <c r="K2176" i="1"/>
  <c r="J2176" i="1"/>
  <c r="L2175" i="1" a="1"/>
  <c r="L2175" i="1" s="1"/>
  <c r="K2175" i="1"/>
  <c r="J2175" i="1"/>
  <c r="L2174" i="1" a="1"/>
  <c r="L2174" i="1" s="1"/>
  <c r="K2174" i="1"/>
  <c r="J2174" i="1"/>
  <c r="L2173" i="1" a="1"/>
  <c r="L2173" i="1" s="1"/>
  <c r="K2173" i="1"/>
  <c r="J2173" i="1"/>
  <c r="L2172" i="1" a="1"/>
  <c r="L2172" i="1" s="1"/>
  <c r="K2172" i="1"/>
  <c r="J2172" i="1"/>
  <c r="L2171" i="1" a="1"/>
  <c r="L2171" i="1" s="1"/>
  <c r="K2171" i="1"/>
  <c r="J2171" i="1"/>
  <c r="L2170" i="1" a="1"/>
  <c r="L2170" i="1" s="1"/>
  <c r="K2170" i="1"/>
  <c r="J2170" i="1"/>
  <c r="L2169" i="1" a="1"/>
  <c r="L2169" i="1" s="1"/>
  <c r="K2169" i="1"/>
  <c r="J2169" i="1"/>
  <c r="L2168" i="1" a="1"/>
  <c r="L2168" i="1" s="1"/>
  <c r="K2168" i="1"/>
  <c r="J2168" i="1"/>
  <c r="L2167" i="1" a="1"/>
  <c r="L2167" i="1" s="1"/>
  <c r="K2167" i="1"/>
  <c r="J2167" i="1"/>
  <c r="L2166" i="1" a="1"/>
  <c r="L2166" i="1" s="1"/>
  <c r="K2166" i="1"/>
  <c r="J2166" i="1"/>
  <c r="L2165" i="1" a="1"/>
  <c r="L2165" i="1" s="1"/>
  <c r="K2165" i="1"/>
  <c r="J2165" i="1"/>
  <c r="L2164" i="1" a="1"/>
  <c r="L2164" i="1" s="1"/>
  <c r="K2164" i="1"/>
  <c r="J2164" i="1"/>
  <c r="L2163" i="1" a="1"/>
  <c r="L2163" i="1" s="1"/>
  <c r="K2163" i="1"/>
  <c r="J2163" i="1"/>
  <c r="L2162" i="1" a="1"/>
  <c r="L2162" i="1" s="1"/>
  <c r="K2162" i="1"/>
  <c r="J2162" i="1"/>
  <c r="L2161" i="1" a="1"/>
  <c r="L2161" i="1" s="1"/>
  <c r="K2161" i="1"/>
  <c r="J2161" i="1"/>
  <c r="L2160" i="1" a="1"/>
  <c r="L2160" i="1" s="1"/>
  <c r="K2160" i="1"/>
  <c r="J2160" i="1"/>
  <c r="L2159" i="1" a="1"/>
  <c r="L2159" i="1" s="1"/>
  <c r="K2159" i="1"/>
  <c r="J2159" i="1"/>
  <c r="L2158" i="1" a="1"/>
  <c r="L2158" i="1" s="1"/>
  <c r="K2158" i="1"/>
  <c r="J2158" i="1"/>
  <c r="L2157" i="1" a="1"/>
  <c r="L2157" i="1" s="1"/>
  <c r="K2157" i="1"/>
  <c r="J2157" i="1"/>
  <c r="L2156" i="1" a="1"/>
  <c r="L2156" i="1" s="1"/>
  <c r="K2156" i="1"/>
  <c r="J2156" i="1"/>
  <c r="L2155" i="1" a="1"/>
  <c r="L2155" i="1" s="1"/>
  <c r="K2155" i="1"/>
  <c r="J2155" i="1"/>
  <c r="L2154" i="1" a="1"/>
  <c r="L2154" i="1" s="1"/>
  <c r="K2154" i="1"/>
  <c r="J2154" i="1"/>
  <c r="L2153" i="1" a="1"/>
  <c r="L2153" i="1" s="1"/>
  <c r="K2153" i="1"/>
  <c r="J2153" i="1"/>
  <c r="L2152" i="1" a="1"/>
  <c r="L2152" i="1" s="1"/>
  <c r="K2152" i="1"/>
  <c r="J2152" i="1"/>
  <c r="L2151" i="1" a="1"/>
  <c r="L2151" i="1" s="1"/>
  <c r="K2151" i="1"/>
  <c r="J2151" i="1"/>
  <c r="L2150" i="1" a="1"/>
  <c r="L2150" i="1" s="1"/>
  <c r="K2150" i="1"/>
  <c r="J2150" i="1"/>
  <c r="L2149" i="1" a="1"/>
  <c r="L2149" i="1" s="1"/>
  <c r="K2149" i="1"/>
  <c r="J2149" i="1"/>
  <c r="L2148" i="1" a="1"/>
  <c r="L2148" i="1" s="1"/>
  <c r="K2148" i="1"/>
  <c r="J2148" i="1"/>
  <c r="L2147" i="1" a="1"/>
  <c r="L2147" i="1" s="1"/>
  <c r="K2147" i="1"/>
  <c r="J2147" i="1"/>
  <c r="L2146" i="1" a="1"/>
  <c r="L2146" i="1" s="1"/>
  <c r="K2146" i="1"/>
  <c r="J2146" i="1"/>
  <c r="L2145" i="1" a="1"/>
  <c r="L2145" i="1" s="1"/>
  <c r="K2145" i="1"/>
  <c r="J2145" i="1"/>
  <c r="L2144" i="1" a="1"/>
  <c r="L2144" i="1" s="1"/>
  <c r="K2144" i="1"/>
  <c r="J2144" i="1"/>
  <c r="L2143" i="1" a="1"/>
  <c r="L2143" i="1" s="1"/>
  <c r="K2143" i="1"/>
  <c r="J2143" i="1"/>
  <c r="L2142" i="1" a="1"/>
  <c r="L2142" i="1" s="1"/>
  <c r="K2142" i="1"/>
  <c r="J2142" i="1"/>
  <c r="L2141" i="1" a="1"/>
  <c r="L2141" i="1" s="1"/>
  <c r="K2141" i="1"/>
  <c r="J2141" i="1"/>
  <c r="L2140" i="1" a="1"/>
  <c r="L2140" i="1" s="1"/>
  <c r="K2140" i="1"/>
  <c r="J2140" i="1"/>
  <c r="L2139" i="1" a="1"/>
  <c r="L2139" i="1" s="1"/>
  <c r="K2139" i="1"/>
  <c r="J2139" i="1"/>
  <c r="L2138" i="1" a="1"/>
  <c r="L2138" i="1" s="1"/>
  <c r="K2138" i="1"/>
  <c r="J2138" i="1"/>
  <c r="L2137" i="1" a="1"/>
  <c r="L2137" i="1" s="1"/>
  <c r="K2137" i="1"/>
  <c r="J2137" i="1"/>
  <c r="L2136" i="1" a="1"/>
  <c r="L2136" i="1" s="1"/>
  <c r="K2136" i="1"/>
  <c r="J2136" i="1"/>
  <c r="L2135" i="1" a="1"/>
  <c r="L2135" i="1" s="1"/>
  <c r="K2135" i="1"/>
  <c r="J2135" i="1"/>
  <c r="L2134" i="1" a="1"/>
  <c r="L2134" i="1" s="1"/>
  <c r="K2134" i="1"/>
  <c r="J2134" i="1"/>
  <c r="L2133" i="1" a="1"/>
  <c r="L2133" i="1" s="1"/>
  <c r="K2133" i="1"/>
  <c r="J2133" i="1"/>
  <c r="L2132" i="1" a="1"/>
  <c r="L2132" i="1" s="1"/>
  <c r="K2132" i="1"/>
  <c r="J2132" i="1"/>
  <c r="L2131" i="1" a="1"/>
  <c r="L2131" i="1" s="1"/>
  <c r="K2131" i="1"/>
  <c r="J2131" i="1"/>
  <c r="L2130" i="1" a="1"/>
  <c r="L2130" i="1" s="1"/>
  <c r="K2130" i="1"/>
  <c r="J2130" i="1"/>
  <c r="L2129" i="1" a="1"/>
  <c r="L2129" i="1" s="1"/>
  <c r="K2129" i="1"/>
  <c r="J2129" i="1"/>
  <c r="L2128" i="1" a="1"/>
  <c r="L2128" i="1" s="1"/>
  <c r="K2128" i="1"/>
  <c r="J2128" i="1"/>
  <c r="L2127" i="1" a="1"/>
  <c r="L2127" i="1" s="1"/>
  <c r="K2127" i="1"/>
  <c r="J2127" i="1"/>
  <c r="L2126" i="1" a="1"/>
  <c r="L2126" i="1" s="1"/>
  <c r="K2126" i="1"/>
  <c r="J2126" i="1"/>
  <c r="L2125" i="1" a="1"/>
  <c r="L2125" i="1" s="1"/>
  <c r="K2125" i="1"/>
  <c r="J2125" i="1"/>
  <c r="L2124" i="1" a="1"/>
  <c r="L2124" i="1" s="1"/>
  <c r="K2124" i="1"/>
  <c r="J2124" i="1"/>
  <c r="L2123" i="1" a="1"/>
  <c r="L2123" i="1" s="1"/>
  <c r="K2123" i="1"/>
  <c r="J2123" i="1"/>
  <c r="L2122" i="1" a="1"/>
  <c r="L2122" i="1" s="1"/>
  <c r="K2122" i="1"/>
  <c r="J2122" i="1"/>
  <c r="L2121" i="1" a="1"/>
  <c r="L2121" i="1" s="1"/>
  <c r="K2121" i="1"/>
  <c r="J2121" i="1"/>
  <c r="L2120" i="1" a="1"/>
  <c r="L2120" i="1" s="1"/>
  <c r="K2120" i="1"/>
  <c r="J2120" i="1"/>
  <c r="L2119" i="1" a="1"/>
  <c r="L2119" i="1" s="1"/>
  <c r="K2119" i="1"/>
  <c r="J2119" i="1"/>
  <c r="L2118" i="1" a="1"/>
  <c r="L2118" i="1" s="1"/>
  <c r="K2118" i="1"/>
  <c r="J2118" i="1"/>
  <c r="L2117" i="1" a="1"/>
  <c r="L2117" i="1" s="1"/>
  <c r="K2117" i="1"/>
  <c r="J2117" i="1"/>
  <c r="L2116" i="1" a="1"/>
  <c r="L2116" i="1" s="1"/>
  <c r="K2116" i="1"/>
  <c r="J2116" i="1"/>
  <c r="L2115" i="1" a="1"/>
  <c r="L2115" i="1" s="1"/>
  <c r="K2115" i="1"/>
  <c r="J2115" i="1"/>
  <c r="L2114" i="1" a="1"/>
  <c r="L2114" i="1" s="1"/>
  <c r="K2114" i="1"/>
  <c r="J2114" i="1"/>
  <c r="L2113" i="1" a="1"/>
  <c r="L2113" i="1" s="1"/>
  <c r="K2113" i="1"/>
  <c r="J2113" i="1"/>
  <c r="L2112" i="1" a="1"/>
  <c r="L2112" i="1" s="1"/>
  <c r="K2112" i="1"/>
  <c r="J2112" i="1"/>
  <c r="L2111" i="1" a="1"/>
  <c r="L2111" i="1" s="1"/>
  <c r="K2111" i="1"/>
  <c r="J2111" i="1"/>
  <c r="L2110" i="1" a="1"/>
  <c r="L2110" i="1" s="1"/>
  <c r="K2110" i="1"/>
  <c r="J2110" i="1"/>
  <c r="L2109" i="1" a="1"/>
  <c r="L2109" i="1" s="1"/>
  <c r="K2109" i="1"/>
  <c r="J2109" i="1"/>
  <c r="L2108" i="1" a="1"/>
  <c r="L2108" i="1" s="1"/>
  <c r="K2108" i="1"/>
  <c r="J2108" i="1"/>
  <c r="L2107" i="1" a="1"/>
  <c r="L2107" i="1" s="1"/>
  <c r="K2107" i="1"/>
  <c r="J2107" i="1"/>
  <c r="L2106" i="1" a="1"/>
  <c r="L2106" i="1" s="1"/>
  <c r="K2106" i="1"/>
  <c r="J2106" i="1"/>
  <c r="L2105" i="1" a="1"/>
  <c r="L2105" i="1" s="1"/>
  <c r="K2105" i="1"/>
  <c r="J2105" i="1"/>
  <c r="L2104" i="1" a="1"/>
  <c r="L2104" i="1" s="1"/>
  <c r="K2104" i="1"/>
  <c r="J2104" i="1"/>
  <c r="L2103" i="1" a="1"/>
  <c r="L2103" i="1" s="1"/>
  <c r="K2103" i="1"/>
  <c r="J2103" i="1"/>
  <c r="L2102" i="1" a="1"/>
  <c r="L2102" i="1" s="1"/>
  <c r="K2102" i="1"/>
  <c r="J2102" i="1"/>
  <c r="L2101" i="1" a="1"/>
  <c r="L2101" i="1" s="1"/>
  <c r="K2101" i="1"/>
  <c r="J2101" i="1"/>
  <c r="L2100" i="1" a="1"/>
  <c r="L2100" i="1" s="1"/>
  <c r="K2100" i="1"/>
  <c r="J2100" i="1"/>
  <c r="L2099" i="1" a="1"/>
  <c r="L2099" i="1" s="1"/>
  <c r="K2099" i="1"/>
  <c r="J2099" i="1"/>
  <c r="L2098" i="1" a="1"/>
  <c r="L2098" i="1" s="1"/>
  <c r="K2098" i="1"/>
  <c r="J2098" i="1"/>
  <c r="L2097" i="1" a="1"/>
  <c r="L2097" i="1" s="1"/>
  <c r="K2097" i="1"/>
  <c r="J2097" i="1"/>
  <c r="L2096" i="1" a="1"/>
  <c r="L2096" i="1" s="1"/>
  <c r="K2096" i="1"/>
  <c r="J2096" i="1"/>
  <c r="L2095" i="1" a="1"/>
  <c r="L2095" i="1" s="1"/>
  <c r="K2095" i="1"/>
  <c r="J2095" i="1"/>
  <c r="L2094" i="1" a="1"/>
  <c r="L2094" i="1" s="1"/>
  <c r="K2094" i="1"/>
  <c r="J2094" i="1"/>
  <c r="L2093" i="1" a="1"/>
  <c r="L2093" i="1" s="1"/>
  <c r="K2093" i="1"/>
  <c r="J2093" i="1"/>
  <c r="L2092" i="1" a="1"/>
  <c r="L2092" i="1" s="1"/>
  <c r="K2092" i="1"/>
  <c r="J2092" i="1"/>
  <c r="L2091" i="1" a="1"/>
  <c r="L2091" i="1" s="1"/>
  <c r="K2091" i="1"/>
  <c r="J2091" i="1"/>
  <c r="L2090" i="1" a="1"/>
  <c r="L2090" i="1" s="1"/>
  <c r="K2090" i="1"/>
  <c r="J2090" i="1"/>
  <c r="L2089" i="1" a="1"/>
  <c r="L2089" i="1" s="1"/>
  <c r="K2089" i="1"/>
  <c r="J2089" i="1"/>
  <c r="L2088" i="1" a="1"/>
  <c r="L2088" i="1" s="1"/>
  <c r="K2088" i="1"/>
  <c r="J2088" i="1"/>
  <c r="L2087" i="1" a="1"/>
  <c r="L2087" i="1" s="1"/>
  <c r="K2087" i="1"/>
  <c r="J2087" i="1"/>
  <c r="L2086" i="1" a="1"/>
  <c r="L2086" i="1" s="1"/>
  <c r="K2086" i="1"/>
  <c r="J2086" i="1"/>
  <c r="L2085" i="1" a="1"/>
  <c r="L2085" i="1" s="1"/>
  <c r="K2085" i="1"/>
  <c r="J2085" i="1"/>
  <c r="L2084" i="1" a="1"/>
  <c r="L2084" i="1" s="1"/>
  <c r="K2084" i="1"/>
  <c r="J2084" i="1"/>
  <c r="L2083" i="1" a="1"/>
  <c r="L2083" i="1" s="1"/>
  <c r="K2083" i="1"/>
  <c r="J2083" i="1"/>
  <c r="L2082" i="1" a="1"/>
  <c r="L2082" i="1" s="1"/>
  <c r="K2082" i="1"/>
  <c r="J2082" i="1"/>
  <c r="L2081" i="1" a="1"/>
  <c r="L2081" i="1" s="1"/>
  <c r="K2081" i="1"/>
  <c r="J2081" i="1"/>
  <c r="L2080" i="1" a="1"/>
  <c r="L2080" i="1" s="1"/>
  <c r="K2080" i="1"/>
  <c r="J2080" i="1"/>
  <c r="L2079" i="1" a="1"/>
  <c r="L2079" i="1" s="1"/>
  <c r="K2079" i="1"/>
  <c r="J2079" i="1"/>
  <c r="L2078" i="1" a="1"/>
  <c r="L2078" i="1" s="1"/>
  <c r="K2078" i="1"/>
  <c r="J2078" i="1"/>
  <c r="L2077" i="1" a="1"/>
  <c r="L2077" i="1" s="1"/>
  <c r="K2077" i="1"/>
  <c r="J2077" i="1"/>
  <c r="L2076" i="1" a="1"/>
  <c r="L2076" i="1" s="1"/>
  <c r="K2076" i="1"/>
  <c r="J2076" i="1"/>
  <c r="L2075" i="1" a="1"/>
  <c r="L2075" i="1" s="1"/>
  <c r="K2075" i="1"/>
  <c r="J2075" i="1"/>
  <c r="L2074" i="1" a="1"/>
  <c r="L2074" i="1" s="1"/>
  <c r="K2074" i="1"/>
  <c r="J2074" i="1"/>
  <c r="L2073" i="1" a="1"/>
  <c r="L2073" i="1" s="1"/>
  <c r="K2073" i="1"/>
  <c r="J2073" i="1"/>
  <c r="L2072" i="1" a="1"/>
  <c r="L2072" i="1" s="1"/>
  <c r="K2072" i="1"/>
  <c r="J2072" i="1"/>
  <c r="L2071" i="1" a="1"/>
  <c r="L2071" i="1" s="1"/>
  <c r="K2071" i="1"/>
  <c r="J2071" i="1"/>
  <c r="L2070" i="1" a="1"/>
  <c r="L2070" i="1" s="1"/>
  <c r="K2070" i="1"/>
  <c r="J2070" i="1"/>
  <c r="L2069" i="1" a="1"/>
  <c r="L2069" i="1" s="1"/>
  <c r="K2069" i="1"/>
  <c r="J2069" i="1"/>
  <c r="L2068" i="1" a="1"/>
  <c r="L2068" i="1" s="1"/>
  <c r="K2068" i="1"/>
  <c r="J2068" i="1"/>
  <c r="L2067" i="1" a="1"/>
  <c r="L2067" i="1" s="1"/>
  <c r="K2067" i="1"/>
  <c r="J2067" i="1"/>
  <c r="L2066" i="1" a="1"/>
  <c r="L2066" i="1" s="1"/>
  <c r="K2066" i="1"/>
  <c r="J2066" i="1"/>
  <c r="L2065" i="1" a="1"/>
  <c r="L2065" i="1" s="1"/>
  <c r="K2065" i="1"/>
  <c r="J2065" i="1"/>
  <c r="L2064" i="1" a="1"/>
  <c r="L2064" i="1" s="1"/>
  <c r="K2064" i="1"/>
  <c r="J2064" i="1"/>
  <c r="L2063" i="1" a="1"/>
  <c r="L2063" i="1" s="1"/>
  <c r="K2063" i="1"/>
  <c r="J2063" i="1"/>
  <c r="L2062" i="1" a="1"/>
  <c r="L2062" i="1" s="1"/>
  <c r="K2062" i="1"/>
  <c r="J2062" i="1"/>
  <c r="L2061" i="1" a="1"/>
  <c r="L2061" i="1" s="1"/>
  <c r="K2061" i="1"/>
  <c r="J2061" i="1"/>
  <c r="L2060" i="1" a="1"/>
  <c r="L2060" i="1" s="1"/>
  <c r="K2060" i="1"/>
  <c r="J2060" i="1"/>
  <c r="L2059" i="1" a="1"/>
  <c r="L2059" i="1" s="1"/>
  <c r="K2059" i="1"/>
  <c r="J2059" i="1"/>
  <c r="L2058" i="1" a="1"/>
  <c r="L2058" i="1" s="1"/>
  <c r="K2058" i="1"/>
  <c r="J2058" i="1"/>
  <c r="L2057" i="1" a="1"/>
  <c r="L2057" i="1" s="1"/>
  <c r="K2057" i="1"/>
  <c r="J2057" i="1"/>
  <c r="L2056" i="1" a="1"/>
  <c r="L2056" i="1" s="1"/>
  <c r="K2056" i="1"/>
  <c r="J2056" i="1"/>
  <c r="L2055" i="1" a="1"/>
  <c r="L2055" i="1" s="1"/>
  <c r="K2055" i="1"/>
  <c r="J2055" i="1"/>
  <c r="L2054" i="1" a="1"/>
  <c r="L2054" i="1" s="1"/>
  <c r="K2054" i="1"/>
  <c r="J2054" i="1"/>
  <c r="L2053" i="1" a="1"/>
  <c r="L2053" i="1" s="1"/>
  <c r="K2053" i="1"/>
  <c r="J2053" i="1"/>
  <c r="L2052" i="1" a="1"/>
  <c r="L2052" i="1" s="1"/>
  <c r="K2052" i="1"/>
  <c r="J2052" i="1"/>
  <c r="L2051" i="1" a="1"/>
  <c r="L2051" i="1" s="1"/>
  <c r="K2051" i="1"/>
  <c r="J2051" i="1"/>
  <c r="L2050" i="1" a="1"/>
  <c r="L2050" i="1" s="1"/>
  <c r="K2050" i="1"/>
  <c r="J2050" i="1"/>
  <c r="L2049" i="1" a="1"/>
  <c r="L2049" i="1" s="1"/>
  <c r="K2049" i="1"/>
  <c r="J2049" i="1"/>
  <c r="L2048" i="1" a="1"/>
  <c r="L2048" i="1" s="1"/>
  <c r="K2048" i="1"/>
  <c r="J2048" i="1"/>
  <c r="L2047" i="1" a="1"/>
  <c r="L2047" i="1" s="1"/>
  <c r="K2047" i="1"/>
  <c r="J2047" i="1"/>
  <c r="L2046" i="1" a="1"/>
  <c r="L2046" i="1" s="1"/>
  <c r="K2046" i="1"/>
  <c r="J2046" i="1"/>
  <c r="L2045" i="1" a="1"/>
  <c r="L2045" i="1" s="1"/>
  <c r="K2045" i="1"/>
  <c r="J2045" i="1"/>
  <c r="L2044" i="1" a="1"/>
  <c r="L2044" i="1" s="1"/>
  <c r="K2044" i="1"/>
  <c r="J2044" i="1"/>
  <c r="L2043" i="1" a="1"/>
  <c r="L2043" i="1" s="1"/>
  <c r="K2043" i="1"/>
  <c r="J2043" i="1"/>
  <c r="L2042" i="1" a="1"/>
  <c r="L2042" i="1" s="1"/>
  <c r="K2042" i="1"/>
  <c r="J2042" i="1"/>
  <c r="L2041" i="1" a="1"/>
  <c r="L2041" i="1" s="1"/>
  <c r="K2041" i="1"/>
  <c r="J2041" i="1"/>
  <c r="L2040" i="1" a="1"/>
  <c r="L2040" i="1" s="1"/>
  <c r="K2040" i="1"/>
  <c r="J2040" i="1"/>
  <c r="L2039" i="1" a="1"/>
  <c r="L2039" i="1" s="1"/>
  <c r="K2039" i="1"/>
  <c r="J2039" i="1"/>
  <c r="L2038" i="1" a="1"/>
  <c r="L2038" i="1" s="1"/>
  <c r="K2038" i="1"/>
  <c r="J2038" i="1"/>
  <c r="L2037" i="1" a="1"/>
  <c r="L2037" i="1" s="1"/>
  <c r="K2037" i="1"/>
  <c r="J2037" i="1"/>
  <c r="L2036" i="1" a="1"/>
  <c r="L2036" i="1" s="1"/>
  <c r="K2036" i="1"/>
  <c r="J2036" i="1"/>
  <c r="L2035" i="1" a="1"/>
  <c r="L2035" i="1" s="1"/>
  <c r="K2035" i="1"/>
  <c r="J2035" i="1"/>
  <c r="L2034" i="1" a="1"/>
  <c r="L2034" i="1" s="1"/>
  <c r="K2034" i="1"/>
  <c r="J2034" i="1"/>
  <c r="L2033" i="1" a="1"/>
  <c r="L2033" i="1" s="1"/>
  <c r="K2033" i="1"/>
  <c r="J2033" i="1"/>
  <c r="L2032" i="1" a="1"/>
  <c r="L2032" i="1" s="1"/>
  <c r="K2032" i="1"/>
  <c r="J2032" i="1"/>
  <c r="L2031" i="1" a="1"/>
  <c r="L2031" i="1" s="1"/>
  <c r="K2031" i="1"/>
  <c r="J2031" i="1"/>
  <c r="L2030" i="1" a="1"/>
  <c r="L2030" i="1" s="1"/>
  <c r="K2030" i="1"/>
  <c r="J2030" i="1"/>
  <c r="L2029" i="1" a="1"/>
  <c r="L2029" i="1" s="1"/>
  <c r="K2029" i="1"/>
  <c r="J2029" i="1"/>
  <c r="L2028" i="1" a="1"/>
  <c r="L2028" i="1" s="1"/>
  <c r="K2028" i="1"/>
  <c r="J2028" i="1"/>
  <c r="L2027" i="1" a="1"/>
  <c r="L2027" i="1" s="1"/>
  <c r="K2027" i="1"/>
  <c r="J2027" i="1"/>
  <c r="L2026" i="1" a="1"/>
  <c r="L2026" i="1" s="1"/>
  <c r="K2026" i="1"/>
  <c r="J2026" i="1"/>
  <c r="L2025" i="1" a="1"/>
  <c r="L2025" i="1" s="1"/>
  <c r="K2025" i="1"/>
  <c r="J2025" i="1"/>
  <c r="L2024" i="1" a="1"/>
  <c r="L2024" i="1" s="1"/>
  <c r="K2024" i="1"/>
  <c r="J2024" i="1"/>
  <c r="L2023" i="1" a="1"/>
  <c r="L2023" i="1" s="1"/>
  <c r="K2023" i="1"/>
  <c r="J2023" i="1"/>
  <c r="L2022" i="1" a="1"/>
  <c r="L2022" i="1" s="1"/>
  <c r="K2022" i="1"/>
  <c r="J2022" i="1"/>
  <c r="L2021" i="1" a="1"/>
  <c r="L2021" i="1" s="1"/>
  <c r="K2021" i="1"/>
  <c r="J2021" i="1"/>
  <c r="L2020" i="1" a="1"/>
  <c r="L2020" i="1" s="1"/>
  <c r="K2020" i="1"/>
  <c r="J2020" i="1"/>
  <c r="L2019" i="1" a="1"/>
  <c r="L2019" i="1" s="1"/>
  <c r="K2019" i="1"/>
  <c r="J2019" i="1"/>
  <c r="L2018" i="1" a="1"/>
  <c r="L2018" i="1" s="1"/>
  <c r="K2018" i="1"/>
  <c r="J2018" i="1"/>
  <c r="L2017" i="1" a="1"/>
  <c r="L2017" i="1" s="1"/>
  <c r="K2017" i="1"/>
  <c r="J2017" i="1"/>
  <c r="L2016" i="1" a="1"/>
  <c r="L2016" i="1" s="1"/>
  <c r="K2016" i="1"/>
  <c r="J2016" i="1"/>
  <c r="L2015" i="1" a="1"/>
  <c r="L2015" i="1" s="1"/>
  <c r="K2015" i="1"/>
  <c r="J2015" i="1"/>
  <c r="L2014" i="1" a="1"/>
  <c r="L2014" i="1" s="1"/>
  <c r="K2014" i="1"/>
  <c r="J2014" i="1"/>
  <c r="L2013" i="1" a="1"/>
  <c r="L2013" i="1" s="1"/>
  <c r="K2013" i="1"/>
  <c r="J2013" i="1"/>
  <c r="L2012" i="1" a="1"/>
  <c r="L2012" i="1" s="1"/>
  <c r="K2012" i="1"/>
  <c r="J2012" i="1"/>
  <c r="L2011" i="1" a="1"/>
  <c r="L2011" i="1" s="1"/>
  <c r="K2011" i="1"/>
  <c r="J2011" i="1"/>
  <c r="L2010" i="1" a="1"/>
  <c r="L2010" i="1" s="1"/>
  <c r="K2010" i="1"/>
  <c r="J2010" i="1"/>
  <c r="L2009" i="1" a="1"/>
  <c r="L2009" i="1" s="1"/>
  <c r="K2009" i="1"/>
  <c r="J2009" i="1"/>
  <c r="L2008" i="1" a="1"/>
  <c r="L2008" i="1" s="1"/>
  <c r="K2008" i="1"/>
  <c r="J2008" i="1"/>
  <c r="L2007" i="1" a="1"/>
  <c r="L2007" i="1" s="1"/>
  <c r="K2007" i="1"/>
  <c r="J2007" i="1"/>
  <c r="L2006" i="1" a="1"/>
  <c r="L2006" i="1" s="1"/>
  <c r="K2006" i="1"/>
  <c r="J2006" i="1"/>
  <c r="L2005" i="1" a="1"/>
  <c r="L2005" i="1" s="1"/>
  <c r="K2005" i="1"/>
  <c r="J2005" i="1"/>
  <c r="L2004" i="1" a="1"/>
  <c r="L2004" i="1" s="1"/>
  <c r="K2004" i="1"/>
  <c r="J2004" i="1"/>
  <c r="L2003" i="1" a="1"/>
  <c r="L2003" i="1" s="1"/>
  <c r="K2003" i="1"/>
  <c r="J2003" i="1"/>
  <c r="L2002" i="1" a="1"/>
  <c r="L2002" i="1" s="1"/>
  <c r="K2002" i="1"/>
  <c r="J2002" i="1"/>
  <c r="L2001" i="1" a="1"/>
  <c r="L2001" i="1" s="1"/>
  <c r="K2001" i="1"/>
  <c r="J2001" i="1"/>
  <c r="L2000" i="1" a="1"/>
  <c r="L2000" i="1" s="1"/>
  <c r="K2000" i="1"/>
  <c r="J2000" i="1"/>
  <c r="L1999" i="1" a="1"/>
  <c r="L1999" i="1" s="1"/>
  <c r="K1999" i="1"/>
  <c r="J1999" i="1"/>
  <c r="L1998" i="1" a="1"/>
  <c r="L1998" i="1" s="1"/>
  <c r="K1998" i="1"/>
  <c r="J1998" i="1"/>
  <c r="L1997" i="1" a="1"/>
  <c r="L1997" i="1" s="1"/>
  <c r="K1997" i="1"/>
  <c r="J1997" i="1"/>
  <c r="L1996" i="1" a="1"/>
  <c r="L1996" i="1" s="1"/>
  <c r="K1996" i="1"/>
  <c r="J1996" i="1"/>
  <c r="L1995" i="1" a="1"/>
  <c r="L1995" i="1" s="1"/>
  <c r="K1995" i="1"/>
  <c r="J1995" i="1"/>
  <c r="L1994" i="1" a="1"/>
  <c r="L1994" i="1" s="1"/>
  <c r="K1994" i="1"/>
  <c r="J1994" i="1"/>
  <c r="L1993" i="1" a="1"/>
  <c r="L1993" i="1" s="1"/>
  <c r="K1993" i="1"/>
  <c r="J1993" i="1"/>
  <c r="L1992" i="1" a="1"/>
  <c r="L1992" i="1" s="1"/>
  <c r="K1992" i="1"/>
  <c r="J1992" i="1"/>
  <c r="L1991" i="1" a="1"/>
  <c r="L1991" i="1" s="1"/>
  <c r="K1991" i="1"/>
  <c r="J1991" i="1"/>
  <c r="L1990" i="1" a="1"/>
  <c r="L1990" i="1" s="1"/>
  <c r="K1990" i="1"/>
  <c r="J1990" i="1"/>
  <c r="L1989" i="1" a="1"/>
  <c r="L1989" i="1" s="1"/>
  <c r="K1989" i="1"/>
  <c r="J1989" i="1"/>
  <c r="L1988" i="1" a="1"/>
  <c r="L1988" i="1" s="1"/>
  <c r="K1988" i="1"/>
  <c r="J1988" i="1"/>
  <c r="L1987" i="1" a="1"/>
  <c r="L1987" i="1" s="1"/>
  <c r="K1987" i="1"/>
  <c r="J1987" i="1"/>
  <c r="L1986" i="1" a="1"/>
  <c r="L1986" i="1" s="1"/>
  <c r="K1986" i="1"/>
  <c r="J1986" i="1"/>
  <c r="L1985" i="1" a="1"/>
  <c r="L1985" i="1" s="1"/>
  <c r="K1985" i="1"/>
  <c r="J1985" i="1"/>
  <c r="L1984" i="1" a="1"/>
  <c r="L1984" i="1" s="1"/>
  <c r="K1984" i="1"/>
  <c r="J1984" i="1"/>
  <c r="L1983" i="1" a="1"/>
  <c r="L1983" i="1" s="1"/>
  <c r="K1983" i="1"/>
  <c r="J1983" i="1"/>
  <c r="L1982" i="1" a="1"/>
  <c r="L1982" i="1" s="1"/>
  <c r="K1982" i="1"/>
  <c r="J1982" i="1"/>
  <c r="L1981" i="1" a="1"/>
  <c r="L1981" i="1" s="1"/>
  <c r="K1981" i="1"/>
  <c r="J1981" i="1"/>
  <c r="L1980" i="1" a="1"/>
  <c r="L1980" i="1" s="1"/>
  <c r="K1980" i="1"/>
  <c r="J1980" i="1"/>
  <c r="L1979" i="1" a="1"/>
  <c r="L1979" i="1" s="1"/>
  <c r="K1979" i="1"/>
  <c r="J1979" i="1"/>
  <c r="L1978" i="1" a="1"/>
  <c r="L1978" i="1" s="1"/>
  <c r="K1978" i="1"/>
  <c r="J1978" i="1"/>
  <c r="L1977" i="1" a="1"/>
  <c r="L1977" i="1" s="1"/>
  <c r="K1977" i="1"/>
  <c r="J1977" i="1"/>
  <c r="L1976" i="1" a="1"/>
  <c r="L1976" i="1" s="1"/>
  <c r="K1976" i="1"/>
  <c r="J1976" i="1"/>
  <c r="L1975" i="1" a="1"/>
  <c r="L1975" i="1" s="1"/>
  <c r="K1975" i="1"/>
  <c r="J1975" i="1"/>
  <c r="L1974" i="1" a="1"/>
  <c r="L1974" i="1" s="1"/>
  <c r="K1974" i="1"/>
  <c r="J1974" i="1"/>
  <c r="L1973" i="1" a="1"/>
  <c r="L1973" i="1" s="1"/>
  <c r="K1973" i="1"/>
  <c r="J1973" i="1"/>
  <c r="L1972" i="1" a="1"/>
  <c r="L1972" i="1" s="1"/>
  <c r="K1972" i="1"/>
  <c r="J1972" i="1"/>
  <c r="L1971" i="1" a="1"/>
  <c r="L1971" i="1" s="1"/>
  <c r="K1971" i="1"/>
  <c r="J1971" i="1"/>
  <c r="L1970" i="1" a="1"/>
  <c r="L1970" i="1" s="1"/>
  <c r="K1970" i="1"/>
  <c r="J1970" i="1"/>
  <c r="L1969" i="1" a="1"/>
  <c r="L1969" i="1" s="1"/>
  <c r="K1969" i="1"/>
  <c r="J1969" i="1"/>
  <c r="L1968" i="1" a="1"/>
  <c r="L1968" i="1" s="1"/>
  <c r="K1968" i="1"/>
  <c r="J1968" i="1"/>
  <c r="L1967" i="1" a="1"/>
  <c r="L1967" i="1" s="1"/>
  <c r="K1967" i="1"/>
  <c r="J1967" i="1"/>
  <c r="L1966" i="1" a="1"/>
  <c r="L1966" i="1" s="1"/>
  <c r="K1966" i="1"/>
  <c r="J1966" i="1"/>
  <c r="L1965" i="1" a="1"/>
  <c r="L1965" i="1" s="1"/>
  <c r="K1965" i="1"/>
  <c r="J1965" i="1"/>
  <c r="L1964" i="1" a="1"/>
  <c r="L1964" i="1" s="1"/>
  <c r="K1964" i="1"/>
  <c r="J1964" i="1"/>
  <c r="L1963" i="1" a="1"/>
  <c r="L1963" i="1" s="1"/>
  <c r="K1963" i="1"/>
  <c r="J1963" i="1"/>
  <c r="L1962" i="1" a="1"/>
  <c r="L1962" i="1" s="1"/>
  <c r="K1962" i="1"/>
  <c r="J1962" i="1"/>
  <c r="L1961" i="1" a="1"/>
  <c r="L1961" i="1" s="1"/>
  <c r="K1961" i="1"/>
  <c r="J1961" i="1"/>
  <c r="L1960" i="1" a="1"/>
  <c r="L1960" i="1" s="1"/>
  <c r="K1960" i="1"/>
  <c r="J1960" i="1"/>
  <c r="L1959" i="1" a="1"/>
  <c r="L1959" i="1" s="1"/>
  <c r="K1959" i="1"/>
  <c r="J1959" i="1"/>
  <c r="L1958" i="1" a="1"/>
  <c r="L1958" i="1" s="1"/>
  <c r="K1958" i="1"/>
  <c r="J1958" i="1"/>
  <c r="L1957" i="1" a="1"/>
  <c r="L1957" i="1" s="1"/>
  <c r="K1957" i="1"/>
  <c r="J1957" i="1"/>
  <c r="L1956" i="1" a="1"/>
  <c r="L1956" i="1" s="1"/>
  <c r="K1956" i="1"/>
  <c r="J1956" i="1"/>
  <c r="L1955" i="1" a="1"/>
  <c r="L1955" i="1" s="1"/>
  <c r="K1955" i="1"/>
  <c r="J1955" i="1"/>
  <c r="L1954" i="1" a="1"/>
  <c r="L1954" i="1" s="1"/>
  <c r="K1954" i="1"/>
  <c r="J1954" i="1"/>
  <c r="L1953" i="1" a="1"/>
  <c r="L1953" i="1" s="1"/>
  <c r="K1953" i="1"/>
  <c r="J1953" i="1"/>
  <c r="L1952" i="1" a="1"/>
  <c r="L1952" i="1" s="1"/>
  <c r="K1952" i="1"/>
  <c r="J1952" i="1"/>
  <c r="L1951" i="1" a="1"/>
  <c r="L1951" i="1" s="1"/>
  <c r="K1951" i="1"/>
  <c r="J1951" i="1"/>
  <c r="L1950" i="1" a="1"/>
  <c r="L1950" i="1" s="1"/>
  <c r="K1950" i="1"/>
  <c r="J1950" i="1"/>
  <c r="L1949" i="1" a="1"/>
  <c r="L1949" i="1" s="1"/>
  <c r="K1949" i="1"/>
  <c r="J1949" i="1"/>
  <c r="L1948" i="1" a="1"/>
  <c r="L1948" i="1" s="1"/>
  <c r="K1948" i="1"/>
  <c r="J1948" i="1"/>
  <c r="L1947" i="1" a="1"/>
  <c r="L1947" i="1" s="1"/>
  <c r="K1947" i="1"/>
  <c r="J1947" i="1"/>
  <c r="L1946" i="1" a="1"/>
  <c r="L1946" i="1" s="1"/>
  <c r="K1946" i="1"/>
  <c r="J1946" i="1"/>
  <c r="L1945" i="1" a="1"/>
  <c r="L1945" i="1" s="1"/>
  <c r="K1945" i="1"/>
  <c r="J1945" i="1"/>
  <c r="L1944" i="1" a="1"/>
  <c r="L1944" i="1" s="1"/>
  <c r="K1944" i="1"/>
  <c r="J1944" i="1"/>
  <c r="L1943" i="1" a="1"/>
  <c r="L1943" i="1" s="1"/>
  <c r="K1943" i="1"/>
  <c r="J1943" i="1"/>
  <c r="L1942" i="1" a="1"/>
  <c r="L1942" i="1" s="1"/>
  <c r="K1942" i="1"/>
  <c r="J1942" i="1"/>
  <c r="L1941" i="1" a="1"/>
  <c r="L1941" i="1" s="1"/>
  <c r="K1941" i="1"/>
  <c r="J1941" i="1"/>
  <c r="L1940" i="1" a="1"/>
  <c r="L1940" i="1" s="1"/>
  <c r="K1940" i="1"/>
  <c r="J1940" i="1"/>
  <c r="L1939" i="1" a="1"/>
  <c r="L1939" i="1" s="1"/>
  <c r="K1939" i="1"/>
  <c r="J1939" i="1"/>
  <c r="L1938" i="1" a="1"/>
  <c r="L1938" i="1" s="1"/>
  <c r="K1938" i="1"/>
  <c r="J1938" i="1"/>
  <c r="L1937" i="1" a="1"/>
  <c r="L1937" i="1" s="1"/>
  <c r="K1937" i="1"/>
  <c r="J1937" i="1"/>
  <c r="L1936" i="1" a="1"/>
  <c r="L1936" i="1" s="1"/>
  <c r="K1936" i="1"/>
  <c r="J1936" i="1"/>
  <c r="L1935" i="1" a="1"/>
  <c r="L1935" i="1" s="1"/>
  <c r="K1935" i="1"/>
  <c r="J1935" i="1"/>
  <c r="L1934" i="1" a="1"/>
  <c r="L1934" i="1" s="1"/>
  <c r="K1934" i="1"/>
  <c r="J1934" i="1"/>
  <c r="L1933" i="1" a="1"/>
  <c r="L1933" i="1" s="1"/>
  <c r="K1933" i="1"/>
  <c r="J1933" i="1"/>
  <c r="L1932" i="1" a="1"/>
  <c r="L1932" i="1" s="1"/>
  <c r="K1932" i="1"/>
  <c r="J1932" i="1"/>
  <c r="L1931" i="1" a="1"/>
  <c r="L1931" i="1" s="1"/>
  <c r="K1931" i="1"/>
  <c r="J1931" i="1"/>
  <c r="L1930" i="1" a="1"/>
  <c r="L1930" i="1" s="1"/>
  <c r="K1930" i="1"/>
  <c r="J1930" i="1"/>
  <c r="L1929" i="1" a="1"/>
  <c r="L1929" i="1" s="1"/>
  <c r="K1929" i="1"/>
  <c r="J1929" i="1"/>
  <c r="L1928" i="1" a="1"/>
  <c r="L1928" i="1" s="1"/>
  <c r="K1928" i="1"/>
  <c r="J1928" i="1"/>
  <c r="L1927" i="1" a="1"/>
  <c r="L1927" i="1" s="1"/>
  <c r="K1927" i="1"/>
  <c r="J1927" i="1"/>
  <c r="L1926" i="1" a="1"/>
  <c r="L1926" i="1" s="1"/>
  <c r="K1926" i="1"/>
  <c r="J1926" i="1"/>
  <c r="L1925" i="1" a="1"/>
  <c r="L1925" i="1" s="1"/>
  <c r="K1925" i="1"/>
  <c r="J1925" i="1"/>
  <c r="L1924" i="1" a="1"/>
  <c r="L1924" i="1" s="1"/>
  <c r="K1924" i="1"/>
  <c r="J1924" i="1"/>
  <c r="L1923" i="1" a="1"/>
  <c r="L1923" i="1" s="1"/>
  <c r="K1923" i="1"/>
  <c r="J1923" i="1"/>
  <c r="L1922" i="1" a="1"/>
  <c r="L1922" i="1" s="1"/>
  <c r="K1922" i="1"/>
  <c r="J1922" i="1"/>
  <c r="L1921" i="1" a="1"/>
  <c r="L1921" i="1" s="1"/>
  <c r="K1921" i="1"/>
  <c r="J1921" i="1"/>
  <c r="L1920" i="1" a="1"/>
  <c r="L1920" i="1" s="1"/>
  <c r="K1920" i="1"/>
  <c r="J1920" i="1"/>
  <c r="L1919" i="1" a="1"/>
  <c r="L1919" i="1" s="1"/>
  <c r="K1919" i="1"/>
  <c r="J1919" i="1"/>
  <c r="L1918" i="1" a="1"/>
  <c r="L1918" i="1" s="1"/>
  <c r="K1918" i="1"/>
  <c r="J1918" i="1"/>
  <c r="L1917" i="1" a="1"/>
  <c r="L1917" i="1" s="1"/>
  <c r="K1917" i="1"/>
  <c r="J1917" i="1"/>
  <c r="L1916" i="1" a="1"/>
  <c r="L1916" i="1" s="1"/>
  <c r="K1916" i="1"/>
  <c r="J1916" i="1"/>
  <c r="L1915" i="1" a="1"/>
  <c r="L1915" i="1" s="1"/>
  <c r="K1915" i="1"/>
  <c r="J1915" i="1"/>
  <c r="L1914" i="1" a="1"/>
  <c r="L1914" i="1" s="1"/>
  <c r="K1914" i="1"/>
  <c r="J1914" i="1"/>
  <c r="L1913" i="1" a="1"/>
  <c r="L1913" i="1" s="1"/>
  <c r="K1913" i="1"/>
  <c r="J1913" i="1"/>
  <c r="L1912" i="1" a="1"/>
  <c r="L1912" i="1" s="1"/>
  <c r="K1912" i="1"/>
  <c r="J1912" i="1"/>
  <c r="L1911" i="1" a="1"/>
  <c r="L1911" i="1" s="1"/>
  <c r="K1911" i="1"/>
  <c r="J1911" i="1"/>
  <c r="L1910" i="1" a="1"/>
  <c r="L1910" i="1" s="1"/>
  <c r="K1910" i="1"/>
  <c r="J1910" i="1"/>
  <c r="L1909" i="1" a="1"/>
  <c r="L1909" i="1" s="1"/>
  <c r="K1909" i="1"/>
  <c r="J1909" i="1"/>
  <c r="L1908" i="1" a="1"/>
  <c r="L1908" i="1" s="1"/>
  <c r="K1908" i="1"/>
  <c r="J1908" i="1"/>
  <c r="L1907" i="1" a="1"/>
  <c r="L1907" i="1" s="1"/>
  <c r="K1907" i="1"/>
  <c r="J1907" i="1"/>
  <c r="L1906" i="1" a="1"/>
  <c r="L1906" i="1" s="1"/>
  <c r="K1906" i="1"/>
  <c r="J1906" i="1"/>
  <c r="L1905" i="1" a="1"/>
  <c r="L1905" i="1" s="1"/>
  <c r="K1905" i="1"/>
  <c r="J1905" i="1"/>
  <c r="L1904" i="1" a="1"/>
  <c r="L1904" i="1" s="1"/>
  <c r="K1904" i="1"/>
  <c r="J1904" i="1"/>
  <c r="L1903" i="1" a="1"/>
  <c r="L1903" i="1" s="1"/>
  <c r="K1903" i="1"/>
  <c r="J1903" i="1"/>
  <c r="L1902" i="1" a="1"/>
  <c r="L1902" i="1" s="1"/>
  <c r="K1902" i="1"/>
  <c r="J1902" i="1"/>
  <c r="L1901" i="1" a="1"/>
  <c r="L1901" i="1" s="1"/>
  <c r="K1901" i="1"/>
  <c r="J1901" i="1"/>
  <c r="L1900" i="1" a="1"/>
  <c r="L1900" i="1" s="1"/>
  <c r="K1900" i="1"/>
  <c r="J1900" i="1"/>
  <c r="L1899" i="1" a="1"/>
  <c r="L1899" i="1" s="1"/>
  <c r="K1899" i="1"/>
  <c r="J1899" i="1"/>
  <c r="L1898" i="1" a="1"/>
  <c r="L1898" i="1" s="1"/>
  <c r="K1898" i="1"/>
  <c r="J1898" i="1"/>
  <c r="L1897" i="1" a="1"/>
  <c r="L1897" i="1" s="1"/>
  <c r="K1897" i="1"/>
  <c r="J1897" i="1"/>
  <c r="L1896" i="1" a="1"/>
  <c r="L1896" i="1" s="1"/>
  <c r="K1896" i="1"/>
  <c r="J1896" i="1"/>
  <c r="L1895" i="1" a="1"/>
  <c r="L1895" i="1" s="1"/>
  <c r="K1895" i="1"/>
  <c r="J1895" i="1"/>
  <c r="L1894" i="1" a="1"/>
  <c r="L1894" i="1" s="1"/>
  <c r="K1894" i="1"/>
  <c r="J1894" i="1"/>
  <c r="L1893" i="1" a="1"/>
  <c r="L1893" i="1" s="1"/>
  <c r="K1893" i="1"/>
  <c r="J1893" i="1"/>
  <c r="L1892" i="1" a="1"/>
  <c r="L1892" i="1" s="1"/>
  <c r="K1892" i="1"/>
  <c r="J1892" i="1"/>
  <c r="L1891" i="1" a="1"/>
  <c r="L1891" i="1" s="1"/>
  <c r="K1891" i="1"/>
  <c r="J1891" i="1"/>
  <c r="L1890" i="1" a="1"/>
  <c r="L1890" i="1" s="1"/>
  <c r="K1890" i="1"/>
  <c r="J1890" i="1"/>
  <c r="L1889" i="1" a="1"/>
  <c r="L1889" i="1" s="1"/>
  <c r="K1889" i="1"/>
  <c r="J1889" i="1"/>
  <c r="L1888" i="1" a="1"/>
  <c r="L1888" i="1" s="1"/>
  <c r="K1888" i="1"/>
  <c r="J1888" i="1"/>
  <c r="L1887" i="1" a="1"/>
  <c r="L1887" i="1" s="1"/>
  <c r="K1887" i="1"/>
  <c r="J1887" i="1"/>
  <c r="L1886" i="1" a="1"/>
  <c r="L1886" i="1" s="1"/>
  <c r="K1886" i="1"/>
  <c r="J1886" i="1"/>
  <c r="L1885" i="1" a="1"/>
  <c r="L1885" i="1" s="1"/>
  <c r="K1885" i="1"/>
  <c r="J1885" i="1"/>
  <c r="L1884" i="1" a="1"/>
  <c r="L1884" i="1" s="1"/>
  <c r="K1884" i="1"/>
  <c r="J1884" i="1"/>
  <c r="L1883" i="1" a="1"/>
  <c r="L1883" i="1" s="1"/>
  <c r="K1883" i="1"/>
  <c r="J1883" i="1"/>
  <c r="L1882" i="1" a="1"/>
  <c r="L1882" i="1" s="1"/>
  <c r="K1882" i="1"/>
  <c r="J1882" i="1"/>
  <c r="L1881" i="1" a="1"/>
  <c r="L1881" i="1" s="1"/>
  <c r="K1881" i="1"/>
  <c r="J1881" i="1"/>
  <c r="L1880" i="1" a="1"/>
  <c r="L1880" i="1" s="1"/>
  <c r="K1880" i="1"/>
  <c r="J1880" i="1"/>
  <c r="L1879" i="1" a="1"/>
  <c r="L1879" i="1" s="1"/>
  <c r="K1879" i="1"/>
  <c r="J1879" i="1"/>
  <c r="L1878" i="1" a="1"/>
  <c r="L1878" i="1" s="1"/>
  <c r="K1878" i="1"/>
  <c r="J1878" i="1"/>
  <c r="L1877" i="1" a="1"/>
  <c r="L1877" i="1" s="1"/>
  <c r="K1877" i="1"/>
  <c r="J1877" i="1"/>
  <c r="L1876" i="1" a="1"/>
  <c r="L1876" i="1" s="1"/>
  <c r="K1876" i="1"/>
  <c r="J1876" i="1"/>
  <c r="L1875" i="1" a="1"/>
  <c r="L1875" i="1" s="1"/>
  <c r="K1875" i="1"/>
  <c r="J1875" i="1"/>
  <c r="L1874" i="1" a="1"/>
  <c r="L1874" i="1" s="1"/>
  <c r="K1874" i="1"/>
  <c r="J1874" i="1"/>
  <c r="L1873" i="1" a="1"/>
  <c r="L1873" i="1" s="1"/>
  <c r="K1873" i="1"/>
  <c r="J1873" i="1"/>
  <c r="L1872" i="1" a="1"/>
  <c r="L1872" i="1" s="1"/>
  <c r="K1872" i="1"/>
  <c r="J1872" i="1"/>
  <c r="L1871" i="1" a="1"/>
  <c r="L1871" i="1" s="1"/>
  <c r="K1871" i="1"/>
  <c r="J1871" i="1"/>
  <c r="L1870" i="1" a="1"/>
  <c r="L1870" i="1" s="1"/>
  <c r="K1870" i="1"/>
  <c r="J1870" i="1"/>
  <c r="L1869" i="1" a="1"/>
  <c r="L1869" i="1" s="1"/>
  <c r="K1869" i="1"/>
  <c r="J1869" i="1"/>
  <c r="L1868" i="1" a="1"/>
  <c r="L1868" i="1" s="1"/>
  <c r="K1868" i="1"/>
  <c r="J1868" i="1"/>
  <c r="L1867" i="1" a="1"/>
  <c r="L1867" i="1" s="1"/>
  <c r="K1867" i="1"/>
  <c r="J1867" i="1"/>
  <c r="L1866" i="1" a="1"/>
  <c r="L1866" i="1" s="1"/>
  <c r="K1866" i="1"/>
  <c r="J1866" i="1"/>
  <c r="L1865" i="1" a="1"/>
  <c r="L1865" i="1" s="1"/>
  <c r="K1865" i="1"/>
  <c r="J1865" i="1"/>
  <c r="L1864" i="1" a="1"/>
  <c r="L1864" i="1" s="1"/>
  <c r="K1864" i="1"/>
  <c r="J1864" i="1"/>
  <c r="L1863" i="1" a="1"/>
  <c r="L1863" i="1" s="1"/>
  <c r="K1863" i="1"/>
  <c r="J1863" i="1"/>
  <c r="L1862" i="1" a="1"/>
  <c r="L1862" i="1" s="1"/>
  <c r="K1862" i="1"/>
  <c r="J1862" i="1"/>
  <c r="L1861" i="1" a="1"/>
  <c r="L1861" i="1" s="1"/>
  <c r="K1861" i="1"/>
  <c r="J1861" i="1"/>
  <c r="L1860" i="1" a="1"/>
  <c r="L1860" i="1" s="1"/>
  <c r="K1860" i="1"/>
  <c r="J1860" i="1"/>
  <c r="L1859" i="1" a="1"/>
  <c r="L1859" i="1" s="1"/>
  <c r="K1859" i="1"/>
  <c r="J1859" i="1"/>
  <c r="L1858" i="1" a="1"/>
  <c r="L1858" i="1" s="1"/>
  <c r="K1858" i="1"/>
  <c r="J1858" i="1"/>
  <c r="L1857" i="1" a="1"/>
  <c r="L1857" i="1" s="1"/>
  <c r="K1857" i="1"/>
  <c r="J1857" i="1"/>
  <c r="L1856" i="1" a="1"/>
  <c r="L1856" i="1" s="1"/>
  <c r="K1856" i="1"/>
  <c r="J1856" i="1"/>
  <c r="L1855" i="1" a="1"/>
  <c r="L1855" i="1" s="1"/>
  <c r="K1855" i="1"/>
  <c r="J1855" i="1"/>
  <c r="L1854" i="1" a="1"/>
  <c r="L1854" i="1" s="1"/>
  <c r="K1854" i="1"/>
  <c r="J1854" i="1"/>
  <c r="L1853" i="1" a="1"/>
  <c r="L1853" i="1" s="1"/>
  <c r="K1853" i="1"/>
  <c r="J1853" i="1"/>
  <c r="L1852" i="1" a="1"/>
  <c r="L1852" i="1" s="1"/>
  <c r="K1852" i="1"/>
  <c r="J1852" i="1"/>
  <c r="L1851" i="1" a="1"/>
  <c r="L1851" i="1" s="1"/>
  <c r="K1851" i="1"/>
  <c r="J1851" i="1"/>
  <c r="L1850" i="1" a="1"/>
  <c r="L1850" i="1" s="1"/>
  <c r="K1850" i="1"/>
  <c r="J1850" i="1"/>
  <c r="L1849" i="1" a="1"/>
  <c r="L1849" i="1" s="1"/>
  <c r="K1849" i="1"/>
  <c r="J1849" i="1"/>
  <c r="L1848" i="1" a="1"/>
  <c r="L1848" i="1" s="1"/>
  <c r="K1848" i="1"/>
  <c r="J1848" i="1"/>
  <c r="L1847" i="1" a="1"/>
  <c r="L1847" i="1" s="1"/>
  <c r="K1847" i="1"/>
  <c r="J1847" i="1"/>
  <c r="L1846" i="1" a="1"/>
  <c r="L1846" i="1" s="1"/>
  <c r="K1846" i="1"/>
  <c r="J1846" i="1"/>
  <c r="L1845" i="1" a="1"/>
  <c r="L1845" i="1" s="1"/>
  <c r="K1845" i="1"/>
  <c r="J1845" i="1"/>
  <c r="L1844" i="1" a="1"/>
  <c r="L1844" i="1" s="1"/>
  <c r="K1844" i="1"/>
  <c r="J1844" i="1"/>
  <c r="L1843" i="1" a="1"/>
  <c r="L1843" i="1" s="1"/>
  <c r="K1843" i="1"/>
  <c r="J1843" i="1"/>
  <c r="L1842" i="1" a="1"/>
  <c r="L1842" i="1" s="1"/>
  <c r="K1842" i="1"/>
  <c r="J1842" i="1"/>
  <c r="L1841" i="1" a="1"/>
  <c r="L1841" i="1" s="1"/>
  <c r="K1841" i="1"/>
  <c r="J1841" i="1"/>
  <c r="L1840" i="1" a="1"/>
  <c r="L1840" i="1" s="1"/>
  <c r="K1840" i="1"/>
  <c r="J1840" i="1"/>
  <c r="L1839" i="1" a="1"/>
  <c r="L1839" i="1" s="1"/>
  <c r="K1839" i="1"/>
  <c r="J1839" i="1"/>
  <c r="L1838" i="1" a="1"/>
  <c r="L1838" i="1" s="1"/>
  <c r="K1838" i="1"/>
  <c r="J1838" i="1"/>
  <c r="L1837" i="1" a="1"/>
  <c r="L1837" i="1" s="1"/>
  <c r="K1837" i="1"/>
  <c r="J1837" i="1"/>
  <c r="L1836" i="1" a="1"/>
  <c r="L1836" i="1" s="1"/>
  <c r="K1836" i="1"/>
  <c r="J1836" i="1"/>
  <c r="L1835" i="1" a="1"/>
  <c r="L1835" i="1" s="1"/>
  <c r="K1835" i="1"/>
  <c r="J1835" i="1"/>
  <c r="L1834" i="1" a="1"/>
  <c r="L1834" i="1" s="1"/>
  <c r="K1834" i="1"/>
  <c r="J1834" i="1"/>
  <c r="L1833" i="1" a="1"/>
  <c r="L1833" i="1" s="1"/>
  <c r="K1833" i="1"/>
  <c r="J1833" i="1"/>
  <c r="L1832" i="1" a="1"/>
  <c r="L1832" i="1" s="1"/>
  <c r="K1832" i="1"/>
  <c r="J1832" i="1"/>
  <c r="L1831" i="1" a="1"/>
  <c r="L1831" i="1" s="1"/>
  <c r="K1831" i="1"/>
  <c r="J1831" i="1"/>
  <c r="L1830" i="1" a="1"/>
  <c r="L1830" i="1" s="1"/>
  <c r="K1830" i="1"/>
  <c r="J1830" i="1"/>
  <c r="L1829" i="1" a="1"/>
  <c r="L1829" i="1" s="1"/>
  <c r="K1829" i="1"/>
  <c r="J1829" i="1"/>
  <c r="L1828" i="1" a="1"/>
  <c r="L1828" i="1" s="1"/>
  <c r="K1828" i="1"/>
  <c r="J1828" i="1"/>
  <c r="L1827" i="1" a="1"/>
  <c r="L1827" i="1" s="1"/>
  <c r="K1827" i="1"/>
  <c r="J1827" i="1"/>
  <c r="L1826" i="1" a="1"/>
  <c r="L1826" i="1" s="1"/>
  <c r="K1826" i="1"/>
  <c r="J1826" i="1"/>
  <c r="L1825" i="1" a="1"/>
  <c r="L1825" i="1" s="1"/>
  <c r="K1825" i="1"/>
  <c r="J1825" i="1"/>
  <c r="L1824" i="1" a="1"/>
  <c r="L1824" i="1" s="1"/>
  <c r="K1824" i="1"/>
  <c r="J1824" i="1"/>
  <c r="L1823" i="1" a="1"/>
  <c r="L1823" i="1" s="1"/>
  <c r="K1823" i="1"/>
  <c r="J1823" i="1"/>
  <c r="L1822" i="1" a="1"/>
  <c r="L1822" i="1" s="1"/>
  <c r="K1822" i="1"/>
  <c r="J1822" i="1"/>
  <c r="L1821" i="1" a="1"/>
  <c r="L1821" i="1" s="1"/>
  <c r="K1821" i="1"/>
  <c r="J1821" i="1"/>
  <c r="L1820" i="1" a="1"/>
  <c r="L1820" i="1" s="1"/>
  <c r="K1820" i="1"/>
  <c r="J1820" i="1"/>
  <c r="L1819" i="1" a="1"/>
  <c r="L1819" i="1" s="1"/>
  <c r="K1819" i="1"/>
  <c r="J1819" i="1"/>
  <c r="L1818" i="1" a="1"/>
  <c r="L1818" i="1" s="1"/>
  <c r="K1818" i="1"/>
  <c r="J1818" i="1"/>
  <c r="L1817" i="1" a="1"/>
  <c r="L1817" i="1" s="1"/>
  <c r="K1817" i="1"/>
  <c r="J1817" i="1"/>
  <c r="L1816" i="1" a="1"/>
  <c r="L1816" i="1" s="1"/>
  <c r="K1816" i="1"/>
  <c r="J1816" i="1"/>
  <c r="L1815" i="1" a="1"/>
  <c r="L1815" i="1" s="1"/>
  <c r="K1815" i="1"/>
  <c r="J1815" i="1"/>
  <c r="L1814" i="1" a="1"/>
  <c r="L1814" i="1" s="1"/>
  <c r="K1814" i="1"/>
  <c r="J1814" i="1"/>
  <c r="L1813" i="1" a="1"/>
  <c r="L1813" i="1" s="1"/>
  <c r="K1813" i="1"/>
  <c r="J1813" i="1"/>
  <c r="L1812" i="1" a="1"/>
  <c r="L1812" i="1" s="1"/>
  <c r="K1812" i="1"/>
  <c r="J1812" i="1"/>
  <c r="L1811" i="1" a="1"/>
  <c r="L1811" i="1" s="1"/>
  <c r="K1811" i="1"/>
  <c r="J1811" i="1"/>
  <c r="L1810" i="1" a="1"/>
  <c r="L1810" i="1" s="1"/>
  <c r="K1810" i="1"/>
  <c r="J1810" i="1"/>
  <c r="L1809" i="1" a="1"/>
  <c r="L1809" i="1" s="1"/>
  <c r="K1809" i="1"/>
  <c r="J1809" i="1"/>
  <c r="L1808" i="1" a="1"/>
  <c r="L1808" i="1" s="1"/>
  <c r="K1808" i="1"/>
  <c r="J1808" i="1"/>
  <c r="L1807" i="1" a="1"/>
  <c r="L1807" i="1" s="1"/>
  <c r="K1807" i="1"/>
  <c r="J1807" i="1"/>
  <c r="L1806" i="1" a="1"/>
  <c r="L1806" i="1" s="1"/>
  <c r="K1806" i="1"/>
  <c r="J1806" i="1"/>
  <c r="L1805" i="1" a="1"/>
  <c r="L1805" i="1" s="1"/>
  <c r="K1805" i="1"/>
  <c r="J1805" i="1"/>
  <c r="L1804" i="1" a="1"/>
  <c r="L1804" i="1" s="1"/>
  <c r="K1804" i="1"/>
  <c r="J1804" i="1"/>
  <c r="L1803" i="1" a="1"/>
  <c r="L1803" i="1" s="1"/>
  <c r="K1803" i="1"/>
  <c r="J1803" i="1"/>
  <c r="L1802" i="1" a="1"/>
  <c r="L1802" i="1" s="1"/>
  <c r="K1802" i="1"/>
  <c r="J1802" i="1"/>
  <c r="L1801" i="1" a="1"/>
  <c r="L1801" i="1" s="1"/>
  <c r="K1801" i="1"/>
  <c r="J1801" i="1"/>
  <c r="L1800" i="1" a="1"/>
  <c r="L1800" i="1" s="1"/>
  <c r="K1800" i="1"/>
  <c r="J1800" i="1"/>
  <c r="L1799" i="1" a="1"/>
  <c r="L1799" i="1" s="1"/>
  <c r="K1799" i="1"/>
  <c r="J1799" i="1"/>
  <c r="L1798" i="1" a="1"/>
  <c r="L1798" i="1" s="1"/>
  <c r="K1798" i="1"/>
  <c r="J1798" i="1"/>
  <c r="L1797" i="1" a="1"/>
  <c r="L1797" i="1" s="1"/>
  <c r="K1797" i="1"/>
  <c r="J1797" i="1"/>
  <c r="L1796" i="1" a="1"/>
  <c r="L1796" i="1" s="1"/>
  <c r="K1796" i="1"/>
  <c r="J1796" i="1"/>
  <c r="L1795" i="1" a="1"/>
  <c r="L1795" i="1" s="1"/>
  <c r="K1795" i="1"/>
  <c r="J1795" i="1"/>
  <c r="L1794" i="1" a="1"/>
  <c r="L1794" i="1" s="1"/>
  <c r="K1794" i="1"/>
  <c r="J1794" i="1"/>
  <c r="L1793" i="1" a="1"/>
  <c r="L1793" i="1" s="1"/>
  <c r="K1793" i="1"/>
  <c r="J1793" i="1"/>
  <c r="L1792" i="1" a="1"/>
  <c r="L1792" i="1" s="1"/>
  <c r="K1792" i="1"/>
  <c r="J1792" i="1"/>
  <c r="L1791" i="1" a="1"/>
  <c r="L1791" i="1" s="1"/>
  <c r="K1791" i="1"/>
  <c r="J1791" i="1"/>
  <c r="L1790" i="1" a="1"/>
  <c r="L1790" i="1" s="1"/>
  <c r="K1790" i="1"/>
  <c r="J1790" i="1"/>
  <c r="L1789" i="1" a="1"/>
  <c r="L1789" i="1" s="1"/>
  <c r="K1789" i="1"/>
  <c r="J1789" i="1"/>
  <c r="L1788" i="1" a="1"/>
  <c r="L1788" i="1" s="1"/>
  <c r="K1788" i="1"/>
  <c r="J1788" i="1"/>
  <c r="L1787" i="1" a="1"/>
  <c r="L1787" i="1" s="1"/>
  <c r="K1787" i="1"/>
  <c r="J1787" i="1"/>
  <c r="L1786" i="1" a="1"/>
  <c r="L1786" i="1" s="1"/>
  <c r="K1786" i="1"/>
  <c r="J1786" i="1"/>
  <c r="L1785" i="1" a="1"/>
  <c r="L1785" i="1" s="1"/>
  <c r="K1785" i="1"/>
  <c r="J1785" i="1"/>
  <c r="L1784" i="1" a="1"/>
  <c r="L1784" i="1" s="1"/>
  <c r="K1784" i="1"/>
  <c r="J1784" i="1"/>
  <c r="L1783" i="1" a="1"/>
  <c r="L1783" i="1" s="1"/>
  <c r="K1783" i="1"/>
  <c r="J1783" i="1"/>
  <c r="L1782" i="1" a="1"/>
  <c r="L1782" i="1" s="1"/>
  <c r="K1782" i="1"/>
  <c r="J1782" i="1"/>
  <c r="L1781" i="1" a="1"/>
  <c r="L1781" i="1" s="1"/>
  <c r="K1781" i="1"/>
  <c r="J1781" i="1"/>
  <c r="L1780" i="1" a="1"/>
  <c r="L1780" i="1" s="1"/>
  <c r="K1780" i="1"/>
  <c r="J1780" i="1"/>
  <c r="L1779" i="1" a="1"/>
  <c r="L1779" i="1" s="1"/>
  <c r="K1779" i="1"/>
  <c r="J1779" i="1"/>
  <c r="L1778" i="1" a="1"/>
  <c r="L1778" i="1" s="1"/>
  <c r="K1778" i="1"/>
  <c r="J1778" i="1"/>
  <c r="L1777" i="1" a="1"/>
  <c r="L1777" i="1" s="1"/>
  <c r="K1777" i="1"/>
  <c r="J1777" i="1"/>
  <c r="L1776" i="1" a="1"/>
  <c r="L1776" i="1" s="1"/>
  <c r="K1776" i="1"/>
  <c r="J1776" i="1"/>
  <c r="L1775" i="1" a="1"/>
  <c r="L1775" i="1" s="1"/>
  <c r="K1775" i="1"/>
  <c r="J1775" i="1"/>
  <c r="L1774" i="1" a="1"/>
  <c r="L1774" i="1" s="1"/>
  <c r="K1774" i="1"/>
  <c r="J1774" i="1"/>
  <c r="L1773" i="1" a="1"/>
  <c r="L1773" i="1" s="1"/>
  <c r="K1773" i="1"/>
  <c r="J1773" i="1"/>
  <c r="L1772" i="1" a="1"/>
  <c r="L1772" i="1" s="1"/>
  <c r="K1772" i="1"/>
  <c r="J1772" i="1"/>
  <c r="L1771" i="1" a="1"/>
  <c r="L1771" i="1" s="1"/>
  <c r="K1771" i="1"/>
  <c r="J1771" i="1"/>
  <c r="L1770" i="1" a="1"/>
  <c r="L1770" i="1" s="1"/>
  <c r="K1770" i="1"/>
  <c r="J1770" i="1"/>
  <c r="L1769" i="1" a="1"/>
  <c r="L1769" i="1" s="1"/>
  <c r="K1769" i="1"/>
  <c r="J1769" i="1"/>
  <c r="L1768" i="1" a="1"/>
  <c r="L1768" i="1" s="1"/>
  <c r="K1768" i="1"/>
  <c r="J1768" i="1"/>
  <c r="L1767" i="1" a="1"/>
  <c r="L1767" i="1" s="1"/>
  <c r="K1767" i="1"/>
  <c r="J1767" i="1"/>
  <c r="L1766" i="1" a="1"/>
  <c r="L1766" i="1" s="1"/>
  <c r="K1766" i="1"/>
  <c r="J1766" i="1"/>
  <c r="L1765" i="1" a="1"/>
  <c r="L1765" i="1" s="1"/>
  <c r="K1765" i="1"/>
  <c r="J1765" i="1"/>
  <c r="L1764" i="1" a="1"/>
  <c r="L1764" i="1" s="1"/>
  <c r="K1764" i="1"/>
  <c r="J1764" i="1"/>
  <c r="L1763" i="1" a="1"/>
  <c r="L1763" i="1" s="1"/>
  <c r="K1763" i="1"/>
  <c r="J1763" i="1"/>
  <c r="L1762" i="1" a="1"/>
  <c r="L1762" i="1" s="1"/>
  <c r="K1762" i="1"/>
  <c r="J1762" i="1"/>
  <c r="L1761" i="1" a="1"/>
  <c r="L1761" i="1" s="1"/>
  <c r="K1761" i="1"/>
  <c r="J1761" i="1"/>
  <c r="L1760" i="1" a="1"/>
  <c r="L1760" i="1" s="1"/>
  <c r="K1760" i="1"/>
  <c r="J1760" i="1"/>
  <c r="L1759" i="1" a="1"/>
  <c r="L1759" i="1" s="1"/>
  <c r="K1759" i="1"/>
  <c r="J1759" i="1"/>
  <c r="L1758" i="1" a="1"/>
  <c r="L1758" i="1" s="1"/>
  <c r="K1758" i="1"/>
  <c r="J1758" i="1"/>
  <c r="L1757" i="1" a="1"/>
  <c r="L1757" i="1" s="1"/>
  <c r="K1757" i="1"/>
  <c r="J1757" i="1"/>
  <c r="L1756" i="1" a="1"/>
  <c r="L1756" i="1" s="1"/>
  <c r="K1756" i="1"/>
  <c r="J1756" i="1"/>
  <c r="L1755" i="1" a="1"/>
  <c r="L1755" i="1" s="1"/>
  <c r="K1755" i="1"/>
  <c r="J1755" i="1"/>
  <c r="L1754" i="1" a="1"/>
  <c r="L1754" i="1" s="1"/>
  <c r="K1754" i="1"/>
  <c r="J1754" i="1"/>
  <c r="L1753" i="1" a="1"/>
  <c r="L1753" i="1" s="1"/>
  <c r="K1753" i="1"/>
  <c r="J1753" i="1"/>
  <c r="L1752" i="1" a="1"/>
  <c r="L1752" i="1" s="1"/>
  <c r="K1752" i="1"/>
  <c r="J1752" i="1"/>
  <c r="L1751" i="1" a="1"/>
  <c r="L1751" i="1" s="1"/>
  <c r="K1751" i="1"/>
  <c r="J1751" i="1"/>
  <c r="L1750" i="1" a="1"/>
  <c r="L1750" i="1" s="1"/>
  <c r="K1750" i="1"/>
  <c r="J1750" i="1"/>
  <c r="L1749" i="1" a="1"/>
  <c r="L1749" i="1" s="1"/>
  <c r="K1749" i="1"/>
  <c r="J1749" i="1"/>
  <c r="L1748" i="1" a="1"/>
  <c r="L1748" i="1" s="1"/>
  <c r="K1748" i="1"/>
  <c r="J1748" i="1"/>
  <c r="L1747" i="1" a="1"/>
  <c r="L1747" i="1" s="1"/>
  <c r="K1747" i="1"/>
  <c r="J1747" i="1"/>
  <c r="L1746" i="1" a="1"/>
  <c r="L1746" i="1" s="1"/>
  <c r="K1746" i="1"/>
  <c r="J1746" i="1"/>
  <c r="L1745" i="1" a="1"/>
  <c r="L1745" i="1" s="1"/>
  <c r="K1745" i="1"/>
  <c r="J1745" i="1"/>
  <c r="L1744" i="1" a="1"/>
  <c r="L1744" i="1" s="1"/>
  <c r="K1744" i="1"/>
  <c r="J1744" i="1"/>
  <c r="L1743" i="1" a="1"/>
  <c r="L1743" i="1" s="1"/>
  <c r="K1743" i="1"/>
  <c r="J1743" i="1"/>
  <c r="L1742" i="1" a="1"/>
  <c r="L1742" i="1" s="1"/>
  <c r="K1742" i="1"/>
  <c r="J1742" i="1"/>
  <c r="L1741" i="1" a="1"/>
  <c r="L1741" i="1" s="1"/>
  <c r="K1741" i="1"/>
  <c r="J1741" i="1"/>
  <c r="L1740" i="1" a="1"/>
  <c r="L1740" i="1" s="1"/>
  <c r="K1740" i="1"/>
  <c r="J1740" i="1"/>
  <c r="L1739" i="1" a="1"/>
  <c r="L1739" i="1" s="1"/>
  <c r="K1739" i="1"/>
  <c r="J1739" i="1"/>
  <c r="L1738" i="1" a="1"/>
  <c r="L1738" i="1" s="1"/>
  <c r="K1738" i="1"/>
  <c r="J1738" i="1"/>
  <c r="L1737" i="1" a="1"/>
  <c r="L1737" i="1" s="1"/>
  <c r="K1737" i="1"/>
  <c r="J1737" i="1"/>
  <c r="L1736" i="1" a="1"/>
  <c r="L1736" i="1" s="1"/>
  <c r="K1736" i="1"/>
  <c r="J1736" i="1"/>
  <c r="L1735" i="1" a="1"/>
  <c r="L1735" i="1" s="1"/>
  <c r="K1735" i="1"/>
  <c r="J1735" i="1"/>
  <c r="L1734" i="1" a="1"/>
  <c r="L1734" i="1" s="1"/>
  <c r="K1734" i="1"/>
  <c r="J1734" i="1"/>
  <c r="L1733" i="1" a="1"/>
  <c r="L1733" i="1" s="1"/>
  <c r="K1733" i="1"/>
  <c r="J1733" i="1"/>
  <c r="L1732" i="1" a="1"/>
  <c r="L1732" i="1" s="1"/>
  <c r="K1732" i="1"/>
  <c r="J1732" i="1"/>
  <c r="L1731" i="1" a="1"/>
  <c r="L1731" i="1" s="1"/>
  <c r="K1731" i="1"/>
  <c r="J1731" i="1"/>
  <c r="L1730" i="1" a="1"/>
  <c r="L1730" i="1" s="1"/>
  <c r="K1730" i="1"/>
  <c r="J1730" i="1"/>
  <c r="L1729" i="1" a="1"/>
  <c r="L1729" i="1" s="1"/>
  <c r="K1729" i="1"/>
  <c r="J1729" i="1"/>
  <c r="L1728" i="1" a="1"/>
  <c r="L1728" i="1" s="1"/>
  <c r="K1728" i="1"/>
  <c r="J1728" i="1"/>
  <c r="L1727" i="1" a="1"/>
  <c r="L1727" i="1" s="1"/>
  <c r="K1727" i="1"/>
  <c r="J1727" i="1"/>
  <c r="L1726" i="1" a="1"/>
  <c r="L1726" i="1" s="1"/>
  <c r="K1726" i="1"/>
  <c r="J1726" i="1"/>
  <c r="L1725" i="1" a="1"/>
  <c r="L1725" i="1" s="1"/>
  <c r="K1725" i="1"/>
  <c r="J1725" i="1"/>
  <c r="L1724" i="1" a="1"/>
  <c r="L1724" i="1" s="1"/>
  <c r="K1724" i="1"/>
  <c r="J1724" i="1"/>
  <c r="L1723" i="1" a="1"/>
  <c r="L1723" i="1" s="1"/>
  <c r="K1723" i="1"/>
  <c r="J1723" i="1"/>
  <c r="L1722" i="1" a="1"/>
  <c r="L1722" i="1" s="1"/>
  <c r="K1722" i="1"/>
  <c r="J1722" i="1"/>
  <c r="L1721" i="1" a="1"/>
  <c r="L1721" i="1" s="1"/>
  <c r="K1721" i="1"/>
  <c r="J1721" i="1"/>
  <c r="L1720" i="1" a="1"/>
  <c r="L1720" i="1" s="1"/>
  <c r="K1720" i="1"/>
  <c r="J1720" i="1"/>
  <c r="L1719" i="1" a="1"/>
  <c r="L1719" i="1" s="1"/>
  <c r="K1719" i="1"/>
  <c r="J1719" i="1"/>
  <c r="L1718" i="1" a="1"/>
  <c r="L1718" i="1" s="1"/>
  <c r="K1718" i="1"/>
  <c r="J1718" i="1"/>
  <c r="L1717" i="1" a="1"/>
  <c r="L1717" i="1" s="1"/>
  <c r="K1717" i="1"/>
  <c r="J1717" i="1"/>
  <c r="L1716" i="1" a="1"/>
  <c r="L1716" i="1" s="1"/>
  <c r="K1716" i="1"/>
  <c r="J1716" i="1"/>
  <c r="L1715" i="1" a="1"/>
  <c r="L1715" i="1" s="1"/>
  <c r="K1715" i="1"/>
  <c r="J1715" i="1"/>
  <c r="L1714" i="1" a="1"/>
  <c r="L1714" i="1" s="1"/>
  <c r="K1714" i="1"/>
  <c r="J1714" i="1"/>
  <c r="L1713" i="1" a="1"/>
  <c r="L1713" i="1" s="1"/>
  <c r="K1713" i="1"/>
  <c r="J1713" i="1"/>
  <c r="L1712" i="1" a="1"/>
  <c r="L1712" i="1" s="1"/>
  <c r="K1712" i="1"/>
  <c r="J1712" i="1"/>
  <c r="L1711" i="1" a="1"/>
  <c r="L1711" i="1" s="1"/>
  <c r="K1711" i="1"/>
  <c r="J1711" i="1"/>
  <c r="L1710" i="1" a="1"/>
  <c r="L1710" i="1" s="1"/>
  <c r="K1710" i="1"/>
  <c r="J1710" i="1"/>
  <c r="L1709" i="1" a="1"/>
  <c r="L1709" i="1" s="1"/>
  <c r="K1709" i="1"/>
  <c r="J1709" i="1"/>
  <c r="L1708" i="1" a="1"/>
  <c r="L1708" i="1" s="1"/>
  <c r="K1708" i="1"/>
  <c r="J1708" i="1"/>
  <c r="L1707" i="1" a="1"/>
  <c r="L1707" i="1" s="1"/>
  <c r="K1707" i="1"/>
  <c r="J1707" i="1"/>
  <c r="L1706" i="1" a="1"/>
  <c r="L1706" i="1" s="1"/>
  <c r="K1706" i="1"/>
  <c r="J1706" i="1"/>
  <c r="L1705" i="1" a="1"/>
  <c r="L1705" i="1" s="1"/>
  <c r="K1705" i="1"/>
  <c r="J1705" i="1"/>
  <c r="L1704" i="1" a="1"/>
  <c r="L1704" i="1" s="1"/>
  <c r="K1704" i="1"/>
  <c r="J1704" i="1"/>
  <c r="L1703" i="1" a="1"/>
  <c r="L1703" i="1" s="1"/>
  <c r="K1703" i="1"/>
  <c r="J1703" i="1"/>
  <c r="L1702" i="1" a="1"/>
  <c r="L1702" i="1" s="1"/>
  <c r="K1702" i="1"/>
  <c r="J1702" i="1"/>
  <c r="L1701" i="1" a="1"/>
  <c r="L1701" i="1" s="1"/>
  <c r="K1701" i="1"/>
  <c r="J1701" i="1"/>
  <c r="L1700" i="1" a="1"/>
  <c r="L1700" i="1" s="1"/>
  <c r="K1700" i="1"/>
  <c r="J1700" i="1"/>
  <c r="L1699" i="1" a="1"/>
  <c r="L1699" i="1" s="1"/>
  <c r="K1699" i="1"/>
  <c r="J1699" i="1"/>
  <c r="L1698" i="1" a="1"/>
  <c r="L1698" i="1" s="1"/>
  <c r="K1698" i="1"/>
  <c r="J1698" i="1"/>
  <c r="L1697" i="1" a="1"/>
  <c r="L1697" i="1" s="1"/>
  <c r="K1697" i="1"/>
  <c r="J1697" i="1"/>
  <c r="L1696" i="1" a="1"/>
  <c r="L1696" i="1" s="1"/>
  <c r="K1696" i="1"/>
  <c r="J1696" i="1"/>
  <c r="L1695" i="1" a="1"/>
  <c r="L1695" i="1" s="1"/>
  <c r="K1695" i="1"/>
  <c r="J1695" i="1"/>
  <c r="L1694" i="1" a="1"/>
  <c r="L1694" i="1" s="1"/>
  <c r="K1694" i="1"/>
  <c r="J1694" i="1"/>
  <c r="L1693" i="1" a="1"/>
  <c r="L1693" i="1" s="1"/>
  <c r="K1693" i="1"/>
  <c r="J1693" i="1"/>
  <c r="L1692" i="1" a="1"/>
  <c r="L1692" i="1" s="1"/>
  <c r="K1692" i="1"/>
  <c r="J1692" i="1"/>
  <c r="L1691" i="1" a="1"/>
  <c r="L1691" i="1" s="1"/>
  <c r="K1691" i="1"/>
  <c r="J1691" i="1"/>
  <c r="L1690" i="1" a="1"/>
  <c r="L1690" i="1" s="1"/>
  <c r="K1690" i="1"/>
  <c r="J1690" i="1"/>
  <c r="L1689" i="1" a="1"/>
  <c r="L1689" i="1" s="1"/>
  <c r="K1689" i="1"/>
  <c r="J1689" i="1"/>
  <c r="L1688" i="1" a="1"/>
  <c r="L1688" i="1" s="1"/>
  <c r="K1688" i="1"/>
  <c r="J1688" i="1"/>
  <c r="L1687" i="1" a="1"/>
  <c r="L1687" i="1" s="1"/>
  <c r="K1687" i="1"/>
  <c r="J1687" i="1"/>
  <c r="L1686" i="1" a="1"/>
  <c r="L1686" i="1" s="1"/>
  <c r="K1686" i="1"/>
  <c r="J1686" i="1"/>
  <c r="L1685" i="1" a="1"/>
  <c r="L1685" i="1" s="1"/>
  <c r="K1685" i="1"/>
  <c r="J1685" i="1"/>
  <c r="L1684" i="1" a="1"/>
  <c r="L1684" i="1" s="1"/>
  <c r="K1684" i="1"/>
  <c r="J1684" i="1"/>
  <c r="L1683" i="1" a="1"/>
  <c r="L1683" i="1" s="1"/>
  <c r="K1683" i="1"/>
  <c r="J1683" i="1"/>
  <c r="L1682" i="1" a="1"/>
  <c r="L1682" i="1" s="1"/>
  <c r="K1682" i="1"/>
  <c r="J1682" i="1"/>
  <c r="L1681" i="1" a="1"/>
  <c r="L1681" i="1" s="1"/>
  <c r="K1681" i="1"/>
  <c r="J1681" i="1"/>
  <c r="L1680" i="1" a="1"/>
  <c r="L1680" i="1" s="1"/>
  <c r="K1680" i="1"/>
  <c r="J1680" i="1"/>
  <c r="L1679" i="1" a="1"/>
  <c r="L1679" i="1" s="1"/>
  <c r="K1679" i="1"/>
  <c r="J1679" i="1"/>
  <c r="L1678" i="1" a="1"/>
  <c r="L1678" i="1" s="1"/>
  <c r="K1678" i="1"/>
  <c r="J1678" i="1"/>
  <c r="L1677" i="1" a="1"/>
  <c r="L1677" i="1" s="1"/>
  <c r="K1677" i="1"/>
  <c r="J1677" i="1"/>
  <c r="L1676" i="1" a="1"/>
  <c r="L1676" i="1" s="1"/>
  <c r="K1676" i="1"/>
  <c r="J1676" i="1"/>
  <c r="L1675" i="1" a="1"/>
  <c r="L1675" i="1" s="1"/>
  <c r="K1675" i="1"/>
  <c r="J1675" i="1"/>
  <c r="L1674" i="1" a="1"/>
  <c r="L1674" i="1" s="1"/>
  <c r="K1674" i="1"/>
  <c r="J1674" i="1"/>
  <c r="L1673" i="1" a="1"/>
  <c r="L1673" i="1" s="1"/>
  <c r="K1673" i="1"/>
  <c r="J1673" i="1"/>
  <c r="L1672" i="1" a="1"/>
  <c r="L1672" i="1" s="1"/>
  <c r="K1672" i="1"/>
  <c r="J1672" i="1"/>
  <c r="L1671" i="1" a="1"/>
  <c r="L1671" i="1" s="1"/>
  <c r="K1671" i="1"/>
  <c r="J1671" i="1"/>
  <c r="L1670" i="1" a="1"/>
  <c r="L1670" i="1" s="1"/>
  <c r="K1670" i="1"/>
  <c r="J1670" i="1"/>
  <c r="L1669" i="1" a="1"/>
  <c r="L1669" i="1" s="1"/>
  <c r="K1669" i="1"/>
  <c r="J1669" i="1"/>
  <c r="L1668" i="1" a="1"/>
  <c r="L1668" i="1" s="1"/>
  <c r="K1668" i="1"/>
  <c r="J1668" i="1"/>
  <c r="L1667" i="1" a="1"/>
  <c r="L1667" i="1" s="1"/>
  <c r="K1667" i="1"/>
  <c r="J1667" i="1"/>
  <c r="L1666" i="1" a="1"/>
  <c r="L1666" i="1" s="1"/>
  <c r="K1666" i="1"/>
  <c r="J1666" i="1"/>
  <c r="L1665" i="1" a="1"/>
  <c r="L1665" i="1" s="1"/>
  <c r="K1665" i="1"/>
  <c r="J1665" i="1"/>
  <c r="L1664" i="1" a="1"/>
  <c r="L1664" i="1" s="1"/>
  <c r="K1664" i="1"/>
  <c r="J1664" i="1"/>
  <c r="L1663" i="1" a="1"/>
  <c r="L1663" i="1" s="1"/>
  <c r="K1663" i="1"/>
  <c r="J1663" i="1"/>
  <c r="L1662" i="1" a="1"/>
  <c r="L1662" i="1" s="1"/>
  <c r="K1662" i="1"/>
  <c r="J1662" i="1"/>
  <c r="L1661" i="1" a="1"/>
  <c r="L1661" i="1" s="1"/>
  <c r="K1661" i="1"/>
  <c r="J1661" i="1"/>
  <c r="L1660" i="1" a="1"/>
  <c r="L1660" i="1" s="1"/>
  <c r="K1660" i="1"/>
  <c r="J1660" i="1"/>
  <c r="L1659" i="1" a="1"/>
  <c r="L1659" i="1" s="1"/>
  <c r="K1659" i="1"/>
  <c r="J1659" i="1"/>
  <c r="L1658" i="1" a="1"/>
  <c r="L1658" i="1" s="1"/>
  <c r="K1658" i="1"/>
  <c r="J1658" i="1"/>
  <c r="L1657" i="1" a="1"/>
  <c r="L1657" i="1" s="1"/>
  <c r="K1657" i="1"/>
  <c r="J1657" i="1"/>
  <c r="L1656" i="1" a="1"/>
  <c r="L1656" i="1" s="1"/>
  <c r="K1656" i="1"/>
  <c r="J1656" i="1"/>
  <c r="L1655" i="1" a="1"/>
  <c r="L1655" i="1" s="1"/>
  <c r="K1655" i="1"/>
  <c r="J1655" i="1"/>
  <c r="L1654" i="1" a="1"/>
  <c r="L1654" i="1" s="1"/>
  <c r="K1654" i="1"/>
  <c r="J1654" i="1"/>
  <c r="L1653" i="1" a="1"/>
  <c r="L1653" i="1" s="1"/>
  <c r="K1653" i="1"/>
  <c r="J1653" i="1"/>
  <c r="L1652" i="1" a="1"/>
  <c r="L1652" i="1" s="1"/>
  <c r="K1652" i="1"/>
  <c r="J1652" i="1"/>
  <c r="L1651" i="1" a="1"/>
  <c r="L1651" i="1" s="1"/>
  <c r="K1651" i="1"/>
  <c r="J1651" i="1"/>
  <c r="L1650" i="1" a="1"/>
  <c r="L1650" i="1" s="1"/>
  <c r="K1650" i="1"/>
  <c r="J1650" i="1"/>
  <c r="L1649" i="1" a="1"/>
  <c r="L1649" i="1" s="1"/>
  <c r="K1649" i="1"/>
  <c r="J1649" i="1"/>
  <c r="L1648" i="1" a="1"/>
  <c r="L1648" i="1" s="1"/>
  <c r="K1648" i="1"/>
  <c r="J1648" i="1"/>
  <c r="L1647" i="1" a="1"/>
  <c r="L1647" i="1" s="1"/>
  <c r="K1647" i="1"/>
  <c r="J1647" i="1"/>
  <c r="L1646" i="1" a="1"/>
  <c r="L1646" i="1" s="1"/>
  <c r="K1646" i="1"/>
  <c r="J1646" i="1"/>
  <c r="L1645" i="1" a="1"/>
  <c r="L1645" i="1" s="1"/>
  <c r="K1645" i="1"/>
  <c r="J1645" i="1"/>
  <c r="L1644" i="1" a="1"/>
  <c r="L1644" i="1" s="1"/>
  <c r="K1644" i="1"/>
  <c r="J1644" i="1"/>
  <c r="L1643" i="1" a="1"/>
  <c r="L1643" i="1" s="1"/>
  <c r="K1643" i="1"/>
  <c r="J1643" i="1"/>
  <c r="L1642" i="1" a="1"/>
  <c r="L1642" i="1" s="1"/>
  <c r="K1642" i="1"/>
  <c r="J1642" i="1"/>
  <c r="L1641" i="1" a="1"/>
  <c r="L1641" i="1" s="1"/>
  <c r="K1641" i="1"/>
  <c r="J1641" i="1"/>
  <c r="L1640" i="1" a="1"/>
  <c r="L1640" i="1" s="1"/>
  <c r="K1640" i="1"/>
  <c r="J1640" i="1"/>
  <c r="L1639" i="1" a="1"/>
  <c r="L1639" i="1" s="1"/>
  <c r="K1639" i="1"/>
  <c r="J1639" i="1"/>
  <c r="L1638" i="1" a="1"/>
  <c r="L1638" i="1" s="1"/>
  <c r="K1638" i="1"/>
  <c r="J1638" i="1"/>
  <c r="L1637" i="1" a="1"/>
  <c r="L1637" i="1" s="1"/>
  <c r="K1637" i="1"/>
  <c r="J1637" i="1"/>
  <c r="L1636" i="1" a="1"/>
  <c r="L1636" i="1" s="1"/>
  <c r="K1636" i="1"/>
  <c r="J1636" i="1"/>
  <c r="L1635" i="1" a="1"/>
  <c r="L1635" i="1" s="1"/>
  <c r="K1635" i="1"/>
  <c r="J1635" i="1"/>
  <c r="L1634" i="1" a="1"/>
  <c r="L1634" i="1" s="1"/>
  <c r="K1634" i="1"/>
  <c r="J1634" i="1"/>
  <c r="L1633" i="1" a="1"/>
  <c r="L1633" i="1" s="1"/>
  <c r="K1633" i="1"/>
  <c r="J1633" i="1"/>
  <c r="L1632" i="1" a="1"/>
  <c r="L1632" i="1" s="1"/>
  <c r="K1632" i="1"/>
  <c r="J1632" i="1"/>
  <c r="L1631" i="1" a="1"/>
  <c r="L1631" i="1" s="1"/>
  <c r="K1631" i="1"/>
  <c r="J1631" i="1"/>
  <c r="L1630" i="1" a="1"/>
  <c r="L1630" i="1" s="1"/>
  <c r="K1630" i="1"/>
  <c r="J1630" i="1"/>
  <c r="L1629" i="1" a="1"/>
  <c r="L1629" i="1" s="1"/>
  <c r="K1629" i="1"/>
  <c r="J1629" i="1"/>
  <c r="L1628" i="1" a="1"/>
  <c r="L1628" i="1" s="1"/>
  <c r="K1628" i="1"/>
  <c r="J1628" i="1"/>
  <c r="L1627" i="1" a="1"/>
  <c r="L1627" i="1" s="1"/>
  <c r="K1627" i="1"/>
  <c r="J1627" i="1"/>
  <c r="L1626" i="1" a="1"/>
  <c r="L1626" i="1" s="1"/>
  <c r="K1626" i="1"/>
  <c r="J1626" i="1"/>
  <c r="L1625" i="1" a="1"/>
  <c r="L1625" i="1" s="1"/>
  <c r="K1625" i="1"/>
  <c r="J1625" i="1"/>
  <c r="L1624" i="1" a="1"/>
  <c r="L1624" i="1" s="1"/>
  <c r="K1624" i="1"/>
  <c r="J1624" i="1"/>
  <c r="L1623" i="1" a="1"/>
  <c r="L1623" i="1" s="1"/>
  <c r="K1623" i="1"/>
  <c r="J1623" i="1"/>
  <c r="L1622" i="1" a="1"/>
  <c r="L1622" i="1" s="1"/>
  <c r="K1622" i="1"/>
  <c r="J1622" i="1"/>
  <c r="L1621" i="1" a="1"/>
  <c r="L1621" i="1" s="1"/>
  <c r="K1621" i="1"/>
  <c r="J1621" i="1"/>
  <c r="L1620" i="1" a="1"/>
  <c r="L1620" i="1" s="1"/>
  <c r="K1620" i="1"/>
  <c r="J1620" i="1"/>
  <c r="L1619" i="1" a="1"/>
  <c r="L1619" i="1" s="1"/>
  <c r="K1619" i="1"/>
  <c r="J1619" i="1"/>
  <c r="L1618" i="1" a="1"/>
  <c r="L1618" i="1" s="1"/>
  <c r="K1618" i="1"/>
  <c r="J1618" i="1"/>
  <c r="L1617" i="1" a="1"/>
  <c r="L1617" i="1" s="1"/>
  <c r="K1617" i="1"/>
  <c r="J1617" i="1"/>
  <c r="L1616" i="1" a="1"/>
  <c r="L1616" i="1" s="1"/>
  <c r="K1616" i="1"/>
  <c r="J1616" i="1"/>
  <c r="L1615" i="1" a="1"/>
  <c r="L1615" i="1" s="1"/>
  <c r="K1615" i="1"/>
  <c r="J1615" i="1"/>
  <c r="L1614" i="1" a="1"/>
  <c r="L1614" i="1" s="1"/>
  <c r="K1614" i="1"/>
  <c r="J1614" i="1"/>
  <c r="L1613" i="1" a="1"/>
  <c r="L1613" i="1" s="1"/>
  <c r="K1613" i="1"/>
  <c r="J1613" i="1"/>
  <c r="L1612" i="1" a="1"/>
  <c r="L1612" i="1" s="1"/>
  <c r="K1612" i="1"/>
  <c r="J1612" i="1"/>
  <c r="L1611" i="1" a="1"/>
  <c r="L1611" i="1" s="1"/>
  <c r="K1611" i="1"/>
  <c r="J1611" i="1"/>
  <c r="L1610" i="1" a="1"/>
  <c r="L1610" i="1" s="1"/>
  <c r="K1610" i="1"/>
  <c r="J1610" i="1"/>
  <c r="L1609" i="1" a="1"/>
  <c r="L1609" i="1" s="1"/>
  <c r="K1609" i="1"/>
  <c r="J1609" i="1"/>
  <c r="L1608" i="1" a="1"/>
  <c r="L1608" i="1" s="1"/>
  <c r="K1608" i="1"/>
  <c r="J1608" i="1"/>
  <c r="L1607" i="1" a="1"/>
  <c r="L1607" i="1" s="1"/>
  <c r="K1607" i="1"/>
  <c r="J1607" i="1"/>
  <c r="L1606" i="1" a="1"/>
  <c r="L1606" i="1" s="1"/>
  <c r="K1606" i="1"/>
  <c r="J1606" i="1"/>
  <c r="L1605" i="1" a="1"/>
  <c r="L1605" i="1" s="1"/>
  <c r="K1605" i="1"/>
  <c r="J1605" i="1"/>
  <c r="L1604" i="1" a="1"/>
  <c r="L1604" i="1" s="1"/>
  <c r="K1604" i="1"/>
  <c r="J1604" i="1"/>
  <c r="L1603" i="1" a="1"/>
  <c r="L1603" i="1" s="1"/>
  <c r="K1603" i="1"/>
  <c r="J1603" i="1"/>
  <c r="L1602" i="1" a="1"/>
  <c r="L1602" i="1" s="1"/>
  <c r="K1602" i="1"/>
  <c r="J1602" i="1"/>
  <c r="L1601" i="1" a="1"/>
  <c r="L1601" i="1" s="1"/>
  <c r="K1601" i="1"/>
  <c r="J1601" i="1"/>
  <c r="L1600" i="1" a="1"/>
  <c r="L1600" i="1" s="1"/>
  <c r="K1600" i="1"/>
  <c r="J1600" i="1"/>
  <c r="L1599" i="1" a="1"/>
  <c r="L1599" i="1" s="1"/>
  <c r="K1599" i="1"/>
  <c r="J1599" i="1"/>
  <c r="L1598" i="1" a="1"/>
  <c r="L1598" i="1" s="1"/>
  <c r="K1598" i="1"/>
  <c r="J1598" i="1"/>
  <c r="L1597" i="1" a="1"/>
  <c r="L1597" i="1" s="1"/>
  <c r="K1597" i="1"/>
  <c r="J1597" i="1"/>
  <c r="L1596" i="1" a="1"/>
  <c r="L1596" i="1" s="1"/>
  <c r="K1596" i="1"/>
  <c r="J1596" i="1"/>
  <c r="L1595" i="1" a="1"/>
  <c r="L1595" i="1" s="1"/>
  <c r="K1595" i="1"/>
  <c r="J1595" i="1"/>
  <c r="L1594" i="1" a="1"/>
  <c r="L1594" i="1" s="1"/>
  <c r="K1594" i="1"/>
  <c r="J1594" i="1"/>
  <c r="L1593" i="1" a="1"/>
  <c r="L1593" i="1" s="1"/>
  <c r="K1593" i="1"/>
  <c r="J1593" i="1"/>
  <c r="L1592" i="1" a="1"/>
  <c r="L1592" i="1" s="1"/>
  <c r="K1592" i="1"/>
  <c r="J1592" i="1"/>
  <c r="L1591" i="1" a="1"/>
  <c r="L1591" i="1" s="1"/>
  <c r="K1591" i="1"/>
  <c r="J1591" i="1"/>
  <c r="L1590" i="1" a="1"/>
  <c r="L1590" i="1" s="1"/>
  <c r="K1590" i="1"/>
  <c r="J1590" i="1"/>
  <c r="L1589" i="1" a="1"/>
  <c r="L1589" i="1" s="1"/>
  <c r="K1589" i="1"/>
  <c r="J1589" i="1"/>
  <c r="L1588" i="1" a="1"/>
  <c r="L1588" i="1" s="1"/>
  <c r="K1588" i="1"/>
  <c r="J1588" i="1"/>
  <c r="L1587" i="1" a="1"/>
  <c r="L1587" i="1" s="1"/>
  <c r="K1587" i="1"/>
  <c r="J1587" i="1"/>
  <c r="L1586" i="1" a="1"/>
  <c r="L1586" i="1" s="1"/>
  <c r="K1586" i="1"/>
  <c r="J1586" i="1"/>
  <c r="L1585" i="1" a="1"/>
  <c r="L1585" i="1" s="1"/>
  <c r="K1585" i="1"/>
  <c r="J1585" i="1"/>
  <c r="L1584" i="1" a="1"/>
  <c r="L1584" i="1" s="1"/>
  <c r="K1584" i="1"/>
  <c r="J1584" i="1"/>
  <c r="L1583" i="1" a="1"/>
  <c r="L1583" i="1" s="1"/>
  <c r="K1583" i="1"/>
  <c r="J1583" i="1"/>
  <c r="L1582" i="1" a="1"/>
  <c r="L1582" i="1" s="1"/>
  <c r="K1582" i="1"/>
  <c r="J1582" i="1"/>
  <c r="L1581" i="1" a="1"/>
  <c r="L1581" i="1" s="1"/>
  <c r="K1581" i="1"/>
  <c r="J1581" i="1"/>
  <c r="L1580" i="1" a="1"/>
  <c r="L1580" i="1" s="1"/>
  <c r="K1580" i="1"/>
  <c r="J1580" i="1"/>
  <c r="L1579" i="1" a="1"/>
  <c r="L1579" i="1" s="1"/>
  <c r="K1579" i="1"/>
  <c r="J1579" i="1"/>
  <c r="L1578" i="1" a="1"/>
  <c r="L1578" i="1" s="1"/>
  <c r="K1578" i="1"/>
  <c r="J1578" i="1"/>
  <c r="L1577" i="1" a="1"/>
  <c r="L1577" i="1" s="1"/>
  <c r="K1577" i="1"/>
  <c r="J1577" i="1"/>
  <c r="L1576" i="1" a="1"/>
  <c r="L1576" i="1" s="1"/>
  <c r="K1576" i="1"/>
  <c r="J1576" i="1"/>
  <c r="L1575" i="1" a="1"/>
  <c r="L1575" i="1" s="1"/>
  <c r="K1575" i="1"/>
  <c r="J1575" i="1"/>
  <c r="L1574" i="1" a="1"/>
  <c r="L1574" i="1" s="1"/>
  <c r="K1574" i="1"/>
  <c r="J1574" i="1"/>
  <c r="L1573" i="1" a="1"/>
  <c r="L1573" i="1" s="1"/>
  <c r="K1573" i="1"/>
  <c r="J1573" i="1"/>
  <c r="L1572" i="1" a="1"/>
  <c r="L1572" i="1" s="1"/>
  <c r="K1572" i="1"/>
  <c r="J1572" i="1"/>
  <c r="L1571" i="1" a="1"/>
  <c r="L1571" i="1" s="1"/>
  <c r="K1571" i="1"/>
  <c r="J1571" i="1"/>
  <c r="L1570" i="1" a="1"/>
  <c r="L1570" i="1" s="1"/>
  <c r="K1570" i="1"/>
  <c r="J1570" i="1"/>
  <c r="L1569" i="1" a="1"/>
  <c r="L1569" i="1" s="1"/>
  <c r="K1569" i="1"/>
  <c r="J1569" i="1"/>
  <c r="L1568" i="1" a="1"/>
  <c r="L1568" i="1" s="1"/>
  <c r="K1568" i="1"/>
  <c r="J1568" i="1"/>
  <c r="L1567" i="1" a="1"/>
  <c r="L1567" i="1" s="1"/>
  <c r="K1567" i="1"/>
  <c r="J1567" i="1"/>
  <c r="L1566" i="1" a="1"/>
  <c r="L1566" i="1" s="1"/>
  <c r="K1566" i="1"/>
  <c r="J1566" i="1"/>
  <c r="L1565" i="1" a="1"/>
  <c r="L1565" i="1" s="1"/>
  <c r="K1565" i="1"/>
  <c r="J1565" i="1"/>
  <c r="L1564" i="1" a="1"/>
  <c r="L1564" i="1" s="1"/>
  <c r="K1564" i="1"/>
  <c r="J1564" i="1"/>
  <c r="L1563" i="1" a="1"/>
  <c r="L1563" i="1" s="1"/>
  <c r="K1563" i="1"/>
  <c r="J1563" i="1"/>
  <c r="L1562" i="1" a="1"/>
  <c r="L1562" i="1" s="1"/>
  <c r="K1562" i="1"/>
  <c r="J1562" i="1"/>
  <c r="L1561" i="1" a="1"/>
  <c r="L1561" i="1" s="1"/>
  <c r="K1561" i="1"/>
  <c r="J1561" i="1"/>
  <c r="L1560" i="1" a="1"/>
  <c r="L1560" i="1" s="1"/>
  <c r="K1560" i="1"/>
  <c r="J1560" i="1"/>
  <c r="L1559" i="1" a="1"/>
  <c r="L1559" i="1" s="1"/>
  <c r="K1559" i="1"/>
  <c r="J1559" i="1"/>
  <c r="L1558" i="1" a="1"/>
  <c r="L1558" i="1" s="1"/>
  <c r="K1558" i="1"/>
  <c r="J1558" i="1"/>
  <c r="L1557" i="1" a="1"/>
  <c r="L1557" i="1" s="1"/>
  <c r="K1557" i="1"/>
  <c r="J1557" i="1"/>
  <c r="L1556" i="1" a="1"/>
  <c r="L1556" i="1" s="1"/>
  <c r="K1556" i="1"/>
  <c r="J1556" i="1"/>
  <c r="L1555" i="1" a="1"/>
  <c r="L1555" i="1" s="1"/>
  <c r="K1555" i="1"/>
  <c r="J1555" i="1"/>
  <c r="L1554" i="1" a="1"/>
  <c r="L1554" i="1" s="1"/>
  <c r="K1554" i="1"/>
  <c r="J1554" i="1"/>
  <c r="L1553" i="1" a="1"/>
  <c r="L1553" i="1" s="1"/>
  <c r="K1553" i="1"/>
  <c r="J1553" i="1"/>
  <c r="L1552" i="1" a="1"/>
  <c r="L1552" i="1" s="1"/>
  <c r="K1552" i="1"/>
  <c r="J1552" i="1"/>
  <c r="L1551" i="1" a="1"/>
  <c r="L1551" i="1" s="1"/>
  <c r="K1551" i="1"/>
  <c r="J1551" i="1"/>
  <c r="L1550" i="1" a="1"/>
  <c r="L1550" i="1" s="1"/>
  <c r="K1550" i="1"/>
  <c r="J1550" i="1"/>
  <c r="L1549" i="1" a="1"/>
  <c r="L1549" i="1" s="1"/>
  <c r="K1549" i="1"/>
  <c r="J1549" i="1"/>
  <c r="L1548" i="1" a="1"/>
  <c r="L1548" i="1" s="1"/>
  <c r="K1548" i="1"/>
  <c r="J1548" i="1"/>
  <c r="L1547" i="1" a="1"/>
  <c r="L1547" i="1" s="1"/>
  <c r="K1547" i="1"/>
  <c r="J1547" i="1"/>
  <c r="L1546" i="1" a="1"/>
  <c r="L1546" i="1" s="1"/>
  <c r="K1546" i="1"/>
  <c r="J1546" i="1"/>
  <c r="L1545" i="1" a="1"/>
  <c r="L1545" i="1" s="1"/>
  <c r="K1545" i="1"/>
  <c r="J1545" i="1"/>
  <c r="L1544" i="1" a="1"/>
  <c r="L1544" i="1" s="1"/>
  <c r="K1544" i="1"/>
  <c r="J1544" i="1"/>
  <c r="L1543" i="1" a="1"/>
  <c r="L1543" i="1" s="1"/>
  <c r="K1543" i="1"/>
  <c r="J1543" i="1"/>
  <c r="L1542" i="1" a="1"/>
  <c r="L1542" i="1" s="1"/>
  <c r="K1542" i="1"/>
  <c r="J1542" i="1"/>
  <c r="L1541" i="1" a="1"/>
  <c r="L1541" i="1" s="1"/>
  <c r="K1541" i="1"/>
  <c r="J1541" i="1"/>
  <c r="L1540" i="1" a="1"/>
  <c r="L1540" i="1" s="1"/>
  <c r="K1540" i="1"/>
  <c r="J1540" i="1"/>
  <c r="L1539" i="1" a="1"/>
  <c r="L1539" i="1" s="1"/>
  <c r="K1539" i="1"/>
  <c r="J1539" i="1"/>
  <c r="L1538" i="1" a="1"/>
  <c r="L1538" i="1" s="1"/>
  <c r="K1538" i="1"/>
  <c r="J1538" i="1"/>
  <c r="L1537" i="1" a="1"/>
  <c r="L1537" i="1" s="1"/>
  <c r="K1537" i="1"/>
  <c r="J1537" i="1"/>
  <c r="L1536" i="1" a="1"/>
  <c r="L1536" i="1" s="1"/>
  <c r="K1536" i="1"/>
  <c r="J1536" i="1"/>
  <c r="L1535" i="1" a="1"/>
  <c r="L1535" i="1" s="1"/>
  <c r="K1535" i="1"/>
  <c r="J1535" i="1"/>
  <c r="L1534" i="1" a="1"/>
  <c r="L1534" i="1" s="1"/>
  <c r="K1534" i="1"/>
  <c r="J1534" i="1"/>
  <c r="L1533" i="1" a="1"/>
  <c r="L1533" i="1" s="1"/>
  <c r="K1533" i="1"/>
  <c r="J1533" i="1"/>
  <c r="L1532" i="1" a="1"/>
  <c r="L1532" i="1" s="1"/>
  <c r="K1532" i="1"/>
  <c r="J1532" i="1"/>
  <c r="L1531" i="1" a="1"/>
  <c r="L1531" i="1" s="1"/>
  <c r="K1531" i="1"/>
  <c r="J1531" i="1"/>
  <c r="L1530" i="1" a="1"/>
  <c r="L1530" i="1" s="1"/>
  <c r="K1530" i="1"/>
  <c r="J1530" i="1"/>
  <c r="L1529" i="1" a="1"/>
  <c r="L1529" i="1" s="1"/>
  <c r="K1529" i="1"/>
  <c r="J1529" i="1"/>
  <c r="L1528" i="1" a="1"/>
  <c r="L1528" i="1" s="1"/>
  <c r="K1528" i="1"/>
  <c r="J1528" i="1"/>
  <c r="L1527" i="1" a="1"/>
  <c r="L1527" i="1" s="1"/>
  <c r="K1527" i="1"/>
  <c r="J1527" i="1"/>
  <c r="L1526" i="1" a="1"/>
  <c r="L1526" i="1" s="1"/>
  <c r="K1526" i="1"/>
  <c r="J1526" i="1"/>
  <c r="L1525" i="1" a="1"/>
  <c r="L1525" i="1" s="1"/>
  <c r="K1525" i="1"/>
  <c r="J1525" i="1"/>
  <c r="L1524" i="1" a="1"/>
  <c r="L1524" i="1" s="1"/>
  <c r="K1524" i="1"/>
  <c r="J1524" i="1"/>
  <c r="L1523" i="1" a="1"/>
  <c r="L1523" i="1" s="1"/>
  <c r="K1523" i="1"/>
  <c r="J1523" i="1"/>
  <c r="L1522" i="1" a="1"/>
  <c r="L1522" i="1" s="1"/>
  <c r="K1522" i="1"/>
  <c r="J1522" i="1"/>
  <c r="L1521" i="1" a="1"/>
  <c r="L1521" i="1" s="1"/>
  <c r="K1521" i="1"/>
  <c r="J1521" i="1"/>
  <c r="L1520" i="1" a="1"/>
  <c r="L1520" i="1" s="1"/>
  <c r="K1520" i="1"/>
  <c r="J1520" i="1"/>
  <c r="L1519" i="1" a="1"/>
  <c r="L1519" i="1" s="1"/>
  <c r="K1519" i="1"/>
  <c r="J1519" i="1"/>
  <c r="L1518" i="1" a="1"/>
  <c r="L1518" i="1" s="1"/>
  <c r="K1518" i="1"/>
  <c r="J1518" i="1"/>
  <c r="L1517" i="1" a="1"/>
  <c r="L1517" i="1" s="1"/>
  <c r="K1517" i="1"/>
  <c r="J1517" i="1"/>
  <c r="L1516" i="1" a="1"/>
  <c r="L1516" i="1" s="1"/>
  <c r="K1516" i="1"/>
  <c r="J1516" i="1"/>
  <c r="L1515" i="1" a="1"/>
  <c r="L1515" i="1" s="1"/>
  <c r="K1515" i="1"/>
  <c r="J1515" i="1"/>
  <c r="L1514" i="1" a="1"/>
  <c r="L1514" i="1" s="1"/>
  <c r="K1514" i="1"/>
  <c r="J1514" i="1"/>
  <c r="L1513" i="1" a="1"/>
  <c r="L1513" i="1" s="1"/>
  <c r="K1513" i="1"/>
  <c r="J1513" i="1"/>
  <c r="L1512" i="1" a="1"/>
  <c r="L1512" i="1" s="1"/>
  <c r="K1512" i="1"/>
  <c r="J1512" i="1"/>
  <c r="L1511" i="1" a="1"/>
  <c r="L1511" i="1" s="1"/>
  <c r="K1511" i="1"/>
  <c r="J1511" i="1"/>
  <c r="L1510" i="1" a="1"/>
  <c r="L1510" i="1" s="1"/>
  <c r="K1510" i="1"/>
  <c r="J1510" i="1"/>
  <c r="L1509" i="1" a="1"/>
  <c r="L1509" i="1" s="1"/>
  <c r="K1509" i="1"/>
  <c r="J1509" i="1"/>
  <c r="L1508" i="1" a="1"/>
  <c r="L1508" i="1" s="1"/>
  <c r="K1508" i="1"/>
  <c r="J1508" i="1"/>
  <c r="L1507" i="1" a="1"/>
  <c r="L1507" i="1" s="1"/>
  <c r="K1507" i="1"/>
  <c r="J1507" i="1"/>
  <c r="L1506" i="1" a="1"/>
  <c r="L1506" i="1" s="1"/>
  <c r="K1506" i="1"/>
  <c r="J1506" i="1"/>
  <c r="L1505" i="1" a="1"/>
  <c r="L1505" i="1" s="1"/>
  <c r="K1505" i="1"/>
  <c r="J1505" i="1"/>
  <c r="L1504" i="1" a="1"/>
  <c r="L1504" i="1" s="1"/>
  <c r="K1504" i="1"/>
  <c r="J1504" i="1"/>
  <c r="L1503" i="1" a="1"/>
  <c r="L1503" i="1" s="1"/>
  <c r="K1503" i="1"/>
  <c r="J1503" i="1"/>
  <c r="L1502" i="1" a="1"/>
  <c r="L1502" i="1" s="1"/>
  <c r="K1502" i="1"/>
  <c r="J1502" i="1"/>
  <c r="L1501" i="1" a="1"/>
  <c r="L1501" i="1" s="1"/>
  <c r="K1501" i="1"/>
  <c r="J1501" i="1"/>
  <c r="L1500" i="1" a="1"/>
  <c r="L1500" i="1" s="1"/>
  <c r="K1500" i="1"/>
  <c r="J1500" i="1"/>
  <c r="L1499" i="1" a="1"/>
  <c r="L1499" i="1" s="1"/>
  <c r="K1499" i="1"/>
  <c r="J1499" i="1"/>
  <c r="L1498" i="1" a="1"/>
  <c r="L1498" i="1" s="1"/>
  <c r="K1498" i="1"/>
  <c r="J1498" i="1"/>
  <c r="L1497" i="1" a="1"/>
  <c r="L1497" i="1" s="1"/>
  <c r="K1497" i="1"/>
  <c r="J1497" i="1"/>
  <c r="L1496" i="1" a="1"/>
  <c r="L1496" i="1" s="1"/>
  <c r="K1496" i="1"/>
  <c r="J1496" i="1"/>
  <c r="L1495" i="1" a="1"/>
  <c r="L1495" i="1" s="1"/>
  <c r="K1495" i="1"/>
  <c r="J1495" i="1"/>
  <c r="L1494" i="1" a="1"/>
  <c r="L1494" i="1" s="1"/>
  <c r="K1494" i="1"/>
  <c r="J1494" i="1"/>
  <c r="L1493" i="1" a="1"/>
  <c r="L1493" i="1" s="1"/>
  <c r="K1493" i="1"/>
  <c r="J1493" i="1"/>
  <c r="L1492" i="1" a="1"/>
  <c r="L1492" i="1" s="1"/>
  <c r="K1492" i="1"/>
  <c r="J1492" i="1"/>
  <c r="L1491" i="1" a="1"/>
  <c r="L1491" i="1" s="1"/>
  <c r="K1491" i="1"/>
  <c r="J1491" i="1"/>
  <c r="L1490" i="1" a="1"/>
  <c r="L1490" i="1" s="1"/>
  <c r="K1490" i="1"/>
  <c r="J1490" i="1"/>
  <c r="L1489" i="1" a="1"/>
  <c r="L1489" i="1" s="1"/>
  <c r="K1489" i="1"/>
  <c r="J1489" i="1"/>
  <c r="L1488" i="1" a="1"/>
  <c r="L1488" i="1" s="1"/>
  <c r="K1488" i="1"/>
  <c r="J1488" i="1"/>
  <c r="L1487" i="1" a="1"/>
  <c r="L1487" i="1" s="1"/>
  <c r="K1487" i="1"/>
  <c r="J1487" i="1"/>
  <c r="L1486" i="1" a="1"/>
  <c r="L1486" i="1" s="1"/>
  <c r="K1486" i="1"/>
  <c r="J1486" i="1"/>
  <c r="L1485" i="1" a="1"/>
  <c r="L1485" i="1" s="1"/>
  <c r="K1485" i="1"/>
  <c r="J1485" i="1"/>
  <c r="L1484" i="1" a="1"/>
  <c r="L1484" i="1" s="1"/>
  <c r="K1484" i="1"/>
  <c r="J1484" i="1"/>
  <c r="L1483" i="1" a="1"/>
  <c r="L1483" i="1" s="1"/>
  <c r="K1483" i="1"/>
  <c r="J1483" i="1"/>
  <c r="L1482" i="1" a="1"/>
  <c r="L1482" i="1" s="1"/>
  <c r="K1482" i="1"/>
  <c r="J1482" i="1"/>
  <c r="L1481" i="1" a="1"/>
  <c r="L1481" i="1" s="1"/>
  <c r="K1481" i="1"/>
  <c r="J1481" i="1"/>
  <c r="L1480" i="1" a="1"/>
  <c r="L1480" i="1" s="1"/>
  <c r="K1480" i="1"/>
  <c r="J1480" i="1"/>
  <c r="L1479" i="1" a="1"/>
  <c r="L1479" i="1" s="1"/>
  <c r="K1479" i="1"/>
  <c r="J1479" i="1"/>
  <c r="L1478" i="1" a="1"/>
  <c r="L1478" i="1" s="1"/>
  <c r="K1478" i="1"/>
  <c r="J1478" i="1"/>
  <c r="L1477" i="1" a="1"/>
  <c r="L1477" i="1" s="1"/>
  <c r="K1477" i="1"/>
  <c r="J1477" i="1"/>
  <c r="L1476" i="1" a="1"/>
  <c r="L1476" i="1" s="1"/>
  <c r="K1476" i="1"/>
  <c r="J1476" i="1"/>
  <c r="L1475" i="1" a="1"/>
  <c r="L1475" i="1" s="1"/>
  <c r="K1475" i="1"/>
  <c r="J1475" i="1"/>
  <c r="L1474" i="1" a="1"/>
  <c r="L1474" i="1" s="1"/>
  <c r="K1474" i="1"/>
  <c r="J1474" i="1"/>
  <c r="L1473" i="1" a="1"/>
  <c r="L1473" i="1" s="1"/>
  <c r="K1473" i="1"/>
  <c r="J1473" i="1"/>
  <c r="L1472" i="1" a="1"/>
  <c r="L1472" i="1" s="1"/>
  <c r="K1472" i="1"/>
  <c r="J1472" i="1"/>
  <c r="L1471" i="1" a="1"/>
  <c r="L1471" i="1" s="1"/>
  <c r="K1471" i="1"/>
  <c r="J1471" i="1"/>
  <c r="L1470" i="1" a="1"/>
  <c r="L1470" i="1" s="1"/>
  <c r="K1470" i="1"/>
  <c r="J1470" i="1"/>
  <c r="L1469" i="1" a="1"/>
  <c r="L1469" i="1" s="1"/>
  <c r="K1469" i="1"/>
  <c r="J1469" i="1"/>
  <c r="L1468" i="1" a="1"/>
  <c r="L1468" i="1" s="1"/>
  <c r="K1468" i="1"/>
  <c r="J1468" i="1"/>
  <c r="L1467" i="1" a="1"/>
  <c r="L1467" i="1" s="1"/>
  <c r="K1467" i="1"/>
  <c r="J1467" i="1"/>
  <c r="L1466" i="1" a="1"/>
  <c r="L1466" i="1" s="1"/>
  <c r="K1466" i="1"/>
  <c r="J1466" i="1"/>
  <c r="L1465" i="1" a="1"/>
  <c r="L1465" i="1" s="1"/>
  <c r="K1465" i="1"/>
  <c r="J1465" i="1"/>
  <c r="L1464" i="1" a="1"/>
  <c r="L1464" i="1" s="1"/>
  <c r="K1464" i="1"/>
  <c r="J1464" i="1"/>
  <c r="L1463" i="1" a="1"/>
  <c r="L1463" i="1" s="1"/>
  <c r="K1463" i="1"/>
  <c r="J1463" i="1"/>
  <c r="L1462" i="1" a="1"/>
  <c r="L1462" i="1" s="1"/>
  <c r="K1462" i="1"/>
  <c r="J1462" i="1"/>
  <c r="L1461" i="1" a="1"/>
  <c r="L1461" i="1" s="1"/>
  <c r="K1461" i="1"/>
  <c r="J1461" i="1"/>
  <c r="L1460" i="1" a="1"/>
  <c r="L1460" i="1" s="1"/>
  <c r="K1460" i="1"/>
  <c r="J1460" i="1"/>
  <c r="L1459" i="1" a="1"/>
  <c r="L1459" i="1" s="1"/>
  <c r="K1459" i="1"/>
  <c r="J1459" i="1"/>
  <c r="L1458" i="1" a="1"/>
  <c r="L1458" i="1" s="1"/>
  <c r="K1458" i="1"/>
  <c r="J1458" i="1"/>
  <c r="L1457" i="1" a="1"/>
  <c r="L1457" i="1" s="1"/>
  <c r="K1457" i="1"/>
  <c r="J1457" i="1"/>
  <c r="L1456" i="1" a="1"/>
  <c r="L1456" i="1" s="1"/>
  <c r="K1456" i="1"/>
  <c r="J1456" i="1"/>
  <c r="L1455" i="1" a="1"/>
  <c r="L1455" i="1" s="1"/>
  <c r="K1455" i="1"/>
  <c r="J1455" i="1"/>
  <c r="L1454" i="1" a="1"/>
  <c r="L1454" i="1" s="1"/>
  <c r="K1454" i="1"/>
  <c r="J1454" i="1"/>
  <c r="L1453" i="1" a="1"/>
  <c r="L1453" i="1" s="1"/>
  <c r="K1453" i="1"/>
  <c r="J1453" i="1"/>
  <c r="L1452" i="1" a="1"/>
  <c r="L1452" i="1" s="1"/>
  <c r="K1452" i="1"/>
  <c r="J1452" i="1"/>
  <c r="L1451" i="1" a="1"/>
  <c r="L1451" i="1" s="1"/>
  <c r="K1451" i="1"/>
  <c r="J1451" i="1"/>
  <c r="L1450" i="1" a="1"/>
  <c r="L1450" i="1" s="1"/>
  <c r="K1450" i="1"/>
  <c r="J1450" i="1"/>
  <c r="L1449" i="1" a="1"/>
  <c r="L1449" i="1" s="1"/>
  <c r="K1449" i="1"/>
  <c r="J1449" i="1"/>
  <c r="L1448" i="1" a="1"/>
  <c r="L1448" i="1" s="1"/>
  <c r="K1448" i="1"/>
  <c r="J1448" i="1"/>
  <c r="L1447" i="1" a="1"/>
  <c r="L1447" i="1" s="1"/>
  <c r="K1447" i="1"/>
  <c r="J1447" i="1"/>
  <c r="L1446" i="1" a="1"/>
  <c r="L1446" i="1" s="1"/>
  <c r="K1446" i="1"/>
  <c r="J1446" i="1"/>
  <c r="L1445" i="1" a="1"/>
  <c r="L1445" i="1" s="1"/>
  <c r="K1445" i="1"/>
  <c r="J1445" i="1"/>
  <c r="L1444" i="1" a="1"/>
  <c r="L1444" i="1" s="1"/>
  <c r="K1444" i="1"/>
  <c r="J1444" i="1"/>
  <c r="L1443" i="1" a="1"/>
  <c r="L1443" i="1" s="1"/>
  <c r="K1443" i="1"/>
  <c r="J1443" i="1"/>
  <c r="L1442" i="1" a="1"/>
  <c r="L1442" i="1" s="1"/>
  <c r="K1442" i="1"/>
  <c r="J1442" i="1"/>
  <c r="L1441" i="1" a="1"/>
  <c r="L1441" i="1" s="1"/>
  <c r="K1441" i="1"/>
  <c r="J1441" i="1"/>
  <c r="L1440" i="1" a="1"/>
  <c r="L1440" i="1" s="1"/>
  <c r="K1440" i="1"/>
  <c r="J1440" i="1"/>
  <c r="L1439" i="1" a="1"/>
  <c r="L1439" i="1" s="1"/>
  <c r="K1439" i="1"/>
  <c r="J1439" i="1"/>
  <c r="L1438" i="1" a="1"/>
  <c r="L1438" i="1" s="1"/>
  <c r="K1438" i="1"/>
  <c r="J1438" i="1"/>
  <c r="L1437" i="1" a="1"/>
  <c r="L1437" i="1" s="1"/>
  <c r="K1437" i="1"/>
  <c r="J1437" i="1"/>
  <c r="L1436" i="1" a="1"/>
  <c r="L1436" i="1" s="1"/>
  <c r="K1436" i="1"/>
  <c r="J1436" i="1"/>
  <c r="L1435" i="1" a="1"/>
  <c r="L1435" i="1" s="1"/>
  <c r="K1435" i="1"/>
  <c r="J1435" i="1"/>
  <c r="L1434" i="1" a="1"/>
  <c r="L1434" i="1" s="1"/>
  <c r="K1434" i="1"/>
  <c r="J1434" i="1"/>
  <c r="L1433" i="1" a="1"/>
  <c r="L1433" i="1" s="1"/>
  <c r="K1433" i="1"/>
  <c r="J1433" i="1"/>
  <c r="L1432" i="1" a="1"/>
  <c r="L1432" i="1" s="1"/>
  <c r="K1432" i="1"/>
  <c r="J1432" i="1"/>
  <c r="L1431" i="1" a="1"/>
  <c r="L1431" i="1" s="1"/>
  <c r="K1431" i="1"/>
  <c r="J1431" i="1"/>
  <c r="L1430" i="1" a="1"/>
  <c r="L1430" i="1" s="1"/>
  <c r="K1430" i="1"/>
  <c r="J1430" i="1"/>
  <c r="L1429" i="1" a="1"/>
  <c r="L1429" i="1" s="1"/>
  <c r="K1429" i="1"/>
  <c r="J1429" i="1"/>
  <c r="L1428" i="1" a="1"/>
  <c r="L1428" i="1" s="1"/>
  <c r="K1428" i="1"/>
  <c r="J1428" i="1"/>
  <c r="L1427" i="1" a="1"/>
  <c r="L1427" i="1" s="1"/>
  <c r="K1427" i="1"/>
  <c r="J1427" i="1"/>
  <c r="L1426" i="1" a="1"/>
  <c r="L1426" i="1" s="1"/>
  <c r="K1426" i="1"/>
  <c r="J1426" i="1"/>
  <c r="L1425" i="1" a="1"/>
  <c r="L1425" i="1" s="1"/>
  <c r="K1425" i="1"/>
  <c r="J1425" i="1"/>
  <c r="L1424" i="1" a="1"/>
  <c r="L1424" i="1" s="1"/>
  <c r="K1424" i="1"/>
  <c r="J1424" i="1"/>
  <c r="L1423" i="1" a="1"/>
  <c r="L1423" i="1" s="1"/>
  <c r="K1423" i="1"/>
  <c r="J1423" i="1"/>
  <c r="L1422" i="1" a="1"/>
  <c r="L1422" i="1" s="1"/>
  <c r="K1422" i="1"/>
  <c r="J1422" i="1"/>
  <c r="L1421" i="1" a="1"/>
  <c r="L1421" i="1" s="1"/>
  <c r="K1421" i="1"/>
  <c r="J1421" i="1"/>
  <c r="L1420" i="1" a="1"/>
  <c r="L1420" i="1" s="1"/>
  <c r="K1420" i="1"/>
  <c r="J1420" i="1"/>
  <c r="L1419" i="1" a="1"/>
  <c r="L1419" i="1" s="1"/>
  <c r="K1419" i="1"/>
  <c r="J1419" i="1"/>
  <c r="L1418" i="1" a="1"/>
  <c r="L1418" i="1" s="1"/>
  <c r="K1418" i="1"/>
  <c r="J1418" i="1"/>
  <c r="L1417" i="1" a="1"/>
  <c r="L1417" i="1" s="1"/>
  <c r="K1417" i="1"/>
  <c r="J1417" i="1"/>
  <c r="L1416" i="1" a="1"/>
  <c r="L1416" i="1" s="1"/>
  <c r="K1416" i="1"/>
  <c r="J1416" i="1"/>
  <c r="L1415" i="1" a="1"/>
  <c r="L1415" i="1" s="1"/>
  <c r="K1415" i="1"/>
  <c r="J1415" i="1"/>
  <c r="L1414" i="1" a="1"/>
  <c r="L1414" i="1" s="1"/>
  <c r="K1414" i="1"/>
  <c r="J1414" i="1"/>
  <c r="L1413" i="1" a="1"/>
  <c r="L1413" i="1" s="1"/>
  <c r="K1413" i="1"/>
  <c r="J1413" i="1"/>
  <c r="L1412" i="1" a="1"/>
  <c r="L1412" i="1" s="1"/>
  <c r="K1412" i="1"/>
  <c r="J1412" i="1"/>
  <c r="L1411" i="1" a="1"/>
  <c r="L1411" i="1" s="1"/>
  <c r="K1411" i="1"/>
  <c r="J1411" i="1"/>
  <c r="L1410" i="1" a="1"/>
  <c r="L1410" i="1" s="1"/>
  <c r="K1410" i="1"/>
  <c r="J1410" i="1"/>
  <c r="L1409" i="1" a="1"/>
  <c r="L1409" i="1" s="1"/>
  <c r="K1409" i="1"/>
  <c r="J1409" i="1"/>
  <c r="L1408" i="1" a="1"/>
  <c r="L1408" i="1" s="1"/>
  <c r="K1408" i="1"/>
  <c r="J1408" i="1"/>
  <c r="L1407" i="1" a="1"/>
  <c r="L1407" i="1" s="1"/>
  <c r="K1407" i="1"/>
  <c r="J1407" i="1"/>
  <c r="L1406" i="1" a="1"/>
  <c r="L1406" i="1" s="1"/>
  <c r="K1406" i="1"/>
  <c r="J1406" i="1"/>
  <c r="L1405" i="1" a="1"/>
  <c r="L1405" i="1" s="1"/>
  <c r="K1405" i="1"/>
  <c r="J1405" i="1"/>
  <c r="L1404" i="1" a="1"/>
  <c r="L1404" i="1" s="1"/>
  <c r="K1404" i="1"/>
  <c r="J1404" i="1"/>
  <c r="L1403" i="1" a="1"/>
  <c r="L1403" i="1" s="1"/>
  <c r="K1403" i="1"/>
  <c r="J1403" i="1"/>
  <c r="L1402" i="1" a="1"/>
  <c r="L1402" i="1" s="1"/>
  <c r="K1402" i="1"/>
  <c r="J1402" i="1"/>
  <c r="L1401" i="1" a="1"/>
  <c r="L1401" i="1" s="1"/>
  <c r="K1401" i="1"/>
  <c r="J1401" i="1"/>
  <c r="L1400" i="1" a="1"/>
  <c r="L1400" i="1" s="1"/>
  <c r="K1400" i="1"/>
  <c r="J1400" i="1"/>
  <c r="L1399" i="1" a="1"/>
  <c r="L1399" i="1" s="1"/>
  <c r="K1399" i="1"/>
  <c r="J1399" i="1"/>
  <c r="L1398" i="1" a="1"/>
  <c r="L1398" i="1" s="1"/>
  <c r="K1398" i="1"/>
  <c r="J1398" i="1"/>
  <c r="L1397" i="1" a="1"/>
  <c r="L1397" i="1" s="1"/>
  <c r="K1397" i="1"/>
  <c r="J1397" i="1"/>
  <c r="L1396" i="1" a="1"/>
  <c r="L1396" i="1" s="1"/>
  <c r="K1396" i="1"/>
  <c r="J1396" i="1"/>
  <c r="L1395" i="1" a="1"/>
  <c r="L1395" i="1" s="1"/>
  <c r="K1395" i="1"/>
  <c r="J1395" i="1"/>
  <c r="L1394" i="1" a="1"/>
  <c r="L1394" i="1" s="1"/>
  <c r="K1394" i="1"/>
  <c r="J1394" i="1"/>
  <c r="L1393" i="1" a="1"/>
  <c r="L1393" i="1" s="1"/>
  <c r="K1393" i="1"/>
  <c r="J1393" i="1"/>
  <c r="L1392" i="1" a="1"/>
  <c r="L1392" i="1" s="1"/>
  <c r="K1392" i="1"/>
  <c r="J1392" i="1"/>
  <c r="L1391" i="1" a="1"/>
  <c r="L1391" i="1" s="1"/>
  <c r="K1391" i="1"/>
  <c r="J1391" i="1"/>
  <c r="L1390" i="1" a="1"/>
  <c r="L1390" i="1" s="1"/>
  <c r="K1390" i="1"/>
  <c r="J1390" i="1"/>
  <c r="L1389" i="1" a="1"/>
  <c r="L1389" i="1" s="1"/>
  <c r="K1389" i="1"/>
  <c r="J1389" i="1"/>
  <c r="L1388" i="1" a="1"/>
  <c r="L1388" i="1" s="1"/>
  <c r="K1388" i="1"/>
  <c r="J1388" i="1"/>
  <c r="L1387" i="1" a="1"/>
  <c r="L1387" i="1" s="1"/>
  <c r="K1387" i="1"/>
  <c r="J1387" i="1"/>
  <c r="L1386" i="1" a="1"/>
  <c r="L1386" i="1" s="1"/>
  <c r="K1386" i="1"/>
  <c r="J1386" i="1"/>
  <c r="L1385" i="1" a="1"/>
  <c r="L1385" i="1" s="1"/>
  <c r="K1385" i="1"/>
  <c r="J1385" i="1"/>
  <c r="L1384" i="1" a="1"/>
  <c r="L1384" i="1" s="1"/>
  <c r="K1384" i="1"/>
  <c r="J1384" i="1"/>
  <c r="L1383" i="1" a="1"/>
  <c r="L1383" i="1" s="1"/>
  <c r="K1383" i="1"/>
  <c r="J1383" i="1"/>
  <c r="L1382" i="1" a="1"/>
  <c r="L1382" i="1" s="1"/>
  <c r="K1382" i="1"/>
  <c r="J1382" i="1"/>
  <c r="L1381" i="1" a="1"/>
  <c r="L1381" i="1" s="1"/>
  <c r="K1381" i="1"/>
  <c r="J1381" i="1"/>
  <c r="L1380" i="1" a="1"/>
  <c r="L1380" i="1" s="1"/>
  <c r="K1380" i="1"/>
  <c r="J1380" i="1"/>
  <c r="L1379" i="1" a="1"/>
  <c r="L1379" i="1" s="1"/>
  <c r="K1379" i="1"/>
  <c r="J1379" i="1"/>
  <c r="L1378" i="1" a="1"/>
  <c r="L1378" i="1" s="1"/>
  <c r="K1378" i="1"/>
  <c r="J1378" i="1"/>
  <c r="L1377" i="1" a="1"/>
  <c r="L1377" i="1" s="1"/>
  <c r="K1377" i="1"/>
  <c r="J1377" i="1"/>
  <c r="L1376" i="1" a="1"/>
  <c r="L1376" i="1" s="1"/>
  <c r="K1376" i="1"/>
  <c r="J1376" i="1"/>
  <c r="L1375" i="1" a="1"/>
  <c r="L1375" i="1" s="1"/>
  <c r="K1375" i="1"/>
  <c r="J1375" i="1"/>
  <c r="L1374" i="1" a="1"/>
  <c r="L1374" i="1" s="1"/>
  <c r="K1374" i="1"/>
  <c r="J1374" i="1"/>
  <c r="L1373" i="1" a="1"/>
  <c r="L1373" i="1" s="1"/>
  <c r="K1373" i="1"/>
  <c r="J1373" i="1"/>
  <c r="L1372" i="1" a="1"/>
  <c r="L1372" i="1" s="1"/>
  <c r="K1372" i="1"/>
  <c r="J1372" i="1"/>
  <c r="L1371" i="1" a="1"/>
  <c r="L1371" i="1" s="1"/>
  <c r="K1371" i="1"/>
  <c r="J1371" i="1"/>
  <c r="L1370" i="1" a="1"/>
  <c r="L1370" i="1" s="1"/>
  <c r="K1370" i="1"/>
  <c r="J1370" i="1"/>
  <c r="L1369" i="1" a="1"/>
  <c r="L1369" i="1" s="1"/>
  <c r="K1369" i="1"/>
  <c r="J1369" i="1"/>
  <c r="L1368" i="1" a="1"/>
  <c r="L1368" i="1" s="1"/>
  <c r="K1368" i="1"/>
  <c r="J1368" i="1"/>
  <c r="L1367" i="1" a="1"/>
  <c r="L1367" i="1" s="1"/>
  <c r="K1367" i="1"/>
  <c r="J1367" i="1"/>
  <c r="L1366" i="1" a="1"/>
  <c r="L1366" i="1" s="1"/>
  <c r="K1366" i="1"/>
  <c r="J1366" i="1"/>
  <c r="L1365" i="1" a="1"/>
  <c r="L1365" i="1" s="1"/>
  <c r="K1365" i="1"/>
  <c r="J1365" i="1"/>
  <c r="L1364" i="1" a="1"/>
  <c r="L1364" i="1" s="1"/>
  <c r="K1364" i="1"/>
  <c r="J1364" i="1"/>
  <c r="L1363" i="1" a="1"/>
  <c r="L1363" i="1" s="1"/>
  <c r="K1363" i="1"/>
  <c r="J1363" i="1"/>
  <c r="L1362" i="1" a="1"/>
  <c r="L1362" i="1" s="1"/>
  <c r="K1362" i="1"/>
  <c r="J1362" i="1"/>
  <c r="L1361" i="1" a="1"/>
  <c r="L1361" i="1" s="1"/>
  <c r="K1361" i="1"/>
  <c r="J1361" i="1"/>
  <c r="L1360" i="1" a="1"/>
  <c r="L1360" i="1" s="1"/>
  <c r="K1360" i="1"/>
  <c r="J1360" i="1"/>
  <c r="L1359" i="1" a="1"/>
  <c r="L1359" i="1" s="1"/>
  <c r="K1359" i="1"/>
  <c r="J1359" i="1"/>
  <c r="L1358" i="1" a="1"/>
  <c r="L1358" i="1" s="1"/>
  <c r="K1358" i="1"/>
  <c r="J1358" i="1"/>
  <c r="L1357" i="1" a="1"/>
  <c r="L1357" i="1" s="1"/>
  <c r="K1357" i="1"/>
  <c r="J1357" i="1"/>
  <c r="L1356" i="1" a="1"/>
  <c r="L1356" i="1" s="1"/>
  <c r="K1356" i="1"/>
  <c r="J1356" i="1"/>
  <c r="L1355" i="1" a="1"/>
  <c r="L1355" i="1" s="1"/>
  <c r="K1355" i="1"/>
  <c r="J1355" i="1"/>
  <c r="L1354" i="1" a="1"/>
  <c r="L1354" i="1" s="1"/>
  <c r="K1354" i="1"/>
  <c r="J1354" i="1"/>
  <c r="L1353" i="1" a="1"/>
  <c r="L1353" i="1" s="1"/>
  <c r="K1353" i="1"/>
  <c r="J1353" i="1"/>
  <c r="L1352" i="1" a="1"/>
  <c r="L1352" i="1" s="1"/>
  <c r="K1352" i="1"/>
  <c r="J1352" i="1"/>
  <c r="L1351" i="1" a="1"/>
  <c r="L1351" i="1" s="1"/>
  <c r="K1351" i="1"/>
  <c r="J1351" i="1"/>
  <c r="L1350" i="1" a="1"/>
  <c r="L1350" i="1" s="1"/>
  <c r="K1350" i="1"/>
  <c r="J1350" i="1"/>
  <c r="L1349" i="1" a="1"/>
  <c r="L1349" i="1" s="1"/>
  <c r="K1349" i="1"/>
  <c r="J1349" i="1"/>
  <c r="L1348" i="1" a="1"/>
  <c r="L1348" i="1" s="1"/>
  <c r="K1348" i="1"/>
  <c r="J1348" i="1"/>
  <c r="L1347" i="1" a="1"/>
  <c r="L1347" i="1" s="1"/>
  <c r="K1347" i="1"/>
  <c r="J1347" i="1"/>
  <c r="L1346" i="1" a="1"/>
  <c r="L1346" i="1" s="1"/>
  <c r="K1346" i="1"/>
  <c r="J1346" i="1"/>
  <c r="L1345" i="1" a="1"/>
  <c r="L1345" i="1" s="1"/>
  <c r="K1345" i="1"/>
  <c r="J1345" i="1"/>
  <c r="L1344" i="1" a="1"/>
  <c r="L1344" i="1" s="1"/>
  <c r="K1344" i="1"/>
  <c r="J1344" i="1"/>
  <c r="L1343" i="1" a="1"/>
  <c r="L1343" i="1" s="1"/>
  <c r="K1343" i="1"/>
  <c r="J1343" i="1"/>
  <c r="L1342" i="1" a="1"/>
  <c r="L1342" i="1" s="1"/>
  <c r="K1342" i="1"/>
  <c r="J1342" i="1"/>
  <c r="L1341" i="1" a="1"/>
  <c r="L1341" i="1" s="1"/>
  <c r="K1341" i="1"/>
  <c r="J1341" i="1"/>
  <c r="L1340" i="1" a="1"/>
  <c r="L1340" i="1" s="1"/>
  <c r="K1340" i="1"/>
  <c r="J1340" i="1"/>
  <c r="L1339" i="1" a="1"/>
  <c r="L1339" i="1" s="1"/>
  <c r="K1339" i="1"/>
  <c r="J1339" i="1"/>
  <c r="L1338" i="1" a="1"/>
  <c r="L1338" i="1" s="1"/>
  <c r="K1338" i="1"/>
  <c r="J1338" i="1"/>
  <c r="L1337" i="1" a="1"/>
  <c r="L1337" i="1" s="1"/>
  <c r="K1337" i="1"/>
  <c r="J1337" i="1"/>
  <c r="L1336" i="1" a="1"/>
  <c r="L1336" i="1" s="1"/>
  <c r="K1336" i="1"/>
  <c r="J1336" i="1"/>
  <c r="L1335" i="1" a="1"/>
  <c r="L1335" i="1" s="1"/>
  <c r="K1335" i="1"/>
  <c r="J1335" i="1"/>
  <c r="L1334" i="1" a="1"/>
  <c r="L1334" i="1" s="1"/>
  <c r="K1334" i="1"/>
  <c r="J1334" i="1"/>
  <c r="L1333" i="1" a="1"/>
  <c r="L1333" i="1" s="1"/>
  <c r="K1333" i="1"/>
  <c r="J1333" i="1"/>
  <c r="L1332" i="1" a="1"/>
  <c r="L1332" i="1" s="1"/>
  <c r="K1332" i="1"/>
  <c r="J1332" i="1"/>
  <c r="L1331" i="1" a="1"/>
  <c r="L1331" i="1" s="1"/>
  <c r="K1331" i="1"/>
  <c r="J1331" i="1"/>
  <c r="L1330" i="1" a="1"/>
  <c r="L1330" i="1" s="1"/>
  <c r="K1330" i="1"/>
  <c r="J1330" i="1"/>
  <c r="L1329" i="1" a="1"/>
  <c r="L1329" i="1" s="1"/>
  <c r="K1329" i="1"/>
  <c r="J1329" i="1"/>
  <c r="L1328" i="1" a="1"/>
  <c r="L1328" i="1" s="1"/>
  <c r="K1328" i="1"/>
  <c r="J1328" i="1"/>
  <c r="L1327" i="1" a="1"/>
  <c r="L1327" i="1" s="1"/>
  <c r="K1327" i="1"/>
  <c r="J1327" i="1"/>
  <c r="L1326" i="1" a="1"/>
  <c r="L1326" i="1" s="1"/>
  <c r="K1326" i="1"/>
  <c r="J1326" i="1"/>
  <c r="L1325" i="1" a="1"/>
  <c r="L1325" i="1" s="1"/>
  <c r="K1325" i="1"/>
  <c r="J1325" i="1"/>
  <c r="L1324" i="1" a="1"/>
  <c r="L1324" i="1" s="1"/>
  <c r="K1324" i="1"/>
  <c r="J1324" i="1"/>
  <c r="L1323" i="1" a="1"/>
  <c r="L1323" i="1" s="1"/>
  <c r="K1323" i="1"/>
  <c r="J1323" i="1"/>
  <c r="L1322" i="1" a="1"/>
  <c r="L1322" i="1" s="1"/>
  <c r="K1322" i="1"/>
  <c r="J1322" i="1"/>
  <c r="L1321" i="1" a="1"/>
  <c r="L1321" i="1" s="1"/>
  <c r="K1321" i="1"/>
  <c r="J1321" i="1"/>
  <c r="L1320" i="1" a="1"/>
  <c r="L1320" i="1" s="1"/>
  <c r="K1320" i="1"/>
  <c r="J1320" i="1"/>
  <c r="L1319" i="1" a="1"/>
  <c r="L1319" i="1" s="1"/>
  <c r="K1319" i="1"/>
  <c r="J1319" i="1"/>
  <c r="L1318" i="1" a="1"/>
  <c r="L1318" i="1" s="1"/>
  <c r="K1318" i="1"/>
  <c r="J1318" i="1"/>
  <c r="L1317" i="1" a="1"/>
  <c r="L1317" i="1" s="1"/>
  <c r="K1317" i="1"/>
  <c r="J1317" i="1"/>
  <c r="L1316" i="1" a="1"/>
  <c r="L1316" i="1" s="1"/>
  <c r="K1316" i="1"/>
  <c r="J1316" i="1"/>
  <c r="L1315" i="1" a="1"/>
  <c r="L1315" i="1" s="1"/>
  <c r="K1315" i="1"/>
  <c r="J1315" i="1"/>
  <c r="L1314" i="1" a="1"/>
  <c r="L1314" i="1" s="1"/>
  <c r="K1314" i="1"/>
  <c r="J1314" i="1"/>
  <c r="L1313" i="1" a="1"/>
  <c r="L1313" i="1" s="1"/>
  <c r="K1313" i="1"/>
  <c r="J1313" i="1"/>
  <c r="L1312" i="1" a="1"/>
  <c r="L1312" i="1" s="1"/>
  <c r="K1312" i="1"/>
  <c r="J1312" i="1"/>
  <c r="L1311" i="1" a="1"/>
  <c r="L1311" i="1" s="1"/>
  <c r="K1311" i="1"/>
  <c r="J1311" i="1"/>
  <c r="L1310" i="1" a="1"/>
  <c r="L1310" i="1" s="1"/>
  <c r="K1310" i="1"/>
  <c r="J1310" i="1"/>
  <c r="L1309" i="1" a="1"/>
  <c r="L1309" i="1" s="1"/>
  <c r="K1309" i="1"/>
  <c r="J1309" i="1"/>
  <c r="L1308" i="1" a="1"/>
  <c r="L1308" i="1" s="1"/>
  <c r="K1308" i="1"/>
  <c r="J1308" i="1"/>
  <c r="L1307" i="1" a="1"/>
  <c r="L1307" i="1" s="1"/>
  <c r="K1307" i="1"/>
  <c r="J1307" i="1"/>
  <c r="L1306" i="1" a="1"/>
  <c r="L1306" i="1" s="1"/>
  <c r="K1306" i="1"/>
  <c r="J1306" i="1"/>
  <c r="L1305" i="1" a="1"/>
  <c r="L1305" i="1" s="1"/>
  <c r="K1305" i="1"/>
  <c r="J1305" i="1"/>
  <c r="L1304" i="1" a="1"/>
  <c r="L1304" i="1" s="1"/>
  <c r="K1304" i="1"/>
  <c r="J1304" i="1"/>
  <c r="L1303" i="1" a="1"/>
  <c r="L1303" i="1" s="1"/>
  <c r="K1303" i="1"/>
  <c r="J1303" i="1"/>
  <c r="L1302" i="1" a="1"/>
  <c r="L1302" i="1" s="1"/>
  <c r="K1302" i="1"/>
  <c r="J1302" i="1"/>
  <c r="L1301" i="1" a="1"/>
  <c r="L1301" i="1" s="1"/>
  <c r="K1301" i="1"/>
  <c r="J1301" i="1"/>
  <c r="L1300" i="1" a="1"/>
  <c r="L1300" i="1" s="1"/>
  <c r="K1300" i="1"/>
  <c r="J1300" i="1"/>
  <c r="L1299" i="1" a="1"/>
  <c r="L1299" i="1" s="1"/>
  <c r="K1299" i="1"/>
  <c r="J1299" i="1"/>
  <c r="L1298" i="1" a="1"/>
  <c r="L1298" i="1" s="1"/>
  <c r="K1298" i="1"/>
  <c r="J1298" i="1"/>
  <c r="L1297" i="1" a="1"/>
  <c r="L1297" i="1" s="1"/>
  <c r="K1297" i="1"/>
  <c r="J1297" i="1"/>
  <c r="L1296" i="1" a="1"/>
  <c r="L1296" i="1" s="1"/>
  <c r="K1296" i="1"/>
  <c r="J1296" i="1"/>
  <c r="L1295" i="1" a="1"/>
  <c r="L1295" i="1" s="1"/>
  <c r="K1295" i="1"/>
  <c r="J1295" i="1"/>
  <c r="L1294" i="1" a="1"/>
  <c r="L1294" i="1" s="1"/>
  <c r="K1294" i="1"/>
  <c r="J1294" i="1"/>
  <c r="L1293" i="1" a="1"/>
  <c r="L1293" i="1" s="1"/>
  <c r="K1293" i="1"/>
  <c r="J1293" i="1"/>
  <c r="L1292" i="1" a="1"/>
  <c r="L1292" i="1" s="1"/>
  <c r="K1292" i="1"/>
  <c r="J1292" i="1"/>
  <c r="L1291" i="1" a="1"/>
  <c r="L1291" i="1" s="1"/>
  <c r="K1291" i="1"/>
  <c r="J1291" i="1"/>
  <c r="L1290" i="1" a="1"/>
  <c r="L1290" i="1" s="1"/>
  <c r="K1290" i="1"/>
  <c r="J1290" i="1"/>
  <c r="L1289" i="1" a="1"/>
  <c r="L1289" i="1" s="1"/>
  <c r="K1289" i="1"/>
  <c r="J1289" i="1"/>
  <c r="L1288" i="1" a="1"/>
  <c r="L1288" i="1" s="1"/>
  <c r="K1288" i="1"/>
  <c r="J1288" i="1"/>
  <c r="L1287" i="1" a="1"/>
  <c r="L1287" i="1" s="1"/>
  <c r="K1287" i="1"/>
  <c r="J1287" i="1"/>
  <c r="L1286" i="1" a="1"/>
  <c r="L1286" i="1" s="1"/>
  <c r="K1286" i="1"/>
  <c r="J1286" i="1"/>
  <c r="L1285" i="1" a="1"/>
  <c r="L1285" i="1" s="1"/>
  <c r="K1285" i="1"/>
  <c r="J1285" i="1"/>
  <c r="L1284" i="1" a="1"/>
  <c r="L1284" i="1" s="1"/>
  <c r="K1284" i="1"/>
  <c r="J1284" i="1"/>
  <c r="L1283" i="1" a="1"/>
  <c r="L1283" i="1" s="1"/>
  <c r="K1283" i="1"/>
  <c r="J1283" i="1"/>
  <c r="L1282" i="1" a="1"/>
  <c r="L1282" i="1" s="1"/>
  <c r="K1282" i="1"/>
  <c r="J1282" i="1"/>
  <c r="L1281" i="1" a="1"/>
  <c r="L1281" i="1" s="1"/>
  <c r="K1281" i="1"/>
  <c r="J1281" i="1"/>
  <c r="L1280" i="1" a="1"/>
  <c r="L1280" i="1" s="1"/>
  <c r="K1280" i="1"/>
  <c r="J1280" i="1"/>
  <c r="L1279" i="1" a="1"/>
  <c r="L1279" i="1" s="1"/>
  <c r="K1279" i="1"/>
  <c r="J1279" i="1"/>
  <c r="L1278" i="1" a="1"/>
  <c r="L1278" i="1" s="1"/>
  <c r="K1278" i="1"/>
  <c r="J1278" i="1"/>
  <c r="L1277" i="1" a="1"/>
  <c r="L1277" i="1" s="1"/>
  <c r="K1277" i="1"/>
  <c r="J1277" i="1"/>
  <c r="L1276" i="1" a="1"/>
  <c r="L1276" i="1" s="1"/>
  <c r="K1276" i="1"/>
  <c r="J1276" i="1"/>
  <c r="L1275" i="1" a="1"/>
  <c r="L1275" i="1" s="1"/>
  <c r="K1275" i="1"/>
  <c r="J1275" i="1"/>
  <c r="L1274" i="1" a="1"/>
  <c r="L1274" i="1" s="1"/>
  <c r="K1274" i="1"/>
  <c r="J1274" i="1"/>
  <c r="L1273" i="1" a="1"/>
  <c r="L1273" i="1" s="1"/>
  <c r="K1273" i="1"/>
  <c r="J1273" i="1"/>
  <c r="L1272" i="1" a="1"/>
  <c r="L1272" i="1" s="1"/>
  <c r="K1272" i="1"/>
  <c r="J1272" i="1"/>
  <c r="L1271" i="1" a="1"/>
  <c r="L1271" i="1" s="1"/>
  <c r="K1271" i="1"/>
  <c r="J1271" i="1"/>
  <c r="L1270" i="1" a="1"/>
  <c r="L1270" i="1" s="1"/>
  <c r="K1270" i="1"/>
  <c r="J1270" i="1"/>
  <c r="L1269" i="1" a="1"/>
  <c r="L1269" i="1" s="1"/>
  <c r="K1269" i="1"/>
  <c r="J1269" i="1"/>
  <c r="L1268" i="1" a="1"/>
  <c r="L1268" i="1" s="1"/>
  <c r="K1268" i="1"/>
  <c r="J1268" i="1"/>
  <c r="L1267" i="1" a="1"/>
  <c r="L1267" i="1" s="1"/>
  <c r="K1267" i="1"/>
  <c r="J1267" i="1"/>
  <c r="L1266" i="1" a="1"/>
  <c r="L1266" i="1" s="1"/>
  <c r="K1266" i="1"/>
  <c r="J1266" i="1"/>
  <c r="L1265" i="1" a="1"/>
  <c r="L1265" i="1" s="1"/>
  <c r="K1265" i="1"/>
  <c r="J1265" i="1"/>
  <c r="L1264" i="1" a="1"/>
  <c r="L1264" i="1" s="1"/>
  <c r="K1264" i="1"/>
  <c r="J1264" i="1"/>
  <c r="L1263" i="1" a="1"/>
  <c r="L1263" i="1" s="1"/>
  <c r="K1263" i="1"/>
  <c r="J1263" i="1"/>
  <c r="L1262" i="1" a="1"/>
  <c r="L1262" i="1" s="1"/>
  <c r="K1262" i="1"/>
  <c r="J1262" i="1"/>
  <c r="L1261" i="1" a="1"/>
  <c r="L1261" i="1" s="1"/>
  <c r="K1261" i="1"/>
  <c r="J1261" i="1"/>
  <c r="L1260" i="1" a="1"/>
  <c r="L1260" i="1" s="1"/>
  <c r="K1260" i="1"/>
  <c r="J1260" i="1"/>
  <c r="L1259" i="1" a="1"/>
  <c r="L1259" i="1" s="1"/>
  <c r="K1259" i="1"/>
  <c r="J1259" i="1"/>
  <c r="L1258" i="1" a="1"/>
  <c r="L1258" i="1" s="1"/>
  <c r="K1258" i="1"/>
  <c r="J1258" i="1"/>
  <c r="L1257" i="1" a="1"/>
  <c r="L1257" i="1" s="1"/>
  <c r="K1257" i="1"/>
  <c r="J1257" i="1"/>
  <c r="L1256" i="1" a="1"/>
  <c r="L1256" i="1" s="1"/>
  <c r="K1256" i="1"/>
  <c r="J1256" i="1"/>
  <c r="L1255" i="1" a="1"/>
  <c r="L1255" i="1" s="1"/>
  <c r="K1255" i="1"/>
  <c r="J1255" i="1"/>
  <c r="L1254" i="1" a="1"/>
  <c r="L1254" i="1" s="1"/>
  <c r="K1254" i="1"/>
  <c r="J1254" i="1"/>
  <c r="L1253" i="1" a="1"/>
  <c r="L1253" i="1" s="1"/>
  <c r="K1253" i="1"/>
  <c r="J1253" i="1"/>
  <c r="L1252" i="1" a="1"/>
  <c r="L1252" i="1" s="1"/>
  <c r="K1252" i="1"/>
  <c r="J1252" i="1"/>
  <c r="L1251" i="1" a="1"/>
  <c r="L1251" i="1" s="1"/>
  <c r="K1251" i="1"/>
  <c r="J1251" i="1"/>
  <c r="L1250" i="1" a="1"/>
  <c r="L1250" i="1" s="1"/>
  <c r="K1250" i="1"/>
  <c r="J1250" i="1"/>
  <c r="L1249" i="1" a="1"/>
  <c r="L1249" i="1" s="1"/>
  <c r="K1249" i="1"/>
  <c r="J1249" i="1"/>
  <c r="L1248" i="1" a="1"/>
  <c r="L1248" i="1" s="1"/>
  <c r="K1248" i="1"/>
  <c r="J1248" i="1"/>
  <c r="L1247" i="1" a="1"/>
  <c r="L1247" i="1" s="1"/>
  <c r="K1247" i="1"/>
  <c r="J1247" i="1"/>
  <c r="L1246" i="1" a="1"/>
  <c r="L1246" i="1" s="1"/>
  <c r="K1246" i="1"/>
  <c r="J1246" i="1"/>
  <c r="L1245" i="1" a="1"/>
  <c r="L1245" i="1" s="1"/>
  <c r="K1245" i="1"/>
  <c r="J1245" i="1"/>
  <c r="L1244" i="1" a="1"/>
  <c r="L1244" i="1" s="1"/>
  <c r="K1244" i="1"/>
  <c r="J1244" i="1"/>
  <c r="L1243" i="1" a="1"/>
  <c r="L1243" i="1" s="1"/>
  <c r="K1243" i="1"/>
  <c r="J1243" i="1"/>
  <c r="L1242" i="1" a="1"/>
  <c r="L1242" i="1" s="1"/>
  <c r="K1242" i="1"/>
  <c r="J1242" i="1"/>
  <c r="L1241" i="1" a="1"/>
  <c r="L1241" i="1" s="1"/>
  <c r="K1241" i="1"/>
  <c r="J1241" i="1"/>
  <c r="L1240" i="1" a="1"/>
  <c r="L1240" i="1" s="1"/>
  <c r="K1240" i="1"/>
  <c r="J1240" i="1"/>
  <c r="L1239" i="1" a="1"/>
  <c r="L1239" i="1" s="1"/>
  <c r="K1239" i="1"/>
  <c r="J1239" i="1"/>
  <c r="L1238" i="1" a="1"/>
  <c r="L1238" i="1" s="1"/>
  <c r="K1238" i="1"/>
  <c r="J1238" i="1"/>
  <c r="L1237" i="1" a="1"/>
  <c r="L1237" i="1" s="1"/>
  <c r="K1237" i="1"/>
  <c r="J1237" i="1"/>
  <c r="L1236" i="1" a="1"/>
  <c r="L1236" i="1" s="1"/>
  <c r="K1236" i="1"/>
  <c r="J1236" i="1"/>
  <c r="L1235" i="1" a="1"/>
  <c r="L1235" i="1" s="1"/>
  <c r="K1235" i="1"/>
  <c r="J1235" i="1"/>
  <c r="L1234" i="1" a="1"/>
  <c r="L1234" i="1" s="1"/>
  <c r="K1234" i="1"/>
  <c r="J1234" i="1"/>
  <c r="L1233" i="1" a="1"/>
  <c r="L1233" i="1" s="1"/>
  <c r="K1233" i="1"/>
  <c r="J1233" i="1"/>
  <c r="L1232" i="1" a="1"/>
  <c r="L1232" i="1" s="1"/>
  <c r="K1232" i="1"/>
  <c r="J1232" i="1"/>
  <c r="L1231" i="1" a="1"/>
  <c r="L1231" i="1" s="1"/>
  <c r="K1231" i="1"/>
  <c r="J1231" i="1"/>
  <c r="L1230" i="1" a="1"/>
  <c r="L1230" i="1" s="1"/>
  <c r="K1230" i="1"/>
  <c r="J1230" i="1"/>
  <c r="L1229" i="1" a="1"/>
  <c r="L1229" i="1" s="1"/>
  <c r="K1229" i="1"/>
  <c r="J1229" i="1"/>
  <c r="L1228" i="1" a="1"/>
  <c r="L1228" i="1" s="1"/>
  <c r="K1228" i="1"/>
  <c r="J1228" i="1"/>
  <c r="L1227" i="1" a="1"/>
  <c r="L1227" i="1" s="1"/>
  <c r="K1227" i="1"/>
  <c r="J1227" i="1"/>
  <c r="L1226" i="1" a="1"/>
  <c r="L1226" i="1" s="1"/>
  <c r="K1226" i="1"/>
  <c r="J1226" i="1"/>
  <c r="L1225" i="1" a="1"/>
  <c r="L1225" i="1" s="1"/>
  <c r="K1225" i="1"/>
  <c r="J1225" i="1"/>
  <c r="L1224" i="1" a="1"/>
  <c r="L1224" i="1" s="1"/>
  <c r="K1224" i="1"/>
  <c r="J1224" i="1"/>
  <c r="L1223" i="1" a="1"/>
  <c r="L1223" i="1" s="1"/>
  <c r="K1223" i="1"/>
  <c r="J1223" i="1"/>
  <c r="L1222" i="1" a="1"/>
  <c r="L1222" i="1" s="1"/>
  <c r="K1222" i="1"/>
  <c r="J1222" i="1"/>
  <c r="L1221" i="1" a="1"/>
  <c r="L1221" i="1" s="1"/>
  <c r="K1221" i="1"/>
  <c r="J1221" i="1"/>
  <c r="L1220" i="1" a="1"/>
  <c r="L1220" i="1" s="1"/>
  <c r="K1220" i="1"/>
  <c r="J1220" i="1"/>
  <c r="L1219" i="1" a="1"/>
  <c r="L1219" i="1" s="1"/>
  <c r="K1219" i="1"/>
  <c r="J1219" i="1"/>
  <c r="L1218" i="1" a="1"/>
  <c r="L1218" i="1" s="1"/>
  <c r="K1218" i="1"/>
  <c r="J1218" i="1"/>
  <c r="L1217" i="1" a="1"/>
  <c r="L1217" i="1" s="1"/>
  <c r="K1217" i="1"/>
  <c r="J1217" i="1"/>
  <c r="L1216" i="1" a="1"/>
  <c r="L1216" i="1" s="1"/>
  <c r="K1216" i="1"/>
  <c r="J1216" i="1"/>
  <c r="L1215" i="1" a="1"/>
  <c r="L1215" i="1" s="1"/>
  <c r="K1215" i="1"/>
  <c r="J1215" i="1"/>
  <c r="L1214" i="1" a="1"/>
  <c r="L1214" i="1" s="1"/>
  <c r="K1214" i="1"/>
  <c r="J1214" i="1"/>
  <c r="L1213" i="1" a="1"/>
  <c r="L1213" i="1" s="1"/>
  <c r="K1213" i="1"/>
  <c r="J1213" i="1"/>
  <c r="L1212" i="1" a="1"/>
  <c r="L1212" i="1" s="1"/>
  <c r="K1212" i="1"/>
  <c r="J1212" i="1"/>
  <c r="L1211" i="1" a="1"/>
  <c r="L1211" i="1" s="1"/>
  <c r="K1211" i="1"/>
  <c r="J1211" i="1"/>
  <c r="L1210" i="1" a="1"/>
  <c r="L1210" i="1" s="1"/>
  <c r="K1210" i="1"/>
  <c r="J1210" i="1"/>
  <c r="L1209" i="1" a="1"/>
  <c r="L1209" i="1" s="1"/>
  <c r="K1209" i="1"/>
  <c r="J1209" i="1"/>
  <c r="L1208" i="1" a="1"/>
  <c r="L1208" i="1" s="1"/>
  <c r="K1208" i="1"/>
  <c r="J1208" i="1"/>
  <c r="L1207" i="1" a="1"/>
  <c r="L1207" i="1" s="1"/>
  <c r="K1207" i="1"/>
  <c r="J1207" i="1"/>
  <c r="L1206" i="1" a="1"/>
  <c r="L1206" i="1" s="1"/>
  <c r="K1206" i="1"/>
  <c r="J1206" i="1"/>
  <c r="L1205" i="1" a="1"/>
  <c r="L1205" i="1" s="1"/>
  <c r="K1205" i="1"/>
  <c r="J1205" i="1"/>
  <c r="L1204" i="1" a="1"/>
  <c r="L1204" i="1" s="1"/>
  <c r="K1204" i="1"/>
  <c r="J1204" i="1"/>
  <c r="L1203" i="1" a="1"/>
  <c r="L1203" i="1" s="1"/>
  <c r="K1203" i="1"/>
  <c r="J1203" i="1"/>
  <c r="L1202" i="1" a="1"/>
  <c r="L1202" i="1" s="1"/>
  <c r="K1202" i="1"/>
  <c r="J1202" i="1"/>
  <c r="L1201" i="1" a="1"/>
  <c r="L1201" i="1" s="1"/>
  <c r="K1201" i="1"/>
  <c r="J1201" i="1"/>
  <c r="L1200" i="1" a="1"/>
  <c r="L1200" i="1" s="1"/>
  <c r="K1200" i="1"/>
  <c r="J1200" i="1"/>
  <c r="L1199" i="1" a="1"/>
  <c r="L1199" i="1" s="1"/>
  <c r="K1199" i="1"/>
  <c r="J1199" i="1"/>
  <c r="L1198" i="1" a="1"/>
  <c r="L1198" i="1" s="1"/>
  <c r="K1198" i="1"/>
  <c r="J1198" i="1"/>
  <c r="L1197" i="1" a="1"/>
  <c r="L1197" i="1" s="1"/>
  <c r="K1197" i="1"/>
  <c r="J1197" i="1"/>
  <c r="L1196" i="1" a="1"/>
  <c r="L1196" i="1" s="1"/>
  <c r="K1196" i="1"/>
  <c r="J1196" i="1"/>
  <c r="L1195" i="1" a="1"/>
  <c r="L1195" i="1" s="1"/>
  <c r="K1195" i="1"/>
  <c r="J1195" i="1"/>
  <c r="L1194" i="1" a="1"/>
  <c r="L1194" i="1" s="1"/>
  <c r="K1194" i="1"/>
  <c r="J1194" i="1"/>
  <c r="L1193" i="1" a="1"/>
  <c r="L1193" i="1" s="1"/>
  <c r="K1193" i="1"/>
  <c r="J1193" i="1"/>
  <c r="L1192" i="1" a="1"/>
  <c r="L1192" i="1" s="1"/>
  <c r="K1192" i="1"/>
  <c r="J1192" i="1"/>
  <c r="L1191" i="1" a="1"/>
  <c r="L1191" i="1" s="1"/>
  <c r="K1191" i="1"/>
  <c r="J1191" i="1"/>
  <c r="L1190" i="1" a="1"/>
  <c r="L1190" i="1" s="1"/>
  <c r="K1190" i="1"/>
  <c r="J1190" i="1"/>
  <c r="L1189" i="1" a="1"/>
  <c r="L1189" i="1" s="1"/>
  <c r="K1189" i="1"/>
  <c r="J1189" i="1"/>
  <c r="L1188" i="1" a="1"/>
  <c r="L1188" i="1" s="1"/>
  <c r="K1188" i="1"/>
  <c r="J1188" i="1"/>
  <c r="L1187" i="1" a="1"/>
  <c r="L1187" i="1" s="1"/>
  <c r="K1187" i="1"/>
  <c r="J1187" i="1"/>
  <c r="L1186" i="1" a="1"/>
  <c r="L1186" i="1" s="1"/>
  <c r="K1186" i="1"/>
  <c r="J1186" i="1"/>
  <c r="L1185" i="1" a="1"/>
  <c r="L1185" i="1" s="1"/>
  <c r="K1185" i="1"/>
  <c r="J1185" i="1"/>
  <c r="L1184" i="1" a="1"/>
  <c r="L1184" i="1" s="1"/>
  <c r="K1184" i="1"/>
  <c r="J1184" i="1"/>
  <c r="L1183" i="1" a="1"/>
  <c r="L1183" i="1" s="1"/>
  <c r="K1183" i="1"/>
  <c r="J1183" i="1"/>
  <c r="L1182" i="1" a="1"/>
  <c r="L1182" i="1" s="1"/>
  <c r="K1182" i="1"/>
  <c r="J1182" i="1"/>
  <c r="L1181" i="1" a="1"/>
  <c r="L1181" i="1" s="1"/>
  <c r="K1181" i="1"/>
  <c r="J1181" i="1"/>
  <c r="L1180" i="1" a="1"/>
  <c r="L1180" i="1" s="1"/>
  <c r="K1180" i="1"/>
  <c r="J1180" i="1"/>
  <c r="L1179" i="1" a="1"/>
  <c r="L1179" i="1" s="1"/>
  <c r="K1179" i="1"/>
  <c r="J1179" i="1"/>
  <c r="L1178" i="1" a="1"/>
  <c r="L1178" i="1" s="1"/>
  <c r="K1178" i="1"/>
  <c r="J1178" i="1"/>
  <c r="L1177" i="1" a="1"/>
  <c r="L1177" i="1" s="1"/>
  <c r="K1177" i="1"/>
  <c r="J1177" i="1"/>
  <c r="L1176" i="1" a="1"/>
  <c r="L1176" i="1" s="1"/>
  <c r="K1176" i="1"/>
  <c r="J1176" i="1"/>
  <c r="L1175" i="1" a="1"/>
  <c r="L1175" i="1" s="1"/>
  <c r="K1175" i="1"/>
  <c r="J1175" i="1"/>
  <c r="L1174" i="1" a="1"/>
  <c r="L1174" i="1" s="1"/>
  <c r="K1174" i="1"/>
  <c r="J1174" i="1"/>
  <c r="L1173" i="1" a="1"/>
  <c r="L1173" i="1" s="1"/>
  <c r="K1173" i="1"/>
  <c r="J1173" i="1"/>
  <c r="L1172" i="1" a="1"/>
  <c r="L1172" i="1" s="1"/>
  <c r="K1172" i="1"/>
  <c r="J1172" i="1"/>
  <c r="L1171" i="1" a="1"/>
  <c r="L1171" i="1" s="1"/>
  <c r="K1171" i="1"/>
  <c r="J1171" i="1"/>
  <c r="L1170" i="1" a="1"/>
  <c r="L1170" i="1" s="1"/>
  <c r="K1170" i="1"/>
  <c r="J1170" i="1"/>
  <c r="L1169" i="1" a="1"/>
  <c r="L1169" i="1" s="1"/>
  <c r="K1169" i="1"/>
  <c r="J1169" i="1"/>
  <c r="L1168" i="1" a="1"/>
  <c r="L1168" i="1" s="1"/>
  <c r="K1168" i="1"/>
  <c r="J1168" i="1"/>
  <c r="L1167" i="1" a="1"/>
  <c r="L1167" i="1" s="1"/>
  <c r="K1167" i="1"/>
  <c r="J1167" i="1"/>
  <c r="L1166" i="1" a="1"/>
  <c r="L1166" i="1" s="1"/>
  <c r="K1166" i="1"/>
  <c r="J1166" i="1"/>
  <c r="L1165" i="1" a="1"/>
  <c r="L1165" i="1" s="1"/>
  <c r="K1165" i="1"/>
  <c r="J1165" i="1"/>
  <c r="L1164" i="1" a="1"/>
  <c r="L1164" i="1" s="1"/>
  <c r="K1164" i="1"/>
  <c r="J1164" i="1"/>
  <c r="L1163" i="1" a="1"/>
  <c r="L1163" i="1" s="1"/>
  <c r="K1163" i="1"/>
  <c r="J1163" i="1"/>
  <c r="L1162" i="1" a="1"/>
  <c r="L1162" i="1" s="1"/>
  <c r="K1162" i="1"/>
  <c r="J1162" i="1"/>
  <c r="L1161" i="1" a="1"/>
  <c r="L1161" i="1" s="1"/>
  <c r="K1161" i="1"/>
  <c r="J1161" i="1"/>
  <c r="L1160" i="1" a="1"/>
  <c r="L1160" i="1" s="1"/>
  <c r="K1160" i="1"/>
  <c r="J1160" i="1"/>
  <c r="L1159" i="1" a="1"/>
  <c r="L1159" i="1" s="1"/>
  <c r="K1159" i="1"/>
  <c r="J1159" i="1"/>
  <c r="L1158" i="1" a="1"/>
  <c r="L1158" i="1" s="1"/>
  <c r="K1158" i="1"/>
  <c r="J1158" i="1"/>
  <c r="L1157" i="1" a="1"/>
  <c r="L1157" i="1" s="1"/>
  <c r="K1157" i="1"/>
  <c r="J1157" i="1"/>
  <c r="L1156" i="1" a="1"/>
  <c r="L1156" i="1" s="1"/>
  <c r="K1156" i="1"/>
  <c r="J1156" i="1"/>
  <c r="L1155" i="1" a="1"/>
  <c r="L1155" i="1" s="1"/>
  <c r="K1155" i="1"/>
  <c r="J1155" i="1"/>
  <c r="L1154" i="1" a="1"/>
  <c r="L1154" i="1" s="1"/>
  <c r="K1154" i="1"/>
  <c r="J1154" i="1"/>
  <c r="L1153" i="1" a="1"/>
  <c r="L1153" i="1" s="1"/>
  <c r="K1153" i="1"/>
  <c r="J1153" i="1"/>
  <c r="L1152" i="1" a="1"/>
  <c r="L1152" i="1" s="1"/>
  <c r="K1152" i="1"/>
  <c r="J1152" i="1"/>
  <c r="L1151" i="1" a="1"/>
  <c r="L1151" i="1" s="1"/>
  <c r="K1151" i="1"/>
  <c r="J1151" i="1"/>
  <c r="L1150" i="1" a="1"/>
  <c r="L1150" i="1" s="1"/>
  <c r="K1150" i="1"/>
  <c r="J1150" i="1"/>
  <c r="L1149" i="1" a="1"/>
  <c r="L1149" i="1" s="1"/>
  <c r="K1149" i="1"/>
  <c r="J1149" i="1"/>
  <c r="L1148" i="1" a="1"/>
  <c r="L1148" i="1" s="1"/>
  <c r="K1148" i="1"/>
  <c r="J1148" i="1"/>
  <c r="L1147" i="1" a="1"/>
  <c r="L1147" i="1" s="1"/>
  <c r="K1147" i="1"/>
  <c r="J1147" i="1"/>
  <c r="L1146" i="1" a="1"/>
  <c r="L1146" i="1" s="1"/>
  <c r="K1146" i="1"/>
  <c r="J1146" i="1"/>
  <c r="L1145" i="1" a="1"/>
  <c r="L1145" i="1" s="1"/>
  <c r="K1145" i="1"/>
  <c r="J1145" i="1"/>
  <c r="L1144" i="1" a="1"/>
  <c r="L1144" i="1" s="1"/>
  <c r="K1144" i="1"/>
  <c r="J1144" i="1"/>
  <c r="L1143" i="1" a="1"/>
  <c r="L1143" i="1" s="1"/>
  <c r="K1143" i="1"/>
  <c r="J1143" i="1"/>
  <c r="L1142" i="1" a="1"/>
  <c r="L1142" i="1" s="1"/>
  <c r="K1142" i="1"/>
  <c r="J1142" i="1"/>
  <c r="L1141" i="1" a="1"/>
  <c r="L1141" i="1" s="1"/>
  <c r="K1141" i="1"/>
  <c r="J1141" i="1"/>
  <c r="L1140" i="1" a="1"/>
  <c r="L1140" i="1" s="1"/>
  <c r="K1140" i="1"/>
  <c r="J1140" i="1"/>
  <c r="L1139" i="1" a="1"/>
  <c r="L1139" i="1" s="1"/>
  <c r="K1139" i="1"/>
  <c r="J1139" i="1"/>
  <c r="L1138" i="1" a="1"/>
  <c r="L1138" i="1" s="1"/>
  <c r="K1138" i="1"/>
  <c r="J1138" i="1"/>
  <c r="L1137" i="1" a="1"/>
  <c r="L1137" i="1" s="1"/>
  <c r="K1137" i="1"/>
  <c r="J1137" i="1"/>
  <c r="L1136" i="1" a="1"/>
  <c r="L1136" i="1" s="1"/>
  <c r="K1136" i="1"/>
  <c r="J1136" i="1"/>
  <c r="L1135" i="1" a="1"/>
  <c r="L1135" i="1" s="1"/>
  <c r="K1135" i="1"/>
  <c r="J1135" i="1"/>
  <c r="L1134" i="1" a="1"/>
  <c r="L1134" i="1" s="1"/>
  <c r="K1134" i="1"/>
  <c r="J1134" i="1"/>
  <c r="L1133" i="1" a="1"/>
  <c r="L1133" i="1" s="1"/>
  <c r="K1133" i="1"/>
  <c r="J1133" i="1"/>
  <c r="L1132" i="1" a="1"/>
  <c r="L1132" i="1" s="1"/>
  <c r="K1132" i="1"/>
  <c r="J1132" i="1"/>
  <c r="L1131" i="1" a="1"/>
  <c r="L1131" i="1" s="1"/>
  <c r="K1131" i="1"/>
  <c r="J1131" i="1"/>
  <c r="L1130" i="1" a="1"/>
  <c r="L1130" i="1" s="1"/>
  <c r="K1130" i="1"/>
  <c r="J1130" i="1"/>
  <c r="L1129" i="1" a="1"/>
  <c r="L1129" i="1" s="1"/>
  <c r="K1129" i="1"/>
  <c r="J1129" i="1"/>
  <c r="L1128" i="1" a="1"/>
  <c r="L1128" i="1" s="1"/>
  <c r="K1128" i="1"/>
  <c r="J1128" i="1"/>
  <c r="L1127" i="1" a="1"/>
  <c r="L1127" i="1" s="1"/>
  <c r="K1127" i="1"/>
  <c r="J1127" i="1"/>
  <c r="L1126" i="1" a="1"/>
  <c r="L1126" i="1" s="1"/>
  <c r="K1126" i="1"/>
  <c r="J1126" i="1"/>
  <c r="L1125" i="1" a="1"/>
  <c r="L1125" i="1" s="1"/>
  <c r="K1125" i="1"/>
  <c r="J1125" i="1"/>
  <c r="L1124" i="1" a="1"/>
  <c r="L1124" i="1" s="1"/>
  <c r="K1124" i="1"/>
  <c r="J1124" i="1"/>
  <c r="L1123" i="1" a="1"/>
  <c r="L1123" i="1" s="1"/>
  <c r="K1123" i="1"/>
  <c r="J1123" i="1"/>
  <c r="L1122" i="1" a="1"/>
  <c r="L1122" i="1" s="1"/>
  <c r="K1122" i="1"/>
  <c r="J1122" i="1"/>
  <c r="L1121" i="1" a="1"/>
  <c r="L1121" i="1" s="1"/>
  <c r="K1121" i="1"/>
  <c r="J1121" i="1"/>
  <c r="L1120" i="1" a="1"/>
  <c r="L1120" i="1" s="1"/>
  <c r="K1120" i="1"/>
  <c r="J1120" i="1"/>
  <c r="L1119" i="1" a="1"/>
  <c r="L1119" i="1" s="1"/>
  <c r="K1119" i="1"/>
  <c r="J1119" i="1"/>
  <c r="L1118" i="1" a="1"/>
  <c r="L1118" i="1" s="1"/>
  <c r="K1118" i="1"/>
  <c r="J1118" i="1"/>
  <c r="L1117" i="1" a="1"/>
  <c r="L1117" i="1" s="1"/>
  <c r="K1117" i="1"/>
  <c r="J1117" i="1"/>
  <c r="L1116" i="1" a="1"/>
  <c r="L1116" i="1" s="1"/>
  <c r="K1116" i="1"/>
  <c r="J1116" i="1"/>
  <c r="L1115" i="1" a="1"/>
  <c r="L1115" i="1" s="1"/>
  <c r="K1115" i="1"/>
  <c r="J1115" i="1"/>
  <c r="L1114" i="1" a="1"/>
  <c r="L1114" i="1" s="1"/>
  <c r="K1114" i="1"/>
  <c r="J1114" i="1"/>
  <c r="L1113" i="1" a="1"/>
  <c r="L1113" i="1" s="1"/>
  <c r="K1113" i="1"/>
  <c r="J1113" i="1"/>
  <c r="L1112" i="1" a="1"/>
  <c r="L1112" i="1" s="1"/>
  <c r="K1112" i="1"/>
  <c r="J1112" i="1"/>
  <c r="L1111" i="1" a="1"/>
  <c r="L1111" i="1" s="1"/>
  <c r="K1111" i="1"/>
  <c r="J1111" i="1"/>
  <c r="L1110" i="1" a="1"/>
  <c r="L1110" i="1" s="1"/>
  <c r="K1110" i="1"/>
  <c r="J1110" i="1"/>
  <c r="L1109" i="1" a="1"/>
  <c r="L1109" i="1" s="1"/>
  <c r="K1109" i="1"/>
  <c r="J1109" i="1"/>
  <c r="L1108" i="1" a="1"/>
  <c r="L1108" i="1" s="1"/>
  <c r="K1108" i="1"/>
  <c r="J1108" i="1"/>
  <c r="L1107" i="1" a="1"/>
  <c r="L1107" i="1" s="1"/>
  <c r="K1107" i="1"/>
  <c r="J1107" i="1"/>
  <c r="L1106" i="1" a="1"/>
  <c r="L1106" i="1" s="1"/>
  <c r="K1106" i="1"/>
  <c r="J1106" i="1"/>
  <c r="L1105" i="1" a="1"/>
  <c r="L1105" i="1" s="1"/>
  <c r="K1105" i="1"/>
  <c r="J1105" i="1"/>
  <c r="L1104" i="1" a="1"/>
  <c r="L1104" i="1" s="1"/>
  <c r="K1104" i="1"/>
  <c r="J1104" i="1"/>
  <c r="L1103" i="1" a="1"/>
  <c r="L1103" i="1" s="1"/>
  <c r="K1103" i="1"/>
  <c r="J1103" i="1"/>
  <c r="L1102" i="1" a="1"/>
  <c r="L1102" i="1" s="1"/>
  <c r="K1102" i="1"/>
  <c r="J1102" i="1"/>
  <c r="L1101" i="1" a="1"/>
  <c r="L1101" i="1" s="1"/>
  <c r="K1101" i="1"/>
  <c r="J1101" i="1"/>
  <c r="L1100" i="1" a="1"/>
  <c r="L1100" i="1" s="1"/>
  <c r="K1100" i="1"/>
  <c r="J1100" i="1"/>
  <c r="L1099" i="1" a="1"/>
  <c r="L1099" i="1" s="1"/>
  <c r="K1099" i="1"/>
  <c r="J1099" i="1"/>
  <c r="L1098" i="1" a="1"/>
  <c r="L1098" i="1" s="1"/>
  <c r="K1098" i="1"/>
  <c r="J1098" i="1"/>
  <c r="L1097" i="1" a="1"/>
  <c r="L1097" i="1" s="1"/>
  <c r="K1097" i="1"/>
  <c r="J1097" i="1"/>
  <c r="L1096" i="1" a="1"/>
  <c r="L1096" i="1" s="1"/>
  <c r="K1096" i="1"/>
  <c r="J1096" i="1"/>
  <c r="L1095" i="1" a="1"/>
  <c r="L1095" i="1" s="1"/>
  <c r="K1095" i="1"/>
  <c r="J1095" i="1"/>
  <c r="L1094" i="1" a="1"/>
  <c r="L1094" i="1" s="1"/>
  <c r="K1094" i="1"/>
  <c r="J1094" i="1"/>
  <c r="L1093" i="1" a="1"/>
  <c r="L1093" i="1" s="1"/>
  <c r="K1093" i="1"/>
  <c r="J1093" i="1"/>
  <c r="L1092" i="1" a="1"/>
  <c r="L1092" i="1" s="1"/>
  <c r="K1092" i="1"/>
  <c r="J1092" i="1"/>
  <c r="L1091" i="1" a="1"/>
  <c r="L1091" i="1" s="1"/>
  <c r="K1091" i="1"/>
  <c r="J1091" i="1"/>
  <c r="L1090" i="1" a="1"/>
  <c r="L1090" i="1" s="1"/>
  <c r="K1090" i="1"/>
  <c r="J1090" i="1"/>
  <c r="L1089" i="1" a="1"/>
  <c r="L1089" i="1" s="1"/>
  <c r="K1089" i="1"/>
  <c r="J1089" i="1"/>
  <c r="L1088" i="1" a="1"/>
  <c r="L1088" i="1" s="1"/>
  <c r="K1088" i="1"/>
  <c r="J1088" i="1"/>
  <c r="L1087" i="1" a="1"/>
  <c r="L1087" i="1" s="1"/>
  <c r="K1087" i="1"/>
  <c r="J1087" i="1"/>
  <c r="L1086" i="1" a="1"/>
  <c r="L1086" i="1" s="1"/>
  <c r="K1086" i="1"/>
  <c r="J1086" i="1"/>
  <c r="L1085" i="1" a="1"/>
  <c r="L1085" i="1" s="1"/>
  <c r="K1085" i="1"/>
  <c r="J1085" i="1"/>
  <c r="L1084" i="1" a="1"/>
  <c r="L1084" i="1" s="1"/>
  <c r="K1084" i="1"/>
  <c r="J1084" i="1"/>
  <c r="L1083" i="1" a="1"/>
  <c r="L1083" i="1" s="1"/>
  <c r="K1083" i="1"/>
  <c r="J1083" i="1"/>
  <c r="L1082" i="1" a="1"/>
  <c r="L1082" i="1" s="1"/>
  <c r="K1082" i="1"/>
  <c r="J1082" i="1"/>
  <c r="L1081" i="1" a="1"/>
  <c r="L1081" i="1" s="1"/>
  <c r="K1081" i="1"/>
  <c r="J1081" i="1"/>
  <c r="L1080" i="1" a="1"/>
  <c r="L1080" i="1" s="1"/>
  <c r="K1080" i="1"/>
  <c r="J1080" i="1"/>
  <c r="L1079" i="1" a="1"/>
  <c r="L1079" i="1" s="1"/>
  <c r="K1079" i="1"/>
  <c r="J1079" i="1"/>
  <c r="L1078" i="1" a="1"/>
  <c r="L1078" i="1" s="1"/>
  <c r="K1078" i="1"/>
  <c r="J1078" i="1"/>
  <c r="L1077" i="1" a="1"/>
  <c r="L1077" i="1" s="1"/>
  <c r="K1077" i="1"/>
  <c r="J1077" i="1"/>
  <c r="L1076" i="1" a="1"/>
  <c r="L1076" i="1" s="1"/>
  <c r="K1076" i="1"/>
  <c r="J1076" i="1"/>
  <c r="L1075" i="1" a="1"/>
  <c r="L1075" i="1" s="1"/>
  <c r="K1075" i="1"/>
  <c r="J1075" i="1"/>
  <c r="L1074" i="1" a="1"/>
  <c r="L1074" i="1" s="1"/>
  <c r="K1074" i="1"/>
  <c r="J1074" i="1"/>
  <c r="L1073" i="1" a="1"/>
  <c r="L1073" i="1" s="1"/>
  <c r="K1073" i="1"/>
  <c r="J1073" i="1"/>
  <c r="L1072" i="1" a="1"/>
  <c r="L1072" i="1" s="1"/>
  <c r="K1072" i="1"/>
  <c r="J1072" i="1"/>
  <c r="L1071" i="1" a="1"/>
  <c r="L1071" i="1" s="1"/>
  <c r="K1071" i="1"/>
  <c r="J1071" i="1"/>
  <c r="L1070" i="1" a="1"/>
  <c r="L1070" i="1" s="1"/>
  <c r="K1070" i="1"/>
  <c r="J1070" i="1"/>
  <c r="L1069" i="1" a="1"/>
  <c r="L1069" i="1" s="1"/>
  <c r="K1069" i="1"/>
  <c r="J1069" i="1"/>
  <c r="L1068" i="1" a="1"/>
  <c r="L1068" i="1" s="1"/>
  <c r="K1068" i="1"/>
  <c r="J1068" i="1"/>
  <c r="L1067" i="1" a="1"/>
  <c r="L1067" i="1" s="1"/>
  <c r="K1067" i="1"/>
  <c r="J1067" i="1"/>
  <c r="L1066" i="1" a="1"/>
  <c r="L1066" i="1" s="1"/>
  <c r="K1066" i="1"/>
  <c r="J1066" i="1"/>
  <c r="L1065" i="1" a="1"/>
  <c r="L1065" i="1" s="1"/>
  <c r="K1065" i="1"/>
  <c r="J1065" i="1"/>
  <c r="L1064" i="1" a="1"/>
  <c r="L1064" i="1" s="1"/>
  <c r="K1064" i="1"/>
  <c r="J1064" i="1"/>
  <c r="L1063" i="1" a="1"/>
  <c r="L1063" i="1" s="1"/>
  <c r="K1063" i="1"/>
  <c r="J1063" i="1"/>
  <c r="L1062" i="1" a="1"/>
  <c r="L1062" i="1" s="1"/>
  <c r="K1062" i="1"/>
  <c r="J1062" i="1"/>
  <c r="L1061" i="1" a="1"/>
  <c r="L1061" i="1" s="1"/>
  <c r="K1061" i="1"/>
  <c r="J1061" i="1"/>
  <c r="L1060" i="1" a="1"/>
  <c r="L1060" i="1" s="1"/>
  <c r="K1060" i="1"/>
  <c r="J1060" i="1"/>
  <c r="L1059" i="1" a="1"/>
  <c r="L1059" i="1" s="1"/>
  <c r="K1059" i="1"/>
  <c r="J1059" i="1"/>
  <c r="L1058" i="1" a="1"/>
  <c r="L1058" i="1" s="1"/>
  <c r="K1058" i="1"/>
  <c r="J1058" i="1"/>
  <c r="L1057" i="1" a="1"/>
  <c r="L1057" i="1" s="1"/>
  <c r="K1057" i="1"/>
  <c r="J1057" i="1"/>
  <c r="L1056" i="1" a="1"/>
  <c r="L1056" i="1" s="1"/>
  <c r="K1056" i="1"/>
  <c r="J1056" i="1"/>
  <c r="L1055" i="1" a="1"/>
  <c r="L1055" i="1" s="1"/>
  <c r="K1055" i="1"/>
  <c r="J1055" i="1"/>
  <c r="L1054" i="1" a="1"/>
  <c r="L1054" i="1" s="1"/>
  <c r="K1054" i="1"/>
  <c r="J1054" i="1"/>
  <c r="L1053" i="1" a="1"/>
  <c r="L1053" i="1" s="1"/>
  <c r="K1053" i="1"/>
  <c r="J1053" i="1"/>
  <c r="L1052" i="1" a="1"/>
  <c r="L1052" i="1" s="1"/>
  <c r="K1052" i="1"/>
  <c r="J1052" i="1"/>
  <c r="L1051" i="1" a="1"/>
  <c r="L1051" i="1" s="1"/>
  <c r="K1051" i="1"/>
  <c r="J1051" i="1"/>
  <c r="L1050" i="1" a="1"/>
  <c r="L1050" i="1" s="1"/>
  <c r="K1050" i="1"/>
  <c r="J1050" i="1"/>
  <c r="L1049" i="1" a="1"/>
  <c r="L1049" i="1" s="1"/>
  <c r="K1049" i="1"/>
  <c r="J1049" i="1"/>
  <c r="L1048" i="1" a="1"/>
  <c r="L1048" i="1" s="1"/>
  <c r="K1048" i="1"/>
  <c r="J1048" i="1"/>
  <c r="L1047" i="1" a="1"/>
  <c r="L1047" i="1" s="1"/>
  <c r="K1047" i="1"/>
  <c r="J1047" i="1"/>
  <c r="L1046" i="1" a="1"/>
  <c r="L1046" i="1" s="1"/>
  <c r="K1046" i="1"/>
  <c r="J1046" i="1"/>
  <c r="L1045" i="1" a="1"/>
  <c r="L1045" i="1" s="1"/>
  <c r="K1045" i="1"/>
  <c r="J1045" i="1"/>
  <c r="L1044" i="1" a="1"/>
  <c r="L1044" i="1" s="1"/>
  <c r="K1044" i="1"/>
  <c r="J1044" i="1"/>
  <c r="L1043" i="1" a="1"/>
  <c r="L1043" i="1" s="1"/>
  <c r="K1043" i="1"/>
  <c r="J1043" i="1"/>
  <c r="L1042" i="1" a="1"/>
  <c r="L1042" i="1" s="1"/>
  <c r="K1042" i="1"/>
  <c r="J1042" i="1"/>
  <c r="L1041" i="1" a="1"/>
  <c r="L1041" i="1" s="1"/>
  <c r="K1041" i="1"/>
  <c r="J1041" i="1"/>
  <c r="L1040" i="1" a="1"/>
  <c r="L1040" i="1" s="1"/>
  <c r="K1040" i="1"/>
  <c r="J1040" i="1"/>
  <c r="L1039" i="1" a="1"/>
  <c r="L1039" i="1" s="1"/>
  <c r="K1039" i="1"/>
  <c r="J1039" i="1"/>
  <c r="L1038" i="1" a="1"/>
  <c r="L1038" i="1" s="1"/>
  <c r="K1038" i="1"/>
  <c r="J1038" i="1"/>
  <c r="L1037" i="1" a="1"/>
  <c r="L1037" i="1" s="1"/>
  <c r="K1037" i="1"/>
  <c r="J1037" i="1"/>
  <c r="L1036" i="1" a="1"/>
  <c r="L1036" i="1" s="1"/>
  <c r="K1036" i="1"/>
  <c r="J1036" i="1"/>
  <c r="L1035" i="1" a="1"/>
  <c r="L1035" i="1" s="1"/>
  <c r="K1035" i="1"/>
  <c r="J1035" i="1"/>
  <c r="L1034" i="1" a="1"/>
  <c r="L1034" i="1" s="1"/>
  <c r="K1034" i="1"/>
  <c r="J1034" i="1"/>
  <c r="L1033" i="1" a="1"/>
  <c r="L1033" i="1" s="1"/>
  <c r="K1033" i="1"/>
  <c r="J1033" i="1"/>
  <c r="L1032" i="1" a="1"/>
  <c r="L1032" i="1" s="1"/>
  <c r="K1032" i="1"/>
  <c r="J1032" i="1"/>
  <c r="L1031" i="1" a="1"/>
  <c r="L1031" i="1" s="1"/>
  <c r="K1031" i="1"/>
  <c r="J1031" i="1"/>
  <c r="L1030" i="1" a="1"/>
  <c r="L1030" i="1" s="1"/>
  <c r="K1030" i="1"/>
  <c r="J1030" i="1"/>
  <c r="L1029" i="1" a="1"/>
  <c r="L1029" i="1" s="1"/>
  <c r="K1029" i="1"/>
  <c r="J1029" i="1"/>
  <c r="L1028" i="1" a="1"/>
  <c r="L1028" i="1" s="1"/>
  <c r="K1028" i="1"/>
  <c r="J1028" i="1"/>
  <c r="L1027" i="1" a="1"/>
  <c r="L1027" i="1" s="1"/>
  <c r="K1027" i="1"/>
  <c r="J1027" i="1"/>
  <c r="L1026" i="1" a="1"/>
  <c r="L1026" i="1" s="1"/>
  <c r="K1026" i="1"/>
  <c r="J1026" i="1"/>
  <c r="L1025" i="1" a="1"/>
  <c r="L1025" i="1" s="1"/>
  <c r="K1025" i="1"/>
  <c r="J1025" i="1"/>
  <c r="L1024" i="1" a="1"/>
  <c r="L1024" i="1" s="1"/>
  <c r="K1024" i="1"/>
  <c r="J1024" i="1"/>
  <c r="L1023" i="1" a="1"/>
  <c r="L1023" i="1" s="1"/>
  <c r="K1023" i="1"/>
  <c r="J1023" i="1"/>
  <c r="L1022" i="1" a="1"/>
  <c r="L1022" i="1" s="1"/>
  <c r="K1022" i="1"/>
  <c r="J1022" i="1"/>
  <c r="L1021" i="1" a="1"/>
  <c r="L1021" i="1" s="1"/>
  <c r="K1021" i="1"/>
  <c r="J1021" i="1"/>
  <c r="L1020" i="1" a="1"/>
  <c r="L1020" i="1" s="1"/>
  <c r="K1020" i="1"/>
  <c r="J1020" i="1"/>
  <c r="L1019" i="1" a="1"/>
  <c r="L1019" i="1" s="1"/>
  <c r="K1019" i="1"/>
  <c r="J1019" i="1"/>
  <c r="L1018" i="1" a="1"/>
  <c r="L1018" i="1" s="1"/>
  <c r="K1018" i="1"/>
  <c r="J1018" i="1"/>
  <c r="L1017" i="1" a="1"/>
  <c r="L1017" i="1" s="1"/>
  <c r="K1017" i="1"/>
  <c r="J1017" i="1"/>
  <c r="L1016" i="1" a="1"/>
  <c r="L1016" i="1" s="1"/>
  <c r="K1016" i="1"/>
  <c r="J1016" i="1"/>
  <c r="L1015" i="1" a="1"/>
  <c r="L1015" i="1" s="1"/>
  <c r="K1015" i="1"/>
  <c r="J1015" i="1"/>
  <c r="L1014" i="1" a="1"/>
  <c r="L1014" i="1" s="1"/>
  <c r="K1014" i="1"/>
  <c r="J1014" i="1"/>
  <c r="L1013" i="1" a="1"/>
  <c r="L1013" i="1" s="1"/>
  <c r="K1013" i="1"/>
  <c r="J1013" i="1"/>
  <c r="L1012" i="1" a="1"/>
  <c r="L1012" i="1" s="1"/>
  <c r="K1012" i="1"/>
  <c r="J1012" i="1"/>
  <c r="L1011" i="1" a="1"/>
  <c r="L1011" i="1" s="1"/>
  <c r="K1011" i="1"/>
  <c r="J1011" i="1"/>
  <c r="L1010" i="1" a="1"/>
  <c r="L1010" i="1" s="1"/>
  <c r="K1010" i="1"/>
  <c r="J1010" i="1"/>
  <c r="L1009" i="1" a="1"/>
  <c r="L1009" i="1" s="1"/>
  <c r="K1009" i="1"/>
  <c r="J1009" i="1"/>
  <c r="L1008" i="1" a="1"/>
  <c r="L1008" i="1" s="1"/>
  <c r="K1008" i="1"/>
  <c r="J1008" i="1"/>
  <c r="L1007" i="1" a="1"/>
  <c r="L1007" i="1" s="1"/>
  <c r="K1007" i="1"/>
  <c r="J1007" i="1"/>
  <c r="L1006" i="1" a="1"/>
  <c r="L1006" i="1" s="1"/>
  <c r="K1006" i="1"/>
  <c r="J1006" i="1"/>
  <c r="L1005" i="1" a="1"/>
  <c r="L1005" i="1" s="1"/>
  <c r="K1005" i="1"/>
  <c r="J1005" i="1"/>
  <c r="L1004" i="1" a="1"/>
  <c r="L1004" i="1" s="1"/>
  <c r="K1004" i="1"/>
  <c r="J1004" i="1"/>
  <c r="L1003" i="1" a="1"/>
  <c r="L1003" i="1" s="1"/>
  <c r="K1003" i="1"/>
  <c r="J1003" i="1"/>
  <c r="L1002" i="1" a="1"/>
  <c r="L1002" i="1" s="1"/>
  <c r="K1002" i="1"/>
  <c r="J1002" i="1"/>
  <c r="L1001" i="1" a="1"/>
  <c r="L1001" i="1" s="1"/>
  <c r="K1001" i="1"/>
  <c r="J1001" i="1"/>
  <c r="L1000" i="1" a="1"/>
  <c r="L1000" i="1" s="1"/>
  <c r="K1000" i="1"/>
  <c r="J1000" i="1"/>
  <c r="L999" i="1" a="1"/>
  <c r="L999" i="1" s="1"/>
  <c r="K999" i="1"/>
  <c r="J999" i="1"/>
  <c r="L998" i="1" a="1"/>
  <c r="L998" i="1" s="1"/>
  <c r="K998" i="1"/>
  <c r="J998" i="1"/>
  <c r="L997" i="1" a="1"/>
  <c r="L997" i="1" s="1"/>
  <c r="K997" i="1"/>
  <c r="J997" i="1"/>
  <c r="L996" i="1" a="1"/>
  <c r="L996" i="1" s="1"/>
  <c r="K996" i="1"/>
  <c r="J996" i="1"/>
  <c r="L995" i="1" a="1"/>
  <c r="L995" i="1" s="1"/>
  <c r="K995" i="1"/>
  <c r="J995" i="1"/>
  <c r="L994" i="1" a="1"/>
  <c r="L994" i="1" s="1"/>
  <c r="K994" i="1"/>
  <c r="J994" i="1"/>
  <c r="L993" i="1" a="1"/>
  <c r="L993" i="1" s="1"/>
  <c r="K993" i="1"/>
  <c r="J993" i="1"/>
  <c r="L992" i="1" a="1"/>
  <c r="L992" i="1" s="1"/>
  <c r="K992" i="1"/>
  <c r="J992" i="1"/>
  <c r="L991" i="1" a="1"/>
  <c r="L991" i="1" s="1"/>
  <c r="K991" i="1"/>
  <c r="J991" i="1"/>
  <c r="L990" i="1" a="1"/>
  <c r="L990" i="1" s="1"/>
  <c r="K990" i="1"/>
  <c r="J990" i="1"/>
  <c r="L989" i="1" a="1"/>
  <c r="L989" i="1" s="1"/>
  <c r="K989" i="1"/>
  <c r="J989" i="1"/>
  <c r="L988" i="1" a="1"/>
  <c r="L988" i="1" s="1"/>
  <c r="K988" i="1"/>
  <c r="J988" i="1"/>
  <c r="L987" i="1" a="1"/>
  <c r="L987" i="1" s="1"/>
  <c r="K987" i="1"/>
  <c r="J987" i="1"/>
  <c r="L986" i="1" a="1"/>
  <c r="L986" i="1" s="1"/>
  <c r="K986" i="1"/>
  <c r="J986" i="1"/>
  <c r="L985" i="1" a="1"/>
  <c r="L985" i="1" s="1"/>
  <c r="K985" i="1"/>
  <c r="J985" i="1"/>
  <c r="L984" i="1" a="1"/>
  <c r="L984" i="1" s="1"/>
  <c r="K984" i="1"/>
  <c r="J984" i="1"/>
  <c r="L983" i="1" a="1"/>
  <c r="L983" i="1" s="1"/>
  <c r="K983" i="1"/>
  <c r="J983" i="1"/>
  <c r="L982" i="1" a="1"/>
  <c r="L982" i="1" s="1"/>
  <c r="K982" i="1"/>
  <c r="J982" i="1"/>
  <c r="L981" i="1" a="1"/>
  <c r="L981" i="1" s="1"/>
  <c r="K981" i="1"/>
  <c r="J981" i="1"/>
  <c r="L980" i="1" a="1"/>
  <c r="L980" i="1" s="1"/>
  <c r="K980" i="1"/>
  <c r="J980" i="1"/>
  <c r="L979" i="1" a="1"/>
  <c r="L979" i="1" s="1"/>
  <c r="K979" i="1"/>
  <c r="J979" i="1"/>
  <c r="L978" i="1" a="1"/>
  <c r="L978" i="1" s="1"/>
  <c r="K978" i="1"/>
  <c r="J978" i="1"/>
  <c r="L977" i="1" a="1"/>
  <c r="L977" i="1" s="1"/>
  <c r="K977" i="1"/>
  <c r="J977" i="1"/>
  <c r="L976" i="1" a="1"/>
  <c r="L976" i="1" s="1"/>
  <c r="K976" i="1"/>
  <c r="J976" i="1"/>
  <c r="L975" i="1" a="1"/>
  <c r="L975" i="1" s="1"/>
  <c r="K975" i="1"/>
  <c r="J975" i="1"/>
  <c r="L974" i="1" a="1"/>
  <c r="L974" i="1" s="1"/>
  <c r="K974" i="1"/>
  <c r="J974" i="1"/>
  <c r="L973" i="1" a="1"/>
  <c r="L973" i="1" s="1"/>
  <c r="K973" i="1"/>
  <c r="J973" i="1"/>
  <c r="L972" i="1" a="1"/>
  <c r="L972" i="1" s="1"/>
  <c r="K972" i="1"/>
  <c r="J972" i="1"/>
  <c r="L971" i="1" a="1"/>
  <c r="L971" i="1" s="1"/>
  <c r="K971" i="1"/>
  <c r="J971" i="1"/>
  <c r="L970" i="1" a="1"/>
  <c r="L970" i="1" s="1"/>
  <c r="K970" i="1"/>
  <c r="J970" i="1"/>
  <c r="L969" i="1" a="1"/>
  <c r="L969" i="1" s="1"/>
  <c r="K969" i="1"/>
  <c r="J969" i="1"/>
  <c r="L968" i="1" a="1"/>
  <c r="L968" i="1" s="1"/>
  <c r="K968" i="1"/>
  <c r="J968" i="1"/>
  <c r="L967" i="1" a="1"/>
  <c r="L967" i="1" s="1"/>
  <c r="K967" i="1"/>
  <c r="J967" i="1"/>
  <c r="L966" i="1" a="1"/>
  <c r="L966" i="1" s="1"/>
  <c r="K966" i="1"/>
  <c r="J966" i="1"/>
  <c r="L965" i="1" a="1"/>
  <c r="L965" i="1" s="1"/>
  <c r="K965" i="1"/>
  <c r="J965" i="1"/>
  <c r="L964" i="1" a="1"/>
  <c r="L964" i="1" s="1"/>
  <c r="K964" i="1"/>
  <c r="J964" i="1"/>
  <c r="L963" i="1" a="1"/>
  <c r="L963" i="1" s="1"/>
  <c r="K963" i="1"/>
  <c r="J963" i="1"/>
  <c r="L962" i="1" a="1"/>
  <c r="L962" i="1" s="1"/>
  <c r="K962" i="1"/>
  <c r="J962" i="1"/>
  <c r="L961" i="1" a="1"/>
  <c r="L961" i="1" s="1"/>
  <c r="K961" i="1"/>
  <c r="J961" i="1"/>
  <c r="L960" i="1" a="1"/>
  <c r="L960" i="1" s="1"/>
  <c r="K960" i="1"/>
  <c r="J960" i="1"/>
  <c r="L959" i="1" a="1"/>
  <c r="L959" i="1" s="1"/>
  <c r="K959" i="1"/>
  <c r="J959" i="1"/>
  <c r="L958" i="1" a="1"/>
  <c r="L958" i="1" s="1"/>
  <c r="K958" i="1"/>
  <c r="J958" i="1"/>
  <c r="L957" i="1" a="1"/>
  <c r="L957" i="1" s="1"/>
  <c r="K957" i="1"/>
  <c r="J957" i="1"/>
  <c r="L956" i="1" a="1"/>
  <c r="L956" i="1" s="1"/>
  <c r="K956" i="1"/>
  <c r="J956" i="1"/>
  <c r="L955" i="1" a="1"/>
  <c r="L955" i="1" s="1"/>
  <c r="K955" i="1"/>
  <c r="J955" i="1"/>
  <c r="L954" i="1" a="1"/>
  <c r="L954" i="1" s="1"/>
  <c r="K954" i="1"/>
  <c r="J954" i="1"/>
  <c r="L953" i="1" a="1"/>
  <c r="L953" i="1" s="1"/>
  <c r="K953" i="1"/>
  <c r="J953" i="1"/>
  <c r="L952" i="1" a="1"/>
  <c r="L952" i="1" s="1"/>
  <c r="K952" i="1"/>
  <c r="J952" i="1"/>
  <c r="L951" i="1" a="1"/>
  <c r="L951" i="1" s="1"/>
  <c r="K951" i="1"/>
  <c r="J951" i="1"/>
  <c r="L950" i="1" a="1"/>
  <c r="L950" i="1" s="1"/>
  <c r="K950" i="1"/>
  <c r="J950" i="1"/>
  <c r="L949" i="1" a="1"/>
  <c r="L949" i="1" s="1"/>
  <c r="K949" i="1"/>
  <c r="J949" i="1"/>
  <c r="L948" i="1" a="1"/>
  <c r="L948" i="1" s="1"/>
  <c r="K948" i="1"/>
  <c r="J948" i="1"/>
  <c r="L947" i="1" a="1"/>
  <c r="L947" i="1" s="1"/>
  <c r="K947" i="1"/>
  <c r="J947" i="1"/>
  <c r="L946" i="1" a="1"/>
  <c r="L946" i="1" s="1"/>
  <c r="K946" i="1"/>
  <c r="J946" i="1"/>
  <c r="L945" i="1" a="1"/>
  <c r="L945" i="1" s="1"/>
  <c r="K945" i="1"/>
  <c r="J945" i="1"/>
  <c r="L944" i="1" a="1"/>
  <c r="L944" i="1" s="1"/>
  <c r="K944" i="1"/>
  <c r="J944" i="1"/>
  <c r="L943" i="1" a="1"/>
  <c r="L943" i="1" s="1"/>
  <c r="K943" i="1"/>
  <c r="J943" i="1"/>
  <c r="L942" i="1" a="1"/>
  <c r="L942" i="1" s="1"/>
  <c r="K942" i="1"/>
  <c r="J942" i="1"/>
  <c r="L941" i="1" a="1"/>
  <c r="L941" i="1" s="1"/>
  <c r="K941" i="1"/>
  <c r="J941" i="1"/>
  <c r="L940" i="1" a="1"/>
  <c r="L940" i="1" s="1"/>
  <c r="K940" i="1"/>
  <c r="J940" i="1"/>
  <c r="L939" i="1" a="1"/>
  <c r="L939" i="1" s="1"/>
  <c r="K939" i="1"/>
  <c r="J939" i="1"/>
  <c r="L938" i="1" a="1"/>
  <c r="L938" i="1" s="1"/>
  <c r="K938" i="1"/>
  <c r="J938" i="1"/>
  <c r="L937" i="1" a="1"/>
  <c r="L937" i="1" s="1"/>
  <c r="K937" i="1"/>
  <c r="J937" i="1"/>
  <c r="L936" i="1" a="1"/>
  <c r="L936" i="1" s="1"/>
  <c r="K936" i="1"/>
  <c r="J936" i="1"/>
  <c r="L935" i="1" a="1"/>
  <c r="L935" i="1" s="1"/>
  <c r="K935" i="1"/>
  <c r="J935" i="1"/>
  <c r="L934" i="1" a="1"/>
  <c r="L934" i="1" s="1"/>
  <c r="K934" i="1"/>
  <c r="J934" i="1"/>
  <c r="L933" i="1" a="1"/>
  <c r="L933" i="1" s="1"/>
  <c r="K933" i="1"/>
  <c r="J933" i="1"/>
  <c r="L932" i="1" a="1"/>
  <c r="L932" i="1" s="1"/>
  <c r="K932" i="1"/>
  <c r="J932" i="1"/>
  <c r="L931" i="1" a="1"/>
  <c r="L931" i="1" s="1"/>
  <c r="K931" i="1"/>
  <c r="J931" i="1"/>
  <c r="L930" i="1" a="1"/>
  <c r="L930" i="1" s="1"/>
  <c r="K930" i="1"/>
  <c r="J930" i="1"/>
  <c r="L929" i="1" a="1"/>
  <c r="L929" i="1" s="1"/>
  <c r="K929" i="1"/>
  <c r="J929" i="1"/>
  <c r="L928" i="1" a="1"/>
  <c r="L928" i="1" s="1"/>
  <c r="K928" i="1"/>
  <c r="J928" i="1"/>
  <c r="L927" i="1" a="1"/>
  <c r="L927" i="1" s="1"/>
  <c r="K927" i="1"/>
  <c r="J927" i="1"/>
  <c r="L926" i="1" a="1"/>
  <c r="L926" i="1" s="1"/>
  <c r="K926" i="1"/>
  <c r="J926" i="1"/>
  <c r="L925" i="1" a="1"/>
  <c r="L925" i="1" s="1"/>
  <c r="K925" i="1"/>
  <c r="J925" i="1"/>
  <c r="L924" i="1" a="1"/>
  <c r="L924" i="1" s="1"/>
  <c r="K924" i="1"/>
  <c r="J924" i="1"/>
  <c r="L923" i="1" a="1"/>
  <c r="L923" i="1" s="1"/>
  <c r="K923" i="1"/>
  <c r="J923" i="1"/>
  <c r="L922" i="1" a="1"/>
  <c r="L922" i="1" s="1"/>
  <c r="K922" i="1"/>
  <c r="J922" i="1"/>
  <c r="L921" i="1" a="1"/>
  <c r="L921" i="1" s="1"/>
  <c r="K921" i="1"/>
  <c r="J921" i="1"/>
  <c r="L920" i="1" a="1"/>
  <c r="L920" i="1" s="1"/>
  <c r="K920" i="1"/>
  <c r="J920" i="1"/>
  <c r="L919" i="1" a="1"/>
  <c r="L919" i="1" s="1"/>
  <c r="K919" i="1"/>
  <c r="J919" i="1"/>
  <c r="L918" i="1" a="1"/>
  <c r="L918" i="1" s="1"/>
  <c r="K918" i="1"/>
  <c r="J918" i="1"/>
  <c r="L917" i="1" a="1"/>
  <c r="L917" i="1" s="1"/>
  <c r="K917" i="1"/>
  <c r="J917" i="1"/>
  <c r="L916" i="1" a="1"/>
  <c r="L916" i="1" s="1"/>
  <c r="K916" i="1"/>
  <c r="J916" i="1"/>
  <c r="L915" i="1" a="1"/>
  <c r="L915" i="1" s="1"/>
  <c r="K915" i="1"/>
  <c r="J915" i="1"/>
  <c r="L914" i="1" a="1"/>
  <c r="L914" i="1" s="1"/>
  <c r="K914" i="1"/>
  <c r="J914" i="1"/>
  <c r="L913" i="1" a="1"/>
  <c r="L913" i="1" s="1"/>
  <c r="K913" i="1"/>
  <c r="J913" i="1"/>
  <c r="L912" i="1" a="1"/>
  <c r="L912" i="1" s="1"/>
  <c r="K912" i="1"/>
  <c r="J912" i="1"/>
  <c r="L911" i="1" a="1"/>
  <c r="L911" i="1" s="1"/>
  <c r="K911" i="1"/>
  <c r="J911" i="1"/>
  <c r="L910" i="1" a="1"/>
  <c r="L910" i="1" s="1"/>
  <c r="K910" i="1"/>
  <c r="J910" i="1"/>
  <c r="L909" i="1" a="1"/>
  <c r="L909" i="1" s="1"/>
  <c r="K909" i="1"/>
  <c r="J909" i="1"/>
  <c r="L908" i="1" a="1"/>
  <c r="L908" i="1" s="1"/>
  <c r="K908" i="1"/>
  <c r="J908" i="1"/>
  <c r="L907" i="1" a="1"/>
  <c r="L907" i="1" s="1"/>
  <c r="K907" i="1"/>
  <c r="J907" i="1"/>
  <c r="L906" i="1" a="1"/>
  <c r="L906" i="1" s="1"/>
  <c r="K906" i="1"/>
  <c r="J906" i="1"/>
  <c r="L905" i="1" a="1"/>
  <c r="L905" i="1" s="1"/>
  <c r="K905" i="1"/>
  <c r="J905" i="1"/>
  <c r="L904" i="1" a="1"/>
  <c r="L904" i="1" s="1"/>
  <c r="K904" i="1"/>
  <c r="J904" i="1"/>
  <c r="L903" i="1" a="1"/>
  <c r="L903" i="1" s="1"/>
  <c r="K903" i="1"/>
  <c r="J903" i="1"/>
  <c r="L902" i="1" a="1"/>
  <c r="L902" i="1" s="1"/>
  <c r="K902" i="1"/>
  <c r="J902" i="1"/>
  <c r="L901" i="1" a="1"/>
  <c r="L901" i="1" s="1"/>
  <c r="K901" i="1"/>
  <c r="J901" i="1"/>
  <c r="L900" i="1" a="1"/>
  <c r="L900" i="1" s="1"/>
  <c r="K900" i="1"/>
  <c r="J900" i="1"/>
  <c r="L899" i="1" a="1"/>
  <c r="L899" i="1" s="1"/>
  <c r="K899" i="1"/>
  <c r="J899" i="1"/>
  <c r="L898" i="1" a="1"/>
  <c r="L898" i="1" s="1"/>
  <c r="K898" i="1"/>
  <c r="J898" i="1"/>
  <c r="L897" i="1" a="1"/>
  <c r="L897" i="1" s="1"/>
  <c r="K897" i="1"/>
  <c r="J897" i="1"/>
  <c r="L896" i="1" a="1"/>
  <c r="L896" i="1" s="1"/>
  <c r="K896" i="1"/>
  <c r="J896" i="1"/>
  <c r="L895" i="1" a="1"/>
  <c r="L895" i="1" s="1"/>
  <c r="K895" i="1"/>
  <c r="J895" i="1"/>
  <c r="L894" i="1" a="1"/>
  <c r="L894" i="1" s="1"/>
  <c r="K894" i="1"/>
  <c r="J894" i="1"/>
  <c r="L893" i="1" a="1"/>
  <c r="L893" i="1" s="1"/>
  <c r="K893" i="1"/>
  <c r="J893" i="1"/>
  <c r="L892" i="1" a="1"/>
  <c r="L892" i="1" s="1"/>
  <c r="K892" i="1"/>
  <c r="J892" i="1"/>
  <c r="L891" i="1" a="1"/>
  <c r="L891" i="1" s="1"/>
  <c r="K891" i="1"/>
  <c r="J891" i="1"/>
  <c r="L890" i="1" a="1"/>
  <c r="L890" i="1" s="1"/>
  <c r="K890" i="1"/>
  <c r="J890" i="1"/>
  <c r="L889" i="1" a="1"/>
  <c r="L889" i="1" s="1"/>
  <c r="K889" i="1"/>
  <c r="J889" i="1"/>
  <c r="L888" i="1" a="1"/>
  <c r="L888" i="1" s="1"/>
  <c r="K888" i="1"/>
  <c r="J888" i="1"/>
  <c r="L887" i="1" a="1"/>
  <c r="L887" i="1" s="1"/>
  <c r="K887" i="1"/>
  <c r="J887" i="1"/>
  <c r="L886" i="1" a="1"/>
  <c r="L886" i="1" s="1"/>
  <c r="K886" i="1"/>
  <c r="J886" i="1"/>
  <c r="L885" i="1" a="1"/>
  <c r="L885" i="1" s="1"/>
  <c r="K885" i="1"/>
  <c r="J885" i="1"/>
  <c r="L884" i="1" a="1"/>
  <c r="L884" i="1" s="1"/>
  <c r="K884" i="1"/>
  <c r="J884" i="1"/>
  <c r="L883" i="1" a="1"/>
  <c r="L883" i="1" s="1"/>
  <c r="K883" i="1"/>
  <c r="J883" i="1"/>
  <c r="L882" i="1" a="1"/>
  <c r="L882" i="1" s="1"/>
  <c r="K882" i="1"/>
  <c r="J882" i="1"/>
  <c r="L881" i="1" a="1"/>
  <c r="L881" i="1" s="1"/>
  <c r="K881" i="1"/>
  <c r="J881" i="1"/>
  <c r="L880" i="1" a="1"/>
  <c r="L880" i="1" s="1"/>
  <c r="K880" i="1"/>
  <c r="J880" i="1"/>
  <c r="L879" i="1" a="1"/>
  <c r="L879" i="1" s="1"/>
  <c r="K879" i="1"/>
  <c r="J879" i="1"/>
  <c r="L878" i="1" a="1"/>
  <c r="L878" i="1" s="1"/>
  <c r="K878" i="1"/>
  <c r="J878" i="1"/>
  <c r="L877" i="1" a="1"/>
  <c r="L877" i="1" s="1"/>
  <c r="K877" i="1"/>
  <c r="J877" i="1"/>
  <c r="L876" i="1" a="1"/>
  <c r="L876" i="1" s="1"/>
  <c r="K876" i="1"/>
  <c r="J876" i="1"/>
  <c r="L875" i="1" a="1"/>
  <c r="L875" i="1" s="1"/>
  <c r="K875" i="1"/>
  <c r="J875" i="1"/>
  <c r="L874" i="1" a="1"/>
  <c r="L874" i="1" s="1"/>
  <c r="K874" i="1"/>
  <c r="J874" i="1"/>
  <c r="L873" i="1" a="1"/>
  <c r="L873" i="1" s="1"/>
  <c r="K873" i="1"/>
  <c r="J873" i="1"/>
  <c r="L872" i="1" a="1"/>
  <c r="L872" i="1" s="1"/>
  <c r="K872" i="1"/>
  <c r="J872" i="1"/>
  <c r="L871" i="1" a="1"/>
  <c r="L871" i="1" s="1"/>
  <c r="K871" i="1"/>
  <c r="J871" i="1"/>
  <c r="L870" i="1" a="1"/>
  <c r="L870" i="1" s="1"/>
  <c r="K870" i="1"/>
  <c r="J870" i="1"/>
  <c r="L869" i="1" a="1"/>
  <c r="L869" i="1" s="1"/>
  <c r="K869" i="1"/>
  <c r="J869" i="1"/>
  <c r="L868" i="1" a="1"/>
  <c r="L868" i="1" s="1"/>
  <c r="K868" i="1"/>
  <c r="J868" i="1"/>
  <c r="L867" i="1" a="1"/>
  <c r="L867" i="1" s="1"/>
  <c r="K867" i="1"/>
  <c r="J867" i="1"/>
  <c r="L866" i="1" a="1"/>
  <c r="L866" i="1" s="1"/>
  <c r="K866" i="1"/>
  <c r="J866" i="1"/>
  <c r="L865" i="1" a="1"/>
  <c r="L865" i="1" s="1"/>
  <c r="K865" i="1"/>
  <c r="J865" i="1"/>
  <c r="L864" i="1" a="1"/>
  <c r="L864" i="1" s="1"/>
  <c r="K864" i="1"/>
  <c r="J864" i="1"/>
  <c r="L863" i="1" a="1"/>
  <c r="L863" i="1" s="1"/>
  <c r="K863" i="1"/>
  <c r="J863" i="1"/>
  <c r="L862" i="1" a="1"/>
  <c r="L862" i="1" s="1"/>
  <c r="K862" i="1"/>
  <c r="J862" i="1"/>
  <c r="L861" i="1" a="1"/>
  <c r="L861" i="1" s="1"/>
  <c r="K861" i="1"/>
  <c r="J861" i="1"/>
  <c r="L860" i="1" a="1"/>
  <c r="L860" i="1" s="1"/>
  <c r="K860" i="1"/>
  <c r="J860" i="1"/>
  <c r="L859" i="1" a="1"/>
  <c r="L859" i="1" s="1"/>
  <c r="K859" i="1"/>
  <c r="J859" i="1"/>
  <c r="L858" i="1" a="1"/>
  <c r="L858" i="1" s="1"/>
  <c r="K858" i="1"/>
  <c r="J858" i="1"/>
  <c r="L857" i="1" a="1"/>
  <c r="L857" i="1" s="1"/>
  <c r="K857" i="1"/>
  <c r="J857" i="1"/>
  <c r="L856" i="1" a="1"/>
  <c r="L856" i="1" s="1"/>
  <c r="K856" i="1"/>
  <c r="J856" i="1"/>
  <c r="L855" i="1" a="1"/>
  <c r="L855" i="1" s="1"/>
  <c r="K855" i="1"/>
  <c r="J855" i="1"/>
  <c r="L854" i="1" a="1"/>
  <c r="L854" i="1" s="1"/>
  <c r="K854" i="1"/>
  <c r="J854" i="1"/>
  <c r="L853" i="1" a="1"/>
  <c r="L853" i="1" s="1"/>
  <c r="K853" i="1"/>
  <c r="J853" i="1"/>
  <c r="L852" i="1" a="1"/>
  <c r="L852" i="1" s="1"/>
  <c r="K852" i="1"/>
  <c r="J852" i="1"/>
  <c r="L851" i="1" a="1"/>
  <c r="L851" i="1" s="1"/>
  <c r="K851" i="1"/>
  <c r="J851" i="1"/>
  <c r="L850" i="1" a="1"/>
  <c r="L850" i="1" s="1"/>
  <c r="K850" i="1"/>
  <c r="J850" i="1"/>
  <c r="L849" i="1" a="1"/>
  <c r="L849" i="1" s="1"/>
  <c r="K849" i="1"/>
  <c r="J849" i="1"/>
  <c r="L848" i="1" a="1"/>
  <c r="L848" i="1" s="1"/>
  <c r="K848" i="1"/>
  <c r="J848" i="1"/>
  <c r="L847" i="1" a="1"/>
  <c r="L847" i="1" s="1"/>
  <c r="K847" i="1"/>
  <c r="J847" i="1"/>
  <c r="L846" i="1" a="1"/>
  <c r="L846" i="1" s="1"/>
  <c r="K846" i="1"/>
  <c r="J846" i="1"/>
  <c r="L845" i="1" a="1"/>
  <c r="L845" i="1" s="1"/>
  <c r="K845" i="1"/>
  <c r="J845" i="1"/>
  <c r="L844" i="1" a="1"/>
  <c r="L844" i="1" s="1"/>
  <c r="K844" i="1"/>
  <c r="J844" i="1"/>
  <c r="L843" i="1" a="1"/>
  <c r="L843" i="1" s="1"/>
  <c r="K843" i="1"/>
  <c r="J843" i="1"/>
  <c r="L842" i="1" a="1"/>
  <c r="L842" i="1" s="1"/>
  <c r="K842" i="1"/>
  <c r="J842" i="1"/>
  <c r="L841" i="1" a="1"/>
  <c r="L841" i="1" s="1"/>
  <c r="K841" i="1"/>
  <c r="J841" i="1"/>
  <c r="L840" i="1" a="1"/>
  <c r="L840" i="1" s="1"/>
  <c r="K840" i="1"/>
  <c r="J840" i="1"/>
  <c r="L839" i="1" a="1"/>
  <c r="L839" i="1" s="1"/>
  <c r="K839" i="1"/>
  <c r="J839" i="1"/>
  <c r="L838" i="1" a="1"/>
  <c r="L838" i="1" s="1"/>
  <c r="K838" i="1"/>
  <c r="J838" i="1"/>
  <c r="L837" i="1" a="1"/>
  <c r="L837" i="1" s="1"/>
  <c r="K837" i="1"/>
  <c r="J837" i="1"/>
  <c r="L836" i="1" a="1"/>
  <c r="L836" i="1" s="1"/>
  <c r="K836" i="1"/>
  <c r="J836" i="1"/>
  <c r="L835" i="1" a="1"/>
  <c r="L835" i="1" s="1"/>
  <c r="K835" i="1"/>
  <c r="J835" i="1"/>
  <c r="L834" i="1" a="1"/>
  <c r="L834" i="1" s="1"/>
  <c r="K834" i="1"/>
  <c r="J834" i="1"/>
  <c r="L833" i="1" a="1"/>
  <c r="L833" i="1" s="1"/>
  <c r="K833" i="1"/>
  <c r="J833" i="1"/>
  <c r="L832" i="1" a="1"/>
  <c r="L832" i="1" s="1"/>
  <c r="K832" i="1"/>
  <c r="J832" i="1"/>
  <c r="L831" i="1" a="1"/>
  <c r="L831" i="1" s="1"/>
  <c r="K831" i="1"/>
  <c r="J831" i="1"/>
  <c r="L830" i="1" a="1"/>
  <c r="L830" i="1" s="1"/>
  <c r="K830" i="1"/>
  <c r="J830" i="1"/>
  <c r="L829" i="1" a="1"/>
  <c r="L829" i="1" s="1"/>
  <c r="K829" i="1"/>
  <c r="J829" i="1"/>
  <c r="L828" i="1" a="1"/>
  <c r="L828" i="1" s="1"/>
  <c r="K828" i="1"/>
  <c r="J828" i="1"/>
  <c r="L827" i="1" a="1"/>
  <c r="L827" i="1" s="1"/>
  <c r="K827" i="1"/>
  <c r="J827" i="1"/>
  <c r="L826" i="1" a="1"/>
  <c r="L826" i="1" s="1"/>
  <c r="K826" i="1"/>
  <c r="J826" i="1"/>
  <c r="L825" i="1" a="1"/>
  <c r="L825" i="1" s="1"/>
  <c r="K825" i="1"/>
  <c r="J825" i="1"/>
  <c r="L824" i="1" a="1"/>
  <c r="L824" i="1" s="1"/>
  <c r="K824" i="1"/>
  <c r="J824" i="1"/>
  <c r="L823" i="1" a="1"/>
  <c r="L823" i="1" s="1"/>
  <c r="K823" i="1"/>
  <c r="J823" i="1"/>
  <c r="L822" i="1" a="1"/>
  <c r="L822" i="1" s="1"/>
  <c r="K822" i="1"/>
  <c r="J822" i="1"/>
  <c r="L821" i="1" a="1"/>
  <c r="L821" i="1" s="1"/>
  <c r="K821" i="1"/>
  <c r="J821" i="1"/>
  <c r="L820" i="1" a="1"/>
  <c r="L820" i="1" s="1"/>
  <c r="K820" i="1"/>
  <c r="J820" i="1"/>
  <c r="L819" i="1" a="1"/>
  <c r="L819" i="1" s="1"/>
  <c r="K819" i="1"/>
  <c r="J819" i="1"/>
  <c r="L818" i="1" a="1"/>
  <c r="L818" i="1" s="1"/>
  <c r="K818" i="1"/>
  <c r="J818" i="1"/>
  <c r="L817" i="1" a="1"/>
  <c r="L817" i="1" s="1"/>
  <c r="K817" i="1"/>
  <c r="J817" i="1"/>
  <c r="L816" i="1" a="1"/>
  <c r="L816" i="1" s="1"/>
  <c r="K816" i="1"/>
  <c r="J816" i="1"/>
  <c r="L815" i="1" a="1"/>
  <c r="L815" i="1" s="1"/>
  <c r="K815" i="1"/>
  <c r="J815" i="1"/>
  <c r="L814" i="1" a="1"/>
  <c r="L814" i="1" s="1"/>
  <c r="K814" i="1"/>
  <c r="J814" i="1"/>
  <c r="L813" i="1" a="1"/>
  <c r="L813" i="1" s="1"/>
  <c r="K813" i="1"/>
  <c r="J813" i="1"/>
  <c r="L812" i="1" a="1"/>
  <c r="L812" i="1" s="1"/>
  <c r="K812" i="1"/>
  <c r="J812" i="1"/>
  <c r="L811" i="1" a="1"/>
  <c r="L811" i="1" s="1"/>
  <c r="K811" i="1"/>
  <c r="J811" i="1"/>
  <c r="L810" i="1" a="1"/>
  <c r="L810" i="1" s="1"/>
  <c r="K810" i="1"/>
  <c r="J810" i="1"/>
  <c r="L809" i="1" a="1"/>
  <c r="L809" i="1" s="1"/>
  <c r="K809" i="1"/>
  <c r="J809" i="1"/>
  <c r="L808" i="1" a="1"/>
  <c r="L808" i="1" s="1"/>
  <c r="K808" i="1"/>
  <c r="J808" i="1"/>
  <c r="L807" i="1" a="1"/>
  <c r="L807" i="1" s="1"/>
  <c r="K807" i="1"/>
  <c r="J807" i="1"/>
  <c r="L806" i="1" a="1"/>
  <c r="L806" i="1" s="1"/>
  <c r="K806" i="1"/>
  <c r="J806" i="1"/>
  <c r="L805" i="1" a="1"/>
  <c r="L805" i="1" s="1"/>
  <c r="K805" i="1"/>
  <c r="J805" i="1"/>
  <c r="L804" i="1" a="1"/>
  <c r="L804" i="1" s="1"/>
  <c r="K804" i="1"/>
  <c r="J804" i="1"/>
  <c r="L803" i="1" a="1"/>
  <c r="L803" i="1" s="1"/>
  <c r="K803" i="1"/>
  <c r="J803" i="1"/>
  <c r="L802" i="1" a="1"/>
  <c r="L802" i="1" s="1"/>
  <c r="K802" i="1"/>
  <c r="J802" i="1"/>
  <c r="L801" i="1" a="1"/>
  <c r="L801" i="1" s="1"/>
  <c r="K801" i="1"/>
  <c r="J801" i="1"/>
  <c r="L800" i="1" a="1"/>
  <c r="L800" i="1" s="1"/>
  <c r="K800" i="1"/>
  <c r="J800" i="1"/>
  <c r="L799" i="1" a="1"/>
  <c r="L799" i="1" s="1"/>
  <c r="K799" i="1"/>
  <c r="J799" i="1"/>
  <c r="L798" i="1" a="1"/>
  <c r="L798" i="1" s="1"/>
  <c r="K798" i="1"/>
  <c r="J798" i="1"/>
  <c r="L797" i="1" a="1"/>
  <c r="L797" i="1" s="1"/>
  <c r="K797" i="1"/>
  <c r="J797" i="1"/>
  <c r="L796" i="1" a="1"/>
  <c r="L796" i="1" s="1"/>
  <c r="K796" i="1"/>
  <c r="J796" i="1"/>
  <c r="L795" i="1" a="1"/>
  <c r="L795" i="1" s="1"/>
  <c r="K795" i="1"/>
  <c r="J795" i="1"/>
  <c r="L794" i="1" a="1"/>
  <c r="L794" i="1" s="1"/>
  <c r="K794" i="1"/>
  <c r="J794" i="1"/>
  <c r="L793" i="1" a="1"/>
  <c r="L793" i="1" s="1"/>
  <c r="K793" i="1"/>
  <c r="J793" i="1"/>
  <c r="L792" i="1" a="1"/>
  <c r="L792" i="1" s="1"/>
  <c r="K792" i="1"/>
  <c r="J792" i="1"/>
  <c r="L791" i="1" a="1"/>
  <c r="L791" i="1" s="1"/>
  <c r="K791" i="1"/>
  <c r="J791" i="1"/>
  <c r="L790" i="1" a="1"/>
  <c r="L790" i="1" s="1"/>
  <c r="K790" i="1"/>
  <c r="J790" i="1"/>
  <c r="L789" i="1" a="1"/>
  <c r="L789" i="1" s="1"/>
  <c r="K789" i="1"/>
  <c r="J789" i="1"/>
  <c r="L788" i="1" a="1"/>
  <c r="L788" i="1" s="1"/>
  <c r="K788" i="1"/>
  <c r="J788" i="1"/>
  <c r="L787" i="1" a="1"/>
  <c r="L787" i="1" s="1"/>
  <c r="K787" i="1"/>
  <c r="J787" i="1"/>
  <c r="L786" i="1" a="1"/>
  <c r="L786" i="1" s="1"/>
  <c r="K786" i="1"/>
  <c r="J786" i="1"/>
  <c r="L785" i="1" a="1"/>
  <c r="L785" i="1" s="1"/>
  <c r="K785" i="1"/>
  <c r="J785" i="1"/>
  <c r="L784" i="1" a="1"/>
  <c r="L784" i="1" s="1"/>
  <c r="K784" i="1"/>
  <c r="J784" i="1"/>
  <c r="L783" i="1" a="1"/>
  <c r="L783" i="1" s="1"/>
  <c r="K783" i="1"/>
  <c r="J783" i="1"/>
  <c r="L782" i="1" a="1"/>
  <c r="L782" i="1" s="1"/>
  <c r="K782" i="1"/>
  <c r="J782" i="1"/>
  <c r="L781" i="1" a="1"/>
  <c r="L781" i="1" s="1"/>
  <c r="K781" i="1"/>
  <c r="J781" i="1"/>
  <c r="L780" i="1" a="1"/>
  <c r="L780" i="1" s="1"/>
  <c r="K780" i="1"/>
  <c r="J780" i="1"/>
  <c r="L779" i="1" a="1"/>
  <c r="L779" i="1" s="1"/>
  <c r="K779" i="1"/>
  <c r="J779" i="1"/>
  <c r="L778" i="1" a="1"/>
  <c r="L778" i="1" s="1"/>
  <c r="K778" i="1"/>
  <c r="J778" i="1"/>
  <c r="L777" i="1" a="1"/>
  <c r="L777" i="1" s="1"/>
  <c r="K777" i="1"/>
  <c r="J777" i="1"/>
  <c r="L776" i="1" a="1"/>
  <c r="L776" i="1" s="1"/>
  <c r="K776" i="1"/>
  <c r="J776" i="1"/>
  <c r="L775" i="1" a="1"/>
  <c r="L775" i="1" s="1"/>
  <c r="K775" i="1"/>
  <c r="J775" i="1"/>
  <c r="L774" i="1" a="1"/>
  <c r="L774" i="1" s="1"/>
  <c r="K774" i="1"/>
  <c r="J774" i="1"/>
  <c r="L773" i="1" a="1"/>
  <c r="L773" i="1" s="1"/>
  <c r="K773" i="1"/>
  <c r="J773" i="1"/>
  <c r="L772" i="1" a="1"/>
  <c r="L772" i="1" s="1"/>
  <c r="K772" i="1"/>
  <c r="J772" i="1"/>
  <c r="L771" i="1" a="1"/>
  <c r="L771" i="1" s="1"/>
  <c r="K771" i="1"/>
  <c r="J771" i="1"/>
  <c r="L770" i="1" a="1"/>
  <c r="L770" i="1" s="1"/>
  <c r="K770" i="1"/>
  <c r="J770" i="1"/>
  <c r="L769" i="1" a="1"/>
  <c r="L769" i="1" s="1"/>
  <c r="K769" i="1"/>
  <c r="J769" i="1"/>
  <c r="L768" i="1" a="1"/>
  <c r="L768" i="1" s="1"/>
  <c r="K768" i="1"/>
  <c r="J768" i="1"/>
  <c r="L767" i="1" a="1"/>
  <c r="L767" i="1" s="1"/>
  <c r="K767" i="1"/>
  <c r="J767" i="1"/>
  <c r="L766" i="1" a="1"/>
  <c r="L766" i="1" s="1"/>
  <c r="K766" i="1"/>
  <c r="J766" i="1"/>
  <c r="L765" i="1" a="1"/>
  <c r="L765" i="1" s="1"/>
  <c r="K765" i="1"/>
  <c r="J765" i="1"/>
  <c r="L764" i="1" a="1"/>
  <c r="L764" i="1" s="1"/>
  <c r="K764" i="1"/>
  <c r="J764" i="1"/>
  <c r="L763" i="1" a="1"/>
  <c r="L763" i="1" s="1"/>
  <c r="K763" i="1"/>
  <c r="J763" i="1"/>
  <c r="L762" i="1" a="1"/>
  <c r="L762" i="1" s="1"/>
  <c r="K762" i="1"/>
  <c r="J762" i="1"/>
  <c r="L761" i="1" a="1"/>
  <c r="L761" i="1" s="1"/>
  <c r="K761" i="1"/>
  <c r="J761" i="1"/>
  <c r="L760" i="1" a="1"/>
  <c r="L760" i="1" s="1"/>
  <c r="K760" i="1"/>
  <c r="J760" i="1"/>
  <c r="L759" i="1" a="1"/>
  <c r="L759" i="1" s="1"/>
  <c r="K759" i="1"/>
  <c r="J759" i="1"/>
  <c r="L758" i="1" a="1"/>
  <c r="L758" i="1" s="1"/>
  <c r="K758" i="1"/>
  <c r="J758" i="1"/>
  <c r="L757" i="1" a="1"/>
  <c r="L757" i="1" s="1"/>
  <c r="K757" i="1"/>
  <c r="J757" i="1"/>
  <c r="L756" i="1" a="1"/>
  <c r="L756" i="1" s="1"/>
  <c r="K756" i="1"/>
  <c r="J756" i="1"/>
  <c r="L755" i="1" a="1"/>
  <c r="L755" i="1" s="1"/>
  <c r="K755" i="1"/>
  <c r="J755" i="1"/>
  <c r="L754" i="1" a="1"/>
  <c r="L754" i="1" s="1"/>
  <c r="K754" i="1"/>
  <c r="J754" i="1"/>
  <c r="L753" i="1" a="1"/>
  <c r="L753" i="1" s="1"/>
  <c r="K753" i="1"/>
  <c r="J753" i="1"/>
  <c r="L752" i="1" a="1"/>
  <c r="L752" i="1" s="1"/>
  <c r="K752" i="1"/>
  <c r="J752" i="1"/>
  <c r="L751" i="1" a="1"/>
  <c r="L751" i="1" s="1"/>
  <c r="K751" i="1"/>
  <c r="J751" i="1"/>
  <c r="L750" i="1" a="1"/>
  <c r="L750" i="1" s="1"/>
  <c r="K750" i="1"/>
  <c r="J750" i="1"/>
  <c r="L749" i="1" a="1"/>
  <c r="L749" i="1" s="1"/>
  <c r="K749" i="1"/>
  <c r="J749" i="1"/>
  <c r="L748" i="1" a="1"/>
  <c r="L748" i="1" s="1"/>
  <c r="K748" i="1"/>
  <c r="J748" i="1"/>
  <c r="L747" i="1" a="1"/>
  <c r="L747" i="1" s="1"/>
  <c r="K747" i="1"/>
  <c r="J747" i="1"/>
  <c r="L746" i="1" a="1"/>
  <c r="L746" i="1" s="1"/>
  <c r="K746" i="1"/>
  <c r="J746" i="1"/>
  <c r="L745" i="1" a="1"/>
  <c r="L745" i="1" s="1"/>
  <c r="K745" i="1"/>
  <c r="J745" i="1"/>
  <c r="L744" i="1" a="1"/>
  <c r="L744" i="1" s="1"/>
  <c r="K744" i="1"/>
  <c r="J744" i="1"/>
  <c r="L743" i="1" a="1"/>
  <c r="L743" i="1" s="1"/>
  <c r="K743" i="1"/>
  <c r="J743" i="1"/>
  <c r="L742" i="1" a="1"/>
  <c r="L742" i="1" s="1"/>
  <c r="K742" i="1"/>
  <c r="J742" i="1"/>
  <c r="L741" i="1" a="1"/>
  <c r="L741" i="1" s="1"/>
  <c r="K741" i="1"/>
  <c r="J741" i="1"/>
  <c r="L740" i="1" a="1"/>
  <c r="L740" i="1" s="1"/>
  <c r="K740" i="1"/>
  <c r="J740" i="1"/>
  <c r="L739" i="1" a="1"/>
  <c r="L739" i="1" s="1"/>
  <c r="K739" i="1"/>
  <c r="J739" i="1"/>
  <c r="L738" i="1" a="1"/>
  <c r="L738" i="1" s="1"/>
  <c r="K738" i="1"/>
  <c r="J738" i="1"/>
  <c r="L737" i="1" a="1"/>
  <c r="L737" i="1" s="1"/>
  <c r="K737" i="1"/>
  <c r="J737" i="1"/>
  <c r="L736" i="1" a="1"/>
  <c r="L736" i="1" s="1"/>
  <c r="K736" i="1"/>
  <c r="J736" i="1"/>
  <c r="L735" i="1" a="1"/>
  <c r="L735" i="1" s="1"/>
  <c r="K735" i="1"/>
  <c r="J735" i="1"/>
  <c r="L734" i="1" a="1"/>
  <c r="L734" i="1" s="1"/>
  <c r="K734" i="1"/>
  <c r="J734" i="1"/>
  <c r="L733" i="1" a="1"/>
  <c r="L733" i="1" s="1"/>
  <c r="K733" i="1"/>
  <c r="J733" i="1"/>
  <c r="L732" i="1" a="1"/>
  <c r="L732" i="1" s="1"/>
  <c r="K732" i="1"/>
  <c r="J732" i="1"/>
  <c r="L731" i="1" a="1"/>
  <c r="L731" i="1" s="1"/>
  <c r="K731" i="1"/>
  <c r="J731" i="1"/>
  <c r="L730" i="1" a="1"/>
  <c r="L730" i="1" s="1"/>
  <c r="K730" i="1"/>
  <c r="J730" i="1"/>
  <c r="L729" i="1" a="1"/>
  <c r="L729" i="1" s="1"/>
  <c r="K729" i="1"/>
  <c r="J729" i="1"/>
  <c r="L728" i="1" a="1"/>
  <c r="L728" i="1" s="1"/>
  <c r="K728" i="1"/>
  <c r="J728" i="1"/>
  <c r="L727" i="1" a="1"/>
  <c r="L727" i="1" s="1"/>
  <c r="K727" i="1"/>
  <c r="J727" i="1"/>
  <c r="L726" i="1" a="1"/>
  <c r="L726" i="1" s="1"/>
  <c r="K726" i="1"/>
  <c r="J726" i="1"/>
  <c r="L725" i="1" a="1"/>
  <c r="L725" i="1" s="1"/>
  <c r="K725" i="1"/>
  <c r="J725" i="1"/>
  <c r="L724" i="1" a="1"/>
  <c r="L724" i="1" s="1"/>
  <c r="K724" i="1"/>
  <c r="J724" i="1"/>
  <c r="L723" i="1" a="1"/>
  <c r="L723" i="1" s="1"/>
  <c r="K723" i="1"/>
  <c r="J723" i="1"/>
  <c r="L722" i="1" a="1"/>
  <c r="L722" i="1" s="1"/>
  <c r="K722" i="1"/>
  <c r="J722" i="1"/>
  <c r="L721" i="1" a="1"/>
  <c r="L721" i="1" s="1"/>
  <c r="K721" i="1"/>
  <c r="J721" i="1"/>
  <c r="L720" i="1" a="1"/>
  <c r="L720" i="1" s="1"/>
  <c r="K720" i="1"/>
  <c r="J720" i="1"/>
  <c r="L719" i="1" a="1"/>
  <c r="L719" i="1" s="1"/>
  <c r="K719" i="1"/>
  <c r="J719" i="1"/>
  <c r="L718" i="1" a="1"/>
  <c r="L718" i="1" s="1"/>
  <c r="K718" i="1"/>
  <c r="J718" i="1"/>
  <c r="L717" i="1" a="1"/>
  <c r="L717" i="1" s="1"/>
  <c r="K717" i="1"/>
  <c r="J717" i="1"/>
  <c r="L716" i="1" a="1"/>
  <c r="L716" i="1" s="1"/>
  <c r="K716" i="1"/>
  <c r="J716" i="1"/>
  <c r="L715" i="1" a="1"/>
  <c r="L715" i="1" s="1"/>
  <c r="K715" i="1"/>
  <c r="J715" i="1"/>
  <c r="L714" i="1" a="1"/>
  <c r="L714" i="1" s="1"/>
  <c r="K714" i="1"/>
  <c r="J714" i="1"/>
  <c r="L713" i="1" a="1"/>
  <c r="L713" i="1" s="1"/>
  <c r="K713" i="1"/>
  <c r="J713" i="1"/>
  <c r="L712" i="1" a="1"/>
  <c r="L712" i="1" s="1"/>
  <c r="K712" i="1"/>
  <c r="J712" i="1"/>
  <c r="L711" i="1" a="1"/>
  <c r="L711" i="1" s="1"/>
  <c r="K711" i="1"/>
  <c r="J711" i="1"/>
  <c r="L710" i="1" a="1"/>
  <c r="L710" i="1" s="1"/>
  <c r="K710" i="1"/>
  <c r="J710" i="1"/>
  <c r="L709" i="1" a="1"/>
  <c r="L709" i="1" s="1"/>
  <c r="K709" i="1"/>
  <c r="J709" i="1"/>
  <c r="L708" i="1" a="1"/>
  <c r="L708" i="1" s="1"/>
  <c r="K708" i="1"/>
  <c r="J708" i="1"/>
  <c r="L707" i="1" a="1"/>
  <c r="L707" i="1" s="1"/>
  <c r="K707" i="1"/>
  <c r="J707" i="1"/>
  <c r="L706" i="1" a="1"/>
  <c r="L706" i="1" s="1"/>
  <c r="K706" i="1"/>
  <c r="J706" i="1"/>
  <c r="L705" i="1" a="1"/>
  <c r="L705" i="1" s="1"/>
  <c r="K705" i="1"/>
  <c r="J705" i="1"/>
  <c r="L704" i="1" a="1"/>
  <c r="L704" i="1" s="1"/>
  <c r="K704" i="1"/>
  <c r="J704" i="1"/>
  <c r="L703" i="1" a="1"/>
  <c r="L703" i="1" s="1"/>
  <c r="K703" i="1"/>
  <c r="J703" i="1"/>
  <c r="L702" i="1" a="1"/>
  <c r="L702" i="1" s="1"/>
  <c r="K702" i="1"/>
  <c r="J702" i="1"/>
  <c r="L701" i="1" a="1"/>
  <c r="L701" i="1" s="1"/>
  <c r="K701" i="1"/>
  <c r="J701" i="1"/>
  <c r="L700" i="1" a="1"/>
  <c r="L700" i="1" s="1"/>
  <c r="K700" i="1"/>
  <c r="J700" i="1"/>
  <c r="L699" i="1" a="1"/>
  <c r="L699" i="1" s="1"/>
  <c r="K699" i="1"/>
  <c r="J699" i="1"/>
  <c r="L698" i="1" a="1"/>
  <c r="L698" i="1" s="1"/>
  <c r="K698" i="1"/>
  <c r="J698" i="1"/>
  <c r="L697" i="1" a="1"/>
  <c r="L697" i="1" s="1"/>
  <c r="K697" i="1"/>
  <c r="J697" i="1"/>
  <c r="L696" i="1" a="1"/>
  <c r="L696" i="1" s="1"/>
  <c r="K696" i="1"/>
  <c r="J696" i="1"/>
  <c r="L695" i="1" a="1"/>
  <c r="L695" i="1" s="1"/>
  <c r="K695" i="1"/>
  <c r="J695" i="1"/>
  <c r="L694" i="1" a="1"/>
  <c r="L694" i="1" s="1"/>
  <c r="K694" i="1"/>
  <c r="J694" i="1"/>
  <c r="L693" i="1" a="1"/>
  <c r="L693" i="1" s="1"/>
  <c r="K693" i="1"/>
  <c r="J693" i="1"/>
  <c r="L692" i="1" a="1"/>
  <c r="L692" i="1" s="1"/>
  <c r="K692" i="1"/>
  <c r="J692" i="1"/>
  <c r="L691" i="1" a="1"/>
  <c r="L691" i="1" s="1"/>
  <c r="K691" i="1"/>
  <c r="J691" i="1"/>
  <c r="L690" i="1" a="1"/>
  <c r="L690" i="1" s="1"/>
  <c r="K690" i="1"/>
  <c r="J690" i="1"/>
  <c r="L689" i="1" a="1"/>
  <c r="L689" i="1" s="1"/>
  <c r="K689" i="1"/>
  <c r="J689" i="1"/>
  <c r="L688" i="1" a="1"/>
  <c r="L688" i="1" s="1"/>
  <c r="K688" i="1"/>
  <c r="J688" i="1"/>
  <c r="L687" i="1" a="1"/>
  <c r="L687" i="1" s="1"/>
  <c r="K687" i="1"/>
  <c r="J687" i="1"/>
  <c r="L686" i="1" a="1"/>
  <c r="L686" i="1" s="1"/>
  <c r="K686" i="1"/>
  <c r="J686" i="1"/>
  <c r="L685" i="1" a="1"/>
  <c r="L685" i="1" s="1"/>
  <c r="K685" i="1"/>
  <c r="J685" i="1"/>
  <c r="L684" i="1" a="1"/>
  <c r="L684" i="1" s="1"/>
  <c r="K684" i="1"/>
  <c r="J684" i="1"/>
  <c r="L683" i="1" a="1"/>
  <c r="L683" i="1" s="1"/>
  <c r="K683" i="1"/>
  <c r="J683" i="1"/>
  <c r="L682" i="1" a="1"/>
  <c r="L682" i="1" s="1"/>
  <c r="K682" i="1"/>
  <c r="J682" i="1"/>
  <c r="L681" i="1" a="1"/>
  <c r="L681" i="1" s="1"/>
  <c r="K681" i="1"/>
  <c r="J681" i="1"/>
  <c r="L680" i="1" a="1"/>
  <c r="L680" i="1" s="1"/>
  <c r="K680" i="1"/>
  <c r="J680" i="1"/>
  <c r="L679" i="1" a="1"/>
  <c r="L679" i="1" s="1"/>
  <c r="K679" i="1"/>
  <c r="J679" i="1"/>
  <c r="L678" i="1" a="1"/>
  <c r="L678" i="1" s="1"/>
  <c r="K678" i="1"/>
  <c r="J678" i="1"/>
  <c r="L677" i="1" a="1"/>
  <c r="L677" i="1" s="1"/>
  <c r="K677" i="1"/>
  <c r="J677" i="1"/>
  <c r="L676" i="1" a="1"/>
  <c r="L676" i="1" s="1"/>
  <c r="K676" i="1"/>
  <c r="J676" i="1"/>
  <c r="L675" i="1" a="1"/>
  <c r="L675" i="1" s="1"/>
  <c r="K675" i="1"/>
  <c r="J675" i="1"/>
  <c r="L674" i="1" a="1"/>
  <c r="L674" i="1" s="1"/>
  <c r="K674" i="1"/>
  <c r="J674" i="1"/>
  <c r="L673" i="1" a="1"/>
  <c r="L673" i="1" s="1"/>
  <c r="K673" i="1"/>
  <c r="J673" i="1"/>
  <c r="L672" i="1" a="1"/>
  <c r="L672" i="1" s="1"/>
  <c r="K672" i="1"/>
  <c r="J672" i="1"/>
  <c r="L671" i="1" a="1"/>
  <c r="L671" i="1" s="1"/>
  <c r="K671" i="1"/>
  <c r="J671" i="1"/>
  <c r="L670" i="1" a="1"/>
  <c r="L670" i="1" s="1"/>
  <c r="K670" i="1"/>
  <c r="J670" i="1"/>
  <c r="L669" i="1" a="1"/>
  <c r="L669" i="1" s="1"/>
  <c r="K669" i="1"/>
  <c r="J669" i="1"/>
  <c r="L668" i="1" a="1"/>
  <c r="L668" i="1" s="1"/>
  <c r="K668" i="1"/>
  <c r="J668" i="1"/>
  <c r="L667" i="1" a="1"/>
  <c r="L667" i="1" s="1"/>
  <c r="K667" i="1"/>
  <c r="J667" i="1"/>
  <c r="L666" i="1" a="1"/>
  <c r="L666" i="1" s="1"/>
  <c r="K666" i="1"/>
  <c r="J666" i="1"/>
  <c r="L665" i="1" a="1"/>
  <c r="L665" i="1" s="1"/>
  <c r="K665" i="1"/>
  <c r="J665" i="1"/>
  <c r="L664" i="1" a="1"/>
  <c r="L664" i="1" s="1"/>
  <c r="K664" i="1"/>
  <c r="J664" i="1"/>
  <c r="L663" i="1" a="1"/>
  <c r="L663" i="1" s="1"/>
  <c r="K663" i="1"/>
  <c r="J663" i="1"/>
  <c r="L662" i="1" a="1"/>
  <c r="L662" i="1" s="1"/>
  <c r="K662" i="1"/>
  <c r="J662" i="1"/>
  <c r="L661" i="1" a="1"/>
  <c r="L661" i="1" s="1"/>
  <c r="K661" i="1"/>
  <c r="J661" i="1"/>
  <c r="L660" i="1" a="1"/>
  <c r="L660" i="1" s="1"/>
  <c r="K660" i="1"/>
  <c r="J660" i="1"/>
  <c r="L659" i="1" a="1"/>
  <c r="L659" i="1" s="1"/>
  <c r="K659" i="1"/>
  <c r="J659" i="1"/>
  <c r="L658" i="1" a="1"/>
  <c r="L658" i="1" s="1"/>
  <c r="K658" i="1"/>
  <c r="J658" i="1"/>
  <c r="L657" i="1" a="1"/>
  <c r="L657" i="1" s="1"/>
  <c r="K657" i="1"/>
  <c r="J657" i="1"/>
  <c r="L656" i="1" a="1"/>
  <c r="L656" i="1" s="1"/>
  <c r="K656" i="1"/>
  <c r="J656" i="1"/>
  <c r="L655" i="1" a="1"/>
  <c r="L655" i="1" s="1"/>
  <c r="K655" i="1"/>
  <c r="J655" i="1"/>
  <c r="L654" i="1" a="1"/>
  <c r="L654" i="1" s="1"/>
  <c r="K654" i="1"/>
  <c r="J654" i="1"/>
  <c r="L653" i="1" a="1"/>
  <c r="L653" i="1" s="1"/>
  <c r="K653" i="1"/>
  <c r="J653" i="1"/>
  <c r="L652" i="1" a="1"/>
  <c r="L652" i="1" s="1"/>
  <c r="K652" i="1"/>
  <c r="J652" i="1"/>
  <c r="L651" i="1" a="1"/>
  <c r="L651" i="1" s="1"/>
  <c r="K651" i="1"/>
  <c r="J651" i="1"/>
  <c r="L650" i="1" a="1"/>
  <c r="L650" i="1" s="1"/>
  <c r="K650" i="1"/>
  <c r="J650" i="1"/>
  <c r="L649" i="1" a="1"/>
  <c r="L649" i="1" s="1"/>
  <c r="K649" i="1"/>
  <c r="J649" i="1"/>
  <c r="L648" i="1" a="1"/>
  <c r="L648" i="1" s="1"/>
  <c r="K648" i="1"/>
  <c r="J648" i="1"/>
  <c r="L647" i="1" a="1"/>
  <c r="L647" i="1" s="1"/>
  <c r="K647" i="1"/>
  <c r="J647" i="1"/>
  <c r="L646" i="1" a="1"/>
  <c r="L646" i="1" s="1"/>
  <c r="K646" i="1"/>
  <c r="J646" i="1"/>
  <c r="L645" i="1" a="1"/>
  <c r="L645" i="1" s="1"/>
  <c r="K645" i="1"/>
  <c r="J645" i="1"/>
  <c r="L644" i="1" a="1"/>
  <c r="L644" i="1" s="1"/>
  <c r="K644" i="1"/>
  <c r="J644" i="1"/>
  <c r="L643" i="1" a="1"/>
  <c r="L643" i="1" s="1"/>
  <c r="K643" i="1"/>
  <c r="J643" i="1"/>
  <c r="L642" i="1" a="1"/>
  <c r="L642" i="1" s="1"/>
  <c r="K642" i="1"/>
  <c r="J642" i="1"/>
  <c r="L641" i="1" a="1"/>
  <c r="L641" i="1" s="1"/>
  <c r="K641" i="1"/>
  <c r="J641" i="1"/>
  <c r="L640" i="1" a="1"/>
  <c r="L640" i="1" s="1"/>
  <c r="K640" i="1"/>
  <c r="J640" i="1"/>
  <c r="L639" i="1" a="1"/>
  <c r="L639" i="1" s="1"/>
  <c r="K639" i="1"/>
  <c r="J639" i="1"/>
  <c r="L638" i="1" a="1"/>
  <c r="L638" i="1" s="1"/>
  <c r="K638" i="1"/>
  <c r="J638" i="1"/>
  <c r="L637" i="1" a="1"/>
  <c r="L637" i="1" s="1"/>
  <c r="K637" i="1"/>
  <c r="J637" i="1"/>
  <c r="L636" i="1" a="1"/>
  <c r="L636" i="1" s="1"/>
  <c r="K636" i="1"/>
  <c r="J636" i="1"/>
  <c r="L635" i="1" a="1"/>
  <c r="L635" i="1" s="1"/>
  <c r="K635" i="1"/>
  <c r="J635" i="1"/>
  <c r="L634" i="1" a="1"/>
  <c r="L634" i="1" s="1"/>
  <c r="K634" i="1"/>
  <c r="J634" i="1"/>
  <c r="L633" i="1" a="1"/>
  <c r="L633" i="1" s="1"/>
  <c r="K633" i="1"/>
  <c r="J633" i="1"/>
  <c r="L632" i="1" a="1"/>
  <c r="L632" i="1" s="1"/>
  <c r="K632" i="1"/>
  <c r="J632" i="1"/>
  <c r="L631" i="1" a="1"/>
  <c r="L631" i="1" s="1"/>
  <c r="K631" i="1"/>
  <c r="J631" i="1"/>
  <c r="L630" i="1" a="1"/>
  <c r="L630" i="1" s="1"/>
  <c r="K630" i="1"/>
  <c r="J630" i="1"/>
  <c r="L629" i="1" a="1"/>
  <c r="L629" i="1" s="1"/>
  <c r="K629" i="1"/>
  <c r="J629" i="1"/>
  <c r="L628" i="1" a="1"/>
  <c r="L628" i="1" s="1"/>
  <c r="K628" i="1"/>
  <c r="J628" i="1"/>
  <c r="L627" i="1" a="1"/>
  <c r="L627" i="1" s="1"/>
  <c r="K627" i="1"/>
  <c r="J627" i="1"/>
  <c r="L626" i="1" a="1"/>
  <c r="L626" i="1" s="1"/>
  <c r="K626" i="1"/>
  <c r="J626" i="1"/>
  <c r="L625" i="1" a="1"/>
  <c r="L625" i="1" s="1"/>
  <c r="K625" i="1"/>
  <c r="J625" i="1"/>
  <c r="L624" i="1" a="1"/>
  <c r="L624" i="1" s="1"/>
  <c r="K624" i="1"/>
  <c r="J624" i="1"/>
  <c r="L623" i="1" a="1"/>
  <c r="L623" i="1" s="1"/>
  <c r="K623" i="1"/>
  <c r="J623" i="1"/>
  <c r="L622" i="1" a="1"/>
  <c r="L622" i="1" s="1"/>
  <c r="K622" i="1"/>
  <c r="J622" i="1"/>
  <c r="L621" i="1" a="1"/>
  <c r="L621" i="1" s="1"/>
  <c r="K621" i="1"/>
  <c r="J621" i="1"/>
  <c r="L620" i="1" a="1"/>
  <c r="L620" i="1" s="1"/>
  <c r="K620" i="1"/>
  <c r="J620" i="1"/>
  <c r="L619" i="1" a="1"/>
  <c r="L619" i="1" s="1"/>
  <c r="K619" i="1"/>
  <c r="J619" i="1"/>
  <c r="L618" i="1" a="1"/>
  <c r="L618" i="1" s="1"/>
  <c r="K618" i="1"/>
  <c r="J618" i="1"/>
  <c r="L617" i="1" a="1"/>
  <c r="L617" i="1" s="1"/>
  <c r="K617" i="1"/>
  <c r="J617" i="1"/>
  <c r="L616" i="1" a="1"/>
  <c r="L616" i="1" s="1"/>
  <c r="K616" i="1"/>
  <c r="J616" i="1"/>
  <c r="L615" i="1" a="1"/>
  <c r="L615" i="1" s="1"/>
  <c r="K615" i="1"/>
  <c r="J615" i="1"/>
  <c r="L614" i="1" a="1"/>
  <c r="L614" i="1" s="1"/>
  <c r="K614" i="1"/>
  <c r="J614" i="1"/>
  <c r="L613" i="1" a="1"/>
  <c r="L613" i="1" s="1"/>
  <c r="K613" i="1"/>
  <c r="J613" i="1"/>
  <c r="L612" i="1" a="1"/>
  <c r="L612" i="1" s="1"/>
  <c r="K612" i="1"/>
  <c r="J612" i="1"/>
  <c r="L611" i="1" a="1"/>
  <c r="L611" i="1" s="1"/>
  <c r="K611" i="1"/>
  <c r="J611" i="1"/>
  <c r="L610" i="1" a="1"/>
  <c r="L610" i="1" s="1"/>
  <c r="K610" i="1"/>
  <c r="J610" i="1"/>
  <c r="L609" i="1" a="1"/>
  <c r="L609" i="1" s="1"/>
  <c r="K609" i="1"/>
  <c r="J609" i="1"/>
  <c r="L608" i="1" a="1"/>
  <c r="L608" i="1" s="1"/>
  <c r="K608" i="1"/>
  <c r="J608" i="1"/>
  <c r="L607" i="1" a="1"/>
  <c r="L607" i="1" s="1"/>
  <c r="K607" i="1"/>
  <c r="J607" i="1"/>
  <c r="L606" i="1" a="1"/>
  <c r="L606" i="1" s="1"/>
  <c r="K606" i="1"/>
  <c r="J606" i="1"/>
  <c r="L605" i="1" a="1"/>
  <c r="L605" i="1" s="1"/>
  <c r="K605" i="1"/>
  <c r="J605" i="1"/>
  <c r="L604" i="1" a="1"/>
  <c r="L604" i="1" s="1"/>
  <c r="K604" i="1"/>
  <c r="J604" i="1"/>
  <c r="L603" i="1" a="1"/>
  <c r="L603" i="1" s="1"/>
  <c r="K603" i="1"/>
  <c r="J603" i="1"/>
  <c r="L602" i="1" a="1"/>
  <c r="L602" i="1" s="1"/>
  <c r="K602" i="1"/>
  <c r="J602" i="1"/>
  <c r="L601" i="1" a="1"/>
  <c r="L601" i="1" s="1"/>
  <c r="K601" i="1"/>
  <c r="J601" i="1"/>
  <c r="L600" i="1" a="1"/>
  <c r="L600" i="1" s="1"/>
  <c r="K600" i="1"/>
  <c r="J600" i="1"/>
  <c r="L599" i="1" a="1"/>
  <c r="L599" i="1" s="1"/>
  <c r="K599" i="1"/>
  <c r="J599" i="1"/>
  <c r="L598" i="1" a="1"/>
  <c r="L598" i="1" s="1"/>
  <c r="K598" i="1"/>
  <c r="J598" i="1"/>
  <c r="L597" i="1" a="1"/>
  <c r="L597" i="1" s="1"/>
  <c r="K597" i="1"/>
  <c r="J597" i="1"/>
  <c r="L596" i="1" a="1"/>
  <c r="L596" i="1" s="1"/>
  <c r="K596" i="1"/>
  <c r="J596" i="1"/>
  <c r="L595" i="1" a="1"/>
  <c r="L595" i="1" s="1"/>
  <c r="K595" i="1"/>
  <c r="J595" i="1"/>
  <c r="L594" i="1" a="1"/>
  <c r="L594" i="1" s="1"/>
  <c r="K594" i="1"/>
  <c r="J594" i="1"/>
  <c r="L593" i="1" a="1"/>
  <c r="L593" i="1" s="1"/>
  <c r="K593" i="1"/>
  <c r="J593" i="1"/>
  <c r="L592" i="1" a="1"/>
  <c r="L592" i="1" s="1"/>
  <c r="K592" i="1"/>
  <c r="J592" i="1"/>
  <c r="L591" i="1" a="1"/>
  <c r="L591" i="1" s="1"/>
  <c r="K591" i="1"/>
  <c r="J591" i="1"/>
  <c r="L590" i="1" a="1"/>
  <c r="L590" i="1" s="1"/>
  <c r="K590" i="1"/>
  <c r="J590" i="1"/>
  <c r="L589" i="1" a="1"/>
  <c r="L589" i="1" s="1"/>
  <c r="K589" i="1"/>
  <c r="J589" i="1"/>
  <c r="L588" i="1" a="1"/>
  <c r="L588" i="1" s="1"/>
  <c r="K588" i="1"/>
  <c r="J588" i="1"/>
  <c r="L587" i="1" a="1"/>
  <c r="L587" i="1" s="1"/>
  <c r="K587" i="1"/>
  <c r="J587" i="1"/>
  <c r="L586" i="1" a="1"/>
  <c r="L586" i="1" s="1"/>
  <c r="K586" i="1"/>
  <c r="J586" i="1"/>
  <c r="L585" i="1" a="1"/>
  <c r="L585" i="1" s="1"/>
  <c r="K585" i="1"/>
  <c r="J585" i="1"/>
  <c r="L584" i="1" a="1"/>
  <c r="L584" i="1" s="1"/>
  <c r="K584" i="1"/>
  <c r="J584" i="1"/>
  <c r="L583" i="1" a="1"/>
  <c r="L583" i="1" s="1"/>
  <c r="K583" i="1"/>
  <c r="J583" i="1"/>
  <c r="L582" i="1" a="1"/>
  <c r="L582" i="1" s="1"/>
  <c r="K582" i="1"/>
  <c r="J582" i="1"/>
  <c r="L581" i="1" a="1"/>
  <c r="L581" i="1" s="1"/>
  <c r="K581" i="1"/>
  <c r="J581" i="1"/>
  <c r="L580" i="1" a="1"/>
  <c r="L580" i="1" s="1"/>
  <c r="K580" i="1"/>
  <c r="J580" i="1"/>
  <c r="L579" i="1" a="1"/>
  <c r="L579" i="1" s="1"/>
  <c r="K579" i="1"/>
  <c r="J579" i="1"/>
  <c r="L578" i="1" a="1"/>
  <c r="L578" i="1" s="1"/>
  <c r="K578" i="1"/>
  <c r="J578" i="1"/>
  <c r="L577" i="1" a="1"/>
  <c r="L577" i="1" s="1"/>
  <c r="K577" i="1"/>
  <c r="J577" i="1"/>
  <c r="L576" i="1" a="1"/>
  <c r="L576" i="1" s="1"/>
  <c r="K576" i="1"/>
  <c r="J576" i="1"/>
  <c r="L575" i="1" a="1"/>
  <c r="L575" i="1" s="1"/>
  <c r="K575" i="1"/>
  <c r="J575" i="1"/>
  <c r="L574" i="1" a="1"/>
  <c r="L574" i="1" s="1"/>
  <c r="K574" i="1"/>
  <c r="J574" i="1"/>
  <c r="L573" i="1" a="1"/>
  <c r="L573" i="1" s="1"/>
  <c r="K573" i="1"/>
  <c r="J573" i="1"/>
  <c r="L572" i="1" a="1"/>
  <c r="L572" i="1" s="1"/>
  <c r="K572" i="1"/>
  <c r="J572" i="1"/>
  <c r="L571" i="1" a="1"/>
  <c r="L571" i="1" s="1"/>
  <c r="K571" i="1"/>
  <c r="J571" i="1"/>
  <c r="L570" i="1" a="1"/>
  <c r="L570" i="1" s="1"/>
  <c r="K570" i="1"/>
  <c r="J570" i="1"/>
  <c r="L569" i="1" a="1"/>
  <c r="L569" i="1" s="1"/>
  <c r="K569" i="1"/>
  <c r="J569" i="1"/>
  <c r="L568" i="1" a="1"/>
  <c r="L568" i="1" s="1"/>
  <c r="K568" i="1"/>
  <c r="J568" i="1"/>
  <c r="L567" i="1" a="1"/>
  <c r="L567" i="1" s="1"/>
  <c r="K567" i="1"/>
  <c r="J567" i="1"/>
  <c r="L566" i="1" a="1"/>
  <c r="L566" i="1" s="1"/>
  <c r="K566" i="1"/>
  <c r="J566" i="1"/>
  <c r="L565" i="1" a="1"/>
  <c r="L565" i="1" s="1"/>
  <c r="K565" i="1"/>
  <c r="J565" i="1"/>
  <c r="L564" i="1" a="1"/>
  <c r="L564" i="1" s="1"/>
  <c r="K564" i="1"/>
  <c r="J564" i="1"/>
  <c r="L563" i="1" a="1"/>
  <c r="L563" i="1" s="1"/>
  <c r="K563" i="1"/>
  <c r="J563" i="1"/>
  <c r="L562" i="1" a="1"/>
  <c r="L562" i="1" s="1"/>
  <c r="K562" i="1"/>
  <c r="J562" i="1"/>
  <c r="L561" i="1" a="1"/>
  <c r="L561" i="1" s="1"/>
  <c r="K561" i="1"/>
  <c r="J561" i="1"/>
  <c r="L560" i="1" a="1"/>
  <c r="L560" i="1" s="1"/>
  <c r="K560" i="1"/>
  <c r="J560" i="1"/>
  <c r="L559" i="1" a="1"/>
  <c r="L559" i="1" s="1"/>
  <c r="K559" i="1"/>
  <c r="J559" i="1"/>
  <c r="L558" i="1" a="1"/>
  <c r="L558" i="1" s="1"/>
  <c r="K558" i="1"/>
  <c r="J558" i="1"/>
  <c r="L557" i="1" a="1"/>
  <c r="L557" i="1" s="1"/>
  <c r="K557" i="1"/>
  <c r="J557" i="1"/>
  <c r="L556" i="1" a="1"/>
  <c r="L556" i="1" s="1"/>
  <c r="K556" i="1"/>
  <c r="J556" i="1"/>
  <c r="L555" i="1" a="1"/>
  <c r="L555" i="1" s="1"/>
  <c r="K555" i="1"/>
  <c r="J555" i="1"/>
  <c r="L554" i="1" a="1"/>
  <c r="L554" i="1" s="1"/>
  <c r="K554" i="1"/>
  <c r="J554" i="1"/>
  <c r="L553" i="1" a="1"/>
  <c r="L553" i="1" s="1"/>
  <c r="K553" i="1"/>
  <c r="J553" i="1"/>
  <c r="L552" i="1" a="1"/>
  <c r="L552" i="1" s="1"/>
  <c r="K552" i="1"/>
  <c r="J552" i="1"/>
  <c r="L551" i="1" a="1"/>
  <c r="L551" i="1" s="1"/>
  <c r="K551" i="1"/>
  <c r="J551" i="1"/>
  <c r="L550" i="1" a="1"/>
  <c r="L550" i="1" s="1"/>
  <c r="K550" i="1"/>
  <c r="J550" i="1"/>
  <c r="L549" i="1" a="1"/>
  <c r="L549" i="1" s="1"/>
  <c r="K549" i="1"/>
  <c r="J549" i="1"/>
  <c r="L548" i="1" a="1"/>
  <c r="L548" i="1" s="1"/>
  <c r="K548" i="1"/>
  <c r="J548" i="1"/>
  <c r="L547" i="1" a="1"/>
  <c r="L547" i="1" s="1"/>
  <c r="K547" i="1"/>
  <c r="J547" i="1"/>
  <c r="L546" i="1" a="1"/>
  <c r="L546" i="1" s="1"/>
  <c r="K546" i="1"/>
  <c r="J546" i="1"/>
  <c r="L545" i="1" a="1"/>
  <c r="L545" i="1" s="1"/>
  <c r="K545" i="1"/>
  <c r="J545" i="1"/>
  <c r="L544" i="1" a="1"/>
  <c r="L544" i="1" s="1"/>
  <c r="K544" i="1"/>
  <c r="J544" i="1"/>
  <c r="L543" i="1" a="1"/>
  <c r="L543" i="1" s="1"/>
  <c r="K543" i="1"/>
  <c r="J543" i="1"/>
  <c r="L542" i="1" a="1"/>
  <c r="L542" i="1" s="1"/>
  <c r="K542" i="1"/>
  <c r="J542" i="1"/>
  <c r="L541" i="1" a="1"/>
  <c r="L541" i="1" s="1"/>
  <c r="K541" i="1"/>
  <c r="J541" i="1"/>
  <c r="L540" i="1" a="1"/>
  <c r="L540" i="1" s="1"/>
  <c r="K540" i="1"/>
  <c r="J540" i="1"/>
  <c r="L539" i="1" a="1"/>
  <c r="L539" i="1" s="1"/>
  <c r="K539" i="1"/>
  <c r="J539" i="1"/>
  <c r="L538" i="1" a="1"/>
  <c r="L538" i="1" s="1"/>
  <c r="K538" i="1"/>
  <c r="J538" i="1"/>
  <c r="L537" i="1" a="1"/>
  <c r="L537" i="1" s="1"/>
  <c r="K537" i="1"/>
  <c r="J537" i="1"/>
  <c r="L536" i="1" a="1"/>
  <c r="L536" i="1" s="1"/>
  <c r="K536" i="1"/>
  <c r="J536" i="1"/>
  <c r="L535" i="1" a="1"/>
  <c r="L535" i="1" s="1"/>
  <c r="K535" i="1"/>
  <c r="J535" i="1"/>
  <c r="L534" i="1" a="1"/>
  <c r="L534" i="1" s="1"/>
  <c r="K534" i="1"/>
  <c r="J534" i="1"/>
  <c r="L533" i="1" a="1"/>
  <c r="L533" i="1" s="1"/>
  <c r="K533" i="1"/>
  <c r="J533" i="1"/>
  <c r="L532" i="1" a="1"/>
  <c r="L532" i="1" s="1"/>
  <c r="K532" i="1"/>
  <c r="J532" i="1"/>
  <c r="L531" i="1" a="1"/>
  <c r="L531" i="1" s="1"/>
  <c r="K531" i="1"/>
  <c r="J531" i="1"/>
  <c r="L530" i="1" a="1"/>
  <c r="L530" i="1" s="1"/>
  <c r="K530" i="1"/>
  <c r="J530" i="1"/>
  <c r="L529" i="1" a="1"/>
  <c r="L529" i="1" s="1"/>
  <c r="K529" i="1"/>
  <c r="J529" i="1"/>
  <c r="L528" i="1" a="1"/>
  <c r="L528" i="1" s="1"/>
  <c r="K528" i="1"/>
  <c r="J528" i="1"/>
  <c r="L527" i="1" a="1"/>
  <c r="L527" i="1" s="1"/>
  <c r="K527" i="1"/>
  <c r="J527" i="1"/>
  <c r="L526" i="1" a="1"/>
  <c r="L526" i="1" s="1"/>
  <c r="K526" i="1"/>
  <c r="J526" i="1"/>
  <c r="L525" i="1" a="1"/>
  <c r="L525" i="1" s="1"/>
  <c r="K525" i="1"/>
  <c r="J525" i="1"/>
  <c r="L524" i="1" a="1"/>
  <c r="L524" i="1" s="1"/>
  <c r="K524" i="1"/>
  <c r="J524" i="1"/>
  <c r="L523" i="1" a="1"/>
  <c r="L523" i="1" s="1"/>
  <c r="K523" i="1"/>
  <c r="J523" i="1"/>
  <c r="L522" i="1" a="1"/>
  <c r="L522" i="1" s="1"/>
  <c r="K522" i="1"/>
  <c r="J522" i="1"/>
  <c r="L521" i="1" a="1"/>
  <c r="L521" i="1" s="1"/>
  <c r="K521" i="1"/>
  <c r="J521" i="1"/>
  <c r="L520" i="1" a="1"/>
  <c r="L520" i="1" s="1"/>
  <c r="K520" i="1"/>
  <c r="J520" i="1"/>
  <c r="L519" i="1" a="1"/>
  <c r="L519" i="1" s="1"/>
  <c r="K519" i="1"/>
  <c r="J519" i="1"/>
  <c r="L518" i="1" a="1"/>
  <c r="L518" i="1" s="1"/>
  <c r="K518" i="1"/>
  <c r="J518" i="1"/>
  <c r="L517" i="1" a="1"/>
  <c r="L517" i="1" s="1"/>
  <c r="K517" i="1"/>
  <c r="J517" i="1"/>
  <c r="L516" i="1" a="1"/>
  <c r="L516" i="1" s="1"/>
  <c r="K516" i="1"/>
  <c r="J516" i="1"/>
  <c r="L515" i="1" a="1"/>
  <c r="L515" i="1" s="1"/>
  <c r="K515" i="1"/>
  <c r="J515" i="1"/>
  <c r="L514" i="1" a="1"/>
  <c r="L514" i="1" s="1"/>
  <c r="K514" i="1"/>
  <c r="J514" i="1"/>
  <c r="L513" i="1" a="1"/>
  <c r="L513" i="1" s="1"/>
  <c r="K513" i="1"/>
  <c r="J513" i="1"/>
  <c r="L512" i="1" a="1"/>
  <c r="L512" i="1" s="1"/>
  <c r="K512" i="1"/>
  <c r="J512" i="1"/>
  <c r="L511" i="1" a="1"/>
  <c r="L511" i="1" s="1"/>
  <c r="K511" i="1"/>
  <c r="J511" i="1"/>
  <c r="L510" i="1" a="1"/>
  <c r="L510" i="1" s="1"/>
  <c r="K510" i="1"/>
  <c r="J510" i="1"/>
  <c r="L509" i="1" a="1"/>
  <c r="L509" i="1" s="1"/>
  <c r="K509" i="1"/>
  <c r="J509" i="1"/>
  <c r="L508" i="1" a="1"/>
  <c r="L508" i="1" s="1"/>
  <c r="K508" i="1"/>
  <c r="J508" i="1"/>
  <c r="L507" i="1" a="1"/>
  <c r="L507" i="1" s="1"/>
  <c r="K507" i="1"/>
  <c r="J507" i="1"/>
  <c r="L506" i="1" a="1"/>
  <c r="L506" i="1" s="1"/>
  <c r="K506" i="1"/>
  <c r="J506" i="1"/>
  <c r="L505" i="1" a="1"/>
  <c r="L505" i="1" s="1"/>
  <c r="K505" i="1"/>
  <c r="J505" i="1"/>
  <c r="L504" i="1" a="1"/>
  <c r="L504" i="1" s="1"/>
  <c r="K504" i="1"/>
  <c r="J504" i="1"/>
  <c r="L503" i="1" a="1"/>
  <c r="L503" i="1" s="1"/>
  <c r="K503" i="1"/>
  <c r="J503" i="1"/>
  <c r="L502" i="1" a="1"/>
  <c r="L502" i="1" s="1"/>
  <c r="K502" i="1"/>
  <c r="J502" i="1"/>
  <c r="L501" i="1" a="1"/>
  <c r="L501" i="1" s="1"/>
  <c r="K501" i="1"/>
  <c r="J501" i="1"/>
  <c r="L500" i="1" a="1"/>
  <c r="L500" i="1" s="1"/>
  <c r="K500" i="1"/>
  <c r="J500" i="1"/>
  <c r="L499" i="1" a="1"/>
  <c r="L499" i="1" s="1"/>
  <c r="K499" i="1"/>
  <c r="J499" i="1"/>
  <c r="L498" i="1" a="1"/>
  <c r="L498" i="1" s="1"/>
  <c r="K498" i="1"/>
  <c r="J498" i="1"/>
  <c r="L497" i="1" a="1"/>
  <c r="L497" i="1" s="1"/>
  <c r="K497" i="1"/>
  <c r="J497" i="1"/>
  <c r="L496" i="1" a="1"/>
  <c r="L496" i="1" s="1"/>
  <c r="K496" i="1"/>
  <c r="J496" i="1"/>
  <c r="L495" i="1" a="1"/>
  <c r="L495" i="1" s="1"/>
  <c r="K495" i="1"/>
  <c r="J495" i="1"/>
  <c r="L494" i="1" a="1"/>
  <c r="L494" i="1" s="1"/>
  <c r="K494" i="1"/>
  <c r="J494" i="1"/>
  <c r="L493" i="1" a="1"/>
  <c r="L493" i="1" s="1"/>
  <c r="K493" i="1"/>
  <c r="J493" i="1"/>
  <c r="L492" i="1" a="1"/>
  <c r="L492" i="1" s="1"/>
  <c r="K492" i="1"/>
  <c r="J492" i="1"/>
  <c r="L491" i="1" a="1"/>
  <c r="L491" i="1" s="1"/>
  <c r="K491" i="1"/>
  <c r="J491" i="1"/>
  <c r="L490" i="1" a="1"/>
  <c r="L490" i="1" s="1"/>
  <c r="K490" i="1"/>
  <c r="J490" i="1"/>
  <c r="L489" i="1" a="1"/>
  <c r="L489" i="1" s="1"/>
  <c r="K489" i="1"/>
  <c r="J489" i="1"/>
  <c r="L488" i="1" a="1"/>
  <c r="L488" i="1" s="1"/>
  <c r="K488" i="1"/>
  <c r="J488" i="1"/>
  <c r="L487" i="1" a="1"/>
  <c r="L487" i="1" s="1"/>
  <c r="K487" i="1"/>
  <c r="J487" i="1"/>
  <c r="L486" i="1" a="1"/>
  <c r="L486" i="1" s="1"/>
  <c r="K486" i="1"/>
  <c r="J486" i="1"/>
  <c r="L485" i="1" a="1"/>
  <c r="L485" i="1" s="1"/>
  <c r="K485" i="1"/>
  <c r="J485" i="1"/>
  <c r="L484" i="1" a="1"/>
  <c r="L484" i="1" s="1"/>
  <c r="K484" i="1"/>
  <c r="J484" i="1"/>
  <c r="L483" i="1" a="1"/>
  <c r="L483" i="1" s="1"/>
  <c r="K483" i="1"/>
  <c r="J483" i="1"/>
  <c r="L482" i="1" a="1"/>
  <c r="L482" i="1" s="1"/>
  <c r="K482" i="1"/>
  <c r="J482" i="1"/>
  <c r="L481" i="1" a="1"/>
  <c r="L481" i="1" s="1"/>
  <c r="K481" i="1"/>
  <c r="J481" i="1"/>
  <c r="L480" i="1" a="1"/>
  <c r="L480" i="1" s="1"/>
  <c r="K480" i="1"/>
  <c r="J480" i="1"/>
  <c r="L479" i="1" a="1"/>
  <c r="L479" i="1" s="1"/>
  <c r="K479" i="1"/>
  <c r="J479" i="1"/>
  <c r="L478" i="1" a="1"/>
  <c r="L478" i="1" s="1"/>
  <c r="K478" i="1"/>
  <c r="J478" i="1"/>
  <c r="L477" i="1" a="1"/>
  <c r="L477" i="1" s="1"/>
  <c r="K477" i="1"/>
  <c r="J477" i="1"/>
  <c r="L476" i="1" a="1"/>
  <c r="L476" i="1" s="1"/>
  <c r="K476" i="1"/>
  <c r="J476" i="1"/>
  <c r="L475" i="1" a="1"/>
  <c r="L475" i="1" s="1"/>
  <c r="K475" i="1"/>
  <c r="J475" i="1"/>
  <c r="L474" i="1" a="1"/>
  <c r="L474" i="1" s="1"/>
  <c r="K474" i="1"/>
  <c r="J474" i="1"/>
  <c r="L473" i="1" a="1"/>
  <c r="L473" i="1" s="1"/>
  <c r="K473" i="1"/>
  <c r="J473" i="1"/>
  <c r="L472" i="1" a="1"/>
  <c r="L472" i="1" s="1"/>
  <c r="K472" i="1"/>
  <c r="J472" i="1"/>
  <c r="L471" i="1" a="1"/>
  <c r="L471" i="1" s="1"/>
  <c r="K471" i="1"/>
  <c r="J471" i="1"/>
  <c r="L470" i="1" a="1"/>
  <c r="L470" i="1" s="1"/>
  <c r="K470" i="1"/>
  <c r="J470" i="1"/>
  <c r="L469" i="1" a="1"/>
  <c r="L469" i="1" s="1"/>
  <c r="K469" i="1"/>
  <c r="J469" i="1"/>
  <c r="L468" i="1" a="1"/>
  <c r="L468" i="1" s="1"/>
  <c r="K468" i="1"/>
  <c r="J468" i="1"/>
  <c r="L467" i="1" a="1"/>
  <c r="L467" i="1" s="1"/>
  <c r="K467" i="1"/>
  <c r="J467" i="1"/>
  <c r="L466" i="1" a="1"/>
  <c r="L466" i="1" s="1"/>
  <c r="K466" i="1"/>
  <c r="J466" i="1"/>
  <c r="L465" i="1" a="1"/>
  <c r="L465" i="1" s="1"/>
  <c r="K465" i="1"/>
  <c r="J465" i="1"/>
  <c r="L464" i="1" a="1"/>
  <c r="L464" i="1" s="1"/>
  <c r="K464" i="1"/>
  <c r="J464" i="1"/>
  <c r="L463" i="1" a="1"/>
  <c r="L463" i="1" s="1"/>
  <c r="K463" i="1"/>
  <c r="J463" i="1"/>
  <c r="L462" i="1" a="1"/>
  <c r="L462" i="1" s="1"/>
  <c r="K462" i="1"/>
  <c r="J462" i="1"/>
  <c r="L461" i="1" a="1"/>
  <c r="L461" i="1" s="1"/>
  <c r="K461" i="1"/>
  <c r="J461" i="1"/>
  <c r="L460" i="1" a="1"/>
  <c r="L460" i="1" s="1"/>
  <c r="K460" i="1"/>
  <c r="J460" i="1"/>
  <c r="L459" i="1" a="1"/>
  <c r="L459" i="1" s="1"/>
  <c r="K459" i="1"/>
  <c r="J459" i="1"/>
  <c r="L458" i="1" a="1"/>
  <c r="L458" i="1" s="1"/>
  <c r="K458" i="1"/>
  <c r="J458" i="1"/>
  <c r="L457" i="1" a="1"/>
  <c r="L457" i="1" s="1"/>
  <c r="K457" i="1"/>
  <c r="J457" i="1"/>
  <c r="L456" i="1" a="1"/>
  <c r="L456" i="1" s="1"/>
  <c r="K456" i="1"/>
  <c r="J456" i="1"/>
  <c r="L455" i="1" a="1"/>
  <c r="L455" i="1" s="1"/>
  <c r="K455" i="1"/>
  <c r="J455" i="1"/>
  <c r="L454" i="1" a="1"/>
  <c r="L454" i="1" s="1"/>
  <c r="K454" i="1"/>
  <c r="J454" i="1"/>
  <c r="L453" i="1" a="1"/>
  <c r="L453" i="1" s="1"/>
  <c r="K453" i="1"/>
  <c r="J453" i="1"/>
  <c r="L452" i="1" a="1"/>
  <c r="L452" i="1" s="1"/>
  <c r="K452" i="1"/>
  <c r="J452" i="1"/>
  <c r="L451" i="1" a="1"/>
  <c r="L451" i="1" s="1"/>
  <c r="K451" i="1"/>
  <c r="J451" i="1"/>
  <c r="L450" i="1" a="1"/>
  <c r="L450" i="1" s="1"/>
  <c r="K450" i="1"/>
  <c r="J450" i="1"/>
  <c r="L449" i="1" a="1"/>
  <c r="L449" i="1" s="1"/>
  <c r="K449" i="1"/>
  <c r="J449" i="1"/>
  <c r="L448" i="1" a="1"/>
  <c r="L448" i="1" s="1"/>
  <c r="K448" i="1"/>
  <c r="J448" i="1"/>
  <c r="L447" i="1" a="1"/>
  <c r="L447" i="1" s="1"/>
  <c r="K447" i="1"/>
  <c r="J447" i="1"/>
  <c r="L446" i="1" a="1"/>
  <c r="L446" i="1" s="1"/>
  <c r="K446" i="1"/>
  <c r="J446" i="1"/>
  <c r="L445" i="1" a="1"/>
  <c r="L445" i="1" s="1"/>
  <c r="K445" i="1"/>
  <c r="J445" i="1"/>
  <c r="L444" i="1" a="1"/>
  <c r="L444" i="1" s="1"/>
  <c r="K444" i="1"/>
  <c r="J444" i="1"/>
  <c r="L443" i="1" a="1"/>
  <c r="L443" i="1" s="1"/>
  <c r="K443" i="1"/>
  <c r="J443" i="1"/>
  <c r="L442" i="1" a="1"/>
  <c r="L442" i="1" s="1"/>
  <c r="K442" i="1"/>
  <c r="J442" i="1"/>
  <c r="L441" i="1" a="1"/>
  <c r="L441" i="1" s="1"/>
  <c r="K441" i="1"/>
  <c r="J441" i="1"/>
  <c r="L440" i="1" a="1"/>
  <c r="L440" i="1" s="1"/>
  <c r="K440" i="1"/>
  <c r="J440" i="1"/>
  <c r="L439" i="1" a="1"/>
  <c r="L439" i="1" s="1"/>
  <c r="K439" i="1"/>
  <c r="J439" i="1"/>
  <c r="L438" i="1" a="1"/>
  <c r="L438" i="1" s="1"/>
  <c r="K438" i="1"/>
  <c r="J438" i="1"/>
  <c r="L437" i="1" a="1"/>
  <c r="L437" i="1" s="1"/>
  <c r="K437" i="1"/>
  <c r="J437" i="1"/>
  <c r="L436" i="1" a="1"/>
  <c r="L436" i="1" s="1"/>
  <c r="K436" i="1"/>
  <c r="J436" i="1"/>
  <c r="L435" i="1" a="1"/>
  <c r="L435" i="1" s="1"/>
  <c r="K435" i="1"/>
  <c r="J435" i="1"/>
  <c r="L434" i="1" a="1"/>
  <c r="L434" i="1" s="1"/>
  <c r="K434" i="1"/>
  <c r="J434" i="1"/>
  <c r="L433" i="1" a="1"/>
  <c r="L433" i="1" s="1"/>
  <c r="K433" i="1"/>
  <c r="J433" i="1"/>
  <c r="L432" i="1" a="1"/>
  <c r="L432" i="1" s="1"/>
  <c r="K432" i="1"/>
  <c r="J432" i="1"/>
  <c r="L431" i="1" a="1"/>
  <c r="L431" i="1" s="1"/>
  <c r="K431" i="1"/>
  <c r="J431" i="1"/>
  <c r="L430" i="1" a="1"/>
  <c r="L430" i="1" s="1"/>
  <c r="K430" i="1"/>
  <c r="J430" i="1"/>
  <c r="L429" i="1" a="1"/>
  <c r="L429" i="1" s="1"/>
  <c r="K429" i="1"/>
  <c r="J429" i="1"/>
  <c r="L428" i="1" a="1"/>
  <c r="L428" i="1" s="1"/>
  <c r="K428" i="1"/>
  <c r="J428" i="1"/>
  <c r="L427" i="1" a="1"/>
  <c r="L427" i="1" s="1"/>
  <c r="K427" i="1"/>
  <c r="J427" i="1"/>
  <c r="L426" i="1" a="1"/>
  <c r="L426" i="1" s="1"/>
  <c r="K426" i="1"/>
  <c r="J426" i="1"/>
  <c r="L425" i="1" a="1"/>
  <c r="L425" i="1" s="1"/>
  <c r="K425" i="1"/>
  <c r="J425" i="1"/>
  <c r="L424" i="1" a="1"/>
  <c r="L424" i="1" s="1"/>
  <c r="K424" i="1"/>
  <c r="J424" i="1"/>
  <c r="L423" i="1" a="1"/>
  <c r="L423" i="1" s="1"/>
  <c r="K423" i="1"/>
  <c r="J423" i="1"/>
  <c r="L422" i="1" a="1"/>
  <c r="L422" i="1" s="1"/>
  <c r="K422" i="1"/>
  <c r="J422" i="1"/>
  <c r="L421" i="1" a="1"/>
  <c r="L421" i="1" s="1"/>
  <c r="K421" i="1"/>
  <c r="J421" i="1"/>
  <c r="L420" i="1" a="1"/>
  <c r="L420" i="1" s="1"/>
  <c r="K420" i="1"/>
  <c r="J420" i="1"/>
  <c r="L419" i="1" a="1"/>
  <c r="L419" i="1" s="1"/>
  <c r="K419" i="1"/>
  <c r="J419" i="1"/>
  <c r="L418" i="1" a="1"/>
  <c r="L418" i="1" s="1"/>
  <c r="K418" i="1"/>
  <c r="J418" i="1"/>
  <c r="L417" i="1" a="1"/>
  <c r="L417" i="1" s="1"/>
  <c r="K417" i="1"/>
  <c r="J417" i="1"/>
  <c r="L416" i="1" a="1"/>
  <c r="L416" i="1" s="1"/>
  <c r="K416" i="1"/>
  <c r="J416" i="1"/>
  <c r="L415" i="1" a="1"/>
  <c r="L415" i="1" s="1"/>
  <c r="K415" i="1"/>
  <c r="J415" i="1"/>
  <c r="L414" i="1" a="1"/>
  <c r="L414" i="1" s="1"/>
  <c r="K414" i="1"/>
  <c r="J414" i="1"/>
  <c r="L413" i="1" a="1"/>
  <c r="L413" i="1" s="1"/>
  <c r="K413" i="1"/>
  <c r="J413" i="1"/>
  <c r="L412" i="1" a="1"/>
  <c r="L412" i="1" s="1"/>
  <c r="K412" i="1"/>
  <c r="J412" i="1"/>
  <c r="L411" i="1" a="1"/>
  <c r="L411" i="1" s="1"/>
  <c r="K411" i="1"/>
  <c r="J411" i="1"/>
  <c r="L410" i="1" a="1"/>
  <c r="L410" i="1" s="1"/>
  <c r="K410" i="1"/>
  <c r="J410" i="1"/>
  <c r="L409" i="1" a="1"/>
  <c r="L409" i="1" s="1"/>
  <c r="K409" i="1"/>
  <c r="J409" i="1"/>
  <c r="L408" i="1" a="1"/>
  <c r="L408" i="1" s="1"/>
  <c r="K408" i="1"/>
  <c r="J408" i="1"/>
  <c r="L407" i="1" a="1"/>
  <c r="L407" i="1" s="1"/>
  <c r="K407" i="1"/>
  <c r="J407" i="1"/>
  <c r="L406" i="1" a="1"/>
  <c r="L406" i="1" s="1"/>
  <c r="K406" i="1"/>
  <c r="J406" i="1"/>
  <c r="L405" i="1" a="1"/>
  <c r="L405" i="1" s="1"/>
  <c r="K405" i="1"/>
  <c r="J405" i="1"/>
  <c r="L404" i="1" a="1"/>
  <c r="L404" i="1" s="1"/>
  <c r="K404" i="1"/>
  <c r="J404" i="1"/>
  <c r="L403" i="1" a="1"/>
  <c r="L403" i="1" s="1"/>
  <c r="K403" i="1"/>
  <c r="J403" i="1"/>
  <c r="L402" i="1" a="1"/>
  <c r="L402" i="1" s="1"/>
  <c r="K402" i="1"/>
  <c r="J402" i="1"/>
  <c r="L401" i="1" a="1"/>
  <c r="L401" i="1" s="1"/>
  <c r="K401" i="1"/>
  <c r="J401" i="1"/>
  <c r="L400" i="1" a="1"/>
  <c r="L400" i="1" s="1"/>
  <c r="K400" i="1"/>
  <c r="J400" i="1"/>
  <c r="L399" i="1" a="1"/>
  <c r="L399" i="1" s="1"/>
  <c r="K399" i="1"/>
  <c r="J399" i="1"/>
  <c r="L398" i="1" a="1"/>
  <c r="L398" i="1" s="1"/>
  <c r="K398" i="1"/>
  <c r="J398" i="1"/>
  <c r="L397" i="1" a="1"/>
  <c r="L397" i="1" s="1"/>
  <c r="K397" i="1"/>
  <c r="J397" i="1"/>
  <c r="L396" i="1" a="1"/>
  <c r="L396" i="1" s="1"/>
  <c r="K396" i="1"/>
  <c r="J396" i="1"/>
  <c r="L395" i="1" a="1"/>
  <c r="L395" i="1" s="1"/>
  <c r="K395" i="1"/>
  <c r="J395" i="1"/>
  <c r="L394" i="1" a="1"/>
  <c r="L394" i="1" s="1"/>
  <c r="K394" i="1"/>
  <c r="J394" i="1"/>
  <c r="L393" i="1" a="1"/>
  <c r="L393" i="1" s="1"/>
  <c r="K393" i="1"/>
  <c r="J393" i="1"/>
  <c r="L392" i="1" a="1"/>
  <c r="L392" i="1" s="1"/>
  <c r="K392" i="1"/>
  <c r="J392" i="1"/>
  <c r="L391" i="1" a="1"/>
  <c r="L391" i="1" s="1"/>
  <c r="K391" i="1"/>
  <c r="J391" i="1"/>
  <c r="L390" i="1" a="1"/>
  <c r="L390" i="1" s="1"/>
  <c r="K390" i="1"/>
  <c r="J390" i="1"/>
  <c r="L389" i="1" a="1"/>
  <c r="L389" i="1" s="1"/>
  <c r="K389" i="1"/>
  <c r="J389" i="1"/>
  <c r="L388" i="1" a="1"/>
  <c r="L388" i="1" s="1"/>
  <c r="K388" i="1"/>
  <c r="J388" i="1"/>
  <c r="L387" i="1" a="1"/>
  <c r="L387" i="1" s="1"/>
  <c r="K387" i="1"/>
  <c r="J387" i="1"/>
  <c r="L386" i="1" a="1"/>
  <c r="L386" i="1" s="1"/>
  <c r="K386" i="1"/>
  <c r="J386" i="1"/>
  <c r="L385" i="1" a="1"/>
  <c r="L385" i="1" s="1"/>
  <c r="K385" i="1"/>
  <c r="J385" i="1"/>
  <c r="L384" i="1" a="1"/>
  <c r="L384" i="1" s="1"/>
  <c r="K384" i="1"/>
  <c r="J384" i="1"/>
  <c r="L383" i="1" a="1"/>
  <c r="L383" i="1" s="1"/>
  <c r="K383" i="1"/>
  <c r="J383" i="1"/>
  <c r="L382" i="1" a="1"/>
  <c r="L382" i="1" s="1"/>
  <c r="K382" i="1"/>
  <c r="J382" i="1"/>
  <c r="L381" i="1" a="1"/>
  <c r="L381" i="1" s="1"/>
  <c r="K381" i="1"/>
  <c r="J381" i="1"/>
  <c r="L380" i="1" a="1"/>
  <c r="L380" i="1" s="1"/>
  <c r="K380" i="1"/>
  <c r="J380" i="1"/>
  <c r="L379" i="1" a="1"/>
  <c r="L379" i="1" s="1"/>
  <c r="K379" i="1"/>
  <c r="J379" i="1"/>
  <c r="L378" i="1" a="1"/>
  <c r="L378" i="1" s="1"/>
  <c r="K378" i="1"/>
  <c r="J378" i="1"/>
  <c r="L377" i="1" a="1"/>
  <c r="L377" i="1" s="1"/>
  <c r="K377" i="1"/>
  <c r="J377" i="1"/>
  <c r="L376" i="1" a="1"/>
  <c r="L376" i="1" s="1"/>
  <c r="K376" i="1"/>
  <c r="J376" i="1"/>
  <c r="L375" i="1" a="1"/>
  <c r="L375" i="1" s="1"/>
  <c r="K375" i="1"/>
  <c r="J375" i="1"/>
  <c r="L374" i="1" a="1"/>
  <c r="L374" i="1" s="1"/>
  <c r="K374" i="1"/>
  <c r="J374" i="1"/>
  <c r="L373" i="1" a="1"/>
  <c r="L373" i="1" s="1"/>
  <c r="K373" i="1"/>
  <c r="J373" i="1"/>
  <c r="L372" i="1" a="1"/>
  <c r="L372" i="1" s="1"/>
  <c r="K372" i="1"/>
  <c r="J372" i="1"/>
  <c r="L371" i="1" a="1"/>
  <c r="L371" i="1" s="1"/>
  <c r="K371" i="1"/>
  <c r="J371" i="1"/>
  <c r="L370" i="1" a="1"/>
  <c r="L370" i="1" s="1"/>
  <c r="K370" i="1"/>
  <c r="J370" i="1"/>
  <c r="L369" i="1" a="1"/>
  <c r="L369" i="1" s="1"/>
  <c r="K369" i="1"/>
  <c r="J369" i="1"/>
  <c r="L368" i="1" a="1"/>
  <c r="L368" i="1" s="1"/>
  <c r="K368" i="1"/>
  <c r="J368" i="1"/>
  <c r="L367" i="1" a="1"/>
  <c r="L367" i="1" s="1"/>
  <c r="K367" i="1"/>
  <c r="J367" i="1"/>
  <c r="L366" i="1" a="1"/>
  <c r="L366" i="1" s="1"/>
  <c r="K366" i="1"/>
  <c r="J366" i="1"/>
  <c r="L365" i="1" a="1"/>
  <c r="L365" i="1" s="1"/>
  <c r="K365" i="1"/>
  <c r="J365" i="1"/>
  <c r="L364" i="1" a="1"/>
  <c r="L364" i="1" s="1"/>
  <c r="K364" i="1"/>
  <c r="J364" i="1"/>
  <c r="L363" i="1" a="1"/>
  <c r="L363" i="1" s="1"/>
  <c r="K363" i="1"/>
  <c r="J363" i="1"/>
  <c r="L362" i="1" a="1"/>
  <c r="L362" i="1" s="1"/>
  <c r="K362" i="1"/>
  <c r="J362" i="1"/>
  <c r="L361" i="1" a="1"/>
  <c r="L361" i="1" s="1"/>
  <c r="K361" i="1"/>
  <c r="J361" i="1"/>
  <c r="L360" i="1" a="1"/>
  <c r="L360" i="1" s="1"/>
  <c r="K360" i="1"/>
  <c r="J360" i="1"/>
  <c r="L359" i="1" a="1"/>
  <c r="L359" i="1" s="1"/>
  <c r="K359" i="1"/>
  <c r="J359" i="1"/>
  <c r="L358" i="1" a="1"/>
  <c r="L358" i="1" s="1"/>
  <c r="K358" i="1"/>
  <c r="J358" i="1"/>
  <c r="L357" i="1" a="1"/>
  <c r="L357" i="1" s="1"/>
  <c r="K357" i="1"/>
  <c r="J357" i="1"/>
  <c r="L356" i="1" a="1"/>
  <c r="L356" i="1" s="1"/>
  <c r="K356" i="1"/>
  <c r="J356" i="1"/>
  <c r="L355" i="1" a="1"/>
  <c r="L355" i="1" s="1"/>
  <c r="K355" i="1"/>
  <c r="J355" i="1"/>
  <c r="L354" i="1" a="1"/>
  <c r="L354" i="1" s="1"/>
  <c r="K354" i="1"/>
  <c r="J354" i="1"/>
  <c r="L353" i="1" a="1"/>
  <c r="L353" i="1" s="1"/>
  <c r="K353" i="1"/>
  <c r="J353" i="1"/>
  <c r="L352" i="1" a="1"/>
  <c r="L352" i="1" s="1"/>
  <c r="K352" i="1"/>
  <c r="J352" i="1"/>
  <c r="L351" i="1" a="1"/>
  <c r="L351" i="1" s="1"/>
  <c r="K351" i="1"/>
  <c r="J351" i="1"/>
  <c r="L350" i="1" a="1"/>
  <c r="L350" i="1" s="1"/>
  <c r="K350" i="1"/>
  <c r="J350" i="1"/>
  <c r="L349" i="1" a="1"/>
  <c r="L349" i="1" s="1"/>
  <c r="K349" i="1"/>
  <c r="J349" i="1"/>
  <c r="L348" i="1" a="1"/>
  <c r="L348" i="1" s="1"/>
  <c r="K348" i="1"/>
  <c r="J348" i="1"/>
  <c r="L347" i="1" a="1"/>
  <c r="L347" i="1" s="1"/>
  <c r="K347" i="1"/>
  <c r="J347" i="1"/>
  <c r="L346" i="1" a="1"/>
  <c r="L346" i="1" s="1"/>
  <c r="K346" i="1"/>
  <c r="J346" i="1"/>
  <c r="L345" i="1" a="1"/>
  <c r="L345" i="1" s="1"/>
  <c r="K345" i="1"/>
  <c r="J345" i="1"/>
  <c r="L344" i="1" a="1"/>
  <c r="L344" i="1" s="1"/>
  <c r="K344" i="1"/>
  <c r="J344" i="1"/>
  <c r="L343" i="1" a="1"/>
  <c r="L343" i="1" s="1"/>
  <c r="K343" i="1"/>
  <c r="J343" i="1"/>
  <c r="L342" i="1" a="1"/>
  <c r="L342" i="1" s="1"/>
  <c r="K342" i="1"/>
  <c r="J342" i="1"/>
  <c r="L341" i="1" a="1"/>
  <c r="L341" i="1" s="1"/>
  <c r="K341" i="1"/>
  <c r="J341" i="1"/>
  <c r="L340" i="1" a="1"/>
  <c r="L340" i="1" s="1"/>
  <c r="K340" i="1"/>
  <c r="J340" i="1"/>
  <c r="L339" i="1" a="1"/>
  <c r="L339" i="1" s="1"/>
  <c r="K339" i="1"/>
  <c r="J339" i="1"/>
  <c r="L338" i="1" a="1"/>
  <c r="L338" i="1" s="1"/>
  <c r="K338" i="1"/>
  <c r="J338" i="1"/>
  <c r="L337" i="1" a="1"/>
  <c r="L337" i="1" s="1"/>
  <c r="K337" i="1"/>
  <c r="J337" i="1"/>
  <c r="L336" i="1" a="1"/>
  <c r="L336" i="1" s="1"/>
  <c r="K336" i="1"/>
  <c r="J336" i="1"/>
  <c r="L335" i="1" a="1"/>
  <c r="L335" i="1" s="1"/>
  <c r="K335" i="1"/>
  <c r="J335" i="1"/>
  <c r="L334" i="1" a="1"/>
  <c r="L334" i="1" s="1"/>
  <c r="K334" i="1"/>
  <c r="J334" i="1"/>
  <c r="L333" i="1" a="1"/>
  <c r="L333" i="1" s="1"/>
  <c r="K333" i="1"/>
  <c r="J333" i="1"/>
  <c r="L332" i="1" a="1"/>
  <c r="L332" i="1" s="1"/>
  <c r="K332" i="1"/>
  <c r="J332" i="1"/>
  <c r="L331" i="1" a="1"/>
  <c r="L331" i="1" s="1"/>
  <c r="K331" i="1"/>
  <c r="J331" i="1"/>
  <c r="L330" i="1" a="1"/>
  <c r="L330" i="1" s="1"/>
  <c r="K330" i="1"/>
  <c r="J330" i="1"/>
  <c r="L329" i="1" a="1"/>
  <c r="L329" i="1" s="1"/>
  <c r="K329" i="1"/>
  <c r="J329" i="1"/>
  <c r="L328" i="1" a="1"/>
  <c r="L328" i="1" s="1"/>
  <c r="K328" i="1"/>
  <c r="J328" i="1"/>
  <c r="L327" i="1" a="1"/>
  <c r="L327" i="1" s="1"/>
  <c r="K327" i="1"/>
  <c r="J327" i="1"/>
  <c r="L326" i="1" a="1"/>
  <c r="L326" i="1" s="1"/>
  <c r="K326" i="1"/>
  <c r="J326" i="1"/>
  <c r="L325" i="1" a="1"/>
  <c r="L325" i="1" s="1"/>
  <c r="K325" i="1"/>
  <c r="J325" i="1"/>
  <c r="L324" i="1" a="1"/>
  <c r="L324" i="1" s="1"/>
  <c r="K324" i="1"/>
  <c r="J324" i="1"/>
  <c r="L323" i="1" a="1"/>
  <c r="L323" i="1" s="1"/>
  <c r="K323" i="1"/>
  <c r="J323" i="1"/>
  <c r="L322" i="1" a="1"/>
  <c r="L322" i="1" s="1"/>
  <c r="K322" i="1"/>
  <c r="J322" i="1"/>
  <c r="L321" i="1" a="1"/>
  <c r="L321" i="1" s="1"/>
  <c r="K321" i="1"/>
  <c r="J321" i="1"/>
  <c r="L320" i="1" a="1"/>
  <c r="L320" i="1" s="1"/>
  <c r="K320" i="1"/>
  <c r="J320" i="1"/>
  <c r="L319" i="1" a="1"/>
  <c r="L319" i="1" s="1"/>
  <c r="K319" i="1"/>
  <c r="J319" i="1"/>
  <c r="L318" i="1" a="1"/>
  <c r="L318" i="1" s="1"/>
  <c r="K318" i="1"/>
  <c r="J318" i="1"/>
  <c r="L317" i="1" a="1"/>
  <c r="L317" i="1" s="1"/>
  <c r="K317" i="1"/>
  <c r="J317" i="1"/>
  <c r="L316" i="1" a="1"/>
  <c r="L316" i="1" s="1"/>
  <c r="K316" i="1"/>
  <c r="J316" i="1"/>
  <c r="L315" i="1" a="1"/>
  <c r="L315" i="1" s="1"/>
  <c r="K315" i="1"/>
  <c r="J315" i="1"/>
  <c r="L314" i="1" a="1"/>
  <c r="L314" i="1" s="1"/>
  <c r="K314" i="1"/>
  <c r="J314" i="1"/>
  <c r="L313" i="1" a="1"/>
  <c r="L313" i="1" s="1"/>
  <c r="K313" i="1"/>
  <c r="J313" i="1"/>
  <c r="L312" i="1" a="1"/>
  <c r="L312" i="1" s="1"/>
  <c r="K312" i="1"/>
  <c r="J312" i="1"/>
  <c r="L311" i="1" a="1"/>
  <c r="L311" i="1" s="1"/>
  <c r="K311" i="1"/>
  <c r="J311" i="1"/>
  <c r="L310" i="1" a="1"/>
  <c r="L310" i="1" s="1"/>
  <c r="K310" i="1"/>
  <c r="J310" i="1"/>
  <c r="L309" i="1" a="1"/>
  <c r="L309" i="1" s="1"/>
  <c r="K309" i="1"/>
  <c r="J309" i="1"/>
  <c r="L308" i="1" a="1"/>
  <c r="L308" i="1" s="1"/>
  <c r="K308" i="1"/>
  <c r="J308" i="1"/>
  <c r="L307" i="1" a="1"/>
  <c r="L307" i="1" s="1"/>
  <c r="K307" i="1"/>
  <c r="J307" i="1"/>
  <c r="L306" i="1" a="1"/>
  <c r="L306" i="1" s="1"/>
  <c r="K306" i="1"/>
  <c r="J306" i="1"/>
  <c r="L305" i="1" a="1"/>
  <c r="L305" i="1" s="1"/>
  <c r="K305" i="1"/>
  <c r="J305" i="1"/>
  <c r="L304" i="1" a="1"/>
  <c r="L304" i="1" s="1"/>
  <c r="K304" i="1"/>
  <c r="J304" i="1"/>
  <c r="L303" i="1" a="1"/>
  <c r="L303" i="1" s="1"/>
  <c r="K303" i="1"/>
  <c r="J303" i="1"/>
  <c r="L302" i="1" a="1"/>
  <c r="L302" i="1" s="1"/>
  <c r="K302" i="1"/>
  <c r="J302" i="1"/>
  <c r="L301" i="1" a="1"/>
  <c r="L301" i="1" s="1"/>
  <c r="K301" i="1"/>
  <c r="J301" i="1"/>
  <c r="L300" i="1" a="1"/>
  <c r="L300" i="1" s="1"/>
  <c r="K300" i="1"/>
  <c r="J300" i="1"/>
  <c r="L299" i="1" a="1"/>
  <c r="L299" i="1" s="1"/>
  <c r="K299" i="1"/>
  <c r="J299" i="1"/>
  <c r="L298" i="1" a="1"/>
  <c r="L298" i="1" s="1"/>
  <c r="K298" i="1"/>
  <c r="J298" i="1"/>
  <c r="L297" i="1" a="1"/>
  <c r="L297" i="1" s="1"/>
  <c r="K297" i="1"/>
  <c r="J297" i="1"/>
  <c r="L296" i="1" a="1"/>
  <c r="L296" i="1" s="1"/>
  <c r="K296" i="1"/>
  <c r="J296" i="1"/>
  <c r="L295" i="1" a="1"/>
  <c r="L295" i="1" s="1"/>
  <c r="K295" i="1"/>
  <c r="J295" i="1"/>
  <c r="L294" i="1" a="1"/>
  <c r="L294" i="1" s="1"/>
  <c r="K294" i="1"/>
  <c r="J294" i="1"/>
  <c r="L293" i="1" a="1"/>
  <c r="L293" i="1" s="1"/>
  <c r="K293" i="1"/>
  <c r="J293" i="1"/>
  <c r="L292" i="1" a="1"/>
  <c r="L292" i="1" s="1"/>
  <c r="K292" i="1"/>
  <c r="J292" i="1"/>
  <c r="L291" i="1" a="1"/>
  <c r="L291" i="1" s="1"/>
  <c r="K291" i="1"/>
  <c r="J291" i="1"/>
  <c r="L290" i="1" a="1"/>
  <c r="L290" i="1" s="1"/>
  <c r="K290" i="1"/>
  <c r="J290" i="1"/>
  <c r="L289" i="1" a="1"/>
  <c r="L289" i="1" s="1"/>
  <c r="K289" i="1"/>
  <c r="J289" i="1"/>
  <c r="L288" i="1" a="1"/>
  <c r="L288" i="1" s="1"/>
  <c r="K288" i="1"/>
  <c r="J288" i="1"/>
  <c r="L287" i="1" a="1"/>
  <c r="L287" i="1" s="1"/>
  <c r="K287" i="1"/>
  <c r="J287" i="1"/>
  <c r="L286" i="1" a="1"/>
  <c r="L286" i="1" s="1"/>
  <c r="K286" i="1"/>
  <c r="J286" i="1"/>
  <c r="L285" i="1" a="1"/>
  <c r="L285" i="1" s="1"/>
  <c r="K285" i="1"/>
  <c r="J285" i="1"/>
  <c r="L284" i="1" a="1"/>
  <c r="L284" i="1" s="1"/>
  <c r="K284" i="1"/>
  <c r="J284" i="1"/>
  <c r="L283" i="1" a="1"/>
  <c r="L283" i="1" s="1"/>
  <c r="K283" i="1"/>
  <c r="J283" i="1"/>
  <c r="L282" i="1" a="1"/>
  <c r="L282" i="1" s="1"/>
  <c r="K282" i="1"/>
  <c r="J282" i="1"/>
  <c r="L281" i="1" a="1"/>
  <c r="L281" i="1" s="1"/>
  <c r="K281" i="1"/>
  <c r="J281" i="1"/>
  <c r="L280" i="1" a="1"/>
  <c r="L280" i="1" s="1"/>
  <c r="K280" i="1"/>
  <c r="J280" i="1"/>
  <c r="L279" i="1" a="1"/>
  <c r="L279" i="1" s="1"/>
  <c r="K279" i="1"/>
  <c r="J279" i="1"/>
  <c r="L278" i="1" a="1"/>
  <c r="L278" i="1" s="1"/>
  <c r="K278" i="1"/>
  <c r="J278" i="1"/>
  <c r="L277" i="1" a="1"/>
  <c r="L277" i="1" s="1"/>
  <c r="K277" i="1"/>
  <c r="J277" i="1"/>
  <c r="L276" i="1" a="1"/>
  <c r="L276" i="1" s="1"/>
  <c r="K276" i="1"/>
  <c r="J276" i="1"/>
  <c r="L275" i="1" a="1"/>
  <c r="L275" i="1" s="1"/>
  <c r="K275" i="1"/>
  <c r="J275" i="1"/>
  <c r="L274" i="1" a="1"/>
  <c r="L274" i="1" s="1"/>
  <c r="K274" i="1"/>
  <c r="J274" i="1"/>
  <c r="L273" i="1" a="1"/>
  <c r="L273" i="1" s="1"/>
  <c r="K273" i="1"/>
  <c r="J273" i="1"/>
  <c r="L272" i="1" a="1"/>
  <c r="L272" i="1" s="1"/>
  <c r="K272" i="1"/>
  <c r="J272" i="1"/>
  <c r="L271" i="1" a="1"/>
  <c r="L271" i="1" s="1"/>
  <c r="K271" i="1"/>
  <c r="J271" i="1"/>
  <c r="L270" i="1" a="1"/>
  <c r="L270" i="1" s="1"/>
  <c r="K270" i="1"/>
  <c r="J270" i="1"/>
  <c r="L269" i="1" a="1"/>
  <c r="L269" i="1" s="1"/>
  <c r="K269" i="1"/>
  <c r="J269" i="1"/>
  <c r="L268" i="1" a="1"/>
  <c r="L268" i="1" s="1"/>
  <c r="K268" i="1"/>
  <c r="J268" i="1"/>
  <c r="L267" i="1" a="1"/>
  <c r="L267" i="1" s="1"/>
  <c r="K267" i="1"/>
  <c r="J267" i="1"/>
  <c r="L266" i="1" a="1"/>
  <c r="L266" i="1" s="1"/>
  <c r="K266" i="1"/>
  <c r="J266" i="1"/>
  <c r="L265" i="1" a="1"/>
  <c r="L265" i="1" s="1"/>
  <c r="K265" i="1"/>
  <c r="J265" i="1"/>
  <c r="L264" i="1" a="1"/>
  <c r="L264" i="1" s="1"/>
  <c r="K264" i="1"/>
  <c r="J264" i="1"/>
  <c r="L263" i="1" a="1"/>
  <c r="L263" i="1" s="1"/>
  <c r="K263" i="1"/>
  <c r="J263" i="1"/>
  <c r="L262" i="1" a="1"/>
  <c r="L262" i="1" s="1"/>
  <c r="K262" i="1"/>
  <c r="J262" i="1"/>
  <c r="L261" i="1" a="1"/>
  <c r="L261" i="1" s="1"/>
  <c r="K261" i="1"/>
  <c r="J261" i="1"/>
  <c r="L260" i="1" a="1"/>
  <c r="L260" i="1" s="1"/>
  <c r="K260" i="1"/>
  <c r="J260" i="1"/>
  <c r="L259" i="1" a="1"/>
  <c r="L259" i="1" s="1"/>
  <c r="K259" i="1"/>
  <c r="J259" i="1"/>
  <c r="L258" i="1" a="1"/>
  <c r="L258" i="1" s="1"/>
  <c r="K258" i="1"/>
  <c r="J258" i="1"/>
  <c r="L257" i="1" a="1"/>
  <c r="L257" i="1" s="1"/>
  <c r="K257" i="1"/>
  <c r="J257" i="1"/>
  <c r="L256" i="1" a="1"/>
  <c r="L256" i="1" s="1"/>
  <c r="K256" i="1"/>
  <c r="J256" i="1"/>
  <c r="L255" i="1" a="1"/>
  <c r="L255" i="1" s="1"/>
  <c r="K255" i="1"/>
  <c r="J255" i="1"/>
  <c r="L254" i="1" a="1"/>
  <c r="L254" i="1" s="1"/>
  <c r="K254" i="1"/>
  <c r="J254" i="1"/>
  <c r="L253" i="1" a="1"/>
  <c r="L253" i="1" s="1"/>
  <c r="K253" i="1"/>
  <c r="J253" i="1"/>
  <c r="L252" i="1" a="1"/>
  <c r="L252" i="1" s="1"/>
  <c r="K252" i="1"/>
  <c r="J252" i="1"/>
  <c r="L251" i="1" a="1"/>
  <c r="L251" i="1" s="1"/>
  <c r="K251" i="1"/>
  <c r="J251" i="1"/>
  <c r="L250" i="1" a="1"/>
  <c r="L250" i="1" s="1"/>
  <c r="K250" i="1"/>
  <c r="J250" i="1"/>
  <c r="L249" i="1" a="1"/>
  <c r="L249" i="1" s="1"/>
  <c r="K249" i="1"/>
  <c r="J249" i="1"/>
  <c r="L248" i="1" a="1"/>
  <c r="L248" i="1" s="1"/>
  <c r="K248" i="1"/>
  <c r="J248" i="1"/>
  <c r="L247" i="1" a="1"/>
  <c r="L247" i="1" s="1"/>
  <c r="K247" i="1"/>
  <c r="J247" i="1"/>
  <c r="L246" i="1" a="1"/>
  <c r="L246" i="1" s="1"/>
  <c r="K246" i="1"/>
  <c r="J246" i="1"/>
  <c r="L245" i="1" a="1"/>
  <c r="L245" i="1" s="1"/>
  <c r="K245" i="1"/>
  <c r="J245" i="1"/>
  <c r="L244" i="1" a="1"/>
  <c r="L244" i="1" s="1"/>
  <c r="K244" i="1"/>
  <c r="J244" i="1"/>
  <c r="L243" i="1" a="1"/>
  <c r="L243" i="1" s="1"/>
  <c r="K243" i="1"/>
  <c r="J243" i="1"/>
  <c r="L242" i="1" a="1"/>
  <c r="L242" i="1" s="1"/>
  <c r="K242" i="1"/>
  <c r="J242" i="1"/>
  <c r="L241" i="1" a="1"/>
  <c r="L241" i="1" s="1"/>
  <c r="K241" i="1"/>
  <c r="J241" i="1"/>
  <c r="L240" i="1" a="1"/>
  <c r="L240" i="1" s="1"/>
  <c r="K240" i="1"/>
  <c r="J240" i="1"/>
  <c r="L239" i="1" a="1"/>
  <c r="L239" i="1" s="1"/>
  <c r="K239" i="1"/>
  <c r="J239" i="1"/>
  <c r="L238" i="1" a="1"/>
  <c r="L238" i="1" s="1"/>
  <c r="K238" i="1"/>
  <c r="J238" i="1"/>
  <c r="L237" i="1" a="1"/>
  <c r="L237" i="1" s="1"/>
  <c r="K237" i="1"/>
  <c r="J237" i="1"/>
  <c r="L236" i="1" a="1"/>
  <c r="L236" i="1" s="1"/>
  <c r="K236" i="1"/>
  <c r="J236" i="1"/>
  <c r="L235" i="1" a="1"/>
  <c r="L235" i="1" s="1"/>
  <c r="K235" i="1"/>
  <c r="J235" i="1"/>
  <c r="L234" i="1" a="1"/>
  <c r="L234" i="1" s="1"/>
  <c r="K234" i="1"/>
  <c r="J234" i="1"/>
  <c r="L233" i="1" a="1"/>
  <c r="L233" i="1" s="1"/>
  <c r="K233" i="1"/>
  <c r="J233" i="1"/>
  <c r="L232" i="1" a="1"/>
  <c r="L232" i="1" s="1"/>
  <c r="K232" i="1"/>
  <c r="J232" i="1"/>
  <c r="L231" i="1" a="1"/>
  <c r="L231" i="1" s="1"/>
  <c r="K231" i="1"/>
  <c r="J231" i="1"/>
  <c r="L230" i="1" a="1"/>
  <c r="L230" i="1" s="1"/>
  <c r="K230" i="1"/>
  <c r="J230" i="1"/>
  <c r="L229" i="1" a="1"/>
  <c r="L229" i="1" s="1"/>
  <c r="K229" i="1"/>
  <c r="J229" i="1"/>
  <c r="L228" i="1" a="1"/>
  <c r="L228" i="1" s="1"/>
  <c r="K228" i="1"/>
  <c r="J228" i="1"/>
  <c r="L227" i="1" a="1"/>
  <c r="L227" i="1" s="1"/>
  <c r="K227" i="1"/>
  <c r="J227" i="1"/>
  <c r="L226" i="1" a="1"/>
  <c r="L226" i="1" s="1"/>
  <c r="K226" i="1"/>
  <c r="J226" i="1"/>
  <c r="L225" i="1" a="1"/>
  <c r="L225" i="1" s="1"/>
  <c r="K225" i="1"/>
  <c r="J225" i="1"/>
  <c r="L224" i="1" a="1"/>
  <c r="L224" i="1" s="1"/>
  <c r="K224" i="1"/>
  <c r="J224" i="1"/>
  <c r="L223" i="1" a="1"/>
  <c r="L223" i="1" s="1"/>
  <c r="K223" i="1"/>
  <c r="J223" i="1"/>
  <c r="L222" i="1" a="1"/>
  <c r="L222" i="1" s="1"/>
  <c r="K222" i="1"/>
  <c r="J222" i="1"/>
  <c r="L221" i="1" a="1"/>
  <c r="L221" i="1" s="1"/>
  <c r="K221" i="1"/>
  <c r="J221" i="1"/>
  <c r="L220" i="1" a="1"/>
  <c r="L220" i="1" s="1"/>
  <c r="K220" i="1"/>
  <c r="J220" i="1"/>
  <c r="L219" i="1" a="1"/>
  <c r="L219" i="1" s="1"/>
  <c r="K219" i="1"/>
  <c r="J219" i="1"/>
  <c r="L218" i="1" a="1"/>
  <c r="L218" i="1" s="1"/>
  <c r="K218" i="1"/>
  <c r="J218" i="1"/>
  <c r="L217" i="1" a="1"/>
  <c r="L217" i="1" s="1"/>
  <c r="K217" i="1"/>
  <c r="J217" i="1"/>
  <c r="L216" i="1" a="1"/>
  <c r="L216" i="1" s="1"/>
  <c r="K216" i="1"/>
  <c r="J216" i="1"/>
  <c r="L215" i="1" a="1"/>
  <c r="L215" i="1" s="1"/>
  <c r="K215" i="1"/>
  <c r="J215" i="1"/>
  <c r="L214" i="1" a="1"/>
  <c r="L214" i="1" s="1"/>
  <c r="K214" i="1"/>
  <c r="J214" i="1"/>
  <c r="L213" i="1" a="1"/>
  <c r="L213" i="1" s="1"/>
  <c r="K213" i="1"/>
  <c r="J213" i="1"/>
  <c r="L212" i="1" a="1"/>
  <c r="L212" i="1" s="1"/>
  <c r="K212" i="1"/>
  <c r="J212" i="1"/>
  <c r="L211" i="1" a="1"/>
  <c r="L211" i="1" s="1"/>
  <c r="K211" i="1"/>
  <c r="J211" i="1"/>
  <c r="L210" i="1" a="1"/>
  <c r="L210" i="1" s="1"/>
  <c r="K210" i="1"/>
  <c r="J210" i="1"/>
  <c r="L209" i="1" a="1"/>
  <c r="L209" i="1" s="1"/>
  <c r="K209" i="1"/>
  <c r="J209" i="1"/>
  <c r="L208" i="1" a="1"/>
  <c r="L208" i="1" s="1"/>
  <c r="K208" i="1"/>
  <c r="J208" i="1"/>
  <c r="L207" i="1" a="1"/>
  <c r="L207" i="1" s="1"/>
  <c r="K207" i="1"/>
  <c r="J207" i="1"/>
  <c r="L206" i="1" a="1"/>
  <c r="L206" i="1" s="1"/>
  <c r="K206" i="1"/>
  <c r="J206" i="1"/>
  <c r="L205" i="1" a="1"/>
  <c r="L205" i="1" s="1"/>
  <c r="K205" i="1"/>
  <c r="J205" i="1"/>
  <c r="L204" i="1" a="1"/>
  <c r="L204" i="1" s="1"/>
  <c r="K204" i="1"/>
  <c r="J204" i="1"/>
  <c r="L203" i="1" a="1"/>
  <c r="L203" i="1" s="1"/>
  <c r="K203" i="1"/>
  <c r="J203" i="1"/>
  <c r="L202" i="1" a="1"/>
  <c r="L202" i="1" s="1"/>
  <c r="K202" i="1"/>
  <c r="J202" i="1"/>
  <c r="L201" i="1" a="1"/>
  <c r="L201" i="1" s="1"/>
  <c r="K201" i="1"/>
  <c r="J201" i="1"/>
  <c r="L200" i="1" a="1"/>
  <c r="L200" i="1" s="1"/>
  <c r="K200" i="1"/>
  <c r="J200" i="1"/>
  <c r="L199" i="1" a="1"/>
  <c r="L199" i="1" s="1"/>
  <c r="K199" i="1"/>
  <c r="J199" i="1"/>
  <c r="L198" i="1" a="1"/>
  <c r="L198" i="1" s="1"/>
  <c r="K198" i="1"/>
  <c r="J198" i="1"/>
  <c r="L197" i="1" a="1"/>
  <c r="L197" i="1" s="1"/>
  <c r="K197" i="1"/>
  <c r="J197" i="1"/>
  <c r="L196" i="1" a="1"/>
  <c r="L196" i="1" s="1"/>
  <c r="K196" i="1"/>
  <c r="J196" i="1"/>
  <c r="L195" i="1" a="1"/>
  <c r="L195" i="1" s="1"/>
  <c r="K195" i="1"/>
  <c r="J195" i="1"/>
  <c r="L194" i="1" a="1"/>
  <c r="L194" i="1" s="1"/>
  <c r="K194" i="1"/>
  <c r="J194" i="1"/>
  <c r="L193" i="1" a="1"/>
  <c r="L193" i="1" s="1"/>
  <c r="K193" i="1"/>
  <c r="J193" i="1"/>
  <c r="L192" i="1" a="1"/>
  <c r="L192" i="1" s="1"/>
  <c r="K192" i="1"/>
  <c r="J192" i="1"/>
  <c r="L191" i="1" a="1"/>
  <c r="L191" i="1" s="1"/>
  <c r="K191" i="1"/>
  <c r="J191" i="1"/>
  <c r="L190" i="1" a="1"/>
  <c r="L190" i="1" s="1"/>
  <c r="K190" i="1"/>
  <c r="J190" i="1"/>
  <c r="L189" i="1" a="1"/>
  <c r="L189" i="1" s="1"/>
  <c r="K189" i="1"/>
  <c r="J189" i="1"/>
  <c r="L188" i="1" a="1"/>
  <c r="L188" i="1" s="1"/>
  <c r="K188" i="1"/>
  <c r="J188" i="1"/>
  <c r="L187" i="1" a="1"/>
  <c r="L187" i="1" s="1"/>
  <c r="K187" i="1"/>
  <c r="J187" i="1"/>
  <c r="L186" i="1" a="1"/>
  <c r="L186" i="1" s="1"/>
  <c r="K186" i="1"/>
  <c r="J186" i="1"/>
  <c r="L185" i="1" a="1"/>
  <c r="L185" i="1" s="1"/>
  <c r="K185" i="1"/>
  <c r="J185" i="1"/>
  <c r="L184" i="1" a="1"/>
  <c r="L184" i="1" s="1"/>
  <c r="K184" i="1"/>
  <c r="J184" i="1"/>
  <c r="L183" i="1" a="1"/>
  <c r="L183" i="1" s="1"/>
  <c r="K183" i="1"/>
  <c r="J183" i="1"/>
  <c r="L182" i="1" a="1"/>
  <c r="L182" i="1" s="1"/>
  <c r="K182" i="1"/>
  <c r="J182" i="1"/>
  <c r="L181" i="1" a="1"/>
  <c r="L181" i="1" s="1"/>
  <c r="K181" i="1"/>
  <c r="J181" i="1"/>
  <c r="L180" i="1" a="1"/>
  <c r="L180" i="1" s="1"/>
  <c r="K180" i="1"/>
  <c r="J180" i="1"/>
  <c r="L179" i="1" a="1"/>
  <c r="L179" i="1" s="1"/>
  <c r="K179" i="1"/>
  <c r="J179" i="1"/>
  <c r="L178" i="1" a="1"/>
  <c r="L178" i="1" s="1"/>
  <c r="K178" i="1"/>
  <c r="J178" i="1"/>
  <c r="L177" i="1" a="1"/>
  <c r="L177" i="1" s="1"/>
  <c r="K177" i="1"/>
  <c r="J177" i="1"/>
  <c r="L176" i="1" a="1"/>
  <c r="L176" i="1" s="1"/>
  <c r="K176" i="1"/>
  <c r="J176" i="1"/>
  <c r="L175" i="1" a="1"/>
  <c r="L175" i="1" s="1"/>
  <c r="K175" i="1"/>
  <c r="J175" i="1"/>
  <c r="L174" i="1" a="1"/>
  <c r="L174" i="1" s="1"/>
  <c r="K174" i="1"/>
  <c r="J174" i="1"/>
  <c r="L173" i="1" a="1"/>
  <c r="L173" i="1" s="1"/>
  <c r="K173" i="1"/>
  <c r="J173" i="1"/>
  <c r="L172" i="1" a="1"/>
  <c r="L172" i="1" s="1"/>
  <c r="K172" i="1"/>
  <c r="J172" i="1"/>
  <c r="L171" i="1" a="1"/>
  <c r="L171" i="1" s="1"/>
  <c r="K171" i="1"/>
  <c r="J171" i="1"/>
  <c r="L170" i="1" a="1"/>
  <c r="L170" i="1" s="1"/>
  <c r="K170" i="1"/>
  <c r="J170" i="1"/>
  <c r="L169" i="1" a="1"/>
  <c r="L169" i="1" s="1"/>
  <c r="K169" i="1"/>
  <c r="J169" i="1"/>
  <c r="L168" i="1" a="1"/>
  <c r="L168" i="1" s="1"/>
  <c r="K168" i="1"/>
  <c r="J168" i="1"/>
  <c r="L167" i="1" a="1"/>
  <c r="L167" i="1" s="1"/>
  <c r="K167" i="1"/>
  <c r="J167" i="1"/>
  <c r="L166" i="1" a="1"/>
  <c r="L166" i="1" s="1"/>
  <c r="K166" i="1"/>
  <c r="J166" i="1"/>
  <c r="L165" i="1" a="1"/>
  <c r="L165" i="1" s="1"/>
  <c r="K165" i="1"/>
  <c r="J165" i="1"/>
  <c r="L164" i="1" a="1"/>
  <c r="L164" i="1" s="1"/>
  <c r="K164" i="1"/>
  <c r="J164" i="1"/>
  <c r="L163" i="1" a="1"/>
  <c r="L163" i="1" s="1"/>
  <c r="K163" i="1"/>
  <c r="J163" i="1"/>
  <c r="L162" i="1" a="1"/>
  <c r="L162" i="1" s="1"/>
  <c r="K162" i="1"/>
  <c r="J162" i="1"/>
  <c r="L161" i="1" a="1"/>
  <c r="L161" i="1" s="1"/>
  <c r="K161" i="1"/>
  <c r="J161" i="1"/>
  <c r="L160" i="1" a="1"/>
  <c r="L160" i="1" s="1"/>
  <c r="K160" i="1"/>
  <c r="J160" i="1"/>
  <c r="L159" i="1" a="1"/>
  <c r="L159" i="1" s="1"/>
  <c r="K159" i="1"/>
  <c r="J159" i="1"/>
  <c r="L158" i="1" a="1"/>
  <c r="L158" i="1" s="1"/>
  <c r="K158" i="1"/>
  <c r="J158" i="1"/>
  <c r="L157" i="1" a="1"/>
  <c r="L157" i="1" s="1"/>
  <c r="K157" i="1"/>
  <c r="J157" i="1"/>
  <c r="L156" i="1" a="1"/>
  <c r="L156" i="1" s="1"/>
  <c r="K156" i="1"/>
  <c r="J156" i="1"/>
  <c r="L155" i="1" a="1"/>
  <c r="L155" i="1" s="1"/>
  <c r="K155" i="1"/>
  <c r="J155" i="1"/>
  <c r="L154" i="1" a="1"/>
  <c r="L154" i="1" s="1"/>
  <c r="K154" i="1"/>
  <c r="J154" i="1"/>
  <c r="L153" i="1" a="1"/>
  <c r="L153" i="1" s="1"/>
  <c r="K153" i="1"/>
  <c r="J153" i="1"/>
  <c r="L152" i="1" a="1"/>
  <c r="L152" i="1" s="1"/>
  <c r="K152" i="1"/>
  <c r="J152" i="1"/>
  <c r="L151" i="1" a="1"/>
  <c r="L151" i="1" s="1"/>
  <c r="K151" i="1"/>
  <c r="J151" i="1"/>
  <c r="L150" i="1" a="1"/>
  <c r="L150" i="1" s="1"/>
  <c r="K150" i="1"/>
  <c r="J150" i="1"/>
  <c r="L149" i="1" a="1"/>
  <c r="L149" i="1" s="1"/>
  <c r="K149" i="1"/>
  <c r="J149" i="1"/>
  <c r="L148" i="1" a="1"/>
  <c r="L148" i="1" s="1"/>
  <c r="K148" i="1"/>
  <c r="J148" i="1"/>
  <c r="L147" i="1" a="1"/>
  <c r="L147" i="1" s="1"/>
  <c r="K147" i="1"/>
  <c r="J147" i="1"/>
  <c r="L146" i="1" a="1"/>
  <c r="L146" i="1" s="1"/>
  <c r="K146" i="1"/>
  <c r="J146" i="1"/>
  <c r="L145" i="1" a="1"/>
  <c r="L145" i="1" s="1"/>
  <c r="K145" i="1"/>
  <c r="J145" i="1"/>
  <c r="L144" i="1" a="1"/>
  <c r="L144" i="1" s="1"/>
  <c r="K144" i="1"/>
  <c r="J144" i="1"/>
  <c r="L143" i="1" a="1"/>
  <c r="L143" i="1" s="1"/>
  <c r="K143" i="1"/>
  <c r="J143" i="1"/>
  <c r="L142" i="1" a="1"/>
  <c r="L142" i="1" s="1"/>
  <c r="K142" i="1"/>
  <c r="J142" i="1"/>
  <c r="L141" i="1" a="1"/>
  <c r="L141" i="1" s="1"/>
  <c r="K141" i="1"/>
  <c r="J141" i="1"/>
  <c r="L140" i="1" a="1"/>
  <c r="L140" i="1" s="1"/>
  <c r="K140" i="1"/>
  <c r="J140" i="1"/>
  <c r="L139" i="1" a="1"/>
  <c r="L139" i="1" s="1"/>
  <c r="K139" i="1"/>
  <c r="J139" i="1"/>
  <c r="L138" i="1" a="1"/>
  <c r="L138" i="1" s="1"/>
  <c r="K138" i="1"/>
  <c r="J138" i="1"/>
  <c r="L137" i="1" a="1"/>
  <c r="L137" i="1" s="1"/>
  <c r="K137" i="1"/>
  <c r="J137" i="1"/>
  <c r="L136" i="1" a="1"/>
  <c r="L136" i="1" s="1"/>
  <c r="K136" i="1"/>
  <c r="J136" i="1"/>
  <c r="L135" i="1" a="1"/>
  <c r="L135" i="1" s="1"/>
  <c r="K135" i="1"/>
  <c r="J135" i="1"/>
  <c r="L134" i="1" a="1"/>
  <c r="L134" i="1" s="1"/>
  <c r="K134" i="1"/>
  <c r="J134" i="1"/>
  <c r="L133" i="1" a="1"/>
  <c r="L133" i="1" s="1"/>
  <c r="K133" i="1"/>
  <c r="J133" i="1"/>
  <c r="L132" i="1" a="1"/>
  <c r="L132" i="1" s="1"/>
  <c r="K132" i="1"/>
  <c r="J132" i="1"/>
  <c r="L131" i="1" a="1"/>
  <c r="L131" i="1" s="1"/>
  <c r="K131" i="1"/>
  <c r="J131" i="1"/>
  <c r="L130" i="1" a="1"/>
  <c r="L130" i="1" s="1"/>
  <c r="K130" i="1"/>
  <c r="J130" i="1"/>
  <c r="L129" i="1" a="1"/>
  <c r="L129" i="1" s="1"/>
  <c r="K129" i="1"/>
  <c r="J129" i="1"/>
  <c r="L128" i="1" a="1"/>
  <c r="L128" i="1" s="1"/>
  <c r="K128" i="1"/>
  <c r="J128" i="1"/>
  <c r="L127" i="1" a="1"/>
  <c r="L127" i="1" s="1"/>
  <c r="K127" i="1"/>
  <c r="J127" i="1"/>
  <c r="L126" i="1" a="1"/>
  <c r="L126" i="1" s="1"/>
  <c r="K126" i="1"/>
  <c r="J126" i="1"/>
  <c r="L125" i="1" a="1"/>
  <c r="L125" i="1" s="1"/>
  <c r="K125" i="1"/>
  <c r="J125" i="1"/>
  <c r="L124" i="1" a="1"/>
  <c r="L124" i="1" s="1"/>
  <c r="K124" i="1"/>
  <c r="J124" i="1"/>
  <c r="L123" i="1" a="1"/>
  <c r="L123" i="1" s="1"/>
  <c r="K123" i="1"/>
  <c r="J123" i="1"/>
  <c r="L122" i="1" a="1"/>
  <c r="L122" i="1" s="1"/>
  <c r="K122" i="1"/>
  <c r="J122" i="1"/>
  <c r="L121" i="1" a="1"/>
  <c r="L121" i="1" s="1"/>
  <c r="K121" i="1"/>
  <c r="J121" i="1"/>
  <c r="L120" i="1" a="1"/>
  <c r="L120" i="1" s="1"/>
  <c r="K120" i="1"/>
  <c r="J120" i="1"/>
  <c r="L119" i="1" a="1"/>
  <c r="L119" i="1" s="1"/>
  <c r="K119" i="1"/>
  <c r="J119" i="1"/>
  <c r="L118" i="1" a="1"/>
  <c r="L118" i="1" s="1"/>
  <c r="K118" i="1"/>
  <c r="J118" i="1"/>
  <c r="L117" i="1" a="1"/>
  <c r="L117" i="1" s="1"/>
  <c r="K117" i="1"/>
  <c r="J117" i="1"/>
  <c r="L116" i="1" a="1"/>
  <c r="L116" i="1" s="1"/>
  <c r="K116" i="1"/>
  <c r="J116" i="1"/>
  <c r="L115" i="1" a="1"/>
  <c r="L115" i="1" s="1"/>
  <c r="K115" i="1"/>
  <c r="J115" i="1"/>
  <c r="L114" i="1" a="1"/>
  <c r="L114" i="1" s="1"/>
  <c r="K114" i="1"/>
  <c r="J114" i="1"/>
  <c r="L113" i="1" a="1"/>
  <c r="L113" i="1" s="1"/>
  <c r="K113" i="1"/>
  <c r="J113" i="1"/>
  <c r="L112" i="1" a="1"/>
  <c r="L112" i="1" s="1"/>
  <c r="K112" i="1"/>
  <c r="J112" i="1"/>
  <c r="L111" i="1" a="1"/>
  <c r="L111" i="1" s="1"/>
  <c r="K111" i="1"/>
  <c r="J111" i="1"/>
  <c r="L110" i="1" a="1"/>
  <c r="L110" i="1" s="1"/>
  <c r="K110" i="1"/>
  <c r="J110" i="1"/>
  <c r="L109" i="1" a="1"/>
  <c r="L109" i="1" s="1"/>
  <c r="K109" i="1"/>
  <c r="J109" i="1"/>
  <c r="L108" i="1" a="1"/>
  <c r="L108" i="1" s="1"/>
  <c r="K108" i="1"/>
  <c r="J108" i="1"/>
  <c r="L107" i="1" a="1"/>
  <c r="L107" i="1" s="1"/>
  <c r="K107" i="1"/>
  <c r="J107" i="1"/>
  <c r="L106" i="1" a="1"/>
  <c r="L106" i="1" s="1"/>
  <c r="K106" i="1"/>
  <c r="J106" i="1"/>
  <c r="L105" i="1" a="1"/>
  <c r="L105" i="1" s="1"/>
  <c r="K105" i="1"/>
  <c r="J105" i="1"/>
  <c r="L104" i="1" a="1"/>
  <c r="L104" i="1" s="1"/>
  <c r="K104" i="1"/>
  <c r="J104" i="1"/>
  <c r="L103" i="1" a="1"/>
  <c r="L103" i="1" s="1"/>
  <c r="K103" i="1"/>
  <c r="J103" i="1"/>
  <c r="L102" i="1" a="1"/>
  <c r="L102" i="1" s="1"/>
  <c r="K102" i="1"/>
  <c r="J102" i="1"/>
  <c r="L101" i="1" a="1"/>
  <c r="L101" i="1" s="1"/>
  <c r="K101" i="1"/>
  <c r="J101" i="1"/>
  <c r="L100" i="1" a="1"/>
  <c r="L100" i="1" s="1"/>
  <c r="K100" i="1"/>
  <c r="J100" i="1"/>
  <c r="L99" i="1" a="1"/>
  <c r="L99" i="1" s="1"/>
  <c r="K99" i="1"/>
  <c r="J99" i="1"/>
  <c r="L98" i="1" a="1"/>
  <c r="L98" i="1" s="1"/>
  <c r="K98" i="1"/>
  <c r="J98" i="1"/>
  <c r="L97" i="1" a="1"/>
  <c r="L97" i="1" s="1"/>
  <c r="K97" i="1"/>
  <c r="J97" i="1"/>
  <c r="L96" i="1" a="1"/>
  <c r="L96" i="1" s="1"/>
  <c r="K96" i="1"/>
  <c r="J96" i="1"/>
  <c r="L95" i="1" a="1"/>
  <c r="L95" i="1" s="1"/>
  <c r="K95" i="1"/>
  <c r="J95" i="1"/>
  <c r="L94" i="1" a="1"/>
  <c r="L94" i="1" s="1"/>
  <c r="K94" i="1"/>
  <c r="J94" i="1"/>
  <c r="L93" i="1" a="1"/>
  <c r="L93" i="1" s="1"/>
  <c r="K93" i="1"/>
  <c r="J93" i="1"/>
  <c r="L92" i="1" a="1"/>
  <c r="L92" i="1" s="1"/>
  <c r="K92" i="1"/>
  <c r="J92" i="1"/>
  <c r="L91" i="1" a="1"/>
  <c r="L91" i="1" s="1"/>
  <c r="K91" i="1"/>
  <c r="J91" i="1"/>
  <c r="L90" i="1" a="1"/>
  <c r="L90" i="1" s="1"/>
  <c r="K90" i="1"/>
  <c r="J90" i="1"/>
  <c r="L89" i="1" a="1"/>
  <c r="L89" i="1" s="1"/>
  <c r="K89" i="1"/>
  <c r="J89" i="1"/>
  <c r="L88" i="1" a="1"/>
  <c r="L88" i="1" s="1"/>
  <c r="K88" i="1"/>
  <c r="J88" i="1"/>
  <c r="L87" i="1" a="1"/>
  <c r="L87" i="1" s="1"/>
  <c r="K87" i="1"/>
  <c r="J87" i="1"/>
  <c r="L86" i="1" a="1"/>
  <c r="L86" i="1" s="1"/>
  <c r="K86" i="1"/>
  <c r="J86" i="1"/>
  <c r="L85" i="1" a="1"/>
  <c r="L85" i="1" s="1"/>
  <c r="K85" i="1"/>
  <c r="J85" i="1"/>
  <c r="L84" i="1" a="1"/>
  <c r="L84" i="1" s="1"/>
  <c r="K84" i="1"/>
  <c r="J84" i="1"/>
  <c r="L83" i="1" a="1"/>
  <c r="L83" i="1" s="1"/>
  <c r="K83" i="1"/>
  <c r="J83" i="1"/>
  <c r="L82" i="1" a="1"/>
  <c r="L82" i="1" s="1"/>
  <c r="K82" i="1"/>
  <c r="J82" i="1"/>
  <c r="L81" i="1" a="1"/>
  <c r="L81" i="1" s="1"/>
  <c r="K81" i="1"/>
  <c r="J81" i="1"/>
  <c r="L80" i="1" a="1"/>
  <c r="L80" i="1" s="1"/>
  <c r="K80" i="1"/>
  <c r="J80" i="1"/>
  <c r="L79" i="1" a="1"/>
  <c r="L79" i="1" s="1"/>
  <c r="K79" i="1"/>
  <c r="J79" i="1"/>
  <c r="L78" i="1" a="1"/>
  <c r="L78" i="1" s="1"/>
  <c r="K78" i="1"/>
  <c r="J78" i="1"/>
  <c r="L77" i="1" a="1"/>
  <c r="L77" i="1" s="1"/>
  <c r="K77" i="1"/>
  <c r="J77" i="1"/>
  <c r="L76" i="1" a="1"/>
  <c r="L76" i="1" s="1"/>
  <c r="K76" i="1"/>
  <c r="J76" i="1"/>
  <c r="L75" i="1" a="1"/>
  <c r="L75" i="1" s="1"/>
  <c r="K75" i="1"/>
  <c r="J75" i="1"/>
  <c r="L74" i="1" a="1"/>
  <c r="L74" i="1" s="1"/>
  <c r="K74" i="1"/>
  <c r="J74" i="1"/>
  <c r="L73" i="1" a="1"/>
  <c r="L73" i="1" s="1"/>
  <c r="K73" i="1"/>
  <c r="J73" i="1"/>
  <c r="L72" i="1" a="1"/>
  <c r="L72" i="1" s="1"/>
  <c r="K72" i="1"/>
  <c r="J72" i="1"/>
  <c r="L71" i="1" a="1"/>
  <c r="L71" i="1" s="1"/>
  <c r="K71" i="1"/>
  <c r="J71" i="1"/>
  <c r="L70" i="1" a="1"/>
  <c r="L70" i="1" s="1"/>
  <c r="K70" i="1"/>
  <c r="J70" i="1"/>
  <c r="L69" i="1" a="1"/>
  <c r="L69" i="1" s="1"/>
  <c r="K69" i="1"/>
  <c r="J69" i="1"/>
  <c r="L68" i="1" a="1"/>
  <c r="L68" i="1" s="1"/>
  <c r="K68" i="1"/>
  <c r="J68" i="1"/>
  <c r="L67" i="1" a="1"/>
  <c r="L67" i="1" s="1"/>
  <c r="K67" i="1"/>
  <c r="J67" i="1"/>
  <c r="L66" i="1" a="1"/>
  <c r="L66" i="1" s="1"/>
  <c r="K66" i="1"/>
  <c r="J66" i="1"/>
  <c r="L65" i="1" a="1"/>
  <c r="L65" i="1" s="1"/>
  <c r="K65" i="1"/>
  <c r="J65" i="1"/>
  <c r="L64" i="1" a="1"/>
  <c r="L64" i="1" s="1"/>
  <c r="K64" i="1"/>
  <c r="J64" i="1"/>
  <c r="L63" i="1" a="1"/>
  <c r="L63" i="1" s="1"/>
  <c r="K63" i="1"/>
  <c r="J63" i="1"/>
  <c r="L62" i="1" a="1"/>
  <c r="L62" i="1" s="1"/>
  <c r="K62" i="1"/>
  <c r="J62" i="1"/>
  <c r="L61" i="1" a="1"/>
  <c r="L61" i="1" s="1"/>
  <c r="K61" i="1"/>
  <c r="J61" i="1"/>
  <c r="L60" i="1" a="1"/>
  <c r="L60" i="1" s="1"/>
  <c r="K60" i="1"/>
  <c r="J60" i="1"/>
  <c r="L59" i="1" a="1"/>
  <c r="L59" i="1" s="1"/>
  <c r="K59" i="1"/>
  <c r="J59" i="1"/>
  <c r="L58" i="1" a="1"/>
  <c r="L58" i="1" s="1"/>
  <c r="K58" i="1"/>
  <c r="J58" i="1"/>
  <c r="L57" i="1" a="1"/>
  <c r="L57" i="1" s="1"/>
  <c r="K57" i="1"/>
  <c r="J57" i="1"/>
  <c r="L56" i="1" a="1"/>
  <c r="L56" i="1" s="1"/>
  <c r="K56" i="1"/>
  <c r="J56" i="1"/>
  <c r="L55" i="1" a="1"/>
  <c r="L55" i="1" s="1"/>
  <c r="K55" i="1"/>
  <c r="J55" i="1"/>
  <c r="L54" i="1" a="1"/>
  <c r="L54" i="1" s="1"/>
  <c r="K54" i="1"/>
  <c r="J54" i="1"/>
  <c r="L53" i="1" a="1"/>
  <c r="L53" i="1" s="1"/>
  <c r="K53" i="1"/>
  <c r="J53" i="1"/>
  <c r="L52" i="1" a="1"/>
  <c r="L52" i="1" s="1"/>
  <c r="K52" i="1"/>
  <c r="J52" i="1"/>
  <c r="L51" i="1" a="1"/>
  <c r="L51" i="1" s="1"/>
  <c r="K51" i="1"/>
  <c r="J51" i="1"/>
  <c r="L50" i="1" a="1"/>
  <c r="L50" i="1" s="1"/>
  <c r="K50" i="1"/>
  <c r="J50" i="1"/>
  <c r="L49" i="1" a="1"/>
  <c r="L49" i="1" s="1"/>
  <c r="K49" i="1"/>
  <c r="J49" i="1"/>
  <c r="L48" i="1" a="1"/>
  <c r="L48" i="1" s="1"/>
  <c r="K48" i="1"/>
  <c r="J48" i="1"/>
  <c r="L47" i="1" a="1"/>
  <c r="L47" i="1" s="1"/>
  <c r="K47" i="1"/>
  <c r="J47" i="1"/>
  <c r="L46" i="1" a="1"/>
  <c r="L46" i="1" s="1"/>
  <c r="K46" i="1"/>
  <c r="J46" i="1"/>
  <c r="L45" i="1" a="1"/>
  <c r="L45" i="1" s="1"/>
  <c r="K45" i="1"/>
  <c r="J45" i="1"/>
  <c r="L44" i="1" a="1"/>
  <c r="L44" i="1" s="1"/>
  <c r="K44" i="1"/>
  <c r="J44" i="1"/>
  <c r="L43" i="1" a="1"/>
  <c r="L43" i="1" s="1"/>
  <c r="K43" i="1"/>
  <c r="J43" i="1"/>
  <c r="L42" i="1" a="1"/>
  <c r="L42" i="1" s="1"/>
  <c r="K42" i="1"/>
  <c r="J42" i="1"/>
  <c r="L41" i="1" a="1"/>
  <c r="L41" i="1" s="1"/>
  <c r="K41" i="1"/>
  <c r="J41" i="1"/>
  <c r="L40" i="1" a="1"/>
  <c r="L40" i="1" s="1"/>
  <c r="K40" i="1"/>
  <c r="J40" i="1"/>
  <c r="L39" i="1" a="1"/>
  <c r="L39" i="1" s="1"/>
  <c r="K39" i="1"/>
  <c r="J39" i="1"/>
  <c r="L38" i="1" a="1"/>
  <c r="L38" i="1" s="1"/>
  <c r="K38" i="1"/>
  <c r="J38" i="1"/>
  <c r="L37" i="1" a="1"/>
  <c r="L37" i="1" s="1"/>
  <c r="K37" i="1"/>
  <c r="J37" i="1"/>
  <c r="L36" i="1" a="1"/>
  <c r="L36" i="1" s="1"/>
  <c r="K36" i="1"/>
  <c r="J36" i="1"/>
  <c r="L35" i="1" a="1"/>
  <c r="L35" i="1" s="1"/>
  <c r="K35" i="1"/>
  <c r="J35" i="1"/>
  <c r="L34" i="1" a="1"/>
  <c r="L34" i="1" s="1"/>
  <c r="K34" i="1"/>
  <c r="J34" i="1"/>
  <c r="L33" i="1" a="1"/>
  <c r="L33" i="1" s="1"/>
  <c r="K33" i="1"/>
  <c r="J33" i="1"/>
  <c r="L32" i="1" a="1"/>
  <c r="L32" i="1" s="1"/>
  <c r="K32" i="1"/>
  <c r="J32" i="1"/>
  <c r="L31" i="1" a="1"/>
  <c r="L31" i="1" s="1"/>
  <c r="K31" i="1"/>
  <c r="J31" i="1"/>
  <c r="L30" i="1" a="1"/>
  <c r="L30" i="1" s="1"/>
  <c r="K30" i="1"/>
  <c r="J30" i="1"/>
  <c r="L29" i="1" a="1"/>
  <c r="L29" i="1" s="1"/>
  <c r="K29" i="1"/>
  <c r="J29" i="1"/>
  <c r="L28" i="1" a="1"/>
  <c r="L28" i="1" s="1"/>
  <c r="K28" i="1"/>
  <c r="J28" i="1"/>
  <c r="L27" i="1" a="1"/>
  <c r="L27" i="1" s="1"/>
  <c r="K27" i="1"/>
  <c r="J27" i="1"/>
  <c r="L26" i="1" a="1"/>
  <c r="L26" i="1" s="1"/>
  <c r="K26" i="1"/>
  <c r="J26" i="1"/>
  <c r="L25" i="1" a="1"/>
  <c r="L25" i="1" s="1"/>
  <c r="K25" i="1"/>
  <c r="J25" i="1"/>
  <c r="L24" i="1" a="1"/>
  <c r="L24" i="1" s="1"/>
  <c r="K24" i="1"/>
  <c r="J24" i="1"/>
  <c r="L23" i="1" a="1"/>
  <c r="L23" i="1" s="1"/>
  <c r="K23" i="1"/>
  <c r="J23" i="1"/>
  <c r="L22" i="1" a="1"/>
  <c r="L22" i="1" s="1"/>
  <c r="K22" i="1"/>
  <c r="J22" i="1"/>
  <c r="L21" i="1" a="1"/>
  <c r="L21" i="1" s="1"/>
  <c r="K21" i="1"/>
  <c r="J21" i="1"/>
  <c r="L20" i="1" a="1"/>
  <c r="L20" i="1" s="1"/>
  <c r="K20" i="1"/>
  <c r="J20" i="1"/>
  <c r="L19" i="1" a="1"/>
  <c r="L19" i="1" s="1"/>
  <c r="K19" i="1"/>
  <c r="J19" i="1"/>
  <c r="L18" i="1" a="1"/>
  <c r="L18" i="1" s="1"/>
  <c r="K18" i="1"/>
  <c r="J18" i="1"/>
  <c r="L17" i="1" a="1"/>
  <c r="L17" i="1" s="1"/>
  <c r="K17" i="1"/>
  <c r="J17" i="1"/>
  <c r="L16" i="1" a="1"/>
  <c r="L16" i="1" s="1"/>
  <c r="K16" i="1"/>
  <c r="J16" i="1"/>
  <c r="L15" i="1" a="1"/>
  <c r="L15" i="1" s="1"/>
  <c r="K15" i="1"/>
  <c r="J15" i="1"/>
  <c r="L14" i="1" a="1"/>
  <c r="L14" i="1" s="1"/>
  <c r="K14" i="1"/>
  <c r="J14" i="1"/>
  <c r="L13" i="1" a="1"/>
  <c r="L13" i="1" s="1"/>
  <c r="K13" i="1"/>
  <c r="J13" i="1"/>
  <c r="L12" i="1" a="1"/>
  <c r="L12" i="1" s="1"/>
  <c r="K12" i="1"/>
  <c r="J12" i="1"/>
  <c r="L11" i="1" a="1"/>
  <c r="L11" i="1" s="1"/>
  <c r="K11" i="1"/>
  <c r="J11" i="1"/>
  <c r="L10" i="1" a="1"/>
  <c r="L10" i="1" s="1"/>
  <c r="K10" i="1"/>
  <c r="J10" i="1"/>
  <c r="L9" i="1" a="1"/>
  <c r="L9" i="1" s="1"/>
  <c r="K9" i="1"/>
  <c r="J9" i="1"/>
  <c r="L8" i="1" a="1"/>
  <c r="L8" i="1" s="1"/>
  <c r="K8" i="1"/>
  <c r="J8" i="1"/>
  <c r="L7" i="1" a="1"/>
  <c r="L7" i="1" s="1"/>
  <c r="K7" i="1"/>
  <c r="J7" i="1"/>
  <c r="L6" i="1" a="1"/>
  <c r="L6" i="1" s="1"/>
  <c r="K6" i="1"/>
  <c r="J6" i="1"/>
  <c r="L5" i="1" a="1"/>
  <c r="L5" i="1" s="1"/>
  <c r="K5" i="1"/>
  <c r="J5" i="1"/>
  <c r="L4" i="1" a="1"/>
  <c r="L4" i="1" s="1"/>
  <c r="K4" i="1"/>
  <c r="J4" i="1"/>
  <c r="L3" i="1" a="1"/>
  <c r="L3" i="1" s="1"/>
  <c r="K3" i="1"/>
  <c r="J3" i="1"/>
  <c r="L2" i="1" a="1"/>
  <c r="L2" i="1" s="1"/>
  <c r="K2" i="1"/>
  <c r="J2" i="1"/>
  <c r="E215" i="6"/>
  <c r="E264" i="6"/>
  <c r="E271" i="6"/>
  <c r="E217" i="6"/>
  <c r="E226" i="6"/>
  <c r="E222" i="6"/>
  <c r="E268" i="6"/>
  <c r="E250" i="6"/>
  <c r="E246" i="6"/>
  <c r="E236" i="6"/>
  <c r="E243" i="6"/>
  <c r="E266" i="6"/>
  <c r="E227" i="6"/>
  <c r="N4" i="6"/>
  <c r="E238" i="6"/>
  <c r="E234" i="6"/>
  <c r="E259" i="6"/>
  <c r="E258" i="6"/>
  <c r="E221" i="6"/>
  <c r="E239" i="6"/>
  <c r="E251" i="6"/>
  <c r="E263" i="6"/>
  <c r="E229" i="6"/>
  <c r="E241" i="6"/>
  <c r="E253" i="6"/>
  <c r="E242" i="6"/>
  <c r="E255" i="6"/>
  <c r="E233" i="6"/>
  <c r="E223" i="6"/>
  <c r="E254" i="6"/>
  <c r="E267" i="6"/>
  <c r="E245" i="6"/>
  <c r="E224" i="6"/>
  <c r="E214" i="6"/>
  <c r="E235" i="6"/>
  <c r="E257" i="6"/>
  <c r="E225" i="6"/>
  <c r="M174" i="6"/>
  <c r="E260" i="6"/>
  <c r="E269" i="6"/>
  <c r="E237" i="6"/>
  <c r="N145" i="6"/>
  <c r="E252" i="6"/>
  <c r="E220" i="6"/>
  <c r="E247" i="6"/>
  <c r="E249" i="6"/>
  <c r="C120" i="6"/>
  <c r="E232" i="6"/>
  <c r="E261" i="6"/>
  <c r="O4" i="6"/>
  <c r="E244" i="6"/>
  <c r="E248" i="6"/>
  <c r="E265" i="6"/>
  <c r="E256" i="6"/>
  <c r="P4" i="6"/>
  <c r="E218" i="6"/>
  <c r="E219" i="6"/>
  <c r="E262" i="6"/>
  <c r="E231" i="6"/>
  <c r="E230" i="6"/>
  <c r="E270" i="6"/>
  <c r="E216" i="6"/>
  <c r="E228" i="6"/>
  <c r="E240"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<sst xmlns="http://schemas.openxmlformats.org/spreadsheetml/2006/main" count="14699" uniqueCount="2534">
  <si>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</si>
  <si>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</si>
  <si>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</si>
  <si>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</si>
  <si>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</si>
  <si>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</si>
  <si>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</si>
  <si>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</si>
  <si>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</si>
  <si>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</si>
  <si>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</si>
  <si>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</si>
  <si>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</si>
  <si>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</si>
  <si>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</si>
  <si>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</si>
  <si>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</si>
  <si>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</si>
  <si>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</si>
  <si>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</si>
  <si>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</si>
  <si>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</si>
  <si>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</si>
  <si>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</si>
  <si>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</si>
  <si>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</si>
  <si>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</si>
  <si>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</si>
  <si>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</si>
  <si>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</si>
  <si>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</si>
  <si>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</si>
  <si>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</si>
  <si>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</si>
  <si>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</si>
  <si>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</si>
  <si>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</si>
  <si>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</si>
  <si>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</si>
  <si>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</si>
  <si>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</si>
  <si>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</si>
  <si>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</si>
  <si>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</si>
  <si>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</si>
  <si>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</si>
  <si>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</si>
  <si>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</si>
  <si>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</si>
  <si>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</si>
  <si>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</si>
  <si>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</si>
  <si>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</si>
  <si>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</si>
  <si>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</si>
  <si>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</si>
  <si>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</si>
  <si>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</si>
  <si>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</si>
  <si>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</si>
  <si>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</si>
  <si>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</si>
  <si>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</si>
  <si>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</si>
  <si>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</si>
  <si>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</si>
  <si>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</si>
  <si>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</si>
  <si>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</si>
  <si>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</si>
  <si>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</si>
  <si>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</si>
  <si>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</si>
  <si>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</si>
  <si>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</si>
  <si>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</si>
  <si>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</si>
  <si>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</si>
  <si>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</si>
  <si>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</si>
  <si>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</si>
  <si>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</si>
  <si>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</si>
  <si>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</si>
  <si>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</si>
  <si>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</si>
  <si>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</si>
  <si>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</si>
  <si>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</si>
  <si>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</si>
  <si>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</si>
  <si>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</si>
  <si>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</si>
  <si>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</si>
  <si>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</si>
  <si>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</si>
  <si>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</si>
  <si>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</si>
  <si>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</si>
  <si>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</si>
  <si>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</si>
  <si>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</si>
  <si>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</si>
  <si>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</si>
  <si>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</si>
  <si>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</si>
  <si>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</si>
  <si>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</si>
  <si>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</si>
  <si>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</si>
  <si>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</si>
  <si>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</si>
  <si>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</si>
  <si>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</si>
  <si>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</si>
  <si>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</si>
  <si>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</si>
  <si>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</si>
  <si>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</si>
  <si>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</si>
  <si>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</si>
  <si>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</si>
  <si>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</si>
  <si>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</si>
  <si>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</si>
  <si>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</si>
  <si>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</si>
  <si>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</si>
  <si>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</si>
  <si>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</si>
  <si>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</si>
  <si>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</si>
  <si>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</si>
  <si>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</si>
  <si>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</si>
  <si>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</si>
  <si>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</si>
  <si>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</si>
  <si>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</si>
  <si>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</si>
  <si>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</si>
  <si>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</si>
  <si>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</si>
  <si>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</si>
  <si>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</si>
  <si>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</si>
  <si>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</si>
  <si>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</si>
  <si>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</si>
  <si>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</si>
  <si>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</si>
  <si>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</si>
  <si>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</si>
  <si>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</si>
  <si>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</si>
  <si>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</si>
  <si>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</si>
  <si>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</si>
  <si>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</si>
  <si>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</si>
  <si>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</si>
  <si>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</si>
  <si>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</si>
  <si>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</si>
  <si>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</si>
  <si>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</si>
  <si>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</si>
  <si>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</si>
  <si>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</si>
  <si>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</si>
  <si>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</si>
  <si>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</si>
  <si>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</si>
  <si>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</si>
  <si>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</si>
  <si>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</si>
  <si>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</si>
  <si>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</si>
  <si>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</si>
  <si>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</si>
  <si>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</si>
  <si>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</si>
  <si>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</si>
  <si>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</si>
  <si>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</si>
  <si>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</si>
  <si>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</si>
  <si>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</si>
  <si>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</si>
  <si>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</si>
  <si>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</si>
  <si>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</si>
  <si>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</si>
  <si>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</si>
  <si>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</si>
  <si>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</si>
  <si>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</si>
  <si>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</si>
  <si>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</si>
  <si>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</si>
  <si>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</si>
  <si>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</si>
  <si>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</si>
  <si>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</si>
  <si>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</si>
  <si>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</si>
  <si>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</si>
  <si>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</si>
  <si>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</si>
  <si>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</si>
  <si>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</si>
  <si>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</si>
  <si>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</si>
  <si>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</si>
  <si>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</si>
  <si>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</si>
  <si>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</si>
  <si>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</si>
  <si>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</si>
  <si>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</si>
  <si>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</si>
  <si>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</si>
  <si>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</si>
  <si>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</si>
  <si>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</si>
  <si>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</si>
  <si>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</si>
  <si>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</si>
  <si>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</si>
  <si>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</si>
  <si>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</si>
  <si>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</si>
  <si>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</si>
  <si>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</si>
  <si>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</si>
  <si>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</si>
  <si>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</si>
  <si>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</si>
  <si>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</si>
  <si>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</si>
  <si>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</si>
  <si>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</si>
  <si>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</si>
  <si>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</si>
  <si>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</si>
  <si>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</si>
  <si>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</si>
  <si>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</si>
  <si>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</si>
  <si>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</si>
  <si>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</si>
  <si>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</si>
  <si>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</si>
  <si>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</si>
  <si>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</si>
  <si>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</si>
  <si>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</si>
  <si>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</si>
  <si>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</si>
  <si>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</si>
  <si>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</si>
  <si>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</si>
  <si>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</si>
  <si>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</si>
  <si>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</si>
  <si>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</si>
  <si>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</si>
  <si>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</si>
  <si>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</si>
  <si>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</si>
  <si>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</si>
  <si>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</si>
  <si>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</si>
  <si>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</si>
  <si>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</si>
  <si>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</si>
  <si>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</si>
  <si>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</si>
  <si>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</si>
  <si>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</si>
  <si>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</si>
  <si>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</si>
  <si>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</si>
  <si>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</si>
  <si>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</si>
  <si>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</si>
  <si>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</si>
  <si>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</si>
  <si>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</si>
  <si>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</si>
  <si>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</si>
  <si>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</si>
  <si>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</si>
  <si>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</si>
  <si>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</si>
  <si>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</si>
  <si>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</si>
  <si>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</si>
  <si>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</si>
  <si>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</si>
  <si>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</si>
  <si>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</si>
  <si>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</si>
  <si>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</si>
  <si>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</si>
  <si>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</si>
  <si>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</si>
  <si>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</si>
  <si>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</si>
  <si>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</si>
  <si>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</si>
  <si>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</si>
  <si>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</si>
  <si>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</si>
  <si>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</si>
  <si>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</si>
  <si>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</si>
  <si>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</si>
  <si>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</si>
  <si>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</si>
  <si>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</si>
  <si>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</si>
  <si>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</si>
  <si>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</si>
  <si>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</si>
  <si>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</si>
  <si>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</si>
  <si>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</si>
  <si>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</si>
  <si>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</si>
  <si>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</si>
  <si>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</si>
  <si>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</si>
  <si>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</si>
  <si>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</si>
  <si>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</si>
  <si>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</si>
  <si>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</si>
  <si>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</si>
  <si>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</si>
  <si>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</si>
  <si>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</si>
  <si>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</si>
  <si>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</si>
  <si>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</si>
  <si>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</si>
  <si>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</si>
  <si>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</si>
  <si>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</si>
  <si>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</si>
  <si>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</si>
  <si>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</si>
  <si>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</si>
  <si>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</si>
  <si>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</si>
  <si>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</si>
  <si>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</si>
  <si>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</si>
  <si>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</si>
  <si>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</si>
  <si>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</si>
  <si>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</si>
  <si>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</si>
  <si>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</si>
  <si>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</si>
  <si>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</si>
  <si>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</si>
  <si>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</si>
  <si>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</si>
  <si>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</si>
  <si>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</si>
  <si>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</si>
  <si>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</si>
  <si>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</si>
  <si>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</si>
  <si>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</si>
  <si>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</si>
  <si>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</si>
  <si>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</si>
  <si>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</si>
  <si>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</si>
  <si>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</si>
  <si>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</si>
  <si>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</si>
  <si>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</si>
  <si>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</si>
  <si>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</si>
  <si>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</si>
  <si>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</si>
  <si>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</si>
  <si>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</si>
  <si>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</si>
  <si>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</si>
  <si>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</si>
  <si>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</si>
  <si>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</si>
  <si>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</si>
  <si>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</si>
  <si>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</si>
  <si>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</si>
  <si>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</si>
  <si>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</si>
  <si>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</si>
  <si>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</si>
  <si>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</si>
  <si>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</si>
  <si>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</si>
  <si>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</si>
  <si>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</si>
  <si>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</si>
  <si>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</si>
  <si>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</si>
  <si>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</si>
  <si>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</si>
  <si>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</si>
  <si>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</si>
  <si>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</si>
  <si>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</si>
  <si>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</si>
  <si>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</si>
  <si>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</si>
  <si>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</si>
  <si>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</si>
  <si>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</si>
  <si>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</si>
  <si>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</si>
  <si>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</si>
  <si>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</si>
  <si>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</si>
  <si>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</si>
  <si>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</si>
  <si>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</si>
  <si>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</si>
  <si>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</si>
  <si>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</si>
  <si>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</si>
  <si>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</si>
  <si>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</si>
  <si>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</si>
  <si>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</si>
  <si>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</si>
  <si>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</si>
  <si>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</si>
  <si>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</si>
  <si>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</si>
  <si>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</si>
  <si>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</si>
  <si>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</si>
  <si>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</si>
  <si>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</si>
  <si>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</si>
  <si>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</si>
  <si>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</si>
  <si>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</si>
  <si>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</si>
  <si>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</si>
  <si>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</si>
  <si>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</si>
  <si>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</si>
  <si>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</si>
  <si>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</si>
  <si>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</si>
  <si>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</si>
  <si>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</si>
  <si>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</si>
  <si>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</si>
  <si>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</si>
  <si>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</si>
  <si>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</si>
  <si>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</si>
  <si>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</si>
  <si>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</si>
  <si>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</si>
  <si>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</si>
  <si>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</si>
  <si>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</si>
  <si>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</si>
  <si>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</si>
  <si>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</si>
  <si>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</si>
  <si>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</si>
  <si>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</si>
  <si>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</si>
  <si>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</si>
  <si>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</si>
  <si>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</si>
  <si>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</si>
  <si>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</si>
  <si>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</si>
  <si>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</si>
  <si>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</si>
  <si>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</si>
  <si>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</si>
  <si>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</si>
  <si>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</si>
  <si>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</si>
  <si>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</si>
  <si>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</si>
  <si>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</si>
  <si>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</si>
  <si>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</si>
  <si>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</si>
  <si>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</si>
  <si>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</si>
  <si>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</si>
  <si>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</si>
  <si>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</si>
  <si>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</si>
  <si>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</si>
  <si>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</si>
  <si>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</si>
  <si>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</si>
  <si>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</si>
  <si>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</si>
  <si>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</si>
  <si>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</si>
  <si>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</si>
  <si>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</si>
  <si>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</si>
  <si>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</si>
  <si>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</si>
  <si>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</si>
  <si>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</si>
  <si>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</si>
  <si>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</si>
  <si>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</si>
  <si>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</si>
  <si>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</si>
  <si>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</si>
  <si>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</si>
  <si>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</si>
  <si>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</si>
  <si>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</si>
  <si>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</si>
  <si>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</si>
  <si>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</si>
  <si>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</si>
  <si>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</si>
  <si>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</si>
  <si>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</si>
  <si>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</si>
  <si>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</si>
  <si>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</si>
  <si>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</si>
  <si>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</si>
  <si>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</si>
  <si>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</si>
  <si>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</si>
  <si>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</si>
  <si>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</si>
  <si>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</si>
  <si>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</si>
  <si>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</si>
  <si>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</si>
  <si>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</si>
  <si>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</si>
  <si>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</si>
  <si>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</si>
  <si>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</si>
  <si>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</si>
  <si>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</si>
  <si>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</si>
  <si>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</si>
  <si>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</si>
  <si>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</si>
  <si>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</si>
  <si>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</si>
  <si>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</si>
  <si>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</si>
  <si>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</si>
  <si>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</si>
  <si>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</si>
  <si>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</si>
  <si>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</si>
  <si>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</si>
  <si>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</si>
  <si>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</si>
  <si>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</si>
  <si>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</si>
  <si>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</si>
  <si>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</si>
  <si>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</si>
  <si>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</si>
  <si>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</si>
  <si>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</si>
  <si>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</si>
  <si>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</si>
  <si>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</si>
  <si>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</si>
  <si>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</si>
  <si>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</si>
  <si>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</si>
  <si>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</si>
  <si>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</si>
  <si>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</si>
  <si>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</si>
  <si>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</si>
  <si>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</si>
  <si>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</si>
  <si>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</si>
  <si>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</si>
  <si>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</si>
  <si>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</si>
  <si>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</si>
  <si>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</si>
  <si>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</si>
  <si>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</si>
  <si>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</si>
  <si>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</si>
  <si>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</si>
  <si>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</si>
  <si>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</si>
  <si>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</si>
  <si>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</si>
  <si>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</si>
  <si>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</si>
  <si>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</si>
  <si>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</si>
  <si>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</si>
  <si>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</si>
  <si>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</si>
  <si>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</si>
  <si>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</si>
  <si>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</si>
  <si>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</si>
  <si>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</si>
  <si>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</si>
  <si>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</si>
  <si>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</si>
  <si>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</si>
  <si>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</si>
  <si>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</si>
  <si>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</si>
  <si>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</si>
  <si>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</si>
  <si>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</si>
  <si>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</si>
  <si>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</si>
  <si>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</si>
  <si>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</si>
  <si>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</si>
  <si>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</si>
  <si>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</si>
  <si>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</si>
  <si>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</si>
  <si>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</si>
  <si>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</si>
  <si>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</si>
  <si>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</si>
  <si>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</si>
  <si>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</si>
  <si>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</si>
  <si>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</si>
  <si>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</si>
  <si>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</si>
  <si>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</si>
  <si>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</si>
  <si>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</si>
  <si>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</si>
  <si>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</si>
  <si>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</si>
  <si>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</si>
  <si>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</si>
  <si>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</si>
  <si>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</si>
  <si>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</si>
  <si>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</si>
  <si>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</si>
  <si>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</si>
  <si>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</si>
  <si>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</si>
  <si>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</si>
  <si>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</si>
  <si>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</si>
  <si>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</si>
  <si>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</si>
  <si>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</si>
  <si>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</si>
  <si>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</si>
  <si>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</si>
  <si>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</si>
  <si>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</si>
  <si>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</si>
  <si>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</si>
  <si>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</si>
  <si>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</si>
  <si>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</si>
  <si>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</si>
  <si>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</si>
  <si>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</si>
  <si>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</si>
  <si>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</si>
  <si>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</si>
  <si>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</si>
  <si>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</si>
  <si>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</si>
  <si>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</si>
  <si>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</si>
  <si>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</si>
  <si>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</si>
  <si>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</si>
  <si>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</si>
  <si>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</si>
  <si>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</si>
  <si>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</si>
  <si>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</si>
  <si>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</si>
  <si>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</si>
  <si>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</si>
  <si>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</si>
  <si>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</si>
  <si>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</si>
  <si>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</si>
  <si>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</si>
  <si>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</si>
  <si>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</si>
  <si>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</si>
  <si>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</si>
  <si>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</si>
  <si>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</si>
  <si>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</si>
  <si>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</si>
  <si>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</si>
  <si>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</si>
  <si>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</si>
  <si>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</si>
  <si>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</si>
  <si>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</si>
  <si>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</si>
  <si>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</si>
  <si>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</si>
  <si>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</si>
  <si>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</si>
  <si>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</si>
  <si>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</si>
  <si>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</si>
  <si>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</si>
  <si>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</si>
  <si>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</si>
  <si>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</si>
  <si>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</si>
  <si>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</si>
  <si>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</si>
  <si>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</si>
  <si>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</si>
  <si>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</si>
  <si>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</si>
  <si>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</si>
  <si>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</si>
  <si>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</si>
  <si>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</si>
  <si>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</si>
  <si>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</si>
  <si>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</si>
  <si>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</si>
  <si>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</si>
  <si>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</si>
  <si>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</si>
  <si>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</si>
  <si>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</si>
  <si>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</si>
  <si>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</si>
  <si>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</si>
  <si>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</si>
  <si>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</si>
  <si>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</si>
  <si>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</si>
  <si>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</si>
  <si>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</si>
  <si>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</si>
  <si>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</si>
  <si>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</si>
  <si>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</si>
  <si>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</si>
  <si>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</si>
  <si>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</si>
  <si>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</si>
  <si>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</si>
  <si>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</si>
  <si>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</si>
  <si>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</si>
  <si>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</si>
  <si>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</si>
  <si>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</si>
  <si>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</si>
  <si>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</si>
  <si>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</si>
  <si>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</si>
  <si>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</si>
  <si>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</si>
  <si>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</si>
  <si>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</si>
  <si>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</si>
  <si>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</si>
  <si>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</si>
  <si>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</si>
  <si>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</si>
  <si>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</si>
  <si>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</si>
  <si>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</si>
  <si>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</si>
  <si>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</si>
  <si>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</si>
  <si>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</si>
  <si>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</si>
  <si>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</si>
  <si>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</si>
  <si>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</si>
  <si>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</si>
  <si>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</si>
  <si>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</si>
  <si>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</si>
  <si>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</si>
  <si>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</si>
  <si>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</si>
  <si>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</si>
  <si>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</si>
  <si>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</si>
  <si>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</si>
  <si>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</si>
  <si>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</si>
  <si>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</si>
  <si>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</si>
  <si>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</si>
  <si>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</si>
  <si>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</si>
  <si>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</si>
  <si>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</si>
  <si>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</si>
  <si>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</si>
  <si>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</si>
  <si>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</si>
  <si>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</si>
  <si>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</si>
  <si>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</si>
  <si>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</si>
  <si>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</si>
  <si>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</si>
  <si>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</si>
  <si>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</si>
  <si>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</si>
  <si>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</si>
  <si>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</si>
  <si>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</si>
  <si>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</si>
  <si>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</si>
  <si>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</si>
  <si>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</si>
  <si>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</si>
  <si>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</si>
  <si>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</si>
  <si>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</si>
  <si>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</si>
  <si>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</si>
  <si>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</si>
  <si>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</si>
  <si>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</si>
  <si>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</si>
  <si>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</si>
  <si>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</si>
  <si>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</si>
  <si>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</si>
  <si>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</si>
  <si>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</si>
  <si>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</si>
  <si>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</si>
  <si>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</si>
  <si>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</si>
  <si>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</si>
  <si>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</si>
  <si>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</si>
  <si>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</si>
  <si>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</si>
  <si>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</si>
  <si>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</si>
  <si>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</si>
  <si>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</si>
  <si>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</si>
  <si>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</si>
  <si>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</si>
  <si>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</si>
  <si>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</si>
  <si>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</si>
  <si>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</si>
  <si>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</si>
  <si>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</si>
  <si>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</si>
  <si>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</si>
  <si>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</si>
  <si>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</si>
  <si>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</si>
  <si>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</si>
  <si>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</si>
  <si>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</si>
  <si>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</si>
  <si>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</si>
  <si>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</si>
  <si>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</si>
  <si>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</si>
  <si>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</si>
  <si>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</si>
  <si>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</si>
  <si>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</si>
  <si>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</si>
  <si>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</si>
  <si>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</si>
  <si>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</si>
  <si>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</si>
  <si>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</si>
  <si>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</si>
  <si>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</si>
  <si>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</si>
  <si>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</si>
  <si>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</si>
  <si>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</si>
  <si>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</si>
  <si>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</si>
  <si>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</si>
  <si>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</si>
  <si>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</si>
  <si>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</si>
  <si>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</si>
  <si>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</si>
  <si>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</si>
  <si>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</si>
  <si>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</si>
  <si>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</si>
  <si>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</si>
  <si>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</si>
  <si>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</si>
  <si>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</si>
  <si>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</si>
  <si>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</si>
  <si>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</si>
  <si>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</si>
  <si>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</si>
  <si>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</si>
  <si>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</si>
  <si>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</si>
  <si>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</si>
  <si>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</si>
  <si>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</si>
  <si>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</si>
  <si>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</si>
  <si>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</si>
  <si>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</si>
  <si>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</si>
  <si>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</si>
  <si>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</si>
  <si>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</si>
  <si>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</si>
  <si>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</si>
  <si>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</si>
  <si>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</si>
  <si>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</si>
  <si>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</si>
  <si>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</si>
  <si>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</si>
  <si>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</si>
  <si>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</si>
  <si>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</si>
  <si>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</si>
  <si>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</si>
  <si>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</si>
  <si>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</si>
  <si>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</si>
  <si>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</si>
  <si>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</si>
  <si>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</si>
  <si>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</si>
  <si>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</si>
  <si>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</si>
  <si>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</si>
  <si>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</si>
  <si>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</si>
  <si>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</si>
  <si>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</si>
  <si>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</si>
  <si>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</si>
  <si>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</si>
  <si>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</si>
  <si>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</si>
  <si>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</si>
  <si>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</si>
  <si>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</si>
  <si>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</si>
  <si>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</si>
  <si>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</si>
  <si>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</si>
  <si>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</si>
  <si>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</si>
  <si>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</si>
  <si>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</si>
  <si>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</si>
  <si>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</si>
  <si>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</si>
  <si>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</si>
  <si>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</si>
  <si>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</si>
  <si>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</si>
  <si>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</si>
  <si>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</si>
  <si>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</si>
  <si>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</si>
  <si>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</si>
  <si>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</si>
  <si>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</si>
  <si>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</si>
  <si>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</si>
  <si>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</si>
  <si>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</si>
  <si>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</si>
  <si>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</si>
  <si>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</si>
  <si>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</si>
  <si>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</si>
  <si>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</si>
  <si>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</si>
  <si>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</si>
  <si>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</si>
  <si>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</si>
  <si>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</si>
  <si>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</si>
  <si>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</si>
  <si>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</si>
  <si>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</si>
  <si>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</si>
  <si>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</si>
  <si>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</si>
  <si>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</si>
  <si>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</si>
  <si>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</si>
  <si>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</si>
  <si>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</si>
  <si>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</si>
  <si>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</si>
  <si>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</si>
  <si>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</si>
  <si>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</si>
  <si>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</si>
  <si>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</si>
  <si>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</si>
  <si>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</si>
  <si>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</si>
  <si>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</si>
  <si>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</si>
  <si>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</si>
  <si>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</si>
  <si>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</si>
  <si>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</si>
  <si>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</si>
  <si>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</si>
  <si>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</si>
  <si>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</si>
  <si>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</si>
  <si>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</si>
  <si>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</si>
  <si>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</si>
  <si>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</si>
  <si>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</si>
  <si>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</si>
  <si>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</si>
  <si>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</si>
  <si>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</si>
  <si>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</si>
  <si>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</si>
  <si>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</si>
  <si>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</si>
  <si>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</si>
  <si>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</si>
  <si>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</si>
  <si>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</si>
  <si>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</si>
  <si>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</si>
  <si>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</si>
  <si>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</si>
  <si>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</si>
  <si>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</si>
  <si>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</si>
  <si>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</si>
  <si>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</si>
  <si>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</si>
  <si>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</si>
  <si>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</si>
  <si>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</si>
  <si>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</si>
  <si>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</si>
  <si>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</si>
  <si>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</si>
  <si>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</si>
  <si>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</si>
  <si>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</si>
  <si>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</si>
  <si>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</si>
  <si>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</si>
  <si>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</si>
  <si>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</si>
  <si>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</si>
  <si>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</si>
  <si>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</si>
  <si>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</si>
  <si>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</si>
  <si>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</si>
  <si>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</si>
  <si>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</si>
  <si>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</si>
  <si>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</si>
  <si>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</si>
  <si>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</si>
  <si>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</si>
  <si>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</si>
  <si>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</si>
  <si>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</si>
  <si>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</si>
  <si>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</si>
  <si>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</si>
  <si>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</si>
  <si>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</si>
  <si>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</si>
  <si>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</si>
  <si>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</si>
  <si>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</si>
  <si>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</si>
  <si>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</si>
  <si>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</si>
  <si>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</si>
  <si>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</si>
  <si>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</si>
  <si>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</si>
  <si>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</si>
  <si>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</si>
  <si>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</si>
  <si>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</si>
  <si>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</si>
  <si>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</si>
  <si>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</si>
  <si>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</si>
  <si>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</si>
  <si>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</si>
  <si>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</si>
  <si>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</si>
  <si>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</si>
  <si>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</si>
  <si>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</si>
  <si>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</si>
  <si>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</si>
  <si>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</si>
  <si>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</si>
  <si>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</si>
  <si>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</si>
  <si>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</si>
  <si>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</si>
  <si>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</si>
  <si>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</si>
  <si>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</si>
  <si>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</si>
  <si>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</si>
  <si>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</si>
  <si>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</si>
  <si>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</si>
  <si>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</si>
  <si>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</si>
  <si>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</si>
  <si>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</si>
  <si>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</si>
  <si>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</si>
  <si>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</si>
  <si>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</si>
  <si>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</si>
  <si>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</si>
  <si>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</si>
  <si>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</si>
  <si>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</si>
  <si>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</si>
  <si>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</si>
  <si>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</si>
  <si>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</si>
  <si>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</si>
  <si>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</si>
  <si>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</si>
  <si>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</si>
  <si>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</si>
  <si>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</si>
  <si>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</si>
  <si>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</si>
  <si>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</si>
  <si>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</si>
  <si>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</si>
  <si>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</si>
  <si>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</si>
  <si>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</si>
  <si>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</si>
  <si>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</si>
  <si>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</si>
  <si>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</si>
  <si>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</si>
  <si>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</si>
  <si>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</si>
  <si>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</si>
  <si>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</si>
  <si>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</si>
  <si>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</si>
  <si>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</si>
  <si>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</si>
  <si>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</si>
  <si>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</si>
  <si>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</si>
  <si>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</si>
  <si>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</si>
  <si>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</si>
  <si>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</si>
  <si>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</si>
  <si>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</si>
  <si>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</si>
  <si>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</si>
  <si>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</si>
  <si>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</si>
  <si>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</si>
  <si>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</si>
  <si>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</si>
  <si>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</si>
  <si>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</si>
  <si>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</si>
  <si>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</si>
  <si>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</si>
  <si>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</si>
  <si>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</si>
  <si>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</si>
  <si>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</si>
  <si>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</si>
  <si>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</si>
  <si>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</si>
  <si>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</si>
  <si>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</si>
  <si>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</si>
  <si>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</si>
  <si>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</si>
  <si>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</si>
  <si>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</si>
  <si>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</si>
  <si>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</si>
  <si>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</si>
  <si>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</si>
  <si>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</si>
  <si>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</si>
  <si>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</si>
  <si>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</si>
  <si>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</si>
  <si>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</si>
  <si>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</si>
  <si>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</si>
  <si>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</si>
  <si>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</si>
  <si>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</si>
  <si>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</si>
  <si>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</si>
  <si>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</si>
  <si>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</si>
  <si>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</si>
  <si>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</si>
  <si>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</si>
  <si>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</si>
  <si>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</si>
  <si>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</si>
  <si>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</si>
  <si>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</si>
  <si>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</si>
  <si>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</si>
  <si>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</si>
  <si>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</si>
  <si>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</si>
  <si>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</si>
  <si>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</si>
  <si>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</si>
  <si>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</si>
  <si>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</si>
  <si>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</si>
  <si>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</si>
  <si>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</si>
  <si>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</si>
  <si>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</si>
  <si>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</si>
  <si>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</si>
  <si>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</si>
  <si>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</si>
  <si>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</si>
  <si>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</si>
  <si>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</si>
  <si>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</si>
  <si>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</si>
  <si>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</si>
  <si>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</si>
  <si>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</si>
  <si>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</si>
  <si>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</si>
  <si>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</si>
  <si>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</si>
  <si>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</si>
  <si>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</si>
  <si>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</si>
  <si>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</si>
  <si>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</si>
  <si>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</si>
  <si>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</si>
  <si>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</si>
  <si>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</si>
  <si>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</si>
  <si>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</si>
  <si>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</si>
  <si>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</si>
  <si>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</si>
  <si>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</si>
  <si>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</si>
  <si>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</si>
  <si>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</si>
  <si>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</si>
  <si>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</si>
  <si>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</si>
  <si>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</si>
  <si>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</si>
  <si>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</si>
  <si>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</si>
  <si>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</si>
  <si>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</si>
  <si>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</si>
  <si>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</si>
  <si>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</si>
  <si>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</si>
  <si>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</si>
  <si>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</si>
  <si>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</si>
  <si>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</si>
  <si>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</si>
  <si>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</si>
  <si>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</si>
  <si>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</si>
  <si>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</si>
  <si>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</si>
  <si>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</si>
  <si>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</si>
  <si>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</si>
  <si>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</si>
  <si>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</si>
  <si>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</si>
  <si>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</si>
  <si>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</si>
  <si>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</si>
  <si>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</si>
  <si>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</si>
  <si>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</si>
  <si>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</si>
  <si>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</si>
  <si>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</si>
  <si>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</si>
  <si>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</si>
  <si>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</si>
  <si>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</si>
  <si>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</si>
  <si>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</si>
  <si>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</si>
  <si>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</si>
  <si>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</si>
  <si>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</si>
  <si>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</si>
  <si>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</si>
  <si>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</si>
  <si>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</si>
  <si>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</si>
  <si>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</si>
  <si>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</si>
  <si>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</si>
  <si>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</si>
  <si>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</si>
  <si>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</si>
  <si>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</si>
  <si>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</si>
  <si>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</si>
  <si>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</si>
  <si>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</si>
  <si>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</si>
  <si>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</si>
  <si>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</si>
  <si>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</si>
  <si>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</si>
  <si>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</si>
  <si>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</si>
  <si>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</si>
  <si>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</si>
  <si>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</si>
  <si>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</si>
  <si>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</si>
  <si>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</si>
  <si>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</si>
  <si>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</si>
  <si>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</si>
  <si>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</si>
  <si>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</si>
  <si>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</si>
  <si>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</si>
  <si>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</si>
  <si>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</si>
  <si>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</si>
  <si>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</si>
  <si>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</si>
  <si>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</si>
  <si>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</si>
  <si>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</si>
  <si>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</si>
  <si>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</si>
  <si>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</si>
  <si>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</si>
  <si>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</si>
  <si>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</si>
  <si>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</si>
  <si>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</si>
  <si>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</si>
  <si>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</si>
  <si>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</si>
  <si>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</si>
  <si>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</si>
  <si>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</si>
  <si>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</si>
  <si>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</si>
  <si>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</si>
  <si>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</si>
  <si>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</si>
  <si>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</si>
  <si>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</si>
  <si>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</si>
  <si>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</si>
  <si>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</si>
  <si>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</si>
  <si>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</si>
  <si>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</si>
  <si>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</si>
  <si>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</si>
  <si>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</si>
  <si>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</si>
  <si>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</si>
  <si>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</si>
  <si>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</si>
  <si>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</si>
  <si>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</si>
  <si>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</si>
  <si>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</si>
  <si>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</si>
  <si>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</si>
  <si>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</si>
  <si>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</si>
  <si>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</si>
  <si>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</si>
  <si>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</si>
  <si>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</si>
  <si>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</si>
  <si>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</si>
  <si>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</si>
  <si>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</si>
  <si>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</si>
  <si>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</si>
  <si>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</si>
  <si>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</si>
  <si>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</si>
  <si>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</si>
  <si>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</si>
  <si>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</si>
  <si>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</si>
  <si>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</si>
  <si>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</si>
  <si>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</si>
  <si>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</si>
  <si>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</si>
  <si>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</si>
  <si>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</si>
  <si>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</si>
  <si>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</si>
  <si>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</si>
  <si>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</si>
  <si>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</si>
  <si>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</si>
  <si>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</si>
  <si>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</si>
  <si>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</si>
  <si>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</si>
  <si>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</si>
  <si>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</si>
  <si>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</si>
  <si>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</si>
  <si>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</si>
  <si>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</si>
  <si>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</si>
  <si>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</si>
  <si>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</si>
  <si>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</si>
  <si>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</si>
  <si>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</si>
  <si>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</si>
  <si>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</si>
  <si>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</si>
  <si>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</si>
  <si>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</si>
  <si>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</si>
  <si>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</si>
  <si>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</si>
  <si>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</si>
  <si>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</si>
  <si>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</si>
  <si>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</si>
  <si>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</si>
  <si>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</si>
  <si>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</si>
  <si>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</si>
  <si>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</si>
  <si>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</si>
  <si>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</si>
  <si>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</si>
  <si>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</si>
  <si>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</si>
  <si>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</si>
  <si>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</si>
  <si>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</si>
  <si>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</si>
  <si>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</si>
  <si>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</si>
  <si>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</si>
  <si>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</si>
  <si>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</si>
  <si>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</si>
  <si>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</si>
  <si>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</si>
  <si>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</si>
  <si>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</si>
  <si>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</si>
  <si>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</si>
  <si>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</si>
  <si>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</si>
  <si>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</si>
  <si>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</si>
  <si>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</si>
  <si>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</si>
  <si>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</si>
  <si>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</si>
  <si>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</si>
  <si>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</si>
  <si>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</si>
  <si>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</si>
  <si>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</si>
  <si>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</si>
  <si>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</si>
  <si>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</si>
  <si>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</si>
  <si>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</si>
  <si>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</si>
  <si>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</si>
  <si>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</si>
  <si>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</si>
  <si>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</si>
  <si>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</si>
  <si>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</si>
  <si>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</si>
  <si>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</si>
  <si>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</si>
  <si>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</si>
  <si>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</si>
  <si>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</si>
  <si>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</si>
  <si>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</si>
  <si>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</si>
  <si>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</si>
  <si>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</si>
  <si>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</si>
  <si>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</si>
  <si>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</si>
  <si>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</si>
  <si>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</si>
  <si>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</si>
  <si>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</si>
  <si>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</si>
  <si>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</si>
  <si>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</si>
  <si>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</si>
  <si>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</si>
  <si>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</si>
  <si>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</si>
  <si>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</si>
  <si>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</si>
  <si>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</si>
  <si>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</si>
  <si>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</si>
  <si>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</si>
  <si>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</si>
  <si>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</si>
  <si>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</si>
  <si>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</si>
  <si>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</si>
  <si>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</si>
  <si>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</si>
  <si>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</si>
  <si>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</si>
  <si>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</si>
  <si>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</si>
  <si>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</si>
  <si>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</si>
  <si>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</si>
  <si>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</si>
  <si>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</si>
  <si>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</si>
  <si>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</si>
  <si>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</si>
  <si>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</si>
  <si>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</si>
  <si>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</si>
  <si>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</si>
  <si>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</si>
  <si>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</si>
  <si>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</si>
  <si>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</si>
  <si>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</si>
  <si>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</si>
  <si>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</si>
  <si>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</si>
  <si>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</si>
  <si>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</si>
  <si>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</si>
  <si>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</si>
  <si>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</si>
  <si>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</si>
  <si>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</si>
  <si>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</si>
  <si>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</si>
  <si>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</si>
  <si>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</si>
  <si>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</si>
  <si>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</si>
  <si>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</si>
  <si>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</si>
  <si>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</si>
  <si>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</si>
  <si>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</si>
  <si>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</si>
  <si>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</si>
  <si>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</si>
  <si>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</si>
  <si>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</si>
  <si>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</si>
  <si>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</si>
  <si>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</si>
  <si>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</si>
  <si>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</si>
  <si>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</si>
  <si>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</si>
  <si>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</si>
  <si>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</si>
  <si>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</si>
  <si>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</si>
  <si>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</si>
  <si>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</si>
  <si>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</si>
  <si>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</si>
  <si>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</si>
  <si>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</si>
  <si>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</si>
  <si>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</si>
  <si>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</si>
  <si>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</si>
  <si>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</si>
  <si>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</si>
  <si>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</si>
  <si>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</si>
  <si>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</si>
  <si>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</si>
  <si>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</si>
  <si>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</si>
  <si>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</si>
  <si>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</si>
  <si>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</si>
  <si>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</si>
  <si>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</si>
  <si>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</si>
  <si>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</si>
  <si>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</si>
  <si>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</si>
  <si>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</si>
  <si>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</si>
  <si>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</si>
  <si>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</si>
  <si>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</si>
  <si>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</si>
  <si>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</si>
  <si>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</si>
  <si>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</si>
  <si>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</si>
  <si>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</si>
  <si>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</si>
  <si>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</si>
  <si>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</si>
  <si>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</si>
  <si>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</si>
  <si>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</si>
  <si>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</si>
  <si>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</si>
  <si>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</si>
  <si>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</si>
  <si>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</si>
  <si>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</si>
  <si>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</si>
  <si>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</si>
  <si>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</si>
  <si>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</si>
  <si>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</si>
  <si>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</si>
  <si>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</si>
  <si>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</si>
  <si>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</si>
  <si>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</si>
  <si>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</si>
  <si>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</si>
  <si>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</si>
  <si>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</si>
  <si>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</si>
  <si>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</si>
  <si>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</si>
  <si>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</si>
  <si>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</si>
  <si>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</si>
  <si>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</si>
  <si>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</si>
  <si>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</si>
  <si>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</si>
  <si>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</si>
  <si>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</si>
  <si>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</si>
  <si>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</si>
  <si>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</si>
  <si>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</si>
  <si>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</si>
  <si>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</si>
  <si>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</si>
  <si>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</si>
  <si>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</si>
  <si>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</si>
  <si>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</si>
  <si>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</si>
  <si>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</si>
  <si>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</si>
  <si>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</si>
  <si>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</si>
  <si>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</si>
  <si>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</si>
  <si>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</si>
  <si>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</si>
  <si>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</si>
  <si>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</si>
  <si>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</si>
  <si>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</si>
  <si>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</si>
  <si>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</si>
  <si>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</si>
  <si>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</si>
  <si>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</si>
  <si>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</si>
  <si>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</si>
  <si>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</si>
  <si>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</si>
  <si>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</si>
  <si>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</si>
  <si>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</si>
  <si>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</si>
  <si>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</si>
  <si>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</si>
  <si>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</si>
  <si>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</si>
  <si>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</si>
  <si>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</si>
  <si>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</si>
  <si>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</si>
  <si>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</si>
  <si>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</si>
  <si>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</si>
  <si>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</si>
  <si>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</si>
  <si>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</si>
  <si>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</si>
  <si>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</si>
  <si>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</si>
  <si>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</si>
  <si>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</si>
  <si>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</si>
  <si>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</si>
  <si>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</si>
  <si>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</si>
  <si>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</si>
  <si>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</si>
  <si>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</si>
  <si>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</si>
  <si>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</si>
  <si>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</si>
  <si>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</si>
  <si>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</si>
  <si>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</si>
  <si>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</si>
  <si>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</si>
  <si>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</si>
  <si>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</si>
  <si>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</si>
  <si>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</si>
  <si>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</si>
  <si>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</si>
  <si>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</si>
  <si>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</si>
  <si>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</si>
  <si>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</si>
  <si>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</si>
  <si>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</si>
  <si>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</si>
  <si>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</si>
  <si>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</si>
  <si>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</si>
  <si>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</si>
  <si>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</si>
  <si>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</si>
  <si>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</si>
  <si>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</si>
  <si>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</si>
  <si>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</si>
  <si>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</si>
  <si>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</si>
  <si>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</si>
  <si>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</si>
  <si>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</si>
  <si>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</si>
  <si>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</si>
  <si>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</si>
  <si>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</si>
  <si>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</si>
  <si>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</si>
  <si>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</si>
  <si>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</si>
  <si>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</si>
  <si>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</si>
  <si>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</si>
  <si>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</si>
  <si>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</si>
  <si>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</si>
  <si>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</si>
  <si>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</si>
  <si>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</si>
  <si>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</si>
  <si>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</si>
  <si>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</si>
  <si>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</si>
  <si>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</si>
  <si>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</si>
  <si>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</si>
  <si>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</si>
  <si>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</si>
  <si>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</si>
  <si>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</si>
  <si>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</si>
  <si>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</si>
  <si>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</si>
  <si>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</si>
  <si>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</si>
  <si>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</si>
  <si>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</si>
  <si>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</si>
  <si>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</si>
  <si>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</si>
  <si>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</si>
  <si>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</si>
  <si>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</si>
  <si>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</si>
  <si>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</si>
  <si>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</si>
  <si>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</si>
  <si>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</si>
  <si>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</si>
  <si>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</si>
  <si>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</si>
  <si>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</si>
  <si>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</si>
  <si>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</si>
  <si>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</si>
  <si>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</si>
  <si>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</si>
  <si>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</si>
  <si>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</si>
  <si>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</si>
  <si>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</si>
  <si>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</si>
  <si>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</si>
  <si>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</si>
  <si>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</si>
  <si>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</si>
  <si>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</si>
  <si>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</si>
  <si>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</si>
  <si>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</si>
  <si>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</si>
  <si>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</si>
  <si>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</si>
  <si>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</si>
  <si>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</si>
  <si>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</si>
  <si>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</si>
  <si>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</si>
  <si>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</si>
  <si>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</si>
  <si>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</si>
  <si>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</si>
  <si>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</si>
  <si>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</si>
  <si>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</si>
  <si>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</si>
  <si>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</si>
  <si>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</si>
  <si>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</si>
  <si>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</si>
  <si>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</si>
  <si>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</si>
  <si>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</si>
  <si>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</si>
  <si>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</si>
  <si>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</si>
  <si>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</si>
  <si>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</si>
  <si>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</si>
  <si>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</si>
  <si>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</si>
  <si>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</si>
  <si>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</si>
  <si>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</si>
  <si>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</si>
  <si>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</si>
  <si>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</si>
  <si>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</si>
  <si>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</si>
  <si>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</si>
  <si>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</si>
  <si>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</si>
  <si>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</si>
  <si>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</si>
  <si>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</si>
  <si>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</si>
  <si>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</si>
  <si>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</si>
  <si>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</si>
  <si>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</si>
  <si>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</si>
  <si>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</si>
  <si>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</si>
  <si>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</si>
  <si>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</si>
  <si>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</si>
  <si>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</si>
  <si>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</si>
  <si>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</si>
  <si>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</si>
  <si>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</si>
  <si>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</si>
  <si>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</si>
  <si>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</si>
  <si>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</si>
  <si>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</si>
  <si>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</si>
  <si>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</si>
  <si>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</si>
  <si>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</si>
  <si>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</si>
  <si>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</si>
  <si>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</si>
  <si>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</si>
  <si>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</si>
  <si>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</si>
  <si>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</si>
  <si>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</si>
  <si>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</si>
  <si>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</si>
  <si>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</si>
  <si>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</si>
  <si>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</si>
  <si>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</si>
  <si>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</si>
  <si>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</si>
  <si>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</si>
  <si>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</si>
  <si>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</si>
  <si>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</si>
  <si>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</si>
  <si>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</si>
  <si>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</si>
  <si>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</si>
  <si>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</si>
  <si>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</si>
  <si>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</si>
  <si>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</si>
  <si>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</si>
  <si>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</si>
  <si>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</si>
  <si>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</si>
  <si>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</si>
  <si>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</si>
  <si>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</si>
  <si>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</si>
  <si>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</si>
  <si>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</si>
  <si>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</si>
  <si>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</si>
  <si>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</si>
  <si>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</si>
  <si>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</si>
  <si>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</si>
  <si>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</si>
  <si>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</si>
  <si>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</si>
  <si>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</si>
  <si>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</si>
  <si>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</si>
  <si>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</si>
  <si>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</si>
  <si>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</si>
  <si>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</si>
  <si>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</si>
  <si>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</si>
  <si>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</si>
  <si>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</si>
  <si>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</si>
  <si>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</si>
  <si>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</si>
  <si>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</si>
  <si>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</si>
  <si>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</si>
  <si>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</si>
  <si>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</si>
  <si>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</si>
  <si>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</si>
  <si>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</si>
  <si>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</si>
  <si>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</si>
  <si>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</si>
  <si>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</si>
  <si>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</si>
  <si>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</si>
  <si>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</si>
  <si>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</si>
  <si>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</si>
  <si>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</si>
  <si>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</si>
  <si>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</si>
  <si>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</si>
  <si>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</si>
  <si>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</si>
  <si>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</si>
  <si>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</si>
  <si>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</si>
  <si>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</si>
  <si>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</si>
  <si>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</si>
  <si>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</si>
  <si>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</si>
  <si>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</si>
  <si>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</si>
  <si>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</si>
  <si>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</si>
  <si>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</si>
  <si>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</si>
  <si>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</si>
  <si>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</si>
  <si>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</si>
  <si>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</si>
  <si>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</si>
  <si>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</si>
  <si>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</si>
  <si>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</si>
  <si>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</si>
  <si>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</si>
  <si>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</si>
  <si>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</si>
  <si>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</si>
  <si>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</si>
  <si>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</si>
  <si>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</si>
  <si>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</si>
  <si>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</si>
  <si>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</si>
  <si>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</si>
  <si>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</si>
  <si>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</si>
  <si>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</si>
  <si>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</si>
  <si>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</si>
  <si>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</si>
  <si>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</si>
  <si>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</si>
  <si>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</si>
  <si>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</si>
  <si>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</si>
  <si>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</si>
  <si>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</si>
  <si>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</si>
  <si>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</si>
  <si>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</si>
  <si>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</si>
  <si>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</si>
  <si>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</si>
  <si>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</si>
  <si>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</si>
  <si>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</si>
  <si>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</si>
  <si>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</si>
  <si>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</si>
  <si>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</si>
  <si>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</si>
  <si>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</si>
  <si>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</si>
  <si>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</si>
  <si>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</si>
  <si>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</si>
  <si>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</si>
  <si>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</si>
  <si>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</si>
  <si>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</si>
  <si>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</si>
  <si>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</si>
  <si>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</si>
  <si>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</si>
  <si>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</si>
  <si>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</si>
  <si>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</si>
  <si>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</si>
  <si>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</si>
  <si>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</si>
  <si>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</si>
  <si>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</si>
  <si>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</si>
  <si>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</si>
  <si>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</si>
  <si>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</si>
  <si>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</si>
  <si>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</si>
  <si>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</si>
  <si>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</si>
  <si>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</si>
  <si>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</si>
  <si>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</si>
  <si>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</si>
  <si>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</si>
  <si>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</si>
  <si>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</si>
  <si>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</si>
  <si>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</si>
  <si>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</si>
  <si>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</si>
  <si>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</si>
  <si>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</si>
  <si>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</si>
  <si>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</si>
  <si>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</si>
  <si>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</si>
  <si>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</si>
  <si>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</si>
  <si>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</si>
  <si>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</si>
  <si>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</si>
  <si>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</si>
  <si>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</si>
  <si>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</si>
  <si>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</si>
  <si>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</si>
  <si>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</si>
  <si>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</si>
  <si>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</si>
  <si>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</si>
  <si>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</si>
  <si>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</si>
  <si>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</si>
  <si>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</si>
  <si>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</si>
  <si>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</si>
  <si>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</si>
  <si>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</si>
  <si>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</si>
  <si>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</si>
  <si>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</si>
  <si>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</si>
  <si>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</si>
  <si>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</si>
  <si>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</si>
  <si>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</si>
  <si>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</si>
  <si>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</si>
  <si>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</si>
  <si>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</si>
  <si>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</si>
  <si>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</si>
  <si>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</si>
  <si>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</si>
  <si>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</si>
  <si>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</si>
  <si>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</si>
  <si>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</si>
  <si>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</si>
  <si>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</si>
  <si>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</si>
  <si>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</si>
  <si>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</si>
  <si>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</si>
  <si>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</si>
  <si>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</si>
  <si>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</si>
  <si>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</si>
  <si>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</si>
  <si>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</si>
  <si>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</si>
  <si>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</si>
  <si>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</si>
  <si>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</si>
  <si>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</si>
  <si>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</si>
  <si>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</si>
  <si>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</si>
  <si>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</si>
  <si>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</si>
  <si>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</si>
  <si>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</si>
  <si>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</si>
  <si>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</si>
  <si>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</si>
  <si>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</si>
  <si>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</si>
  <si>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</si>
  <si>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</si>
  <si>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</si>
  <si>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</si>
  <si>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</si>
  <si>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</si>
  <si>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</si>
  <si>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</si>
  <si>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</si>
  <si>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</si>
  <si>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</si>
  <si>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</si>
  <si>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</si>
  <si>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</si>
  <si>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</si>
  <si>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</si>
  <si>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</si>
  <si>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</si>
  <si>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</si>
  <si>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</si>
  <si>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</si>
  <si>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</si>
  <si>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</si>
  <si>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</si>
  <si>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</si>
  <si>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</si>
  <si>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</si>
  <si>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</si>
  <si>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</si>
  <si>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</si>
  <si>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</si>
  <si>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</si>
  <si>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</si>
  <si>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</si>
  <si>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</si>
  <si>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</si>
  <si>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</si>
  <si>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</si>
  <si>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</si>
  <si>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</si>
  <si>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</si>
  <si>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</si>
  <si>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</si>
  <si>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</si>
  <si>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</si>
  <si>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</si>
  <si>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</si>
  <si>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</si>
  <si>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</si>
  <si>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</si>
  <si>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</si>
  <si>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</si>
  <si>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</si>
  <si>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</si>
  <si>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</si>
  <si>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</si>
  <si>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</si>
  <si>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</si>
  <si>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</si>
  <si>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</si>
  <si>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</si>
  <si>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</si>
  <si>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</si>
  <si>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</si>
  <si>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</si>
  <si>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</si>
  <si>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</si>
  <si>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</si>
  <si>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</si>
  <si>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</si>
  <si>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</si>
  <si>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</si>
  <si>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</si>
  <si>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</si>
  <si>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</si>
  <si>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</si>
  <si>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</si>
  <si>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</si>
  <si>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</si>
  <si>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</si>
  <si>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</si>
  <si>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</si>
  <si>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</si>
  <si>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</si>
  <si>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</si>
  <si>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</si>
  <si>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</si>
  <si>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</si>
  <si>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</si>
  <si>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</si>
  <si>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</si>
  <si>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</si>
  <si>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</si>
  <si>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</si>
  <si>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</si>
  <si>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</si>
  <si>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</si>
  <si>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</si>
  <si>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</si>
  <si>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</si>
  <si>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</si>
  <si>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</si>
  <si>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</si>
  <si>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</si>
  <si>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</si>
  <si>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</si>
  <si>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</si>
  <si>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</si>
  <si>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</si>
  <si>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</si>
  <si>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</si>
  <si>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</si>
  <si>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</si>
  <si>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</si>
  <si>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</si>
  <si>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</si>
  <si>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</si>
  <si>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</si>
  <si>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</si>
  <si>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</si>
  <si>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</si>
  <si>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</si>
  <si>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</si>
  <si>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</si>
  <si>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</si>
  <si>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</si>
  <si>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</si>
  <si>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</si>
  <si>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</si>
  <si>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</si>
  <si>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</si>
  <si>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</si>
  <si>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</si>
  <si>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</si>
  <si>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</si>
  <si>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</si>
  <si>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</si>
  <si>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</si>
  <si>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</si>
  <si>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</si>
  <si>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</si>
  <si>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</si>
  <si>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</si>
  <si>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</si>
  <si>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</si>
  <si>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</si>
  <si>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</si>
  <si>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</si>
  <si>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</si>
  <si>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</si>
  <si>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</si>
  <si>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</si>
  <si>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</si>
  <si>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</si>
  <si>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</si>
  <si>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</si>
  <si>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</si>
  <si>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</si>
  <si>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</si>
  <si>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</si>
  <si>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</si>
  <si>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</si>
  <si>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</si>
  <si>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</si>
  <si>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</si>
  <si>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</si>
  <si>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</si>
  <si>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</si>
  <si>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</si>
  <si>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</si>
  <si>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</si>
  <si>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</si>
  <si>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</si>
  <si>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</si>
  <si>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</si>
  <si>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</si>
  <si>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</si>
  <si>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</si>
  <si>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</si>
  <si>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</si>
  <si>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</si>
  <si>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</si>
  <si>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</si>
  <si>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</si>
  <si>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</si>
  <si>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</si>
  <si>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</si>
  <si>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</si>
  <si>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</si>
  <si>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</si>
  <si>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</si>
  <si>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</si>
  <si>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</si>
  <si>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</si>
  <si>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</si>
  <si>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</si>
  <si>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</si>
  <si>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</si>
  <si>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</si>
  <si>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</si>
  <si>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</si>
  <si>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</si>
  <si>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</si>
  <si>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</si>
  <si>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</si>
  <si>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</si>
  <si>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</si>
  <si>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</si>
  <si>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</si>
  <si>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</si>
  <si>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</si>
  <si>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</si>
  <si>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</si>
  <si>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</si>
  <si>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</si>
  <si>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</si>
  <si>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</si>
  <si>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</si>
  <si>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</si>
  <si>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</si>
  <si>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</si>
  <si>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</si>
  <si>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</si>
  <si>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</si>
  <si>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</si>
  <si>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</si>
  <si>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</si>
  <si>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</si>
  <si>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</si>
  <si>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</si>
  <si>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</si>
  <si>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</si>
  <si>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</si>
  <si>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</si>
  <si>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</si>
  <si>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</si>
  <si>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</si>
  <si>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</si>
  <si>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</si>
  <si>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</si>
  <si>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</si>
  <si>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</si>
  <si>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</si>
  <si>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</si>
  <si>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</si>
  <si>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</si>
  <si>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</si>
  <si>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</si>
  <si>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</si>
  <si>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</si>
  <si>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</si>
  <si>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</si>
  <si>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</si>
  <si>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</si>
  <si>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</si>
  <si>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</si>
  <si>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</si>
  <si>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</si>
  <si>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</si>
  <si>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</si>
  <si>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</si>
  <si>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</si>
  <si>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</si>
  <si>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</si>
  <si>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</si>
  <si>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</si>
  <si>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</si>
  <si>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</si>
  <si>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</si>
  <si>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</si>
  <si>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</si>
  <si>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</si>
  <si>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</si>
  <si>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</si>
  <si>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</si>
  <si>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</si>
  <si>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</si>
  <si>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</si>
  <si>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</si>
  <si>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</si>
  <si>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</si>
  <si>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</si>
  <si>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</si>
  <si>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</si>
  <si>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</si>
  <si>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</si>
  <si>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</si>
  <si>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</si>
  <si>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Not specified</t>
  </si>
  <si>
    <t>Row Labels</t>
  </si>
  <si>
    <t>Grand Total</t>
  </si>
  <si>
    <t>Sum of Amount</t>
  </si>
  <si>
    <t>Sum of Unit Price</t>
  </si>
  <si>
    <t>Sum of Quantity</t>
  </si>
  <si>
    <t>quantity</t>
  </si>
  <si>
    <t>unit price</t>
  </si>
  <si>
    <t>sales(amount</t>
  </si>
  <si>
    <t>Female</t>
  </si>
  <si>
    <t>Male</t>
  </si>
  <si>
    <t>Other</t>
  </si>
  <si>
    <t>Unknown</t>
  </si>
  <si>
    <t>product</t>
  </si>
  <si>
    <t>Average of Rating C</t>
  </si>
  <si>
    <t>Average of Days to Deliver</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</si>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</sst>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color theme="0"/>
      <name val="Aptos Narrow"/>
      <family val="2"/>
      <scheme val="minor"/>
    </font>
  </fonts>
  <fills count="6">
    <fill>
      <patternFill patternType="none"/>
    </fill>
    <fill>
      <patternFill patternType="gray125"/>
    </fill>
    <fill>
      <patternFill patternType="solid">
        <fgColor theme="9"/>
        <bgColor indexed="64"/>
      </patternFill>
    </fill>
    <fill>
      <patternFill patternType="solid">
        <fgColor theme="7"/>
        <bgColor theme="7"/>
      </patternFill>
    </fill>
    <fill>
      <patternFill patternType="solid">
        <fgColor theme="0" tint="-0.14999847407452621"/>
        <bgColor theme="0" tint="-0.14999847407452621"/>
      </patternFill>
    </fill>
    <fill>
      <patternFill patternType="solid">
        <fgColor theme="4" tint="0.79998168889431442"/>
        <bgColor theme="4" tint="0.79998168889431442"/>
      </patternFill>
    </fill>
  </fills>
  <borders count="4">
    <border>
      <left/>
      <right/>
      <top/>
      <bottom/>
      <diagonal/>
    </border>
    <border>
      <left/>
      <right/>
      <top style="medium">
        <color theme="1"/>
      </top>
      <bottom style="medium">
        <color theme="1"/>
      </bottom>
      <diagonal/>
    </border>
    <border>
      <left/>
      <right/>
      <top/>
      <bottom style="medium">
        <color theme="1"/>
      </bottom>
      <diagonal/>
    </border>
    <border>
      <left/>
      <right/>
      <top/>
      <bottom style="thin">
        <color theme="4" tint="0.39997558519241921"/>
      </bottom>
      <diagonal/>
    </border>
  </borders>
  <cellStyleXfs count="1">
    <xf numFmtId="0" fontId="0" fillId="0" borderId="0"/>
  </cellStyleXfs>
  <cellXfs count="13">
    <xf numFmtId="0" fontId="0" fillId="0" borderId="0" xfId="0"/>
    <xf numFmtId="0" fontId="0" fillId="2" borderId="0" xfId="0" applyFill="1"/>
    <xf numFmtId="0" fontId="1" fillId="2" borderId="0" xfId="0" applyFont="1" applyFill="1"/>
    <xf numFmtId="0" fontId="0" fillId="0" borderId="0" xfId="0" applyAlignment="1">
      <alignment horizontal="left" indent="1"/>
    </xf>
    <xf numFmtId="0" fontId="2" fillId="3" borderId="1" xfId="0" applyFont="1" applyFill="1" applyBorder="1"/>
    <xf numFmtId="0" fontId="0" fillId="4" borderId="0" xfId="0" applyFill="1"/>
    <xf numFmtId="0" fontId="0" fillId="0" borderId="2" xfId="0" applyBorder="1"/>
    <xf numFmtId="14" fontId="0" fillId="0" borderId="0" xfId="0" applyNumberFormat="1"/>
    <xf numFmtId="0" fontId="0" fillId="0" borderId="0" xfId="0" pivotButton="1"/>
    <xf numFmtId="0" fontId="0" fillId="0" borderId="0" xfId="0" applyAlignment="1">
      <alignment horizontal="left"/>
    </xf>
    <xf numFmtId="0" fontId="1" fillId="5" borderId="3" xfId="0" applyFont="1" applyFill="1" applyBorder="1"/>
    <xf numFmtId="1" fontId="0" fillId="0" borderId="0" xfId="0" applyNumberFormat="1"/>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[ecommerce-dashboard.xlsx]Sheet2!PivotTable2</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a:outerShdw blurRad="50800" dist="50800" dir="5400000" algn="ctr" rotWithShape="0">
                <a:sysClr val="window" lastClr="FFFFFF">
                  <a:alpha val="0"/>
                </a:sys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ysClr val="window" lastClr="FFFFFF">
                        <a:alpha val="26000"/>
                      </a:sysClr>
                    </a:solidFill>
                  </a:ln>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Sheet2!$C$30</c:f>
              <c:strCache>
                <c:ptCount val="1"/>
                <c:pt idx="0">
                  <c:v>Sum of Quantity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A74B-4C7B-BF47-D47F838A14C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A74B-4C7B-BF47-D47F838A14C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A74B-4C7B-BF47-D47F838A14C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A74B-4C7B-BF47-D47F838A14CB}"/>
              </c:ext>
            </c:extLst>
          </c:dPt>
          <c:dLbls>
            <c:spPr>
              <a:noFill/>
              <a:ln>
                <a:noFill/>
              </a:ln>
              <a:effectLst>
                <a:outerShdw blurRad="50800" dist="50800" dir="5400000" algn="ctr" rotWithShape="0">
                  <a:sysClr val="window" lastClr="FFFFFF">
                    <a:alpha val="0"/>
                  </a:sys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ysClr val="window" lastClr="FFFFFF">
                          <a:alpha val="26000"/>
                        </a:sysClr>
                      </a:solidFill>
                    </a:ln>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Sheet2!$B$31:$B$35</c:f>
              <c:strCache>
                <c:ptCount val="4"/>
                <c:pt idx="0">
                  <c:v>Female</c:v>
                </c:pt>
                <c:pt idx="1">
                  <c:v>Male</c:v>
                </c:pt>
                <c:pt idx="2">
                  <c:v>Other</c:v>
                </c:pt>
                <c:pt idx="3">
                  <c:v>Unknown</c:v>
                </c:pt>
              </c:strCache>
            </c:strRef>
          </c:cat>
          <c:val>
            <c:numRef>
              <c:f>Sheet2!$C$31:$C$35</c:f>
              <c:numCache>
                <c:formatCode>General</c:formatCode>
                <c:ptCount val="4"/>
                <c:pt idx="0">
                  <c:v>1312</c:v>
                </c:pt>
                <c:pt idx="1">
                  <c:v>1148</c:v>
                </c:pt>
                <c:pt idx="2">
                  <c:v>72</c:v>
                </c:pt>
                <c:pt idx="3">
                  <c:v>134</c:v>
                </c:pt>
              </c:numCache>
            </c:numRef>
          </c:val>
          <c:extLst>
            <c:ext xmlns:c16="http://schemas.microsoft.com/office/drawing/2014/chart" uri="{C3380CC4-5D6E-409C-BE32-E72D297353CC}">
              <c16:uniqueId val="{00000000-9AE1-4537-AC5F-B1BBBC2FE25F}"/>
            </c:ext>
          </c:extLst>
        </c:ser>
        <c:ser>
          <c:idx val="1"/>
          <c:order val="1"/>
          <c:tx>
            <c:strRef>
              <c:f>Sheet2!$D$30</c:f>
              <c:strCache>
                <c:ptCount val="1"/>
                <c:pt idx="0">
                  <c:v>Sum of Unit Price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9-A74B-4C7B-BF47-D47F838A14C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B-A74B-4C7B-BF47-D47F838A14C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D-A74B-4C7B-BF47-D47F838A14C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F-A74B-4C7B-BF47-D47F838A14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Sheet2!$B$31:$B$35</c:f>
              <c:strCache>
                <c:ptCount val="4"/>
                <c:pt idx="0">
                  <c:v>Female</c:v>
                </c:pt>
                <c:pt idx="1">
                  <c:v>Male</c:v>
                </c:pt>
                <c:pt idx="2">
                  <c:v>Other</c:v>
                </c:pt>
                <c:pt idx="3">
                  <c:v>Unknown</c:v>
                </c:pt>
              </c:strCache>
            </c:strRef>
          </c:cat>
          <c:val>
            <c:numRef>
              <c:f>Sheet2!$D$31:$D$35</c:f>
              <c:numCache>
                <c:formatCode>General</c:formatCode>
                <c:ptCount val="4"/>
                <c:pt idx="0">
                  <c:v>17294.7</c:v>
                </c:pt>
                <c:pt idx="1">
                  <c:v>12554.300000000001</c:v>
                </c:pt>
                <c:pt idx="2">
                  <c:v>860.2</c:v>
                </c:pt>
                <c:pt idx="3">
                  <c:v>1506.1000000000001</c:v>
                </c:pt>
              </c:numCache>
            </c:numRef>
          </c:val>
          <c:extLst>
            <c:ext xmlns:c16="http://schemas.microsoft.com/office/drawing/2014/chart" uri="{C3380CC4-5D6E-409C-BE32-E72D297353CC}">
              <c16:uniqueId val="{00000001-9AE1-4537-AC5F-B1BBBC2FE25F}"/>
            </c:ext>
          </c:extLst>
        </c:ser>
        <c:ser>
          <c:idx val="2"/>
          <c:order val="2"/>
          <c:tx>
            <c:strRef>
              <c:f>Sheet2!$E$30</c:f>
              <c:strCache>
                <c:ptCount val="1"/>
                <c:pt idx="0">
                  <c:v>Sum of Amount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11-A74B-4C7B-BF47-D47F838A14C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13-A74B-4C7B-BF47-D47F838A14C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15-A74B-4C7B-BF47-D47F838A14C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17-A74B-4C7B-BF47-D47F838A14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Sheet2!$B$31:$B$35</c:f>
              <c:strCache>
                <c:ptCount val="4"/>
                <c:pt idx="0">
                  <c:v>Female</c:v>
                </c:pt>
                <c:pt idx="1">
                  <c:v>Male</c:v>
                </c:pt>
                <c:pt idx="2">
                  <c:v>Other</c:v>
                </c:pt>
                <c:pt idx="3">
                  <c:v>Unknown</c:v>
                </c:pt>
              </c:strCache>
            </c:strRef>
          </c:cat>
          <c:val>
            <c:numRef>
              <c:f>Sheet2!$E$31:$E$35</c:f>
              <c:numCache>
                <c:formatCode>General</c:formatCode>
                <c:ptCount val="4"/>
                <c:pt idx="0">
                  <c:v>81270.899999999994</c:v>
                </c:pt>
                <c:pt idx="1">
                  <c:v>59380.6</c:v>
                </c:pt>
                <c:pt idx="2">
                  <c:v>4091.6000000000004</c:v>
                </c:pt>
                <c:pt idx="3">
                  <c:v>8053.2999999999984</c:v>
                </c:pt>
              </c:numCache>
            </c:numRef>
          </c:val>
          <c:extLst>
            <c:ext xmlns:c16="http://schemas.microsoft.com/office/drawing/2014/chart" uri="{C3380CC4-5D6E-409C-BE32-E72D297353CC}">
              <c16:uniqueId val="{00000002-9AE1-4537-AC5F-B1BBBC2FE25F}"/>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[ecommerce-dashboard.xlsx]Sheet2!PivotTable3</c:name>
    <c:fmtId val="0"/>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spPr>
          <a:solidFill>
            <a:schemeClr val="accent1"/>
          </a:solidFill>
          <a:ln>
            <a:noFill/>
          </a:ln>
          <a:effectLst>
            <a:outerShdw blurRad="63500" sx="102000" sy="102000" algn="ctr" rotWithShape="0">
              <a:prstClr val="black">
                <a:alpha val="20000"/>
              </a:prstClr>
            </a:outerShdw>
          </a:effectLst>
        </c:spPr>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pivotFmt>
      <c:pivotFmt>
        <c:idx val="16"/>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Sheet2!$C$40</c:f>
              <c:strCache>
                <c:ptCount val="1"/>
                <c:pt idx="0">
                  <c:v>Sum of Quantity</c:v>
                </c:pt>
              </c:strCache>
            </c:strRef>
          </c:tx>
          <c:dPt>
            <c:idx val="0"/>
            <c:bubble3D val="0"/>
            <c:extLst>
              <c:ext xmlns:c16="http://schemas.microsoft.com/office/drawing/2014/chart" uri="{C3380CC4-5D6E-409C-BE32-E72D297353CC}">
                <c16:uniqueId val="{00000004-9C9D-4447-BEDA-67EBC6B66F5B}"/>
              </c:ext>
            </c:extLst>
          </c:dPt>
          <c:dPt>
            <c:idx val="1"/>
            <c:bubble3D val="0"/>
            <c:extLst>
              <c:ext xmlns:c16="http://schemas.microsoft.com/office/drawing/2014/chart" uri="{C3380CC4-5D6E-409C-BE32-E72D297353CC}">
                <c16:uniqueId val="{00000002-4B5D-42C7-BF3A-750CBCF3A56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Sheet2!$B$41:$B$42</c:f>
              <c:strCache>
                <c:ptCount val="1"/>
                <c:pt idx="0">
                  <c:v>Website</c:v>
                </c:pt>
              </c:strCache>
            </c:strRef>
          </c:cat>
          <c:val>
            <c:numRef>
              <c:f>Sheet2!$C$41:$C$42</c:f>
              <c:numCache>
                <c:formatCode>General</c:formatCode>
                <c:ptCount val="1"/>
                <c:pt idx="0">
                  <c:v>2666</c:v>
                </c:pt>
              </c:numCache>
            </c:numRef>
          </c:val>
          <c:extLst>
            <c:ext xmlns:c16="http://schemas.microsoft.com/office/drawing/2014/chart" uri="{C3380CC4-5D6E-409C-BE32-E72D297353CC}">
              <c16:uniqueId val="{00000000-9C9D-4447-BEDA-67EBC6B66F5B}"/>
            </c:ext>
          </c:extLst>
        </c:ser>
        <c:ser>
          <c:idx val="1"/>
          <c:order val="1"/>
          <c:tx>
            <c:strRef>
              <c:f>Sheet2!$D$40</c:f>
              <c:strCache>
                <c:ptCount val="1"/>
                <c:pt idx="0">
                  <c:v>Sum of Unit Price</c:v>
                </c:pt>
              </c:strCache>
            </c:strRef>
          </c:tx>
          <c:dPt>
            <c:idx val="0"/>
            <c:bubble3D val="0"/>
            <c:extLst>
              <c:ext xmlns:c16="http://schemas.microsoft.com/office/drawing/2014/chart" uri="{C3380CC4-5D6E-409C-BE32-E72D297353CC}">
                <c16:uniqueId val="{00000009-9C9D-4447-BEDA-67EBC6B66F5B}"/>
              </c:ext>
            </c:extLst>
          </c:dPt>
          <c:dPt>
            <c:idx val="1"/>
            <c:bubble3D val="0"/>
            <c:extLst>
              <c:ext xmlns:c16="http://schemas.microsoft.com/office/drawing/2014/chart" uri="{C3380CC4-5D6E-409C-BE32-E72D297353CC}">
                <c16:uniqueId val="{00000005-4B5D-42C7-BF3A-750CBCF3A56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9C9D-4447-BEDA-67EBC6B66F5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Sheet2!$B$41:$B$42</c:f>
              <c:strCache>
                <c:ptCount val="1"/>
                <c:pt idx="0">
                  <c:v>Website</c:v>
                </c:pt>
              </c:strCache>
            </c:strRef>
          </c:cat>
          <c:val>
            <c:numRef>
              <c:f>Sheet2!$D$41:$D$42</c:f>
              <c:numCache>
                <c:formatCode>General</c:formatCode>
                <c:ptCount val="1"/>
                <c:pt idx="0">
                  <c:v>32215.30000000001</c:v>
                </c:pt>
              </c:numCache>
            </c:numRef>
          </c:val>
          <c:extLst>
            <c:ext xmlns:c16="http://schemas.microsoft.com/office/drawing/2014/chart" uri="{C3380CC4-5D6E-409C-BE32-E72D297353CC}">
              <c16:uniqueId val="{00000001-9C9D-4447-BEDA-67EBC6B66F5B}"/>
            </c:ext>
          </c:extLst>
        </c:ser>
        <c:ser>
          <c:idx val="2"/>
          <c:order val="2"/>
          <c:tx>
            <c:strRef>
              <c:f>Sheet2!$E$40</c:f>
              <c:strCache>
                <c:ptCount val="1"/>
                <c:pt idx="0">
                  <c:v>Sum of Amount</c:v>
                </c:pt>
              </c:strCache>
            </c:strRef>
          </c:tx>
          <c:dPt>
            <c:idx val="0"/>
            <c:bubble3D val="0"/>
            <c:extLst>
              <c:ext xmlns:c16="http://schemas.microsoft.com/office/drawing/2014/chart" uri="{C3380CC4-5D6E-409C-BE32-E72D297353CC}">
                <c16:uniqueId val="{0000000E-9C9D-4447-BEDA-67EBC6B66F5B}"/>
              </c:ext>
            </c:extLst>
          </c:dPt>
          <c:dPt>
            <c:idx val="1"/>
            <c:bubble3D val="0"/>
            <c:extLst>
              <c:ext xmlns:c16="http://schemas.microsoft.com/office/drawing/2014/chart" uri="{C3380CC4-5D6E-409C-BE32-E72D297353CC}">
                <c16:uniqueId val="{00000009-4B5D-42C7-BF3A-750CBCF3A56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E-9C9D-4447-BEDA-67EBC6B66F5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Sheet2!$B$41:$B$42</c:f>
              <c:strCache>
                <c:ptCount val="1"/>
                <c:pt idx="0">
                  <c:v>Website</c:v>
                </c:pt>
              </c:strCache>
            </c:strRef>
          </c:cat>
          <c:val>
            <c:numRef>
              <c:f>Sheet2!$E$41:$E$42</c:f>
              <c:numCache>
                <c:formatCode>General</c:formatCode>
                <c:ptCount val="1"/>
                <c:pt idx="0">
                  <c:v>152796.40000000017</c:v>
                </c:pt>
              </c:numCache>
            </c:numRef>
          </c:val>
          <c:extLst>
            <c:ext xmlns:c16="http://schemas.microsoft.com/office/drawing/2014/chart" uri="{C3380CC4-5D6E-409C-BE32-E72D297353CC}">
              <c16:uniqueId val="{00000002-9C9D-4447-BEDA-67EBC6B66F5B}"/>
            </c:ext>
          </c:extLst>
        </c:ser>
        <c:dLbls>
          <c:dLblPos val="outEnd"/>
          <c:showLegendKey val="0"/>
          <c:showVal val="0"/>
          <c:showCatName val="1"/>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[ecommerce-dashboard.xlsx]Sheet2!PivotTable5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Sheet2!$T$60</c:f>
              <c:strCache>
                <c:ptCount val="1"/>
                <c:pt idx="0">
                  <c:v>Sum of Amount</c:v>
                </c:pt>
              </c:strCache>
            </c:strRef>
          </c:tx>
          <c:spPr>
            <a:solidFill>
              <a:schemeClr val="accent2"/>
            </a:solidFill>
            <a:ln>
              <a:noFill/>
            </a:ln>
            <a:effectLst/>
          </c:spPr>
          <c:invertIfNegative val="0"/>
          <c:cat>
            <c:strRef>
              <c:f>Sheet2!$R$61:$R$74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Sheet2!$T$61:$T$74</c:f>
              <c:numCache>
                <c:formatCode>General</c:formatCode>
                <c:ptCount val="13"/>
                <c:pt idx="0">
                  <c:v>5530.5999999999995</c:v>
                </c:pt>
                <c:pt idx="1">
                  <c:v>11648.6</c:v>
                </c:pt>
                <c:pt idx="2">
                  <c:v>14960.699999999999</c:v>
                </c:pt>
                <c:pt idx="3">
                  <c:v>10358.900000000001</c:v>
                </c:pt>
                <c:pt idx="4">
                  <c:v>7508.0000000000018</c:v>
                </c:pt>
                <c:pt idx="5">
                  <c:v>14115.399999999998</c:v>
                </c:pt>
                <c:pt idx="6">
                  <c:v>12354.4</c:v>
                </c:pt>
                <c:pt idx="7">
                  <c:v>15048.500000000005</c:v>
                </c:pt>
                <c:pt idx="8">
                  <c:v>10938.800000000001</c:v>
                </c:pt>
                <c:pt idx="9">
                  <c:v>14980.4</c:v>
                </c:pt>
                <c:pt idx="10">
                  <c:v>10512.100000000002</c:v>
                </c:pt>
                <c:pt idx="11">
                  <c:v>12628</c:v>
                </c:pt>
                <c:pt idx="12">
                  <c:v>12212.000000000002</c:v>
                </c:pt>
              </c:numCache>
            </c:numRef>
          </c:val>
          <c:extLst>
            <c:ext xmlns:c16="http://schemas.microsoft.com/office/drawing/2014/chart" uri="{C3380CC4-5D6E-409C-BE32-E72D297353CC}">
              <c16:uniqueId val="{00000001-C679-4E86-BD7D-00D564127232}"/>
            </c:ext>
          </c:extLst>
        </c:ser>
        <c:ser>
          <c:idx val="0"/>
          <c:order val="0"/>
          <c:tx>
            <c:strRef>
              <c:f>Sheet2!$S$60</c:f>
              <c:strCache>
                <c:ptCount val="1"/>
                <c:pt idx="0">
                  <c:v>Sum of Quantity</c:v>
                </c:pt>
              </c:strCache>
            </c:strRef>
          </c:tx>
          <c:spPr>
            <a:solidFill>
              <a:schemeClr val="accent1"/>
            </a:solidFill>
            <a:ln>
              <a:noFill/>
            </a:ln>
            <a:effectLst/>
          </c:spPr>
          <c:invertIfNegative val="0"/>
          <c:cat>
            <c:strRef>
              <c:f>Sheet2!$R$61:$R$74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Sheet2!$S$61:$S$74</c:f>
              <c:numCache>
                <c:formatCode>General</c:formatCode>
                <c:ptCount val="13"/>
                <c:pt idx="0">
                  <c:v>106</c:v>
                </c:pt>
                <c:pt idx="1">
                  <c:v>235</c:v>
                </c:pt>
                <c:pt idx="2">
                  <c:v>239</c:v>
                </c:pt>
                <c:pt idx="3">
                  <c:v>186</c:v>
                </c:pt>
                <c:pt idx="4">
                  <c:v>132</c:v>
                </c:pt>
                <c:pt idx="5">
                  <c:v>224</c:v>
                </c:pt>
                <c:pt idx="6">
                  <c:v>226</c:v>
                </c:pt>
                <c:pt idx="7">
                  <c:v>253</c:v>
                </c:pt>
                <c:pt idx="8">
                  <c:v>202</c:v>
                </c:pt>
                <c:pt idx="9">
                  <c:v>217</c:v>
                </c:pt>
                <c:pt idx="10">
                  <c:v>202</c:v>
                </c:pt>
                <c:pt idx="11">
                  <c:v>233</c:v>
                </c:pt>
                <c:pt idx="12">
                  <c:v>211</c:v>
                </c:pt>
              </c:numCache>
            </c:numRef>
          </c:val>
          <c:extLst>
            <c:ext xmlns:c16="http://schemas.microsoft.com/office/drawing/2014/chart" uri="{C3380CC4-5D6E-409C-BE32-E72D297353CC}">
              <c16:uniqueId val="{00000000-C679-4E86-BD7D-00D564127232}"/>
            </c:ext>
          </c:extLst>
        </c:ser>
        <c:dLbls>
          <c:showLegendKey val="0"/>
          <c:showVal val="0"/>
          <c:showCatName val="0"/>
          <c:showSerName val="0"/>
          <c:showPercent val="0"/>
          <c:showBubbleSize val="0"/>
        </c:dLbls>
        <c:gapWidth val="219"/>
        <c:axId val="1616775647"/>
        <c:axId val="1616816927"/>
      </c:barChart>
      <c:catAx>
        <c:axId val="1616775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816927"/>
        <c:crosses val="autoZero"/>
        <c:auto val="1"/>
        <c:lblAlgn val="ctr"/>
        <c:lblOffset val="100"/>
        <c:noMultiLvlLbl val="0"/>
      </c:catAx>
      <c:valAx>
        <c:axId val="16168169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7756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[ecommerce-dashboard.xlsx]Sheet2!PivotTable5</c:name>
    <c:fmtId val="11"/>
  </c:pivotSource>
  <c:chart>
    <c:autoTitleDeleted val="0"/>
    <c:pivotFmts>
      <c:pivotFmt>
        <c:idx val="0"/>
        <c:spPr>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35870516185479"/>
          <c:y val="7.1724628171478552E-2"/>
          <c:w val="0.81639370078740159"/>
          <c:h val="0.84204505686789155"/>
        </c:manualLayout>
      </c:layout>
      <c:lineChart>
        <c:grouping val="standard"/>
        <c:varyColors val="0"/>
        <c:ser>
          <c:idx val="1"/>
          <c:order val="1"/>
          <c:tx>
            <c:strRef>
              <c:f>Sheet2!$T$60</c:f>
              <c:strCache>
                <c:ptCount val="1"/>
                <c:pt idx="0">
                  <c:v>Sum of Amount</c:v>
                </c:pt>
              </c:strCache>
            </c:strRef>
          </c:tx>
          <c:spPr>
            <a:ln w="28575" cap="rnd">
              <a:solidFill>
                <a:schemeClr val="accent2"/>
              </a:solidFill>
              <a:round/>
            </a:ln>
            <a:effectLst/>
          </c:spPr>
          <c:marker>
            <c:symbol val="circle"/>
            <c:size val="6"/>
            <c:spPr>
              <a:solidFill>
                <a:schemeClr val="accent2"/>
              </a:solidFill>
              <a:ln>
                <a:noFill/>
              </a:ln>
              <a:effectLst/>
            </c:spPr>
          </c:marker>
          <c:cat>
            <c:strRef>
              <c:f>Sheet2!$R$61:$R$74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Sheet2!$T$61:$T$74</c:f>
              <c:numCache>
                <c:formatCode>General</c:formatCode>
                <c:ptCount val="13"/>
                <c:pt idx="0">
                  <c:v>5530.5999999999995</c:v>
                </c:pt>
                <c:pt idx="1">
                  <c:v>11648.6</c:v>
                </c:pt>
                <c:pt idx="2">
                  <c:v>14960.699999999999</c:v>
                </c:pt>
                <c:pt idx="3">
                  <c:v>10358.900000000001</c:v>
                </c:pt>
                <c:pt idx="4">
                  <c:v>7508.0000000000018</c:v>
                </c:pt>
                <c:pt idx="5">
                  <c:v>14115.399999999998</c:v>
                </c:pt>
                <c:pt idx="6">
                  <c:v>12354.4</c:v>
                </c:pt>
                <c:pt idx="7">
                  <c:v>15048.500000000005</c:v>
                </c:pt>
                <c:pt idx="8">
                  <c:v>10938.800000000001</c:v>
                </c:pt>
                <c:pt idx="9">
                  <c:v>14980.4</c:v>
                </c:pt>
                <c:pt idx="10">
                  <c:v>10512.100000000002</c:v>
                </c:pt>
                <c:pt idx="11">
                  <c:v>12628</c:v>
                </c:pt>
                <c:pt idx="12">
                  <c:v>12212.000000000002</c:v>
                </c:pt>
              </c:numCache>
            </c:numRef>
          </c:val>
          <c:smooth val="0"/>
          <c:extLst>
            <c:ext xmlns:c16="http://schemas.microsoft.com/office/drawing/2014/chart" uri="{C3380CC4-5D6E-409C-BE32-E72D297353CC}">
              <c16:uniqueId val="{00000001-725B-48CF-ADB1-8FD8DCC6FE07}"/>
            </c:ext>
          </c:extLst>
        </c:ser>
        <c:dLbls>
          <c:showLegendKey val="0"/>
          <c:showVal val="0"/>
          <c:showCatName val="0"/>
          <c:showSerName val="0"/>
          <c:showPercent val="0"/>
          <c:showBubbleSize val="0"/>
        </c:dLbls>
        <c:marker val="1"/>
        <c:smooth val="0"/>
        <c:axId val="1942725135"/>
        <c:axId val="1942725615"/>
      </c:lineChart>
      <c:lineChart>
        <c:grouping val="standard"/>
        <c:varyColors val="0"/>
        <c:ser>
          <c:idx val="0"/>
          <c:order val="0"/>
          <c:tx>
            <c:strRef>
              <c:f>Sheet2!$S$60</c:f>
              <c:strCache>
                <c:ptCount val="1"/>
                <c:pt idx="0">
                  <c:v>Sum of Quantity</c:v>
                </c:pt>
              </c:strCache>
            </c:strRef>
          </c:tx>
          <c:spPr>
            <a:ln w="28575" cap="rnd">
              <a:solidFill>
                <a:schemeClr val="accent1"/>
              </a:solidFill>
              <a:round/>
            </a:ln>
            <a:effectLst/>
          </c:spPr>
          <c:marker>
            <c:symbol val="circle"/>
            <c:size val="6"/>
            <c:spPr>
              <a:solidFill>
                <a:schemeClr val="accent1"/>
              </a:solidFill>
              <a:ln>
                <a:noFill/>
              </a:ln>
              <a:effectLst/>
            </c:spPr>
          </c:marker>
          <c:cat>
            <c:strRef>
              <c:f>Sheet2!$R$61:$R$74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Sheet2!$S$61:$S$74</c:f>
              <c:numCache>
                <c:formatCode>General</c:formatCode>
                <c:ptCount val="13"/>
                <c:pt idx="0">
                  <c:v>106</c:v>
                </c:pt>
                <c:pt idx="1">
                  <c:v>235</c:v>
                </c:pt>
                <c:pt idx="2">
                  <c:v>239</c:v>
                </c:pt>
                <c:pt idx="3">
                  <c:v>186</c:v>
                </c:pt>
                <c:pt idx="4">
                  <c:v>132</c:v>
                </c:pt>
                <c:pt idx="5">
                  <c:v>224</c:v>
                </c:pt>
                <c:pt idx="6">
                  <c:v>226</c:v>
                </c:pt>
                <c:pt idx="7">
                  <c:v>253</c:v>
                </c:pt>
                <c:pt idx="8">
                  <c:v>202</c:v>
                </c:pt>
                <c:pt idx="9">
                  <c:v>217</c:v>
                </c:pt>
                <c:pt idx="10">
                  <c:v>202</c:v>
                </c:pt>
                <c:pt idx="11">
                  <c:v>233</c:v>
                </c:pt>
                <c:pt idx="12">
                  <c:v>211</c:v>
                </c:pt>
              </c:numCache>
            </c:numRef>
          </c:val>
          <c:smooth val="0"/>
          <c:extLst>
            <c:ext xmlns:c16="http://schemas.microsoft.com/office/drawing/2014/chart" uri="{C3380CC4-5D6E-409C-BE32-E72D297353CC}">
              <c16:uniqueId val="{00000000-725B-48CF-ADB1-8FD8DCC6FE07}"/>
            </c:ext>
          </c:extLst>
        </c:ser>
        <c:dLbls>
          <c:showLegendKey val="0"/>
          <c:showVal val="0"/>
          <c:showCatName val="0"/>
          <c:showSerName val="0"/>
          <c:showPercent val="0"/>
          <c:showBubbleSize val="0"/>
        </c:dLbls>
        <c:marker val="1"/>
        <c:smooth val="0"/>
        <c:axId val="2017542111"/>
        <c:axId val="1674743871"/>
      </c:lineChart>
      <c:catAx>
        <c:axId val="194272513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725615"/>
        <c:crosses val="autoZero"/>
        <c:auto val="1"/>
        <c:lblAlgn val="ctr"/>
        <c:lblOffset val="100"/>
        <c:noMultiLvlLbl val="0"/>
      </c:catAx>
      <c:valAx>
        <c:axId val="1942725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725135"/>
        <c:crosses val="autoZero"/>
        <c:crossBetween val="between"/>
      </c:valAx>
      <c:valAx>
        <c:axId val="167474387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542111"/>
        <c:crosses val="max"/>
        <c:crossBetween val="between"/>
      </c:valAx>
      <c:catAx>
        <c:axId val="2017542111"/>
        <c:scaling>
          <c:orientation val="minMax"/>
        </c:scaling>
        <c:delete val="1"/>
        <c:axPos val="b"/>
        <c:numFmt formatCode="General" sourceLinked="1"/>
        <c:majorTickMark val="none"/>
        <c:minorTickMark val="none"/>
        <c:tickLblPos val="nextTo"/>
        <c:crossAx val="16747438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[ecommerce-dashboard.xlsx]Sheet2!PivotTable4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Sheet2!$R$86</c:f>
              <c:strCache>
                <c:ptCount val="1"/>
                <c:pt idx="0">
                  <c:v>Total</c:v>
                </c:pt>
              </c:strCache>
            </c:strRef>
          </c:tx>
          <c:spPr>
            <a:solidFill>
              <a:schemeClr val="accent1"/>
            </a:solidFill>
            <a:ln>
              <a:noFill/>
            </a:ln>
            <a:effectLst/>
          </c:spPr>
          <c:invertIfNegative val="0"/>
          <c:cat>
            <c:strRef>
              <c:f>Sheet2!$Q$87:$Q$107</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Sheet2!$R$87:$R$107</c:f>
              <c:numCache>
                <c:formatCode>General</c:formatCode>
                <c:ptCount val="20"/>
                <c:pt idx="0">
                  <c:v>32</c:v>
                </c:pt>
                <c:pt idx="1">
                  <c:v>102</c:v>
                </c:pt>
                <c:pt idx="2">
                  <c:v>85</c:v>
                </c:pt>
                <c:pt idx="3">
                  <c:v>74</c:v>
                </c:pt>
                <c:pt idx="4">
                  <c:v>130</c:v>
                </c:pt>
                <c:pt idx="5">
                  <c:v>114</c:v>
                </c:pt>
                <c:pt idx="6">
                  <c:v>382</c:v>
                </c:pt>
                <c:pt idx="7">
                  <c:v>21</c:v>
                </c:pt>
                <c:pt idx="8">
                  <c:v>39</c:v>
                </c:pt>
                <c:pt idx="9">
                  <c:v>87</c:v>
                </c:pt>
                <c:pt idx="10">
                  <c:v>137</c:v>
                </c:pt>
                <c:pt idx="11">
                  <c:v>107</c:v>
                </c:pt>
                <c:pt idx="12">
                  <c:v>126</c:v>
                </c:pt>
                <c:pt idx="13">
                  <c:v>284</c:v>
                </c:pt>
                <c:pt idx="14">
                  <c:v>105</c:v>
                </c:pt>
                <c:pt idx="15">
                  <c:v>37</c:v>
                </c:pt>
                <c:pt idx="16">
                  <c:v>250</c:v>
                </c:pt>
                <c:pt idx="17">
                  <c:v>90</c:v>
                </c:pt>
                <c:pt idx="18">
                  <c:v>399</c:v>
                </c:pt>
                <c:pt idx="19">
                  <c:v>65</c:v>
                </c:pt>
              </c:numCache>
            </c:numRef>
          </c:val>
          <c:extLst>
            <c:ext xmlns:c16="http://schemas.microsoft.com/office/drawing/2014/chart" uri="{C3380CC4-5D6E-409C-BE32-E72D297353CC}">
              <c16:uniqueId val="{00000000-C3A5-4721-8617-A0488AEB4BCE}"/>
            </c:ext>
          </c:extLst>
        </c:ser>
        <c:dLbls>
          <c:showLegendKey val="0"/>
          <c:showVal val="0"/>
          <c:showCatName val="0"/>
          <c:showSerName val="0"/>
          <c:showPercent val="0"/>
          <c:showBubbleSize val="0"/>
        </c:dLbls>
        <c:gapWidth val="182"/>
        <c:axId val="2017563711"/>
        <c:axId val="2017564671"/>
      </c:barChart>
      <c:catAx>
        <c:axId val="20175637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564671"/>
        <c:crosses val="autoZero"/>
        <c:auto val="1"/>
        <c:lblAlgn val="ctr"/>
        <c:lblOffset val="100"/>
        <c:noMultiLvlLbl val="0"/>
      </c:catAx>
      <c:valAx>
        <c:axId val="20175646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56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[ecommerce-dashboard.xlsx]Sheet2!PivotTable7</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Sheet2!$I$109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07-4CF4-87C8-86653CF5BC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07-4CF4-87C8-86653CF5BC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07-4CF4-87C8-86653CF5BC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Sheet2!$H$110:$H$111</c:f>
              <c:strCache>
                <c:ptCount val="1"/>
                <c:pt idx="0">
                  <c:v>Website</c:v>
                </c:pt>
              </c:strCache>
            </c:strRef>
          </c:cat>
          <c:val>
            <c:numRef>
              <c:f>Sheet2!$I$110:$I$111</c:f>
              <c:numCache>
                <c:formatCode>General</c:formatCode>
                <c:ptCount val="1"/>
                <c:pt idx="0">
                  <c:v>2666</c:v>
                </c:pt>
              </c:numCache>
            </c:numRef>
          </c:val>
          <c:extLst>
            <c:ext xmlns:c16="http://schemas.microsoft.com/office/drawing/2014/chart" uri="{C3380CC4-5D6E-409C-BE32-E72D297353CC}">
              <c16:uniqueId val="{00000000-728A-44B9-A0DA-E916FD0F6E2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[ecommerce-dashboard.xlsx]Sheet2!PivotTable5</c:name>
    <c:fmtId val="18"/>
  </c:pivotSource>
  <c:chart>
    <c:autoTitleDeleted val="0"/>
    <c:pivotFmts>
      <c:pivotFmt>
        <c:idx val="0"/>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662271503074964E-2"/>
          <c:y val="0.1168017576543549"/>
          <c:w val="0.81346691275342542"/>
          <c:h val="0.75411812675987178"/>
        </c:manualLayout>
      </c:layout>
      <c:lineChart>
        <c:grouping val="standard"/>
        <c:varyColors val="0"/>
        <c:ser>
          <c:idx val="1"/>
          <c:order val="1"/>
          <c:tx>
            <c:strRef>
              <c:f>Sheet2!$T$60</c:f>
              <c:strCache>
                <c:ptCount val="1"/>
                <c:pt idx="0">
                  <c:v>Sum of Amount</c:v>
                </c:pt>
              </c:strCache>
            </c:strRef>
          </c:tx>
          <c:spPr>
            <a:ln w="28575" cap="rnd">
              <a:solidFill>
                <a:schemeClr val="accent2"/>
              </a:solidFill>
              <a:round/>
            </a:ln>
            <a:effectLst/>
          </c:spPr>
          <c:marker>
            <c:symbol val="circle"/>
            <c:size val="6"/>
            <c:spPr>
              <a:solidFill>
                <a:schemeClr val="accent2"/>
              </a:solidFill>
              <a:ln>
                <a:noFill/>
              </a:ln>
              <a:effectLst/>
            </c:spPr>
          </c:marker>
          <c:cat>
            <c:strRef>
              <c:f>Sheet2!$R$61:$R$74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Sheet2!$T$61:$T$74</c:f>
              <c:numCache>
                <c:formatCode>General</c:formatCode>
                <c:ptCount val="13"/>
                <c:pt idx="0">
                  <c:v>5530.5999999999995</c:v>
                </c:pt>
                <c:pt idx="1">
                  <c:v>11648.6</c:v>
                </c:pt>
                <c:pt idx="2">
                  <c:v>14960.699999999999</c:v>
                </c:pt>
                <c:pt idx="3">
                  <c:v>10358.900000000001</c:v>
                </c:pt>
                <c:pt idx="4">
                  <c:v>7508.0000000000018</c:v>
                </c:pt>
                <c:pt idx="5">
                  <c:v>14115.399999999998</c:v>
                </c:pt>
                <c:pt idx="6">
                  <c:v>12354.4</c:v>
                </c:pt>
                <c:pt idx="7">
                  <c:v>15048.500000000005</c:v>
                </c:pt>
                <c:pt idx="8">
                  <c:v>10938.800000000001</c:v>
                </c:pt>
                <c:pt idx="9">
                  <c:v>14980.4</c:v>
                </c:pt>
                <c:pt idx="10">
                  <c:v>10512.100000000002</c:v>
                </c:pt>
                <c:pt idx="11">
                  <c:v>12628</c:v>
                </c:pt>
                <c:pt idx="12">
                  <c:v>12212.000000000002</c:v>
                </c:pt>
              </c:numCache>
            </c:numRef>
          </c:val>
          <c:smooth val="0"/>
          <c:extLst>
            <c:ext xmlns:c16="http://schemas.microsoft.com/office/drawing/2014/chart" uri="{C3380CC4-5D6E-409C-BE32-E72D297353CC}">
              <c16:uniqueId val="{00000000-D45F-4C93-A37D-90695019C4EA}"/>
            </c:ext>
          </c:extLst>
        </c:ser>
        <c:dLbls>
          <c:showLegendKey val="0"/>
          <c:showVal val="0"/>
          <c:showCatName val="0"/>
          <c:showSerName val="0"/>
          <c:showPercent val="0"/>
          <c:showBubbleSize val="0"/>
        </c:dLbls>
        <c:marker val="1"/>
        <c:smooth val="0"/>
        <c:axId val="1942725135"/>
        <c:axId val="1942725615"/>
      </c:lineChart>
      <c:lineChart>
        <c:grouping val="standard"/>
        <c:varyColors val="0"/>
        <c:ser>
          <c:idx val="0"/>
          <c:order val="0"/>
          <c:tx>
            <c:strRef>
              <c:f>Sheet2!$S$60</c:f>
              <c:strCache>
                <c:ptCount val="1"/>
                <c:pt idx="0">
                  <c:v>Sum of Quantity</c:v>
                </c:pt>
              </c:strCache>
            </c:strRef>
          </c:tx>
          <c:spPr>
            <a:ln w="28575" cap="rnd">
              <a:solidFill>
                <a:schemeClr val="accent1"/>
              </a:solidFill>
              <a:round/>
            </a:ln>
            <a:effectLst/>
          </c:spPr>
          <c:marker>
            <c:symbol val="circle"/>
            <c:size val="6"/>
            <c:spPr>
              <a:solidFill>
                <a:schemeClr val="accent1"/>
              </a:solidFill>
              <a:ln>
                <a:noFill/>
              </a:ln>
              <a:effectLst/>
            </c:spPr>
          </c:marker>
          <c:cat>
            <c:strRef>
              <c:f>Sheet2!$R$61:$R$74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Sheet2!$S$61:$S$74</c:f>
              <c:numCache>
                <c:formatCode>General</c:formatCode>
                <c:ptCount val="13"/>
                <c:pt idx="0">
                  <c:v>106</c:v>
                </c:pt>
                <c:pt idx="1">
                  <c:v>235</c:v>
                </c:pt>
                <c:pt idx="2">
                  <c:v>239</c:v>
                </c:pt>
                <c:pt idx="3">
                  <c:v>186</c:v>
                </c:pt>
                <c:pt idx="4">
                  <c:v>132</c:v>
                </c:pt>
                <c:pt idx="5">
                  <c:v>224</c:v>
                </c:pt>
                <c:pt idx="6">
                  <c:v>226</c:v>
                </c:pt>
                <c:pt idx="7">
                  <c:v>253</c:v>
                </c:pt>
                <c:pt idx="8">
                  <c:v>202</c:v>
                </c:pt>
                <c:pt idx="9">
                  <c:v>217</c:v>
                </c:pt>
                <c:pt idx="10">
                  <c:v>202</c:v>
                </c:pt>
                <c:pt idx="11">
                  <c:v>233</c:v>
                </c:pt>
                <c:pt idx="12">
                  <c:v>211</c:v>
                </c:pt>
              </c:numCache>
            </c:numRef>
          </c:val>
          <c:smooth val="0"/>
          <c:extLst>
            <c:ext xmlns:c16="http://schemas.microsoft.com/office/drawing/2014/chart" uri="{C3380CC4-5D6E-409C-BE32-E72D297353CC}">
              <c16:uniqueId val="{00000001-D45F-4C93-A37D-90695019C4EA}"/>
            </c:ext>
          </c:extLst>
        </c:ser>
        <c:dLbls>
          <c:showLegendKey val="0"/>
          <c:showVal val="0"/>
          <c:showCatName val="0"/>
          <c:showSerName val="0"/>
          <c:showPercent val="0"/>
          <c:showBubbleSize val="0"/>
        </c:dLbls>
        <c:marker val="1"/>
        <c:smooth val="0"/>
        <c:axId val="2017542111"/>
        <c:axId val="1674743871"/>
      </c:lineChart>
      <c:catAx>
        <c:axId val="194272513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725615"/>
        <c:crosses val="autoZero"/>
        <c:auto val="1"/>
        <c:lblAlgn val="ctr"/>
        <c:lblOffset val="100"/>
        <c:noMultiLvlLbl val="0"/>
      </c:catAx>
      <c:valAx>
        <c:axId val="1942725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725135"/>
        <c:crosses val="autoZero"/>
        <c:crossBetween val="between"/>
      </c:valAx>
      <c:valAx>
        <c:axId val="167474387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542111"/>
        <c:crosses val="max"/>
        <c:crossBetween val="between"/>
      </c:valAx>
      <c:catAx>
        <c:axId val="2017542111"/>
        <c:scaling>
          <c:orientation val="minMax"/>
        </c:scaling>
        <c:delete val="1"/>
        <c:axPos val="b"/>
        <c:numFmt formatCode="General" sourceLinked="1"/>
        <c:majorTickMark val="none"/>
        <c:minorTickMark val="none"/>
        <c:tickLblPos val="nextTo"/>
        <c:crossAx val="16747438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[ecommerce-dashboard.xlsx]Sheet2!PivotTable4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Sheet2!$R$86</c:f>
              <c:strCache>
                <c:ptCount val="1"/>
                <c:pt idx="0">
                  <c:v>Total</c:v>
                </c:pt>
              </c:strCache>
            </c:strRef>
          </c:tx>
          <c:spPr>
            <a:solidFill>
              <a:schemeClr val="accent1"/>
            </a:solidFill>
            <a:ln>
              <a:noFill/>
            </a:ln>
            <a:effectLst/>
          </c:spPr>
          <c:invertIfNegative val="0"/>
          <c:cat>
            <c:strRef>
              <c:f>Sheet2!$Q$87:$Q$107</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Sheet2!$R$87:$R$107</c:f>
              <c:numCache>
                <c:formatCode>General</c:formatCode>
                <c:ptCount val="20"/>
                <c:pt idx="0">
                  <c:v>32</c:v>
                </c:pt>
                <c:pt idx="1">
                  <c:v>102</c:v>
                </c:pt>
                <c:pt idx="2">
                  <c:v>85</c:v>
                </c:pt>
                <c:pt idx="3">
                  <c:v>74</c:v>
                </c:pt>
                <c:pt idx="4">
                  <c:v>130</c:v>
                </c:pt>
                <c:pt idx="5">
                  <c:v>114</c:v>
                </c:pt>
                <c:pt idx="6">
                  <c:v>382</c:v>
                </c:pt>
                <c:pt idx="7">
                  <c:v>21</c:v>
                </c:pt>
                <c:pt idx="8">
                  <c:v>39</c:v>
                </c:pt>
                <c:pt idx="9">
                  <c:v>87</c:v>
                </c:pt>
                <c:pt idx="10">
                  <c:v>137</c:v>
                </c:pt>
                <c:pt idx="11">
                  <c:v>107</c:v>
                </c:pt>
                <c:pt idx="12">
                  <c:v>126</c:v>
                </c:pt>
                <c:pt idx="13">
                  <c:v>284</c:v>
                </c:pt>
                <c:pt idx="14">
                  <c:v>105</c:v>
                </c:pt>
                <c:pt idx="15">
                  <c:v>37</c:v>
                </c:pt>
                <c:pt idx="16">
                  <c:v>250</c:v>
                </c:pt>
                <c:pt idx="17">
                  <c:v>90</c:v>
                </c:pt>
                <c:pt idx="18">
                  <c:v>399</c:v>
                </c:pt>
                <c:pt idx="19">
                  <c:v>65</c:v>
                </c:pt>
              </c:numCache>
            </c:numRef>
          </c:val>
          <c:extLst>
            <c:ext xmlns:c16="http://schemas.microsoft.com/office/drawing/2014/chart" uri="{C3380CC4-5D6E-409C-BE32-E72D297353CC}">
              <c16:uniqueId val="{00000000-92D0-4024-8676-69350EBE5745}"/>
            </c:ext>
          </c:extLst>
        </c:ser>
        <c:dLbls>
          <c:showLegendKey val="0"/>
          <c:showVal val="0"/>
          <c:showCatName val="0"/>
          <c:showSerName val="0"/>
          <c:showPercent val="0"/>
          <c:showBubbleSize val="0"/>
        </c:dLbls>
        <c:gapWidth val="300"/>
        <c:axId val="2017563711"/>
        <c:axId val="2017564671"/>
      </c:barChart>
      <c:catAx>
        <c:axId val="201756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564671"/>
        <c:crosses val="autoZero"/>
        <c:auto val="1"/>
        <c:lblAlgn val="ctr"/>
        <c:lblOffset val="100"/>
        <c:noMultiLvlLbl val="0"/>
      </c:catAx>
      <c:valAx>
        <c:axId val="20175646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56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[ecommerce-dashboard.xlsx]Sheet2!PivotTable7</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9457183868389138"/>
          <c:y val="4.4898045705359026E-2"/>
          <c:w val="0.73899551061523805"/>
          <c:h val="0.84111089450945009"/>
        </c:manualLayout>
      </c:layout>
      <c:pieChart>
        <c:varyColors val="1"/>
        <c:ser>
          <c:idx val="0"/>
          <c:order val="0"/>
          <c:tx>
            <c:strRef>
              <c:f>Sheet2!$I$109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B6-4774-AA67-2892222E9B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B6-4774-AA67-2892222E9B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B6-4774-AA67-2892222E9B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B6-4774-AA67-2892222E9B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BB6-4774-AA67-2892222E9B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Sheet2!$H$110:$H$111</c:f>
              <c:strCache>
                <c:ptCount val="1"/>
                <c:pt idx="0">
                  <c:v>Website</c:v>
                </c:pt>
              </c:strCache>
            </c:strRef>
          </c:cat>
          <c:val>
            <c:numRef>
              <c:f>Sheet2!$I$110:$I$111</c:f>
              <c:numCache>
                <c:formatCode>General</c:formatCode>
                <c:ptCount val="1"/>
                <c:pt idx="0">
                  <c:v>2666</c:v>
                </c:pt>
              </c:numCache>
            </c:numRef>
          </c:val>
          <c:extLst>
            <c:ext xmlns:c16="http://schemas.microsoft.com/office/drawing/2014/chart" uri="{C3380CC4-5D6E-409C-BE32-E72D297353CC}">
              <c16:uniqueId val="{0000000A-5BB6-4774-AA67-2892222E9B8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FF202769-65CF-4526-B0C8-9A5A2F02F37B}">
          <cx:tx>
            <cx:txData>
              <cx:f>_xlchart.v5.2</cx:f>
              <cx:v>Sum of Quantity</cx:v>
            </cx:txData>
          </cx:tx>
          <cx:dataId val="0"/>
          <cx:layoutPr>
            <cx:geography cultureLanguage="en-US" cultureRegion="US" attribution="Powered by Bing">
              <cx:geoCache provider="{E9337A44-BEBE-4D9F-B70C-5C5E7DAFC167}">
                <cx:binary>5H1pb9y40u5fCfL5ykOKFCkdnDnAobrbu53YSSbJF6FjO9r3Xb/+PrKdjFvdzsgXMd63cT0DGE53
SSU+qr1Y/PdN96+b6G5dvOniKCn/ddP9+darquxff/xR3nh38bo8iP2bIi3T79XBTRr/kX7/7t/c
/XFbrFs/cf/QCeV/3Hjrorrr3v7n37iae5eepTfryk+T9/Vd0V/dlXVUlb/4bOdHb9a3sZ8s/LIq
/JtK//PtYXSXJG/stE6q/u2bu6Tyq/5Dn939+Xbzm2/f/DG94NbN30Tgr6pvQcysA0MnBrV08fZN
lCbu479rVNcPqGVSyQz9x/0u1jFIZnNyz8f69ra4K0s8z/3vKfkG83++tf/79h+e/GZcgXFZXazw
n28/Jn51d/vmulpXd+XbN36Z3i9R0dvp+Hgfr+/X449NYP7z78k/YIUm//IEu+ly/tNHWw/w3wjr
drt+BfDkgUm4qZuCWfc/chtDXepcigmEL+BoN4jTC8yAcUqyh0Da62jd3BXr8hWgNCFtQqe6lOT+
B4htiiM5ECaxdMYhqA/i/yCOL2JqN5rbl5iB5zbRHiJ6vi78LC1fRza5yXVpmPoDoHQCKLUOLMGl
qUvyILybsL6Es92obl1hBqhbNHuI6X+jzE/uXkVEhcUMQQ3+AJi5jajEj2FIvonlfI52Izmhn4Hj
hGIPUbTTqH4VubQO9FGNAsZnFK1+QIjJhMWNTRTnc7QbxQn9DBQnFHuI4vldcQP3zP7tbqs8YERY
whTmblnUyQE3qSWp5PcwQ/s+NZrz+dqN5YR+BpYTij3E8r/x+jYtXgFL84DBRSW6CbU59Xmk1HWL
EWsXiPMZ2g3ihH4GiBOKPQRxcRe9uUgRrv5+HDk9kAYHYPRRJreiEQ7VyxmikUk48iKmdmO5fYkZ
cG4T7SGiqq5eA80xMUARbZDnvB2dHhgGF5TqE906m6HdSG6Sz0Bxk2APEbRTZDTGEKSsXiMQMQ/I
KJGMyWdMJRI9jJuGpHBonxrJl/K1G8+dV5kB6066PUT3S/3tNVC1DiinBhJ3z+ULIJ6mFCYXbBPV
ufzsRnODegaKG9/fQ/Su18mbhX/npr/fXjL9QFJDGpa+FUjKAyqYSU1m7EoNvIin3TBuX2IGlttE
ewjoeZq8BpbmgY64/2c4Yk19H2R7dN00Ia3WpjjO5Wc3jhvUMyDc+P4eoreM3izSAnHIK4ijeSB1
Sxj6Yy7dAlBb0YhlUVhKsSsaeRFru9HcvsQMSLeJ9hDXFWpEryKX4kAyKmAn6YMmnYIKuZSmgf/o
JNszn6PdWE7oZwA5odhDFC/umvWr1LmgPIUuTUYec3ZwaTZFk8LHRcKOW5PiyHyOdqM4oZ+B4oRi
D1E8quNvaXRb/X4VywmETVDOt4vNHB4PZQS1zF0ez0tY2g3k1hVmQLlFs4dgXo/ZgddI2iH+YLqO
guWjYp36sEgPCN0A1lORnM/RbiQn9DNwnFDsIYrHcXZX+Ovo94vkGIQgADE4ow/lkKlqpcaBAftp
UGRox59JsuclnO3Gc+sKMxDdotlHTJP+NbxYgZYQHS098rFIueXwjI0GlhCmOcn2HM/k5xkUn1LP
QfDp9/cQvdO74jW6sYwDJu9zrg/CNkrbhqMDd3VM5kH1IsB8mquby89u9DaoZ6C38f09RG/MZJyk
67z2XwNEeWAhrcN1/tj5MVWpMI26pcMyWg/u7ESlvpC53YjuusgMYHeR7SG+p+jNfI0mLXEAwUND
HX/My20pV+tA4DM4RVPxnMvQbjQ3n2cGjpsEe4jg2Tp8jRKlfoCUqmGiNeDB25noVxMNlYyh2Mz/
bg55qmXncrUbxQ3qCYjHZ9uNrxvf30sMy/LuFRQswkiUPrhpPepXsqVg0SuJj7kpJmJ4tp7L0XMI
btBPMNzVvDy54z6imJZv/pu4d9Hda2hUfkAMXWfmD406DSMpEuucoT+EPtS5Jrby7GXMPYPqjovM
gXYH2R7g+2sWH7Tdw8aCjW/+P+wrIAydkOyxPjmRUevekWVoXH+MUyYtk5O+/ufZ2g3phHzjSfZj
08D5+had5q8Q8Au0HevY1CEfTdzEBFJ0zhGBfgBO4d08NX7zOdqNyYR+hoRNKPYQxS9p9BpBvnkg
JAJ8NOdM4kOEFvhAUiRTN8Gby8hu6DaoZwC38f09hG1sg38Fx4UhMpQcsSF5rDFOrR32XBmMwm2x
JsmZ2Qztxm+TfAaAmwT7iOBdcpve+K9SUxxbb1ClkHJ3EIGuOfQ5SoFAYuJ+nr+EqWeQ3LrEHDS3
iPYR0RSA/n57iK5VbhELQbt4qDxt7YMkB8jloLRI4cJs2MO5DD2D5Ab5HBQ3CPYSwQS1qLv+94PI
BAwiTCIju71NJGQOhCHQCzfdCYmGmNk8PYfj5AqzoJzQ7CGaF+vsNdxTxHsWMmxA7CFDM4kbxm3J
qBHD8zEnTeRz+dmN4gb1DAQ3vr+H6H2Ag4Md5L9fFMcaP5KkcHIe9Sls4EYJAwCO8FHswNrUpy9g
aTeG0wvMgHFKsodIXhZrZGd+P5CMoTKMbjdTPEboU2eVIllqYGuOmNaE53O0G8cJ/QwYJxR7iOK7
aH3zKn0a5gGaTkccH7ZQbedK0TqFLA0l+s8GuadOzny+dmM5oZ+B5YRiL7GsMTjkFSQSO8aZkOhQ
fey52VKtBKrVhC/LJs2M76K5HD2H4gb9LBQ3KPYQxU8Qg/pVMnDYBmdihzF5bkPO2CtuQSIFmWQB
XsDSbhynF5gB5JRkD5G88jG0o/RvX8dIWiYxGHvs19hu2MBGZYz0QEF4kk19EVO70dy+xAw8t4n2
ENHr9U2BmTpJ9TrJVUNi0APHtJX7ny0tO2YMxv/QqDP+TNzYl/G2G9kd15gB7Q6qvcQ2eaPuEJy8
BrbojjPQlYr6x09vZzM4AbZEJ+hRnjSSj40x87l6DtWta8xCdYtqb1EtknVx+zpJWTSQw6Ziyxzb
nTdAtKIj7oQvvBl1PgD7EsZ+Be7WdWYDvEW5pyCvEI7e+OVN+mOZf8eQOol9A4RI9Kw+I7b6AZrt
qGGyHej+5GiOR/48uNuXmYntNuGeQntW++Wby29+mb2GajbgFesCu3iA9Pizoy4t4GVh3sAOjF/I
2vMo77rQTJx3ke4p0ueYpvgaGEsM5cGEEMSnz7hWSO7qJqprfMupSt7MZup5dDcvMRPXTaL9RBSD
JdS6+LZ+pXgWyncsWj+/x1JYJuNI+T7A/sM0PAwwhAV+GXvP4rvjMvMw3kG4tzjb0eugjEAWbXiY
xfRog6fpYJTYYJ8pNmFOkk8P+M5m61fobl5kNrabZPuLbFEPc3yYF04ARkOY5JSTHwXwLWAxEA+j
Cwgy/bsE157J1S9xfXqN+bA+pdpDVD/UmHEYv8qoSjQamQh3sMfkWWeKmTqlpj5pangJT7sR3brC
DDy3aPYQzWtv/Srzm1BQRRstxsH86KTdmgyMTQ3Yz2DCe57I52yOdiM5eaIZOE4o9hFF/654FScJ
49QEgcyZD0nD7TocOcCHcKPM3ZvCZvP1DJab9HOw3KTYQyw/1HCFXiPpj21gjKBR+nEs5Vaoel/A
GZ0hY0u7zuVoN4qTJ5qB4oRiD1G89svQ79P693s+48BKhqSR/mN8PhILm9lg/UBg4LOBfviJZn0B
T7uR3HqqGVhu0ewjmmm0fpWm3HEAF7ocxh7A+5+t9BG8WG5BuW5l9mdz9AySm/RzcNyk2EsUkzRe
/36JZOYBZ5ZAA+BzfZz3M/MERxppIpEY6zaPo+dQ3KCfheIGxT6iWK0Tv4zW9Wv0qkhswSQ4PEY8
yuOW14q+IzJu7ZOTJgcc5fICrp5Bc/sacxDdptpDVD/ceet5kvCyPAHiEMyAEdiu+Uyab+zMRZIP
I4Ef9uVOUrjz+dqN6YR+Bp4Tiv8JLJ8/VejnoUyLdbVe3h/n9ORgoV9/er9AOGhqQvq4O2F3we2h
qe/49s+3aKxmiDEgkD9PihovtLG34X6m8g8Nu0l0hzD3z7c4H2psHBRjYpeMg6AEgs/27vEj2FpJ
kSzEf9jiOc43TTBz3Pvz7fgSYWYt8sDIJiFjLOBylWk9foSB0zrmZlgWBmkybK2x+M8Dtd6lUe+m
yc9Fefz7TVLH71I/qcqRGq9b9vC9kV+DGNifg6S0Ce4kEiEjf9nN+mocxIA1+D9N1pVG4nrssuw4
sYeuOW57ni9owJgqRL5KmV6rour/kvrAFqXLbwpmnlVWHy4M4sSroHP4YVV4p1WbEpWQ5FwLSKHM
IasXXdlcdIUoF9wqcCBVWn/rreSL57vLPo6uQh4cJn11ojP9Ks+yQAV5Xysr00tVUP0siUNDuZr8
WIZWakdWXB0NrfNxSIO/DNeTKk2HzhZdfGm47JK2Ymnl6YmM8uPQGNjx0DiFXYe6aTded+iGw1I3
s+88867q1jVOEtc5zPrim+n3yiqHT10ZpyrUY10xPQyV4HGyYJljky6tbZl5n1pafw27htte6B3p
dZqorJSFij1WqKqpEtvP2EUY5ydRyJlqi+J73nhUdVpa2UNkXvpxkdmtm18GRpOddHEVrmrfcRcy
TkMVeoVrW8R1LkqRkoVn1YNQOR++m3oTXjRc3gw+FjdzYu+97vREeWVx51XEOg/S6NiwNF05etYf
eklpXpZ+Fy+lbIFa7XFVuJVrh3HXqsBNPNUEVBz6TecqUTTGEe+k+564jB4OWeCq3PUjFSfMVaxt
U+XHzF2SPgqOGOuipeb7+mHgRYPNBq6Y6Ay8Aml6FDsOXdCuJ4cRL/0VJ5mz4i2LlkVc6YdVyuJl
woIzmuSnQxVchgk9rnp3WPix+d0ZAqECGfOlVvps0dd9sKSO7A/D2o2WJPBMLATtl7LIrcMqEK4K
uqI+tPSyUbFbZAviU/8qaaV5WGeGt0S/YHBEiOMsmiZiqmRMex+hmqriAU+ad0IoXxCxMl2tsoO+
NVWfutlSi2uqwjD0T4yybA9d3fvQ6+W7uibJ0tPMXqVVhmmAZal8Txiqzy1+klklUy7tfdUP4xL5
evK1LY3gY+L5VJWelRz1deIovXNTFTkJvTRMz1VeNjjKx7orVmj1kdlKX3ktb+uFrP3bMPalIoF0
lo0ba0ekCla1ES0dJ7FUG4tMxVZSKMZZrEwe1EoLWnNRZHFkiyYQ7wfavQ+6+kq0cbgs9YD6dqRH
FyG29xwZYf69SoZvFW28VZXRWkVWVJz7tGM268QiKnJxLPrWOROabA5NJ+FXulZ/8q200hakqjvn
0NM7SpVfZzctuJKDFirHCyJVml5+qPn9B6q1dNV5rrBJY50ksS6WbdtTZTX1MU6y6VUmh8GuInfp
J4l2onFy5DP2sSmDyi5d70OcBycySN61srQ1TZ6XxldH6qd1KprPfRjdtaI667imqaSgwcJs6/as
LmVyZFlVoPzCD5UbkjMdd/My77Rp+Pc8NHWbDtE5aQlVjSU/DWbClR8MpqrK+LaUpaucOD5Og/49
CrJnteHHduo1bJHEZnoY+rRRXeMZi65PO9X4UqoCX09KPbNlyYxV3wNCmseXteZeR53zlaT1l4xD
PZgkaxYyLE79lq67UIhlGTLXbsrUXdGaHlKfqTzkxbIJSl3JgcYqKpvz0mz/qhFvL6TG31mdNFUa
y+TYNAx8syKBqsOosbMqPa0DchSZTWI33FkFJM0vfavqVRAFRGmdtag6TJR1RKiMxl84ni6+hE4d
G8s06c4TvbpJuTxOauNz5MTGsR9TFRTDt442harT7ggPHa08ndQqpsMiEvLCC6BlrFRTetHaoaWl
qknpkZaLo77NF4HuB0rz2/ewSGeRXjLb8aNvlWkdyYRdUDc71Hh+6LbeApjaXUTxt7H2TN+3S7/+
XvryXZS31bJJ++Mq5t6ylpGt8fC9EzsabEFtR6w/9arofWxpC+p7H6LQXXoiOZJ1lCzq2P8Q+ZVd
66JQiVNKFffDkWPSMz+yTVJ2qrR0m+nkzqmTXsGOaf1haeql+c6Pw8h2RXJF/KJYPj0sccPo3qQw
Gr7rPR5k+fPP/3xIY/x/f3ri3/84noP591+Hd+lY6C2nXxp9o5/f+vsExtEX+Xkc48TDeThM8xn3
55cfPu8bPfVydAOjEX7lF73DIZxlHzUIUdY7CB99I8kPBIYqwl02sZMbaV34Jo++kYlsPrUwjRgD
bYWFzd5ww374RvCfxyON4JqhwZ+hR+Kpb4RR8bqAR0MRH4/R749F2IAJPuEO30gXZNM3QpqEj5EX
Nn3czwoYg+mnvlEUs3KIM9IfGTIJ+0VNU58ujKhlF7rTpdbSgoJldhz7RbxqK5FbSi+L4pibKSWr
IS/awPYioll2XlaRAbtuCE2VoVsvCusmayrnshWiP417Shbcrzuqhtg0qIq1slwGtOeLQUR6pjRW
Ug3ats8qpXsO1ZdF4A2HcD7TT0XZFyd9kHsXFDn1pdSG4aOja8xXPJLesrBIFiy9NM6v3bDokiOS
W7kJa03kegiYSOyQpl6gUuwJbRXJrHARQ9Evai858uXg32mUujftoPnnHWg+G30a1AtLs/iZF0dO
oKgsoR8ks8pI1YarL1OtNd5ZphudNswKLv3Uq86bttQOqRMMtkMcHsGaNt3SbJ1wFUg3aGwDi2J3
HXwWDe6iiuLY6uAJOkQ1kcE+mgWWmWoyxC10j5wkwq2XiRT8SNdzd6lbWHnuc3rSDlb8rtKYWFVi
iN+TIUrfBbVZXHoODiFUDQmTE0NCbwfm4Nhh68kVRtCRyi7M+DyR1CXLXorWU0WYDYGdGOQvKmV1
Vqf8c2m41TUty8Q8NAvHiha6Friwx7UZHiZFzT51UaivgpqZh3HmBp3dDI5zztPQX/SMhHacJsO5
YTTllRSpGSyFcIwTprXke6mJZMljeiWbd7EFRVa2UJPcJe94XfupXaY6tKdW1l9on7kfi5h1lzCY
hm3FAm6TWdlGHGpKelV8yJIuOoFZd86sLEjeG6Ti5yHX//JbLhZhSsJFL+p+leSuc93XRr4UmhEf
tSS2SUorOwyD4MqpcwJbVsqF0/H22BUwggEzlzFvW9urSbpwhjT2YdNT5yiwHGNVizj8brXtDXUs
bZVy7qQKappe4SV3Vdl1+XE5GrchstiSmka7CJnOFyIx3qd422xsCzhNieOp2MzFQvPKz0PsG2ro
pAb7I6gyehNclp5hu7XrKNhO/yRqPO0z2qjc4yzy8isjyrLzHgOUTqRZwhZpXr8saNfYES+8C9bk
eG/w2raqE70O599zVA1PbREQ7oR2JmpjiUpFd9W3laEa1+epe4g4oHfpR9OJOn9VWrRlmTLowEW9
CFrP9cyrVnSRyOxes8z6WtdDo702SmQHuDLy0KOfKMe7sCRG4J+Kgsj3lek53l8dH+JK1TSI2CqB
OfVVJPwe92/8C8vs9b8slsHhjwJaNHbhMK9YcppqxufOYklw3Ka6l6koHQI8TUAGnhwWqVY0143v
8/a6Cv3ayJTragFiEkaa4EsYVsWQLIYmTOSgPKPU7T4T1rBoSr2DZqt91/0SU9+N7MCjPvDR0hiv
Z5v2ZNn1A3U9Rf0Oj2+2vXQXUZCY5jKPWRW6R31l8i8IidrqRoYWDcUXrJFVNyqqq/TErxJmdLDH
YcXwSzjhMRwVQ0uUR+rK+ZCEtehtkjNd2HpV6A4Ei3avY4PPfxxiPTXCT23wf/6XW2qYymkWY+w1
ej6L8aNgspvuSSID6QFKmYGtrjoO8fhprMdJHpJaBCc+3Ntj9iSRMZ4SiVQFQZbTFNhfCRP/mMhA
jgNJDJydjf4LYkHC5UuMNQ7c3jTWEClseB+H349n/4IVLMNTY02duqzDQqTvOsjZKmkg6TzjjRp4
e+TJolZN33eqRhRwCaeCnJIopokSvgyPI5Okn/3YKc/hdsBLZCy/DmqYF6Ory4s2dLLbrHLiQxk1
/pkXyV7ex312Zmktg2+sde9KxLqXeRDwLxoR1Yo6umHaiIujxZA4yUXoZtatqXlXfRcZly6l2onu
eu3hYIr4Y2X2xpeokcV1qxv1eVV68jiskzRXstbCFYXN/cRqUimPlfpdatTRZ4NEyZFrlNYiyZxy
DUtLlh4xfcTJVnsog7Y4rb0me98GyTKq/Wrl+m62aFrKm0tPS3hzkyLa4qc0cYa+W1VpWB/Soaq1
O+5agXfh8ajOVe6USXEpvSxR0qWdd+0FlgYNUJe5Gio2yPbCRAwgFHG51/FVGrWmTFTUZK22MHQ3
gtLTEq1HwBj134JGz+Ol3lorK3e6L6KN2LrXpJEiUhHJykVgfdJDF1wjkzSsGYZthyrRfXLqtqGn
fJdah07WuN/wJvk2SYZh7ZTecCf87nOh5Suc2X6iybRcxFQ0dmsU2ZGWtS5VJq2RTuhN7dSlVX8W
pl22MCor7FQXp1qk/NaFco8rKLe8iTOVhflfXPrRcWTRjyzMvaNMy3toq7ZRhllURyIoxbXpZfFx
pVXWx4zk4qKzcrKI9dQiSq+M9INTEvj6TWR902SrnbCokipDsiowqbYo4P4cNppWdss2yvNq0Tl+
9l1qaXncZ05yJahZHhtkEF/dgcrFYMngY+eEwZkMeHBeannwBTmS1G4H2Z+V4ZB+GepOO8XL69pM
Ju1l4BbOZ3OI249JUERLxHL+teZ32TuviQo7sZiMFgnnTanKklNEn5ZXLcvOKBdu0bfSdhNDHOmN
fmeJBn4kO5Fdy973ojBdRVJB77I0G1a5T0p4aaVQVWsa6v+TqGkjf/5UpWIe7q+08GQW398q/J7u
UQuLsQsR2yihftEljG7En+lkKjEUC03/6DuFaEAD/q2EJcU4V/6QYqY6TMGjBsbQSIuhHIzTenTo
b1QTX6KB2aYCHu+IioaF4yn0cV8gwrlNBRzRoEhoGxp3JnWq2lrqGc+0yEYKxB8+GUadhWuuFUYJ
57MvEdtUemd4na2lDvnmJgVPNDvVu1CeWJ7R1wtkF5L8qLXiqDyPjDiDGknDzsi+GWEVdOlCEyIK
mO1i0Bu9k13a11eR18lobZpG5tywmEEsXeHn2aii/RKs8Mwo4kuPkqpNFm5kwMtXaWvE8RmVfQ6W
3Tim/akew8n6rpUNtIP9BNIdMSU2RWZ/Z9u5QD5f5wjzcNwD4MMxn5trJGns157wzDunTZMgP0KW
I+JHESSxkEdD6VZ+aw9+FvnfI+L4urP69e3HsHnz/ij8Y+4IR5sckAIzm/dHxGfCOxX+bUBDFvo2
krMG8xQMNZTKquhat6gWhVdBnyuNa0OGTBxnPdxFygfRspNKIMkcIvmes4JeYIZwjs9+zeRYcXiy
RpIwdFDDWcDkE0yTwmu5yWPn+ZruFUy7FXBpib5wkbmV+SoyecVQYSgqIb6GqD1Ux7++7wSb8b7Y
UYGDdA0MeUAb4eS+Wd2nMtWYeeuiOgGl1pAsKj973NETV7WBX/uXieNVFeywl6LSo359e6QtJo8t
MW+Zj/2o6LWBDG0+tosMnUY6j91qMpI5s42WCGMNQdKq43TwZXThazSl57BIfX0dloQMHrLMfoRF
eSknJs6f4cLA1l6M4ONjWuRJSciTnhMFPSluuWghcqueioGGK6OA4edL33S4+FrUWIJclZg2Jb6m
pG8Ka9mgSJG1/4AK1NPmsiCfg7PE4HTCpdMNNkGlEj4J+jBxbhxrSIziMM2z2OmXmhOXVn/Ym0WH
V+TXzz9OLJvc08IBvPeCyqBOzckCuNYQGFZWad88v5DIwneVNwpE3KVemdp1G/CB235c9sjNdDhE
HQth+MSrr+NMBL2daLRIrq3Yi4tkkRtpoV/FjZ+U337N5qhPn8oJXHEC15njzBHocCYmuqRuHbMg
+dB964qqwEtA6pAAHwJTbWiqK1ijXWd6mI9CA5dq/OVnbv0P+GwtFoZojn23OGbc5IxDtW2+LWau
l1WPutW3JEJQp9kBtNfQwtsmVW+cMseA3i/dugjXcWAk0KioVhTUODK1QGtClXvQtqPm7z1QJf4Q
Nae8C7M0/ge1Ms5lnazXOBYE2UETbTMGjvbYZLRjbZJZycC+lY4utHgZVGUW1e/yofKzxG7zPgdz
mowbfJb2eZz2CzMceu26zTLnuLSKKHDteBgIMnZenlSOSiwiHOSbDaJFVyK23CG2cW5eB5WI5FBP
kxMyWBGuGvpOm+f/IKZ0s3QLTQU/EKVhDBYau+9gVTYfCG9mkjdJk32FD20gHZQhQsOr6Di1ZRUo
eUgNqt1BuD5qz6jm+Ky+VycZdUx81LUVQ4W3btk/y9DYLrax2ugWhDOCeYGIDkfZnbwWYReWseOl
2desgBTlS1aGJj/XqYcMPivrHsthOU00fIq9DgUUVXtFm3s2FH4rrtx8cLSjIubB8AlFslJcmL4Y
HYSON3FkoThojPCkJbPwCvWNNJqrrAjC4dMQibANFYmi0Wj5WH0AlCaWh39kyN0Pn8y464AdM4Ie
v8qBuJW5yIySlSsh6xG7sHN9OBj5/e2RydT6VplpF+ASKZwHcO5ryegbVBkSb+uuFEmeraymoM01
Z+lQnRVF6BQqiuJCj23NdeLuyOUwrl8SM3H4p4Y0FC+ZNF34GU2epHBRfq0bploTqy/JWNkfj4xH
+nzyajCnTxAvZdFXZN3KwlUdJnFmpWrTsWDM6ryFovj1HafaaOwewPyO+yAftnt6x7IgpdfGrP3C
hnp8Gduaj+pPL2WI1080uSG+OgEb8BK2el2V7rmEYsF7+ms2Rnd2473Duek4Aw+2Aof76Bxe8qZQ
DKypc80S8aeYJ4jpVJXWhnaX5l4ObeSFZUKXBWIn/11Tmi40TuYZqbt0zUpvUoW+yTZqVKW7+Wnk
mOK6Y0WE6m/ZIqa8qkyN+HZuDF16ipeIeGrMHfqZ4g7yJhB2j+A9TBsP3sWxE4TVKPkNN9glGkNk
1isWFqxrDn/9xFO9hq38OMoIjSXjyX+CISbYfOJQOF7S5qX82NQJgRNrFIUOJ7YZxvcWGR3Ojzza
dnhtu9Bi+OVW956tJrLxlWZ10OrOtdOJ8ZXWc3+IiyM/09moIvOhJHSVI6Iv/cPB6ENIndPGo09N
kZKFdEqaQ4x+/Ujj0ehPQcSYe5SDEJoIHF/AKDZtbD5SzpIYfR6J/tGsPAbZqjJ3ZACZfWQMH+UY
3VU9eHO8bhRx6MpRpRRZDkOjeRRuPO2M8Z/SPCzDdWQFkh/5bTSuQ963qbhw8g7f8pFUwWV6Nxbl
KtRkwVaZWTSstHvYCzzuPzzaxMscJ/jjGHEdfUEYiIM2sMmjVV1IZVSn/UfmNqOmqlB1b66GCB0e
NxUxQz1RfZXmwyepJ6N9jLWUApBOxJHbL4dY0MpdWUyr24/wUgssRysDhrePNQO0SeJrFl4x3kbI
WKmyhto88vWshVqr4JHghn7lEPyFGItiKWKXYymqSnrohzCiOoBIeKhr4a+H9RlVYbj+9SJMZHQ8
bBvelUQKbEwbbrm6tEUGvRe59qGJZQrt8ODe6p7ZNaGNyNJzk39SCxNzNN6SI6uHmSWo7yIZOTFH
JEjhtWad/FDWFG9I1VcVXijYfqwPDzKeGkun1dKuVAI1Zix41DgJXBYoPaxSW3RR9U6K0nSClVNx
E8oAAtlcFWiUhwWINQh+1SUwVI+wuXmbYCm7yEwgK5CiEQ437EYgtMCn+GX1gdVckTROwYmB3pPh
UyiqMU799Wpj4s5UnDD1FSMIcQwhErDbERXcwVJzSdd/8LxeRI6q6pBlttMSJ7gQ+sCLfpl7hchM
Zek60n+qKHI/PyFRzTpDZfB2tNMC7Sj8HB1Iktl5m3buDfEjctQ69VhYkgmOyuRBNBRXcSriYt0O
NGoveUNJNyzMILGMzM7hP5b1qm0Ns7kocg81VCViEtMzRgqKVGZSWNQOOswbc1TamfkQKC9pCt7Z
bhc2EIZmKNo+QleVgUTYCtnlml+LqOq5i04tWrf1YWa1HnXgvzludVx5Ep6ZLYeoHQaEtf+Xuy9r
khPX1v1FRDBIDI8XyMyaXeVyedt+UbhstwRikAQSEr/+fLi8z2n3vtF9z+vth85wVmYCQlpa6xsW
mIrq2svAbK0X1ednqEF41tIx8vuHLZ/T7qMlA2dtRtY0aQLq0znUOV+Bs1ZdusmG04FfFWm2tnqO
t/2WVVMcX5ItEemZg4oT8UnJeSQvgTouo5dqjr3/4FefrffRsk7Re+wYhf1OTZ6bl71wfJprNc+J
WJ4qvw/ywjqgG+d9JiUUaZWE/E40hdkXXb4mY19O30WqZudbTJWgf1R23ba4kcO2JP3VyiZNyxZ1
AB3yCxsjmT8AeY+kvLgcurpB/BDllK0YZZ9kpSH3ezY7TOk9MYsST2jftebxaZqIUsW1rVgnhruJ
egmStXd83dzdRhnvujMj42bpezalmb7OeyJ4ecZcyTNZK7fH2NaHpey2CqINkgPgFMzsfbje+BKJ
7rJ1I3Yb6Ec2ggDrFOiqT3MExctyjcmxRazZMqQtyYNVyLqqeg1Z6fN3Ax46hZf17U2o0Qb8LUb/
KRxunxeiX3erq9Td9LlRPL1KPBRERRN6Km1x8VOfjENNiTv2xZhCp+LueEaxqXz1LORx1fQUFD1/
Fza1qeKxZxBXDedCZlGqAMiHqnTv8j6jXVXrqjqy6sKsVMiPBWcs2m8JGRaMVBQ0QvY9orYW9DbK
mCmGu6TTXTI89v3Wl+y09QgE/AQ5QYZzR8g6Tim4aIjTU8xF6HQbK9mbsp3WOKLTp5SnE4439kNV
vVheat0YlN4Y2bS0HXaQJsnF8SM4f6QstdbVkdMTseDqGyWSCZx4L7ZjxIBFS7zMi1ij52ksjpBP
wNOWRVNt64wJsE/INy5rZUZ8Tr1dqljpjuHTfYH/sJcsDEcbRIIic0q64/YkioiU/isZ/DHOE6l6
YEmRjQxuRTTJUpAfWqOg0WfTdci0mq1MQqGbrhTURriDxGr7ce0nPI4O4xWJfb4Iu5PE35d9cZxy
hzut9uccMwtHgAgx0a8M5AGGITfRcedpiPAexKLH0DiX4KPYYku94RzctOCwIG1+3jpjwPK8AnAT
eI96NefPkhJWZQ3ZKgBAEKqJBGPxa/awfanwk0UfHRfH1vBzMCxmjWl+5bgV3enxr2yh8j6DkCh6
/jXU0dvH/z3Ib58DUpDKe4gRRpxAMkXCvcouV525dFMWcNE63T2OxdOMd/EzCnA+VzV9u1Hz7lZM
NVTe1vDrKakCo3UihQv5u2q0QOefXToOhzhCAWMzDWAO5qpaxhBebjUfaYo3h4LH+rV6G8FZYQUh
rr1dk0g71GiNmqd8S6BjLI/qPH67tW/TA0TugPHJIVzBCy2G4+LBrQvMU56Y4zCCiBxvhlnHhXiB
hoTYFSS8yI7hfZtIuw0WZ4mLPH4l6cyC7+GBORlm17KK49TfBjTaIe4wzTxk0KydophOsr/ewVN6
deExQKT4tHV2xpquen4gH8uG+9u5ItWvSc4nTJ+FImPFxRuHZPfdAiz7+MHUHS/E8RIvwxQfy2Hc
6XH+k81B0r3YgQ+giCZe4neFzhKeXcklFMl6m73Nla5fqrW4/BryqncGp+O7TOJHsAPMOHivOol9
3iV6z+MXZG596Vqlo3UCmbVwhoPTXswomdZBAdscABgAssFtEva6mPmxnC32V7wnwZL15VkiWfTh
5lDe+PlqJXM8jtBJk2F0NVugb72Gwsri82LVC16QNNLhYdTQkz6EcQNuR+MtAVSkgeUPD06uEBog
1elx9ETw2X3MJ+ZRBbCwH3N/qxDK+7PPdIoIUxox2PI0jNhix5OPJlaBs6qwVfnPce4hLTrzYZ6l
vPoFJ/frIAzUrGJAvfstkAXSqysFHVMeX7Kfa0bP5YABWxgY1/1jJsp5W190toktv1rfLt1XfMEQ
ZcrvElckOQS3p3yPE0S51ZBj+BKvjlkDvOqY4m/4abnIDSOQ2PS43hU6ZrwYTHB8XndAH6O6G3bg
yhVJJZS2gCxCPt5nKjH4RB6So4Z11C6YV28gy55QiGzOdtKGpdec6R2/sb9BbwxlOVBDTYkERMkS
idJ3HFE7TRC+Apigt6PMj/W0kq0DCM9luSJUZjkL2POWgEjTn1HrHYNnu+yAClKojIDF98PE8XUT
Blzl5w3pGYtuNgbRGXQjWX+AlLPFdndfSJbl6xMBjBXYybM+CuKcb4oOSwvoIslJXQAEyr8QaL9R
kmMzrHDz94jsuKp8Go9tY6TsmG4mNQkm39tI9usMJDrr4i5zkFvRkRVPcrdb9GyQTANV2JWu8i+I
t5hf0aZ2jECPphrHNFJThOCP8vJAqYYO+Soy62qcN/Ulr4LQySuBmGZ4yHOtAiTk6bys0R9bl8Bj
cMKOlg20Xgbg31FTDklhPgKR3OT6Iea657xhNGTCv98K5Db6e+U6p9PPCysBTVyMtG6smijdF/lx
JzYlM+Q3OQqOek2SGTllUdDKJhazfOyhEnV4EyroutjATPn215W83UutegDEDfwZ4bisn+FmGNwR
/6rAj2iC7P9YvN0yHp+YfqL3rE+P92gCQSBiIg/HB1kGdGI8oXI/uI1uYApLmSNbZA/7GhJ16rFQ
j1VZjcdffk1Z5JSIRHCJHH96g+CPcBrxxvhgsqJOUhOXj1YUHCr+LZ4A2JOwsyq93vR0rHIe7Qcc
uIAnwgtBWrZe6z3G/CYx+IcH4JbHmcsOTOOXXweipsKWpjFVoue3im2CiLqQdT8pS57kW8CSb0Cj
RisGzIZo0AcIuZjcENKOfNQzq4XObfRsO6pwzesGFs/ddCk/0jhBPI5RQLqP07I/F1w0S+wjNaOQ
SyGVSQ+asZ02f8zJgu2p7GoqlmkcTxCiYzWe3wYEOPAR9GSZHykWgYCyvxVpNhTlPwBffynogeUg
PmAGpwhuefIfsLJY0ZMCeHX6LOY5x1kXnHushm1GmNUROVbQ4AC8wHvR6ePc/6G6+722Ow6fH1wN
ns1C8Tirv+KsxnoILpcCUNVbaOyBAeMsUAdgJf39of4CoGM1Hc8NwbEAWeH/+VHW/4kX2kqpS4ZU
8t9zJJZ+nhutGCHvIMo4ZneVi+Om2q7HHZ6JIbhlv4Lj35/L7xACjWPMn6NxAKxLUOiC0vz9XJjL
UsC3PX9G0x6EsY4mRz6+LGWRnfYZqfM/jfN/HhCd3wEc5HieJsDFo8nPny8eFp04GcaYvdd+wkbB
JXb86yJIhLlfK/vvLzD5i/gYVwjsFvasBP3+EtBRfzmgH3rCp3XI3/+KGJvYD9A+5Fmg9OzJUrpz
r9hunuyWhR6y3emI55lBaIiWnWA/+ocz+n2mY8yPbr8VNq+ioni2719psVDF0VaETL8f3hbVhrwO
a9xbyRDXuxLWCH0WxAaszCrD5oDUIhLHifQq03ZvnEZlf6ZjNtO49ggtoUGo1/g41gdLHrqQoZ5s
tjc+C5awI8z+/UX89TbixpE4QytqCkg2Kf/KsmLf1WvqI/cgFnlEJmhkcAcVPHD2KUSlJXgA7X8r
6R7f6Lg/G+z+b8ejMW7k8V8OX+jv06bwyEbQz8Q+/Nr2PBe6r2OogqF7Qjdu/r+C1ij8hGWCJlRY
GDAUk/8IB9nGgES7rn9425aQJB93A8pprItp0ceG8fcXeABn/8NCHo+XBf0ElS1EKWCK8e/fL3AL
u+/MTiUsHpGRtCnGsci+5AYL5p+W4H8eCreuBO0FrTaKzL+GupGlY7A851dvqYijQEcwj6Aqw8vf
X9UvKcafLgxYIQ5VQSCDBvTH4z3+cmFxDF6m6MRyMXsai+WUUn+oEWxMYP/7Y9kncOgNVHTAVqt6
ZDuqxXqFRjwZb7FbQ4LDm1kqID93KQH2ED+OjHI+XwXkBnR+YL6T8Mw1LAXl9HnRekQZZPqUTPo0
DnZPVyiy43wZ29JQQG13mU/mLH+s3vg8maMYyd6xaUy0v5dcuAqSGevyLgEm0kOqcYVCo+jGdoh6
hVvxK0EpInxN1PItrUCGXmKzyH+GsbdSQ24xQvcmxhRrD6XhkQZsLo2Q0M5ofzY8TKnFB5Bi5bZ4
yJbhSOait9xGgRzFao9VmexdLZcVtqF6Wkw1dW2uigF+tX9DHhrbpqh/JTI/MygwaxvGd9flsYkX
2gFZQm0h8/SkyhmHHCWqCncTg63oeDP4cUE9BTx/6IeXDGlvlT3kYa2Iuu7zODrAgMUZ4KzhrQ6r
trBkuhXSjoBdgcAUYBnqXqzlzJrIzhwi+FpnUA+ljzAUqGI7cY3HmOsPNFRunz+AbzgYLeSAcZo/
zOsCEuFDp4A2w8ZZ4Dn31VkYnSR9M0K/Z/4IKD2X8obmfku/QFkOmfQDYDOmnqaq6mV66qclilEJ
I3B4WBBWAS79NM0B97bdfLqbUMcRkAnXIDVDg5YmkMC2O1kt67LXoKO37pC0lwa8aCfi5ULiYd1e
83iUARYrgoR7qmEcG82nCchLZCGFzA/K7Vcs0uDDeX5XwnKIgmMSQ55aZNE/8ywA30eeGKb12HTe
psbwMxucikGiZDMVFDGqdibOYRszC58LnAbMs2m9ychVHxDE5/JZTVU0nCHm57QWnEMdHzrat6Hb
2KUjLrvq4my/Ho13V0Ay5veFyeEMq6h4KLp1iIEZO/OBYVJfEU7npcbqE6+9UcMnHndz66uEoRYd
svWCYheQUjrR21LFX2aJ5ThtKr/Lt061BRECdzeODBwnnpz6ubPv9n5Y4xOy8vVUhjgbMGPz8ZtQ
9jmFbP/WkIjfjm5ZT3QBBA3tC79ys63g49nKJ5iCNXh91X3vFs3aQSheBzJNLWWVvin3dDwHNoEF
nhSF40WWYWpIPxXnDT95DeeZeDUwF1+ge2DfdSWHi/TJsNeh6ulZQCH/rAiw+XoARLPAATTzl83v
5dchmihKeTt+2Mq0O8XpGt9AXy26eo6i7I4ApjubdZl+LDCRPgE87KBXWrPqewKqB/VMopL3Lu1F
d1Zhik4JhK/vF0cAOCAUtEvw9iZbTIBjcNygYC4qJspPnUurcA0Fgv22pKRPTrNVK8qcbhShdlCM
/yhXWoxtxCJzM1aQI7QkWfsn7zKJOmmcb+myJrphpZi/xv2i7nxB4tslT44ZyujBoXK33cDa6+/j
QrproN/RTSczkbYlot/3ZNuyqd73MhEom1X0eVN6+6GjyDdpl+xfl6WfUygKFOSD+75g5opBDTUU
U8a2at+kv8kt15CvJqp7CEmBQIySqnHwKWc3aLY8qBvjtTmnyqa3dBh9DaT3I93Ct9gy9kASLB+3
2LUFtBh3NfejK1oos7MTKdbpQQliPgflkZPFoLf5Ao8mNBCyKToOL0ZkM/IVzPRcZ+kwXWYABXUa
j+uTTyb5tIiwykauK3/RIuhPxis40bW3vmGJOZzxOD8wriUwNyw8L/aG+HJ7rNJFDM20u/5rP6q9
BskzfpzmTtdKueSpAolwrVJTNtbE7IZ0E/m6lLm/64H3O9AOxOKgbK2ZjTQqUsvv8jKaYUZJZPXV
REhq2hL5WV/TftGP+ZbDr5XqPG+qbi+uVhjHHqHTgbZjE+YlnSd1cTCxXXrl8q8mYy8bEriXXY97
edGKwJaqR/4jYEAuYi2sPSENhNrbVJTVhmgwtpKvdSycu84rqS4aeWhS82KpXqpprV4zr7IPvWHz
q9vd/sNigreumNN7AmHBJcZO0Wqv12fkl1FNt8ndRWaRX/Z4ni7ZkDAoswAnP4gQE+xlHhEp7rsS
eBCV+VUBYqZRy9RfJLXmBdquDOfv0psknrJzn2fLZ+By+rGahLlKwlA9j6PZb/nS65MvEHJRBo/d
w0Ti9cZYsj1OCzMfTFmSb5l0CA6pDu6BhBGLB5jWuyRb7a03xXbdbT6bgduU04XlI2lRHkNhCdij
ut4jGLkYE+ZpT0vxUgI6+az3cv2ADZ9fYbEV93sSrdAw5d15gBPrDgw3vHIrbGRtuYcpw3w303nn
0fwoAcE/cj8r3UAZEp/N1uvParUE9me673emIvYWQiVYqKNx/sAzmOkQs0d/ygpZXiXg/BqndvKu
dDwDMm+i7xFLoUG7C5TsXdWE0SPXbQsLSLu8kzRzxXqKZyOHFVZzxe62SPFHoCzDQ0TC9HFYzVd8
BwaxtUs+LiMymN4WPbT0PeSXVMHjVc0q/WIjZrdmEFt8D6mPfelS5zSs6ENGmkokxS3sZqY8V/E4
VTejKFULHpfstQPf3ZbVPhZ1v68VGgZksGLMEfj+2xBpNB1o83hbzZ2uHIiexJtku54IjNwZLOZP
xVR1qsm9EfNJVMq873nnxhMo3yBux07OXRuZiUKECJ9HdCncsuzvQwkvoLgcqUfcVtrjwdcSozZv
XN5I1ORmgNkNmQsse5a5e6Al/dJkNuEftmKfQzPHQ34HuR46KmwJUsTbFYX4+pF2qP4M4ohRK82R
OPEJsqIrt+bFDU19PPUf9iyw1NXB67iyNymCXXxdEjACFz2EybTCLdQ+VxGXPRQ4fKhMbSLGBwmH
deWfuwyqGbhLyfA0hyTaLxsKzb6JC53Gd1vV+6lJDXD8+2JAOG0hkNtbOBq7mz5duyZPCnmzRsEv
/bshRHCWZRj+KfZjC5xmlIdKS6V0fLeupC9XmBB7OFsBsC8z1kMJerOxSUhH2NzsIO6kADuLRhSA
eZt99XqqM1i5n6HP6uXV1BE6nziIwnvZASZte9/5q4yTpGxhgRAFILHeJNeSGwU60tIi1OkG9jtf
0/UhojDUN2PPyFIXRGaA4oDZfUxUZL67CqlJZhT8gfPMkuzEnUht2iCFE9HcgJuHFG2D0TJ/HyIy
F0jMbBlgLkckXfGBOYbJovuGIKTL/CTUALcg14mvTnIsErhxVepnSu+TyOX2BWTuCP+kLslX7tyX
fRf8hQv1hVeK9mgxsY3PG7QdJ1Yyc4mxecQIErkB/VXst0NAWweTdfbshKkapdWuajxsOYYjdaTj
s5mGvDUmD7UtO4L46tbx28rZfi7mATQe9+weDGMZN4lfYN3fsdmg18AisucCAiLTdg5YD+YDJkwN
Pdz2PZmVfFIaLUZOC0yXdwtajT1bOJv5yXru2DVQY17U0eir63HudZtOejhLzejzJOPkVK1ivpWM
Rvep9OQ2VSAtZ76AvK5QFrVpymAnt4W97D5NhzousAm3ceX0clJJPj9AP7it18psDB1bttg3WvK+
IfniVF0laBDQzBBE2uslx8WdAkDu552Z7jsD760vsIO61mBRbvUepHnALo/Nv8vl0HY98gucAnuP
Xac7W7TjaeyEni89PEdfgLz5M0Q71WWOq/FcqKJ/PDrcNG7Mxad4Gl/QawGAKgq3c5Gy/vO8petc
02yeP2cxMzc2zZivmfF92XQAR2+YSnHRPAbC3cGeimI3e9ejLLlxW9J9kyIrvkjGk08yybY7B+a2
pUrP1xkg448A31N5xDSv6qyP9X3OWIa8FcHxmITkG5FHMRwm9NGoqU+X19mVUXeCvRREKMDkOb+e
6HSYik3nV3BNO2xmutj6pMkGxJE6j7qe3g9qSV+FEKus0wHngI4ShSgbid9tAH9hToig6PWY27Ro
VwEhp0GuJfnNqOb1XwpVm2ikQnvQL9h4N1NXUbm5q2iVebuqPrrqNE1fDt3AOYEn1dZdiNQ7Sn3/
al2psD2g8jzPlkENNTOa3YG6M7cKPtQBDW2Q0tz5xapXma4erSMAM7q6c4P/tq4BawWLEnWaVUAx
vzuwVq4GI+dOU++yG4DU8A9vnd+RzEM2+oNAQsrOYyHWWxJQv9UR0pG1HZiO6CnSIzS/8e7ox3UZ
hs+Fcr6RS7a0sPXr+MFuRfIMdq2soApCDlfn6yaGy4ak6gbRb9pOXgu46zXsYbyGiiOaHzKxJVFj
2aHEC2NM1ckoB4cBFCmYRA0Ro+iJdGfuclApo2x6mHeZOR1lrGtY0F2KnDqDce/TtNhJvkvnZIPr
zS1MIqRV+byrxiRonxMuUZz2E3mX24yVtUx0l30dIBuN0C8kKn3PziDMpI/vpZjzuWpQbXuiaruL
cUHbI2y4NLQC/FUJ4z3U3CS0kwtslLehZGkWN4tFAaYeBwd0KKs9ZN6VPRurdPeJcwkHdbthqYBG
gRsnQ98a5/UMdyRHrjZdW2Gj8Y9FL97Rk4D+aZxOVINre2ZxCu7loiCUWqfWBBLFPXz8SuI+ELjk
OosWKBYcABqzGFz+jzGqihjjuPRTaCslPP1EwTKJ5zewNlIH4bAO1QGNpgnz6hZPYDioe+gFDh4E
63AvvnPCYp9foKvesd50slTdZ6s2EYl6KgF0RahsWb/l2CIQjtePVgBQQC8sJJT+Ie6rOJDG8sVq
ednBbuFuYcvr5/41K+3kRnSOWG2YbmHlTKO97maoLJYGopdsZM/ZSlWXn3IIVbvsJrZWhxk6pG5F
joPageuzUmWPeBytcyuhQrpPIeZC6q4qRMxQdUiiSnLp1mIMQQGFdUBSuwaSKjts5MQnT7rhpDYo
bipgB9Nc3u1I/coTi4acgQVzrFK2Tgg6G52KsGfkAt5v/KhKO7xEUNeg8wTMjWVNLNbOCWqT8Xs8
SWRZUL8LI09zvlSidQY6FV/vqQb5uKPTwE+V/U3VcfdIoY69Ag7c3cHqnzUyze09mlyE8aSyEWIt
V4EIVtHw3Fd+K641UriiziYVSO2nTcLjvsZQMfpSbRPMOU5+V3vM0IDIkJHVOfZR28KUGt4vXbR5
JAjRcEIGigqR9YrSi8nJOrZsLP1rtDMfVJ3wTSfvS9lJ2m7oR/TN4MFYpl56h9Jg2iOHasT0iTgh
nTDLlRVUuu888gfigow6nZpdCn6GT8ux6IwWUiXEOamuJrS5IPN8IiFerpJlLuDuHUiyNAVL+dwA
UOwoKtQiLA9jmce2TWNq10+QPkA2UZujz1cDTYd2SJCSFLoigFsPHJX3WBONPPzeg3Dz9ZbJ4lTI
fLiJ+DJDym4pzBXQ1qkR0o002KUtJ1qBkopWcYFvATem8DyqM2jrrrQadN9YAGavOwQLmBuserJR
POM6d3XOE+UfA242mrexsjr10Fb8iCBeAnjYK34XIQwvX1BcbuKp6EdzZF1Z2l0hg8lvDClo94oQ
mYVL5kj/ft4ydg+ZJP/ODZpYwEO8e8jVmAUysu+dr1UXby+lp/ZxM4PAJcDGBnYY7dEQTYsRZgVJ
q/dHA5airfp5u04AWnTtBm3Mv7YM7uOGyoVcTaTvIU809FkzPp/XdIo/5WZB/6kCOkRhhh0K/WUP
NSxH4QGeyrRrU7s4mLqGCQL5qnOVQ8cLtKuDVHyHHJSzzeN0q+GQRqAabtRUhPQMhgg8a5zBWNhy
lzmE3gh+h65eVQF5YcYXjaRgCst9ZpW942niyjamXBVnCCHUh80XK1TH64SrhBqg+IImFTDXjkjA
3+noyHiXkpRTjZwaDcZyySrIUaTuRIsNvYfyCnDJ4z4CAaj3XKn8JB0Edm0Wj91p1x7f4RRyOshG
Rvi+M/UHmmdMp5QtvkF/i/C5QLRwt36d0EJt0K58v1CzWhyOUo2CoAMKBDfzfTaw9LYUgywgE2Jh
rA06fNxGkUhfw9DJGx+p5RFavb6BBiz9CleMncAzFFVoOrr0pik20qG/xBZ6tHUx5cpOVnTlgPhr
suG2T9JA0atlox8jJpR/AHIl0XeQzGOoBzUmn7sKiod6hBDjYYbCBA1uNhpQFFQpXA2axXQ8jUkv
Pkjq0ZEK+yayOuTnrciMLo9xy99t2QYYOktn9lCipc8nDZUFr50dPmfo+vfJrDOaleBpfO8LKCoh
lOIOU34wnzl6s3DkVj5qImQe93jMxtgswF2+TNxG16bHom7Rcax4tx59Llaq4fUwhbwDLlBcRSwu
PwIxRjs3PvH8VaF94gktFpf3zoT0Wi7zmja9K7cjW4tHSGcmQDzFspRXSyamHK7vCInT2FX+MtHU
De/hlu1aA3CrNZjqpNEZtSekL8ntFGYBbeCWfBIs+E8VW5NaLTaGdZLK01gODD1mBvQYomR9KZHu
XxLCktcZCvRPMb5C4cDHwEHy/wmem/Leg+S/KLdi1ZX2KwTK66OycWB1uc5xgnWwP1Y8kshoEjJe
sB+YCWXGkrVlAXEKvn236dT8qwfY0ZYehYpGe8q99iKZP0blQJ57kZGxIUD1r5WaElBhUFrKLPsW
LNB/c5IKeJB5xQYlR9eCA4eL6RMq2nlU7w1ZZkLfrb3QiPILnoUHbZLR8D9DJOBDP2pwDSAc53ck
QEoTLlsKr0baZnPsV3EdWzH2+zWE3GF9YZ3f6Dc6oUvPVT+X40oaRkyMdnelo2QzCF4SahZwWtBH
9FWC1oEthHfJjrSxjEPXGJmb2F/b4IFi1nnq6ZmQaSu/5NO0IqhoJQc/II5REdMWeR50Cm0Ucs4h
aCHQWEGOjDQeqqoALzQWDWTsBP0FnVDzj1hHoVhaEJoQ6p0WtQUpwFh2aOS0toqzQ0SOOahBg/Ce
77F+clmJ5i/nLvO5MR9ndFhyfQsitkTdB8tQ5/uHvp8XO6PFUF7mySlWGZo5vFq5uyTU+BXVhWab
CVKyelcCkeGKwc/cVw0Q6+NKSM7jargI7l2h/4WGd3tK646VEn+DFr7I/W20LiiYb/uwsCFvfFyV
hTv/Az33u0EE5B8M1BW8siA5IdOD8OF31nGKUXP0XlXf4h4ukl+sd5pLCvrJZCOH2nNDWzx0NRqJ
SYu6MAOMSPUAHmVpVjRJKl76n0TX35/X72wvTqsATw+7KjqWgTwEV/T7aXU0wJrEu+K7nNVBtIxv
wo9RVgMmYjSDLvsHovJ3Tv44ImzcGI3DOwzK92gx8GdZAkDDco3hl/gxvh3RvalqMjoZUPNLIYiF
CM7FPoLlo+tBVr7dil8deX8x3G8tZf/che63hjj/D93t/v/srENQJvxphvxHf+D/M6Cj33dQ+P/T
zSGJYwjSj6/9ubEOFhsCFWYOyQpMqj91CEaeA90N/DLIJQ6z268ueBkeXYRG/ZC+EJiIYihS/rut
A/6EQI4JiJlY4PnLafq/aeuQJL9PMWTlR7PhHN35wLin0IAca/FPsp/Sc11B/2vfoRpTNyUUpvdm
8rflNOgGUPnHHCFN9yuAOaAT+w8xLzp6siEAwtq7pkz88FQdLWRWGZ7QWOBmxq4LS9mCnpl7ACMl
AZ52gyNo1yPOXDoBkdoaNxy6Ihjv0KamAQg0oUSHW/c5cPW5EgE9Y/KC1gXq/x5V1kJunI/2G6om
L1gTAMrd2AG9zlLYSNfI/MFh/G3gr2eXkMy2Rk1boR0pdx8VGhPepsCB7kuUGmjI+axsJtSpHEN8
VknZoaSJ0IjTVVM7Z+iAPAxdWqNB4X+xd17LcWTJlv2V+YEoCy0eJ0OkTiQEAYIvYSABRJzQWn39
XUEWu1CsWz1WZnfMRtyHbrPuKqjMyHPct++9fL38nGNqNZ1fR4proC0G2MgvthEPjMRKJyDcOm3I
pk0Bpde4a8b2orSt43ZF/dyM0WlWRpg9s6e26lnWo+O4cOF2CV2YoMtn5mMTomwB3fEOU4ZKHXCf
LnqHHGF+mSnZw6A2KDJ7WVpcO26VndP0d3Gq3duJjA5WEQjobgXU3Z1B2VrUsYkldW6Le7Oj9d3E
fbg25hb4Zk0ZB+Si0HiHDspAgjUjW5SF1Fvy4krldjH16lBk8aWWqQY7CG/teJBy0yuXKGipVTFN
uwzxXsdCvROd8/z9M/NffcT834flUrgf/mUm+svhcX55fWv+cnYY8vpVP88OVuhgk4Xu8sN+uEbA
/3V2gNDkHCBAKf8Ej/9xdnBv8GDjsMbMhaXrj7PD/G0ViUlfUg5woQDX/AcETcKknA0fTDSyQZOC
c1Yly4l3EKfin88OSVaIYXdKdBOu2umc5xuKAwhRc3PRuuypAltYTZ3jLWI+WPQXWzTkc1b2Oxbc
vunSgBnMMdxYG1uXw+UIdDPcLE5yLuJB9hRJui2EQLwobbGx8+xRdlA5Q+E4vi6qb0pfJV5n95cO
L86gDM9mlr8rSeob6goLjmJsx5knDWP02Ki9vANRd4wwaNCmG4PHr10GgPEupZByeF/qc59Zq12c
zrvV9NYbJVMPiJK/D2P7hjfZRPaQTd8uk8rNG3GPb/V2ioqXRR4fyQRlmCMjJG9DLH4qGfhCJMPr
+ZCSsGGK3lrlV9tIvsVWc8nhqW2akT+xZ4BJ5adcpUzzElQfkh1HzAvDNsEV5LVCvRpJcmVEOW3I
Q3VkarrJzbhoYBdWHETt+C1sGTFlSo8jJ7azYCH5iXyZPAzDfBVofRtN7lYrcGadxty5J7bvgcG5
bYsRs0SmU686yzHOnEPcTceqjGWaurjd6B2NssJwGudHtTFtINdr1DqQRGt7Tiwvn1oc7zsHXpnf
d1bCgd5pB1s1Ce6l06sEju3AfEUB5SVHXku2bauNtuRXkXYya2Vf63YVzMze8eURkovrziGlK+Mx
zfI1VyZMxrlFfFua0rZsJOjTVsDY4cssV8u2jQBkZ1WcB2lkCa+q9MAqmnqvh8O8I9YQdCAGoKQX
Fp00gxEnzpnLweTOJD33s2KaPCr6LxnjWZMx0lmk1Qz8XuO0tkWQiGLyUIV9ESrQiguzPahqfZeG
VuxZKuG8ZDJ4IHvLuGCQ1HaNOueAK5dvzOG1tTNzNr2EKSQha4ASXFo7kaiDt8z2maGkQ89kviEK
l9BblQtYxcLVUM09Q08mxAaRBVU0264imfdFrH0ZrDT5TiNBMrCyXddOGSjt8V6aw3YfxvM3itYC
eHhobtKoQIXoBx5jx7qGcjFt6hVAJOXGs5OoX+W03FrS1PmY0s5YvoBISjb+cHBJS1xD79dn3nyr
tryidcxbeV46/aAsbI8aNjy8wp8aNAJtfMvm+GmK+MyrqQ28H446chckGa3TrtaYPxOtbr3QhpMe
tsgO3EuPU2R2rhmODcGZFTIHibYsuxkkafmE/2vcwovzW1RTBD/RbEiomMemHphe2Cjss1E8LGV4
Q4r1hCjdevAo30VX36tavC9U+zjY8i30+SNjtq2a5gdU3bOMc31TzoDvwd3puJD0O+hmg6fwfQPS
4UdbS0d08HpfWpBtzZRf3Il24FmPsiS/m50VtOm8Hk26X4b5fCil+UUlYrWpFSCi9dSNTDYG8yCW
LqCOmsLeTayueyqieijBpFf64sZSU95r3PSPJQTc5wmSP3MEmQEySHnbwGlcGocVVRJd1xySve9w
lX8JI1MNz4kh0m3upJ1HWPNJiXXTZ+jDo8Fc1w95XnZ0tgNxwyVzR54736gmGIiN/Nzr/W5JcZko
obmLTZD0ELCI84qo2DhleGsvy81U9CwvgHgCwiK/ZmaUfuoVTrgcpRpCbqb6fZS8R411S9yp3Ekj
KHTRVrsMUDtLE6w7zele83l4xO+4BHyKt0wyHyGDxjixkBB0cezTGU9/Jb8w6x42IERvkjG/I08L
XKML212dSYJnLbyZMd25TFhSTC4JGNFoVNJ9QXiLg6t4sYAu+CyqQG8yxUmkyVfVHjkNYONY6sob
qzaLbWwxqvM5xI2PIpo+yNOpGEovT3e2AQ5v2UJ42kqDDZ7REMEwJ+9YFA8L0nRYaNDZM+Erua5g
wykGPxtq1Jp8vM8XbSLeyunX5HkUFBop6nnucBbizupKVMcZjUQbZMVl+jZSOtZ3TNgccPvWKazq
a9muUIkR6LBjSw91rF70WGFYEEkBg9jWdayCXDhA67y+SGZYMGU2nwiPfWMSEW/HKTuOREMYrXTH
sFqeDGSvrhI3swFBR+3MQ4V/ZNMnVSAceV+19hdZs8VWk8vINWELbHry14UmAE5RjBdz5imGdW85
yHCKqr+Zg9ME48Jhi7RwTHJQtTmSM//iFBDqOOidHbm9iOEKNNbeMS3OZ41VCsOySSVxD1f+pe6t
vVrz/wFfBDzxmGq81bJd+zCkOo6bIciV6C1xnJ0xlntguMTXKvu9G5LXqlWOSKLb/64n6Sox6BP8
//t60n3JXgYqyvbXdvTHF/4sKVX5N3ldXUT3SKbUXImtH0pKZ42ZoCmaGE5XxOrPktL+jQQKMzNS
dcoayuAfYXH+vrDG+o0QEXa+P5CF/6CkpEL9S0kJzBToESw9HX+2tZacH9rRNYU5ZINd3sgyWXxk
MMQoyUb1GY+9NaBe9Wp7mnq15BlftK0z9dcCYJeL2/drQ6bMa6WWIyo2fEdrZjfC57JhEI0BJWaa
lUij6uEJBqddmwu5rym/1pHzFBsLI38ywwhay9EOtVNj6Du7dNiBIsVbTpinkBLIxb58xrhLr8bB
u+uz7hDlSb1JdeOw2II6UrfOpqp/whSI2i7sW2e0Uq9oxG0nNy+qoReubUSPQ45pcBRx5CJVDVBk
lrNZWE9AQFtX0bTPTlY+mdNwdFLlNFrZAxDvc2ePDH7H+FPRhGx/UHIK2vFoLfpdUSSBEknPqoCk
UEdBJ9cWBoDqVFnlZ9U2mUnnoBYMoKQT1TkPxUuX2e0GljgYQExcwqRMpJHPGH1O5mYO69m37aL3
B4rITZjkNw2GZU5lbVeSHIYs1V8A6fQbUrQKbIsOA119B8MhYUyjFGsO76qF5je1qx5ScOQkwSkb
ouI66WYwx/leqPCxQ6u9YjL/FDPL8fEPfjYFooEYDfy8ip4S1hVloImZSKNqbQFc3wK4twIlzg5Y
ad/iJa9RrPEZxI3iNpkaugy5b5LBUi9ZaO0mO7qvOWz3JuNkebSP5szwiLBGICxYQHotfNEtid9p
3bBtevtzbLJ+pq8LFaVTbJUc72qal9+IAJVe0s1MZ2sFTKHlzTIbjrp5x92fYMdJvjaN9kaX9MaK
pGgX1Tpcymg/DXgCZhlLWTJn+qNmpLInzzY3TShAVtWH3DD3maGcjT4OIK9CAs4EPoBpAi8WmfPW
7qvS2hRG3+HQl25FNb46Szoy1ZZRReSm3i716nLq6oMu1Spe6mqHPYCMKD4VRtqW7dE+7lQpwpHa
TC+poz8I6O5Dm/vyqsDw6PIcOU+lNmguBfhwXxO594WDwSa1ehSeMCa7vvSKz0wr2WhGducMkUdp
om00QeHlmKdwYPyWp03iZVHC5wL6jW8nlRJoNY7dFW8W0NzACRVLf5zV4jaU4m9aNOq3IJfvgFQQ
8TC1hquLvyUGd+FKS++3ekk0Xl5uypJPSgKOaYNscw0tg70E+FYrOdE3mMz2WWF+6Trl0Ja3Qsfc
0DT21bbzcA+B4jKFGaS6bjw4avmqt/i16jkB+pJXzFXb1JMmKcU9zPMxGrXKI2FEXrxIW212k+WL
GmmvQ3NKkn1bjr4o69mtQx6DIQ9f5mUZNupcn8MlVTaFJt1PFeNJhXZvruNHXHhvac9HRi2gT1WV
ERD63ecS+GESKZo3ZNkDSc13EPsj8BOeO9qzrV4Wka9PCyaVaumA1NfFSWLmcFaK/EESFAjTMFM7
0235lrOE3rQMq9UkLN2okemhxuE8NKlNs1kkWDLFPSEddWPokbInThD7esg7PoWUhem83JZhZaLR
cZ23+bC41SzdaTV2apmftImXOtzgYxtdhKKQcqlLvLLuYE3xfg16fEhnvlev1be5rh2zsr2XQ/kh
NDDtK+pwCG1D9bWF8NCmLZsmuakmpfmcOkY7+mZbmAnekuTY9wPKUjcwiwxIDNC2JKJ9ZkQX/57T
+m+NSSZx9vc1wf/MKlG8/ScFAV/1syBAY4KtzlwDPA43+VpkfCgIZItFdARgKRnUFU32R0HgwHH9
nrRjxfOfCgL7N1j+qyzkaI6Deq38E42JnMtfCgJVtaBsmuRBdVX5FfxO/zEmcG2zG9Afz5Gg51r6
7KsyG/uMM3qTmAt3Xe9bRr6RBytYtOjkzPVltHOMz2POx07U+aaPJLexejA+hhzIpXY/EnrwbYv9
b0M0n+Qu9CiXq41QukdG3RWKSnaKjTrDSgUtKm1fchMrc6/oOA5F61ZSHoELmo6TPbymPeEHG/iG
h9LvmzPTNWUuFp+oFSPk3JhWjEvnWtinXEwjJlzegiUd5XxlPm54uHWP/WRomznqPmvQhLy2mF/p
Aw7AnipM77Sx0YBpPI80wtBLvyks57o4ytMQLmxMWyEocSzhGrBYx5GYiXAX7BtcTXjhrHCvRV0w
WySza2aJq1f2ES/qubOKYxVWx5i/iS6ZnjtX1TuIBd7AzeCnhXoOFfUhnLMOrbvPOcs1tDjMFCDU
qcjYrbPLNYakoV092QaeGZPWGCnOGGoR3XdqUn2R6/FxXvTx2NntTaV17Ra7IMJI3XzBU7oXBe1t
NZq4jpgR6yO6P1Y2dcM6l3McqY8aYAvCxuMNUhwWiLRfPNVYIn9xhA3nw0EVKvs7TYpfjSzEScKW
GYVcxrE0X7rppXLmQK/Ml3bWyi1N8ZYFZWTwqjEvHx0lLu4zUiHpm4iW13GK7xZ0Mh9zO3duilnD
fmED2SXk+d7LXSHvpk4tb1Q2w9xgR2oPsxO6uoN6P1rQKxquBfCAgoC7M180YvMUMmU+bjPDehqL
0SOpF5+1qXyrl0Hd0Zxh22lMqCs/5oX/fc7JDMD+/pyjXiJMwCbmtnv5T047vvbnace+Tnyh1NCQ
S0GZf9hJpajqbwzbDFoZmqMfSzn/OO2UVWV3yNaT2abV+dj+kMk1DEZoNE6spvpHijoMy19PO5L0
Nh9rwj6MwL+3Zx/bH8hGi1MMxnDDLgp2QbkNILIDXB79UIBMTNyEhRIoWlSRk3Sy4XN5iQEQZkzw
xBQSDJQueZii7pja0z1j4dMcKgkQTBNJcrQX3AULbr3ucczni5VrewOpBxNQicrGB3QiRVX1DPU5
NSH1AsphI+IYRg61Oj4V2qN3zY5Qob8PhUQ6u5XQ2FaVSiyMsPWgTzBB65nMms82fp4hVwL00Ge8
4TNe76Z6YLNOz4edYbXBZ1XD4AeGsSMcVrMHpwifWMngdSq58aZtPUMQduyxNYc1eolifQNOJVwi
sJ/NGucWULw9Tje3r/Hg4Nb7bEb61rYqllCNWhBj4ttgANqp5mB4Q4ntZmKQOetDg5d4+or98mve
TTdyGUN3TrtnwXDBzfV0S65rbzNyJzAyNnjKWYJnR9VrJOusCFSKzxUwXopR9geGffdmhuqCd31+
EZURHtktaLk4U9dgDbubClu5U1ur8fQyjHFM6aw1bSdnO47pUTHqgVKHnpNdfE2HmjW4i24JijSr
DLIZ+21mYMW0YyoukNUcjWrRnmfZBg6XD01glwQfw0yaXVIiMG3aNGaFZ0kHIYvQL+RWHKn2s60N
9eteNYblcVwG/GUyhEAc5YRtzJzrckzT57IhCMXiQ/MzvUF+B5qtvsamKva20kzEZ0Iq1jkrD4hb
LFqRdD05hUi8oQ9R8dQ3C1GPBXbC18kWEtlWQ6rRZOXbtHQUP47H6pM888JvQ6YDX6TEid51my4B
dxthUhBXfsosdM4x6rbreHRYB6X4148YYM6gtXjVRx/E16llsiqvI1ap7i/NOnQN1/GrJQ+InutI
FhsO+yyY0urruLbOZeTYdYDLJDcMKbLTdbhbrGNedC80bz1VvHIdAuOqlfGjr5NhVdyTHF5HxQyN
y3V8zKrS4dEh87Q3y4zh8jpmlmwGzi2T52kdQeeo99M6lP7/Ucj6eB5zTv5bQwUalnjHlP7ntYI/
vurnCa7ovyFB6czI4MUb9rof8F/1qv6bzvH8cRvR7ye4rqJ6kdi3gSaslexq3fkpYLFYAxlKZ0ey
/fu49B8IWL9Qu7FTsHiBKpWSmMEsqXDuno8HeAdysar7fmKwo8HMH/E9bkoNwJ2bWuNwy1RwPiTT
UKS+LHPsdKU+fEr1duLhd4r66cMt+Lt55yOe4q/mjpWH4aw4BV3GT/V9gPtBTdOLuUqduB8ual0o
F/Yks7C2t0riG9PQwZsbRr1/toYK3bfJ7a52Qdhg/AOHZ+l4Ja3i1ek6+YbvEWNjzjLlE9gPW9nO
phG+KdD4ph9+I/xEf7OV8RcKxPr66RzdYFjgDsm2+gtRQxcEUcBFdRd4kxFaA9TMT4OORzDorLlk
dds8sRlWWCQeFsvECMvoQNtyIM4Kh3XZvcZT2yqYQSrDI3hYUrLmsYwPpeHK8aMyia9pT44QO3vr
WdjPHtu4PkLYNCZfsKrvLJp4yH9I0n/7V/3FY4OBS5PpYiyTZ0NTf7FxWbOEXb3K2gtYeeexjGwF
tSFdt7xVRT9dx6lx7iu2SX3+92//+qx9HM8TOqOQsDS6J3n9r/XX+vDuE22K9KqNikthL8oFfmB/
AdcAkTGMH//9T/q1SVt/kiOrWNWwFa4VzJ9/UlXAn6pJUl4I5+svAGSbbBuy+AqloYp9uQZt52qo
X6VL7HrM/1cPzfpQ/PkP5UFRDRaf6CYban798eBL0FLXfK5VpwaLCHrjJc3W3wGoZetj9y5R4njr
GTLWI9HrtLTeyIvAI3Vm/bTqT7KrjQlZzgSewicyghRWsT3Pb5U0sIRaImTqGgSum52hmTRg//7V
U/76RmHn4tgAsgI4Gb/fn18+me2EhWGE0lnpmagIbNLRRpHSjkXG2gzr/TDGIv0a2Q7J+qUG9YaF
U7iYzq33joXLpTvHkYXhNhneRKNZr4NRxdaP2+hvn2EIQL++yjCWeYhYW89qIj6dKAUfHyezsYXc
xJ12TnSoUI7tMVdftiv91gm6oe/Bk9Xy7ZDPBrdkjHTYKMW2VZuKxeEV3P2szu8qdv1MDNvG6GlM
8nI/t9hoK6OuPpGKtr0QVcztKXTpnzoNI3yYtMVlrKQW2zwO6yhSHETLBTCKqw5xviM9m92pSXSN
SENPm6y36ksX1g+dmkvrNa/yQopZ5WzQ+2VZdeDklMWG/RzKZPViRIfTgtnVcUc5ZnrIQyf2kr2O
ucfZXjyFYsZbkulb1ZI8x4tlkRPIGQyHbd1jN1BVRnpsRdqGlqSIzRKn4VcH3DGBtaKWvvQ51ISq
ajGEE5/fK7WTvYqhYs83mZj0XjjhZG0GnMKHJmx6d+Z1wLutOjekQycfh3IdKMqkMI8EJIXJZQQN
6w70BX7eag0ZOIfVp2ABPCB33Y6rRkWvAw+zaoTZ5ymX46PaONW9Qf5o2zuJpIJPy5cX26RObOUp
WYIhtaNAwkL9QpByfAd4UxnuAnYClSFShwgLTFLy4RhHf46G3g4aalkv6zTmD/yruF70puSFhpew
SdokkbDXjDhyS4pXTCRZiLlBKnLiOakf6cCjbkdN0T3RNrBRWKhXd4HWjU67nTRrOpnERbIQ5FXd
YSYie0u0+TVms7W6PLejNK1REafhKC+/YbpIOo1N1l3fV/KlSzsIMjQ39bIFltOFzPsF4IlEzcp7
mV0Z+2TWtJ52waEAZhjuEJeJqeq8gtowBt2YjqxLTcdIZpjQKeFNXMsmHIl0xg/jsdjP6U5m22k8
UWNYKu3o9tyFgSnFSXgz8NExI7e2K1IeisZyjKBAzXc2WKwJ2PgTWVRXCh3Fwf2NMUOnlWUpuRs7
7HkJxszKcr8NqQoCo4hyDH+LwYlZqCkMhzxupAyrzxy1V7JPkPDKSNjvUj9YgpFCqXagVuzevhjk
vcNDoVmdZbDddmrrZd61Mqcb0eQotoAZtsNSB07TFiKYMzOfd9TTeeUaKnEP15qMOds2oIwll7dV
fZKqfFE8wn9p7vEfWbohDCvBvuiK4ilhi2++1xqny/wUTN7d0ncaKAVaMeUYYyFiVaAVq3G3DZuh
Ku65jLUDPnY1DfqK38Avuyyiv1GmBft5MlfjObehpdBUFFUDh0fpD41mMLuPQo2dyhbcK/Q5i13C
m4JNV8sbkQLHJC3bkSTWZjDme0UW+g6Ddsqu0ZTVOJ4oRegtfZiSgRibyoH6PCa6q4HqW4idJIt0
lMNMD5QqhBdhxehtvsKqmnIfC2WMfGYmMUsk+Pc2ikNYhccnAmE2jYKIH+5U6UtDOgNRXvA5Ui/K
woYbrEGDLmkPczaq/cVEhiq9ghQDg56CKynCqc4XOEQmtQAEt1I8k3st4kMNlhgz6WgstD5d1D3o
mN9fDPR6khkKDy84UqhGfmvSxbOYWEmgP2msP3AJAvgCBPVzNo5UFkmUDPeY9MevVRNru8Eao9C3
2alF88NoUwuMDO9EUDSDciFprOm3bWcoD0pHnnQzmnDO3Q508+QDvE3EriGwDTjBIqF2IyTLeSzk
en04k6Rut1bWxu11mjEKuKh9vDfxWPCLlRA2lCM3mPNIlIKnO+eUbDykj6ncd60TqtekQau7U+3C
0feTnoysxpzYN7vB0zRdjVQyJ78cc350Wa7TlomZ4QIGxFr/+PVXHzmf+L2IEV10o+Cv6Gt4pZs4
LdPFddKBjw6umlTcFhC6icj3VAUR/4wzVe2K+KZW9Jlki1bFMm83OwD6cy7FpMSE3NeEwnE8av48
1FCT+N8gDPiLOECIxK51clfkj4RknQNcPNRIINcpzwWsgZexIPG5mZpkvtO6SW6PEWVuciwraG3s
lVTGbVvIyqV2ovqZnSsmwxY9FuqhtCOnP7JUh4TS3Fg1Qjc4vm2l8rKuoIb5W5qlxnXqW9w4NTu5
0qfRzKN2Rzg+fwfiu54hos5ijz7A1nwBe6gNKhYXPdGy5kE+VlENFIFjbmaOfCdgXB1JICfMuNVG
hS6arQoFTATnsWF5U+RnasHHZJFCzdnrRanUbzkH8nzAS85nA64Jz0hiEKcNCNgOPpfMWB+VpmfV
Lxu0u4GbFmcMpXedfGkcoFHSTJl+WJyuUV6BGM0tq/sUCyF4VPlWU66s6JtxnZ5WvC2MAonnAMsf
hu48zRbR0aFl5mu1Oz0nwrJbxhVpBX2gXbZVlpbluTAn/SR1xDP9uC7y4RhBe4+Zubd5/EAl0r7K
0MrgWlmiHTBMYkDfOONg19wCc32fRbUiPivlotlslqUCmz/hapQcvhm4Fz/GVxQdpLAav8aRLLF7
2mrNdI/zRrmdWilcmCMjsfuMOnlIBTZU7Tql2WJccrNasQzVIJtnHSPX5M5UN60/QpEAwGYXYs2P
W2zdtts285VJmxqmhOBX2CGLZozDYIqYPIez3LphBQThiaCc8pDEDc8aN53zyLOet9fCKdjl1quV
A2M4j8FZTP0z0wdG8Js0HaxPBtyGEY0mYnO4Hmb2cMcaWAfVKOKJ9tHzeDdpHObpJNj+XJ6spoq1
KwySzNyz0YF0sZgmKTqnjVSNXt4S5t5QjfXdOcMNRBsJtRlHvJ3GQM5keT/XOp/7GcWVlfXMk8/f
S+f/asH7/818CmoD+vHfy+IPffbSvH0UYNZ4yo+v+pecQtIE2CqXjcqaOWONf/yUU9bJoIVb3EG1
gXT/Ye+zho9cp1GRV7UFeuK6DPSnnGL8tlrODcQWel5lVbD/gZyC/eKXpoMfTLcB/pb/JmC9zgE+
Nh3QZSE15iWETVwZm0n0X1hhS0g57cjnktCcm+zJULBUoOjSu9sjUjF28qYYrlAa9wDOJMjwFG2k
TPAGCeZdyXm2FsjtSH1oMK9r1pw1pWv9Ko056rF6LhdGhiFIfjdvq5tikp9GtvWSQ/kM6GHmsHf0
IPyuc0tLkOmShD5Jdk9Fc7YiCYW5Sh4Nu/hSzeWngbN9w1HLRhbTfGzqbl9MxVPnSE9hMR9j07rR
NHEe0vjUleJLS0xxI3DvUvp8y5zI9nP+sA3lmblV1fLQK+UzYuXs61RAfNs5dets3CHyfmJdYeOz
xYOI4sLiiEQjMDsKEtiS/VrHqOA27KG2yx5YXZO6dmT4RmrflcJ5rVvnKiAY4nDB3CqvPo5wZPlz
NXyW0+Jb2JXPYa3egIT5pusmnua0gQrD6GvXWvk1qpydWB3jSfQlU7vBrzIYTdDECEZW5bdRcc6p
NENW49bZ0Fh/t0w6gagHgNqKdSITfKj18FREbNMWVRPM5RjIzXiI8AxGqnE3L8O70JM3K28eNBFt
Q235nLOMz5PXDdW8SY7cGBtgOo6ryrix1Kk2b82hPcfO9J4lTumFkgzfJZQhpRFUzmX1CdzgnQ5O
xGN4+qBH6juX1rCfxfrlRt8HutZ/zqV+15aINDCaAtoMsSr+yZbFtM+lnqQrS+6ixrBuCQln7ndP
sKxLG3NJA9nCL4Maua3B4rAYCK8+Tcrs5x0dGpFGr9eFtoH1FWB6ardhW4HmymvsqGnkgeifAZwt
dyxd2I6FEfS1Xrv6guRFOdNs5G5i7fXSYrmB0rUxrBFiOpwVd255D3O14m5ulvsyog2FGhxE4RDQ
7t4DGD6IEeenBaRuA9YwYktuwmXYp9+wsn7mFuo2lll9lcHqbQq4mdi+4BDIYofwD4BHindyISWe
ZKWFK8vl1pzlLTV377ZQz3ddPLIEbbDfsMSd7AnpDWIH/BNIymY0463Hmc4O3ulTWRuHUG1WqEXG
XFnrvuKZr7A0AXXUl2q5sj8GLkKRFt5kaE60z1Qn1rw0HZ9UO20Gv5HYjPrIyxB2N2oHBt03haEF
ZpjLxYOFLa/09K5aNHpF6lNXsXPrSgJdmFf4KvFVq6foGbylzxjEYjsKS2AvFaOupDN7iulpQ5J/
F1tOxDoIGRaEY0y3ciYdwgjECjg4kIibnmUGiP5mW+97S8Z8XwPcIQ8na3QjjJxdBt23IMOneisn
mvoZ8KoszlAIes4ZFqt4k2l9k6O+T9zUnJt8WbtKZ/FDvIR4sIRqRQ8yXXz7DH6CnUUxu/Vir5Zz
M2Q9roj1swzAQ8LmM/WV+7/lUv0/PJH18d5DUlgJ3H9/Vd6vbtb/4b40ZSaKP82Qf//S3+9LCycs
34rw5Q+LLNfR79elrbGGG1wUEW6LA0Hln/wcHxu/qbKBs0WlVdZVrsY/bkvmEtAnDcsAWE2OStf/
yW3J1PnPtyVBYW53eNR8TwJexKf/fFv2wIOKJhHlbhospmYOeUEUoUI423hdYmkWKl1RESUYU6n0
sLCJQlxGk3WYQ4bnwWu0nqIyFNqTCbXyCvG+uB9aHjmMPtOVT9RY7SwS57uKGDakLmzERyFhs+dE
KGFPTKmZezBZOGVjzXK0k51J8SVVSol0Ntz5Q7/UWe3XEGMgoczzqLgpIanJA3JZvLd5T20OXUJn
VV+r38SshrimcahzPbMSAR1Z0lDKwF9xTBkFBxEA0Xg/TC2HWDmbZxWgYuV2+BP3Pf01GyxY1ehM
Qi78CSXmWc75pbw6D7s3fooygKIo2JYV9gVGExuuUcw3zhhYz4a2n8LCbPhwdmXqg5wxYNkyEcHV
Jufvgjd8R6JyupqFQS8EEDl8XUyjxgtM+fFULZLF9+U3e9JZPvpUjHJ656TydAUMHd+MfVg8YNYv
b7q2GebjxIEEU7WHRE37a+HNzXKIlq6sMP5HpqrsW/oI1riZsLc2iRKGmJ00AXiMzJB1ix5QfVEi
276GWclKCIgNsuKFDCUKz8nGMrDsvN0Yi7Wfqry6gRTlXA1O0PiUoPMyGW+rYChr5wRHDFcpI9tT
3DsqCZYBjUoYkOAUpbZvJZ2nJUkJUzmzbezw9eduHjbKQ1imOrlS3h0pE3TzjJhuUlI20v2i57Nv
Woly0Fu8nXWW9oh/hmq0u0XKO/5mRQu0QtRfR/y8z+ve6ScuSl1znaU2TBewcPuqSLntA1DuEDbH
2bmdULNIYejOPZdIdDtpyxT5zsSOKMxH2hc1ZAQENVgyWGuCL+rFXlLgZq3inKpKs6IAFTI66FNS
iF1o1d2y7/tZnbci7KUT89xhdOlHc1+TJ7tgFK05SbenvzdYLjRW/Z1FHZ2eYm1yrpUtKSQpGtP8
VCizfo5BPo84G6gJ5Y0NjGExgCc2GNWjaZZJN0qsCGNVqMQL0exm7JL2f7B3XjuWI1mW/ZX+AQZo
1HwcXi38upYvhEeEB7U0Svv6XozsyErPqaxBAt3AYKYeCqjKLNf30o6dvffar2SFhkDr/LFZAdcx
Q/4+2oiODQW4GbGoeZzgrVBGv4eDqXXHDo+GfsibZk6ejZqeguPi4OPA5uXz4oaRdj+PBEuMLLyC
bDGckqGTz3FTXGi/is44uRL/G7d24KeBYRaVpeFh14k+MhXojzbNVttEzTAoVcdpBCp4qzv8z87U
80OjovEp6aDqaH5cXUkgHcQXu7u0F/E6yWvDCdwU9ZWbdTw+OQ4xpv2SgXzAOh7uMIIq9rW2ycaR
9ocaNJ8BzYM+3q3WGTL6bpd8D3v8CxMugN7o13M3AZzw9PRQ9QA2Zr+8q5R37lIZHtIB1oNPce9x
pI5i404AsKyOKbyppt1Iu/13W/GkycMW2y4yhSfS3ZwYAlJl51LDM913SoL2jsad16X2k2gBcqc9
BhU199X16Ol32IiMYGhJT2kL/SqycHQPlLjwqHCibVjKlaTz+qSTdvtIZ5daFSN8paF03E9jk9+X
DmmjdKjoGl1IWlYuhxsEHnPbUMW62P/nneWoS9J4MwqJ3q3iWObUseMonsCgrUTGdJ+0bVWvM0+9
VrifV3PuXqu6vepglZGMjwkPmBVMvLAkzelo+lXbhuO1I3OPeprqq8/TdlcmwiPLSOcORhMWw6FN
pk0YzV5VVQJiZNCOaZEATc1nBkY3eqsSA+yRiBM065mSX7+vAmaqFsmmGfd6EXWPaY9nRXdGbRe1
04++dfLdHKfzpmtH8TAII3wzM5tg7RTG1tIguFjN0fAOvVON2d4sLPtUNgm1ypTOJEEd4biv+8w6
egDLVkux321fx/4uoYx3nRYgUDrbKnhVOMq9zNiPQIRlKkk3XpN0dz6z7JPP9m9jsgHccFONL8r3
mq9lxTIwwIWcvcCnL7aix/4TJoa3LWQH8lEN9StgLP3ZbyNtg4ZF/IrbEXqpUZ1AdLY4HAvv1uRf
XEln0q6lF1EHuDhL4Hf120gq59IaocCAwu5SHEEcYj/NCo8IawlqKe+S3oWFZnJ3bZxErS2cV4Hd
WRUyjjAv5pLeUnRkw1esy2SHS9Pbka3LjvTq4R2l0D1oKNl76mpdcmHEArNO+rE+6WZ754RpdTup
TsdxyKjsdfym+5yXgcX9CTjkamLTtDcwLaIeWCCNQjf9MKVVfPRFy0afojZKO7pwtDkHnflYovGa
q3Ru7LVjJ+KxwjhwF/uZ9x1OEDZ2HxpeExpvmt//SJIyenEMBwQCfKOVtOzH0gL+yXsqgzSUkU0W
POfU3ISPUWuh7qRvIXxx+gjsnaqsLlChGljEzy/zMPuQKit6LNz2vSlyikBN/ZDFU7ZphVF/RAvJ
IENYwEZrpvvB6MtqZaiZNionFDe5dEAKyTG7LYVzKdljnQuFI5i7ls6VlkQtjrW4HRn3RaEuEcUy
m7qQ33u4UqzmGaWYL5LFBz+aQ753RaqgvOvYkfzl4ZrZzTLMNCzFrVYGNCaYm7gMk3cUhgfNIBxi
jo3+Fhtusq9oIPxoRXvXD+IH97nAQ02hZsF9LXOhrxu7S3ZTpgMxn0N1rpEgAzhor1UEkY3g5HEs
M8xZcV2TOm4AgYIe26fTjMwy1Aebqg/cveIxgRR0pouShvrEEVvYdf7OSLt4RSpi1w6gzqtuurcU
21+hYuL4g036KVXfoQ1aq87sq/vQA02aSBpJgxAT75q17rCxnaqDVoV2NfUVLDDN+xZGxosAqfmq
N/Rcmz733MKzb7nr8rqyvxVGIXAK9jBc46Q+1QQuT31jcFMfV8wF3yWdQvG651uiAlGypqhJpkir
tjZJQ6p38Ig4MrG4d0KbiV7kY7qFzjRdQxkMbyCBH1v+6FVOZ2KsA/aW1sp2a16iwovWczwZazy6
4mLW6eOU1c5dOMVUxI4J+jM9vdUdCEoMB5KlzEByloLFwOJIP2uNdNaoKE9dmuyWYbMR5XWFd5p9
iQ+5tvphJ9G+oWBxMXtdh6O8VjnY9LhjryS5vtXFW5v78Orl9DDK/qYW3TUi5xXTGrxSR82870NW
vHOfMQNiiZ5T3uZgNoHU2mYCDx0+vn0uYYCcnaIpV7HTkiZxbShzWaFuDLCdp/+RK93/q3vSxXHz
15e/K1jGf7wt/rYlXT7mD1tSj5QjhjN6PnTuab9f+wRbUqy/XLrAVP28E/7j3ud9cfEYE6EgZ8Ui
1cJ/82tLCsSHK+JSNvVb2tL5O/c+808V0Nz5PFAcmBVwj5DBNf5szZBKT+be7p1LZJYKx6ajo2NV
XtxYhJyiAeeDCnuDMdNwYtDxHR5TrKRgYDd0ec3krmw9v6Jqls4Cnph8jYiVDvBU+KG9lfqsFUtY
vaYa7ZyFUJf22Dd6AAJrpUcWx3zman59ANUrSDgN8MFuwfdjUoarHWHLZHnUs/Q09D5ZoZTvO9p1
ArlECRq2rwGB/58JDbkNe/2BYngIRE6+qYp0jeBxVy7hBHwQxBTIK1BJwOgQngU5hlnW7ISXaENd
F7u+PuRL5AGIkBEkSwwiWwIR+cSOJ1lCEv0Slxgm9VyQnxA6AcacRAXUbzjiS8gCPCiLy8I7Iup+
N5YgRtIPLx07KFiiOVB4ZtCC1AaLUEKNzuCsnCXSEQ5NtzJdhTG3c3JCfkQ/ZpuVpLf0/dr9DPee
gMhIUkSzphOZdzLVGD64O4nvNEhVq96WFEs0+2QJnBQkT9IlgsLo99TbsCWYus6yz4iqLKEVRXpF
s/Rts8RZQsZAcmVsq7n5HqwY/XSyqktqVHdNw0PYZbFIQibmssPjtgmEi/pHfsZCb6cHc1gz1zPT
ZjScWNqKIoMjIbENmFEy4CELNBDMKV00Vbb1Zhf6h9khkiqxzfI2PQOI2Ikoeu5JoK5w+5I7n03u
Bk50M7ms9yy/W4mmOw7kvGACtM9RNfNKzOzTPIv7jpihM+VDkE5in5XpXVQOZ9Z41I0nPSlVlcA4
oLqxtrRw32Y4qHVuXLpduUx95keVC+irNXMy99OLLcpux0BDQj97dG3naYnl4sS8RtGtV+TdMdzl
fkqzZAr1pHgaSUfOxF973XzVa4h5bmrvqAm4B0R6gN9AL3hIpUyMrstaNYXeoRvxqa5b/BC+0vfx
OD5zW8F+b3TkdscnYckHS2ZEgFu1K2OCqNKmCp6cjN2BKQhZuJZcgHs3I9Gz+I7JxK4pibgPU5UF
VSroy5ijQ7TU0DRdc9c76hVrzltjy4T+HwImNPI09HRbYmXp/eOQ6KT3MiCpuDmPmlYd8R++l9QI
sMAnDQo3mQpJZ5u0FpsGfUfFzA2bXPTAxLy3cF6uvZhGJHPSLsTtrhK31lYmcEGuUc+J5ZY77rPv
bNknDDDRnrnZCrTY81elxqhJwy/01a58TUuc+zPYDt5lyjvBSAYOI3Qqe1V7xkGN6AyhITRya4O2
44AfH7e5nK+FsD4WEGxQtc2ldl1WwmF8bAsz3zhi+sgS/y7FCspuuA4DkbPWlmr+MQ5cI4iH09K0
sLQN7sZ0enRiB8ilWoXww2hQ4aWjw27lEg2xZuEdglq28cbF+yya3p24Kzcd+MbN5PhXvd1cCc36
yPCwraspt+BeAPywMXgpCCAtJBBuJvtZVa/4H0CE4DFxF2gIccaTvmBEPMrmWGw7d9ZkWIeoI3Sm
FuyIMNIrAYdkhkdCdvKEN/SWbpNTkaeHuGvuw7j50S0gEzA8ZxSea0erH+oFdYLhryFMBP7EX0Ao
7YJEoTCTxDmQlBRaSrlgU9wRgEouQ7BeIFWQzLtVMoxP/oJb6SuWD8OCYCmT7JW2UVRo6CxZD6al
8Mxq5eOl2FIi9WyMH+PidcMvlGzK2UKOKl5pshI74ff3+dgZm3CocAMgrZhSe8Lu/BFHsE/mzGUv
ZdoHXVbf8DS+sXH6MQheDHXpPNT0lAYjKZyFiS15RJQNbnz3ZgDOxCJAAPkY2VznA5al7I4fdT32
8bWilGprWwza0aCRKABY5CJn4sPk2kijHklXbzpYo31v1OEL63nk9jz5KEaJTdBiay9GVe5lNjya
ZaVWDkjgAGft4Mvf7Jr/3Zrz/+XrcVbHn7GFSLmIv389Jf2v4v171f7zj/o1Jy10CcYdJhvLMDwm
on/MSSSvGEwshzX4n1iHjEm6r5vsin8mqP7ozfe+GMKlfvVXKMv9W2PST/P4H33CrN6Fr2OKBiDg
ejRQfl6PV7XN4QM36Zq+pYeM0LIhaWu25G02odeNS6450jF4Cmufzkvp5pJ9DpcUdDf1YaA3dQNI
Z+zpR9HudAt0Tly73BstNpNSCSAPDeeMz+cq3SreIK6Jgx+1Bgms/L5dUtkKNHuwML7pF6ioQAEm
RiwHBPFkh2t3SXbntPEFbTc2F9onHhjF7Ct3UOU5NYwuYCHfAAskx2gsgXEJp9BbMuROHPPgacuH
uPSAGC5Bc72Vh4bkeehR4SEzfGEuN3/cw084L3n3Gfa+IreuLQH2sJFXajFZUYz+1fGJjDWMLauW
3HvZHlJxFksWPn5v6R6CkER7Cuh/NnQomITnqUkFsJNP2Zr+5XpTk7EfVVUHU9d+70nfi45Zw9f5
gahmP0gS+nQv19w0N5o694T3J8t7swnzV0uqn9071ToE/duovUkKBEiLzoigmsR1Rr8OVIB+Izyd
P4npyqCLInlwF4oAfso7Y+EK+AAGJkADsvSwUy3sgUTEYmssPALpDpAJHLYDdVh1G5awjJjZSMOd
7p0NkAZzn1iB3cZr6lsgWkhynQr+QWNiAPck1EvHx5nrYMfaRAsxIep0kxYv/xlgfEr9IbVWenqU
mftg+epdLOwFqsGDjmxpOsT+ujJg6dQ4Mhlr6v2oD8bKAeBgCn4WBdLBNwtGqVCU+k1tdeW9F8Ly
8Ng71Fl1raz2W8KC/2AM2g0v8He/4uRt06g8xpl44Ty6anGUrjXPIiIxmh+AOj4Gd563spuAH0gv
3GPy/FrwFg0qvhUa7jijk7G/xyEhT4WnH4c0fa2Vf1JgkFd2Fe+qUTs3lA4EUoedQceMCKosZHiU
8tKlirfP8BBH4dcG3WJfmthqU624Z3YEL230z43pHrKmi6AwVUfQkzlZY6fYerJEFLYf21iPj0NX
Ai9L1T2fczw3gz3gsgOw30UIMD8dlQM34q3wlz/eBJ1Bd0JnLULrWVZAyAfF0lbKsjxKg061SXNd
+ksSSsglyDwo7xVtgmG0L+O4vUkd22fR06ynchZbry+ePENBuetiTGwpLASDVR3us3ITUmiJoS5j
wpo748CQA1ojdeJ1a/QHXXEqgSY70LOe7xy+F/Z7JuD55V2K2nIj0w5/RlPura7Zpxo1RhVMhzRl
AVvnmuCdZnUrDJcTtYIx0PtIrjuLJhZslmvNsm9SUpeVHB7FlJ7stj9W5nzxrfZ+cLm2KFnsYo1y
BCqGqODMxGWY+sek+slejG8Kq7/N2NSDbb6ShXqRIb6+jMBPQHPPE6Z4xA99P0v50NFPEDR9qQd6
VSGX59M5k83G1dtqW8zoUEY7XVETf5uBjtpMo9i4Rk37VF8Gs+x/WHb4RovONcmDC0GJGxKaBOEH
+TVEGqMiT73klGgA1vA8+lmKN1lwKWQRjZxg1A9VbJ0gzFebARE7IBkzZ09mnyK0WU4J2mdhSMTs
9/2FKvHz5Pr3EY6A/C+O8Pvko/1nzNHlo/54hOvCFEQbkeHYTnw+wjm+XRPiHykE5w88CP8L8VDm
bSRwwBC2zyf8terwv/BJ6I51MZMxGvzNhPTyrX3K+uBBZYzgczEWEMk2/yRx81wpYt6j+jW+4oTt
JQgfR7xVEc5O3lQhDkSnPNNWDWd39I3zWPPPW8O9pozyul80cC+6g1j4Rp3bihXHtCM4+1K2Nh2G
IO1K74o9d8dB8Yq3reZa022US0+bzQM6koAQjah/ZFvwAIWXDntfx/nDOhRqSv0aphTh2vRLzil+
5+Zdke9nm/xiwOdZFVN3jO0SnTJFEVDJXvaYzNJSvdBtvh9jBlwr65jU49e0KB+VV539tHlhjcR6
xTZ+aGP5TPz2KRPwWwAmbOEfbJWrbhI/cwN+sh2ezx6gKkpAwjxCJxAgvHA8EILDAzZjHiqtndto
21YOQOwK74ksFNUc3eweVM8UMIbWKdVzVqajtndGDkKRtOG+1+YdeaMDcaNgZMu6SKAQ8NrH3J7f
87rOVpSzHKNYf9YL2ll1wHS1Pl1hesKUFbnaxk7LfTdo6Wrqe9pO5MHh4U67g32cWRGX5VsU9o8I
yiOPwgw5hAqGTKd1OW/Mq9y1Pky3HlZ0RT7CMWywI1nDSrNgfMoIwNLIahe76j6VEJO8cVMPybmX
/M6iKLfW4xyl7FaztBvaC/Zyyl4QQSrUJPxuJwx3SBRWrXeHyvOiTYcpAHxNlzL/VHrrbgy61YaN
lGbnv4MEHA9pB1wWyZLmu2AyRxqBqNHA3ppbyINx06xqy78q+qahGNH8RpckLJ/Qop3AomUI/x7/
bdRB9stvTthTb5g1PzzbWZBblOaWmIBcgQYX2dmdq+r55JruhTIOpAej5nNwgcaD9ZJP1mvpTeNq
mAZ41hkEba1O1uCLvqe1/GHM04fqEDMHN3+KSFsGmD+vCEnP5L6NU1tSGJaOHc2m9nAzGWbERiPb
W3H7SkaANA7o0o0deq8ceowqloORzR1Z5RtUlORcs+YCom8JBnZFKRI434gNAg046zKKjuWUfrcm
svsFr5cSFkimTly2d2lV014AgijOpscaem/gVNEuj+GTWH7LTOc8h3VBXo9/4onxOVLNbRLmVCJr
8jzKV9JxkoNDq04c7ipZ86lwaYFW0xbCLo68gNISMLjthII58hdHmb7r5ypCRopPyikvqq2P7Ph+
0DvQrnJraFmgzVn77d/nCnfsxeX7r84VcnG9/OSa+m2FvnzU7+eK+EKhKyfL0u7OkhcT1C+jMeQN
bmM6JwR3sp9E+9+tU/4XS5D19ri32Z7+ibzhfSHS6gDQx2Vk/m3yxoIw/HyuYGcWniVg6hMn5pj7
fDec4FyQOQmt60zV7nxQTlWYX4fY7MJr8gxmUVxp5Of2XogGpvXx/WxFVpBxRoCnY7ECaDUJiJdm
m97vrLW0C32vj1kK7ZcSyn6o3sWs2Pvaybtq5LQuTPLHrXROrKyJk4Q0oDWY+KOwW8RJi2UtQQJv
ZtWY+I6k+11gt3LQVUetGDZx2+Xr2OlONBn6LHWT50E4t4lZ7oBgt6tqoskN4mkDLWnQC50HYHW7
eDfogWNLL+n0yCsyUp2GeZZoA3RP9e6n7a3jQIntC3wcfm7cGHqXX/WWqrY8GfAB4C4iuNf8MMPo
vU8hGhWau+nmj3EyMGdgWxw0niZ5UV6xDHuuy4hLA9TCvSWJa7Z4xygNpODZrMAHKY8CDTFMJ3OR
8Y2Wwl8v3PbVcBL+uBPsq2Rd7aQpNxggcDOLgYgeZ007mB+dT5p0ZPL19cBQ5rmc1V7ZpA77KIR8
73a0NyYPVJuV8PzrPZ7azVSlD7mvrVla3tatfoo19vYFi/jWLm55UK76wiKoPCVtues04W09pz4K
u/haLh3MxM3P+uADlE2o+c4xhh2Ri9pbMel1+Ja2ObtBSYd3eaupbq53hSipW9Ez/QWSv18FzpB9
Y9bCUIUFOjH6b/BRtq7hR4gC/GsU/Y9mKRBL5eQHxUB31hxfrDL0NhAq5y0m4h/gyHmqefOro/sP
nZpuxSDeTB5qeqVek4EKl6VqbuNG1vfEwBOjR/NbHjeAW7uaaLAJeHJoh8BGZUjt9pZ8zt5tPe1M
YPZhRs3nVtKzWoi8a9xT+FhjxXQPwTym9pACZZ+l6azvlQthvUK+Fd3T0BE1KmpOt5zoWxb55s7W
Evx5mG1qYQO+wuCtVfG3KGsUkOhZbb2RfUc6RztDk6/JWO0r3jar0gNUTfQvqF2puPQt61NiNdNI
ZbPXajdzSHERPehObQr27emjHcYRwUGDUjKc0rybMQYA6XIzl8t0dSxtNoIxJqO+8aild7IfMu6u
64KKbhmenZzrXjanFy7BpxqQC0eRfyrJYGKHModVyl2pxRuHG3gYd82EzbGLMQcYfv5eZt6rcqtN
kS+bz+jVzMz6XnEGLbtx0seG/ehq8f3EBkf3x5cmtpIDNpaDmppTGHn1KazkizOFO1L795rjHGLT
u9Z8eRvrzge06EtRtPus4rWpHMAntSj7NRHmu2GodhmprwiEcZvGFM5OyM+8e5w3Sd18bKT9XegN
ManjfFtM48nBVL/599H229HGFvCvt57rj/w/LviiPv7J4pMP/P10M7+AIELCAC1CNtbj4Pv9dLO+
GKBsOPh+8fB+nW4LlUTXOfmcJfP/m6z8X7cmS3zh/oLhxnAcEybV32t5wXv86WyjPcgm3YNCTIzH
spY97x9DNF1IDXWuSuMGk+5ez5KzG2Urc5h/e4n8JSLA+HlI/mPByk/C9W7Z1cIQBjhBKP3zFyKK
TptonI03+J2zQ0fy0drYqj8WCdGwyojge4+uthZdde3P/bnJ6kfXIPmOioN7mED3JmtFdhpaCNoQ
faAyzF0SaDYF6+gcL6NEzCu8mIc8wtAKu9x9zRdcGXV+U+kJbwm3JELXYCv0CDAiyhZWUCBMNcW0
8lNqfUuygmt0sb1pZuU2dIYtmgZ8dWh6a5lxG3KtZ81zr3wLij8/5guN2Xi1JvseNMId7ccXTbMv
XYJqreM7JOPhH4g2XsawiCAaiUfe5rQbRwOq0PIQ6YfuloTkdrT6Z99rPxDX36Jifm0Xem3WY7uE
OHBjoww5pP+2UBX3jk/JraR0c2W27WPlRPvEsyIK0uOTTptjyVVxOxR6Tege+l5eTfVa6/G25PBD
t6JTbwLXJyyp9NrywETNOdnn2lw3TvbWu+KxldRMTHjpKjHfuU2/w2W+J3KpBd2A9We0zIRtGAn1
2LApGagRpDs0Gdd/8zvAseDQ+wZmlqS8jVIAfe0xovH3S3cgY394aIGB7thX2tDziCwLmJ4MGsKd
L8ZIdnZmshljkWwzkd8QVU23pjnuUH6uoiiMgk5YO39xBMQjF0HNoaejbvw3gGh7lkN3FJLPa1PJ
J2xPahURWwzMLr+XY38QdkYBtKl/03MiTNE4P+VJYmM7U9fGxHZRxik+A9V+F7nx3RhzBghU5yr3
D8gPmNDHcVdk9m0BgwI/gXN2TVWunLz8ptIarYkQSeFUD5zjKfcsN9uPvblzXbI8Zrj1Su4wG15i
bDytMSa9GTfvZUr+Zqs8DbEOPwQGBn3KYJ/PNBuSXx2bck32ZCu8kaKkpp2Oec4Vx5gpzAjBtVrm
91H3D4kttoOC3oviVg9PGe6hjJ9O6CrgBsvxPIlknaXGwQQ/K4bs0i1sYq95Zxq9E5n24fn8mRpO
mIpX48NsDNDhZMd6lY73MRMHqiEKIIbD2UPkX2v4pukcoD9YDsnSoDS+OqkrN1NUX0WJHq5kPTEB
L4llea5TUJGd3I9j9wKQA7Is+vqQ6gS7q6vM4S1rltkNZyKOB+2gMBhARYvjjcLQtk2H5LszIj2m
Y0q1cC/ucHfvpqr7yJhT2RRoQenUL2ibaCCH2GrJkmv72XHfp1R/UzbOWDcnPzznbxQOUtGyn/v+
WFdLxQdzUtmujC2cYIJ6HSxbc0OJKMZBc9sK8ljY5Yed6aY4WAWVA9FgvZWQ/7upGomKtS0oynrX
sy8iifbaVoQZktl6AoTEckgDWfGwwNoiz2I5UuGAy/9Pj9HPmcflKcpxYTHILTESHYfR56eoZOFg
hbMz34wIvYG1C4/TfXXF8iHQ3svnepMd0ByC8MQs1a/TnXn4wwF389vj+o/UqEUF+/wQ58v7LueO
QSiUSMvnL9+GvT1oTq9uBve9Dg++3gX+9KZhCfz7X8fQCdMIinMsLnefv47fcWYlJMdvRHKG2oQg
/EHWa+z/S6/9y2Pp8+n326+T3ydnoAAChi7y+es0gLFtDOr6jUN9pQOHFFSy9fyvfxbrn/3N/vjD
/OmL9LGuSwNC6c2wlU8IK5thr3/HZIFydVXwGgvu2g2I1a2xf7x46zy4DFfJ9kluws1tehyDPajB
c7fm/7iutvxn8/Svvz9j+WX++Y+69LuxN2W3Czjt8y8hh37DpUQXN3YQXcJbfaNfiefoSBwRb9Z6
Do6vYjetLs123Nv2qjhxTbut+X6hyv5/mS5jPfBn+XzJTv/1IHmX0M4gk+8f//wDfw2S4O0sVtvG
Yjtmoc5r+dccKdwvjktRH61/zK2Mmv8wGlqo7vxlYW+xvlrW7//YvptfFjXeIw/2M1/G2uVvxLH9
z28lyKcAtgwHZcB3nCXN9icEVGwsbNLexKBXNezLzxr8yZjqK0uXBaotqdhrv8f+zW4iFMsGvldb
OsCFGzDH2dceyN3rvmqoWi8m7WCD7bjq2U2vR0OWp4IWsfvZpCWmp6f+TBq1+gYHZTwaxZjdW2Js
TwhNQFi6yf0I2c3uK4udgaAri9xW01VvvAnZ9msD3ph2rLkZ5rvMEONa5aX9dRgc8UMzE3VnSIfM
qh/TO4UIyLiGXV/VDpqgkcJL11NCT7Gb3RRFHz4YqR/f9RSXx/d6CkMOhrErGnWgP5WDsKUllJGI
uTMy+II9pkIiI6QRkZDn0avmdyh3w23bctCjubaGtQ6VM+gXhxbbTWEDonnUUmUXQTNkrruaFsZm
MLbwbAJ7mJs3XDvmwRoKZAhOjbWLiNjWIDi6ulmL0o7X+tD69mlAU35Hf3DAPseItRguYIhpzQBM
dU5K06QZUaaHmbw5IjSlEYqGbXdvDDZWNDf91pFJPdYO0eorOyWj7jVeMtyp1KPFurVLRUEAL0wQ
PT5WcW33843wbzVuOdL++omwyf9jXbWYav73J8Lygb8/Efwv0OGwrZgWs/RnZLH4Ag4MZiLEdTwt
i3PmV+aU5kAADNxFDWSy39atvwS5pczFAKZgY5Og7IMHyd94JPA0+XSyLN5jPg+zig7uwYWg/KeT
hXTAZGtiwFRjVU/joqoPyOsal2HCYLK9gdaG9s74/GJbdYeQkzdB52ouMrmagKgO5VFFc09TPFOb
jqhPNYNLCN4DLwwzb6usDh/hwlXimkTbrdVXmyb0h1WzuAVSbAPwqBA5Ji9mReQ++lgLmDPLraOw
i7jYDhgRon2LEaFLpueQXqVgSOv7toqxc2iJvxd69K3ExjCZ+kkr+kuloy6wSxSYaFLeADau5hob
RD4mu3nxRVQYJGj1eA07Y4njSXhX/b0+RPk2amCJoUDogTPZXx3QyPtu8V60sLW2fjV9OJXzAUAj
XcvFqSGxbPiT+VIaVXms+7wKKHR8h2x3Gy8+D77Nb35ZXGd2G3jm4K602Kmqp4kV2oZhZJcJsOc2
jHO4XNuoym/pqNdQQYsPJxebaeGhV3m9Q3z67rbjHUyGaA/n2GPHaAO3GpVap4nmbHoyF248mrQm
Gk/UPV8NC4YdLRd2gfB4StZA2lNo7fkwHkyne4PmBM7GxNxHMfi1WhDvnj4/4a4dvZtJAuutu0nR
0ceQ7J9jrf6h+thGwRnSjUxRvqpp4cGofNoVScLDL0n9Q93M8a2ZGY8iifFgwGjbGx56YJSZr0p3
g7oIfL9/6J08urDHrY8kcVvYPFq2r+2KGjQSe/SFcO3wMGBRHBNkevK0FMoQqu29wNQosTAjEH61
U09ruwI9iHH2JkrDMHAkW0lHf3A13E9jinOpZ1WSO0erL/kVA7Cmkfq5tpPvrlmcQy3FfCGI+44t
ZWCu1r9bhaQ2xDJfNSN/48JNB0Dk7ujUq3B/pXtDj+4bt5LriSNRM6jsW+gPc5mt0YNxT2VnJ3Th
P5KGgzt5X6jyB1KstwG5h22W8q5VnUXgT7X0m3C0F6T7LQmYO0Ip53nQHmgpeusYoFkb+Bg6tFMz
tRfdDB+nMj3NI1EWkltPUcEeOG7DB7iDp44Kb3gckbU1a26ymedfiIe/hu746OhC4Y3PkWw1Ltlu
on+Vln83tuklAtBhhIvvzB2uR2HdYfkugyJMblspDo7nrODFHCMcX70znmrN/krg6mlZYBCIuwyW
fR0nam9i+K91LDqZnF/s3vN2abTECBI2+zzm6Dsg9YYVrJoofR+gfiftSyuLo+kPV5lpHOiffKId
0uP3EZqrxhwPdWsvREzi0hzVdzIxv4JY9PcuRvVAOd5ugTFt8qTzNuBM5AaGYrGFt7BXFoVGJHpS
CGf1apJ4gowJuxpPXJ5Sotpk1nBD+hThv+n0bT/Mt5HOAStYpOv8Cngm3ZpEz9Pe/2Y7qBu16zwa
jnVlWk26MvtZgKyt4W4vj7g2VrQr6PeGX25zF7OvUcsCEkd1hKiT7wt6eESOgzcqOrIFvN56Fd0L
3frqFmgZkeFd0Z8c7qJI07Zs9O6ECwCxiTIBm8z9agC+24iS6Kfl1JvZBFFXJIa1qAbbLOl/tJ0K
79NGUSdJZrtMhpI+Czf5VsfaxQGytaH3lwKI5HmMh+vWj/eF7f0ggDluOqqmgrjWV1nR1MB1pa2h
OklVPBeR5kZXyoCK0zlUWgLYP9le+0DALQYpjN0HPOlbpRJ/U1uDSUu0egkH7D4uLiGnwxeh+vbG
SvJLjI/IxE804SsSi8HILNtjroxNFiFI9519i5/oqvfhDzqLPSnFp+ThV9K11gTuhoXJJsnJ3b5/
MHE3JSHcfNxO6WJ7ypi0+W7Ui784opr5qbDH23pMb3g98EvAO1XgoVI2qPUuApkz6OWuX4xWk9/d
lzivhCOP4DJP5MceSwMePg4tB6dW7VsleHje1f/J3nnsNpKl3fZVLu74RiG8GfwTMugpihIlpaRJ
QDa8Nycinv6uo+qsPyvLNGpeQKOBRrZESQye85m915YiLifDDzlJYZdnA/2JpdirUBGEccb6Iq62
BXqwRgrDHBRiKBNAn0rRGPwi0oy+hGRVspultExJQdt9ic2k7KyQArRGStE8KUorpTwtVXFYEOys
LcKRwaEUsf1blf068KdC+euqbN18tH9mB1P5qt9KMjJubAofJvTsn7+MXd+7NBTQHtsbqi4bOtYX
nvx7Seb8wv9mXa19DfS/qrXvJZlF3Du6WiRSOiN0uT74ByWZ88ddtqcjY0Rq7WgWvb7x0wApBR7h
EV3snNjl7cOuHgoM4/pkL5N8qCpwlAQDb1zRtsBF83B8KL2I8JrSK6qIayHCM9Be4GlOftQW6VJ0
/Qb+vs9kjlmlWuhA8zOkKF7yinIg5oNqxatJaYHogbrTPBn0milPwBtvizzFKFZq6U3nVNElTeOt
h4QEe2e/zPgkh2qsnNKgcAX9D5GRuRI+4c+PzviiY/scZZNztgqX8avJvtdY4G+G7WN9cX5sRwGg
yTklVu0XCaj+ogL1XMQAc2EFpV/UIGKKt3GUJBNXcHMF/XMveuvWCs3JD8jeVOfs7gvGBOjpjfRf
eERRTzQE2faY5TnPjNdIUhAbxTzZvf7NHseHPoqtpUFBqAyKr+QcAaGMrjOrSvNdmCZYfYiM1UwM
FoHhMjlOCROzLqlL/mkCl3xS4nfdc+7y3vxQTawXbc4fxXK7G8wl3H1Ex20F3x+tWZU+TwbYxlTE
W3VmalvL4XueuXd1punrEkYSiQadshgTfRvhdiuGofFzEe+MyCD0PY+IkGucGfVuWqz0pAbWqk57
o9JvAr3Pl8jpoIKa+rZMGT1DVxKwPUZ9Nw0aa4NefVdLAov7NodeawXEwrWbvPBewqg82J5zgI0h
eeIKWRuzd3GCDKEWtuMxgL7ggUZTxx0ZQ6ewAXk8BI1fNbO9zQsZ8BBUn13JrNYGSbXolfxNgOvy
h6l45JHGhejRntqy9OfxujGxkS06tzx1VqJQNwZncLw3FuacRRhpt0GlMMXiRl2oY2MtE2tolzxv
fmSVj32iN4syhJvBO9i1/dqqI1zYFkQGW63L1VwQDTxM12NtfdPa7uR18V0C82UZq+1DHka3EXRO
H682PhZb2XFoGzAym9vJCe5UQepwjctXaIRxTBBjF14coyFrgjNmw+2UBQohJcpbUyt06maVbias
5aAlPRJ7ewJJwJsQWqKaPjDSeV9WznUCT3ZdooZbVn1hLPMhwyVpiiPJiu9ZFu9jyFMIR+IrO6kg
zanOYSp7baN6ACYnpCQaHwDf1JKXRq3EevK6a68xHweFYG8+6rjtptxeRr3xmU89Ka4VNukZZk7v
IKGomaNI2wywT3LZ0uFel5YaRZprAlnStfhtskmfuRydR0s6cdhq7AZpzskafUebaPgMRI6RNPDY
yH6XqjT1iDq5jnH52Lh9clw/YcSzLSIHySGOoDj3zrq0CNnSLCQqwa5KGohqnERCWopUvEUBHiPQ
Wm9olXa1wLMYhx39hKJ/mPiSWmlQyvP8IZeWJXgVFzJ6tU2Mm6nE1WQp5YRyE4lBa+4dc7RvjMSt
HLQsKtORqH41SMAudYtxjjQmSFeYLWOyZ/KyCU55bQz9qXY9Y+vJSO3Kc86zDNl2u4iIxQb5no2+
YuGRxY22ud2pTneJii5bupUqcSblBFWDEO+cNO/KNi9dDixXgMhcQwMRPhjcxE+qqkDqrp4GEqhW
7Hk+hhksQmFRWcrw8EHGiKcyUHyQ0eJeXyMUUenYhCneWLaRb95irFWBOZxiGU8OKXVkCQozzNDr
WyFDzCeXrE8NUGsqA86JCUbNj/c/tpLJn5KousodsZvIRc9lQHouo9KRcmEoNXhaqyZ5s2WgOhb+
eWWRsR6axkTYOrHrJfnrKcGgfgQ9ae26NH6ch9ggk/q5cS1Iw2BCBAAYGegeyWh3C+wgCnJGYiwV
vfUoI+BpcoIbCFXV2qnJhw+NI3k/pJnK6Hj6ZBwnRHhgtiVYPur79xSjxToCz7rXK4Pg0YrYSFAy
xTYqivl+xsYLbGMiZVlG1ysU94sQnPHC6oYd6CppKHZRpVggYjNvH3jzAQZEDqCY/iZI5xu4qig6
nYurOPZxbun0op6UVOr/c9VHdwX8CS5EjbB2gzqsJ+abaIPuza5JY8oRCGxGl5X2pBGXhMEAc1oW
nbuYDXwwq35axsOmquYD6rIjFhUfhcx5IMJnZSS1itCKdjt2mpNnJW8uwbYY/RhIwLJE6qhY+Hss
/ADutArskEUUSK2FqooHrU9fylQ5Z018SfGjLFX2LqtEUvUas/rIEO9A+jHXnWEiPYtNvmWsF77I
1KcKrjjInRhGUE/oKt5oX9RNsCyD9FC4SNkSwCYPNd5xchqfbJqphc5HF6bKZ5N3T5YBhjDqTtXX
frTL3wJL91YQs1M419lDX7ps/2O2n7qi3Mxqpfpwoq40IpOwoaSHrKESMblTLWXgANO0j9Ftt04f
HN1gyjd42/dorgB3pcoC4M43SJKnURrS7QnncwPQmzd0X5MmbWX5u0K6tBhpH20mKFD4t0GbfCAH
WLc9gdQthO+24l8FWdVqooL/P+QJvQox1lWbvnh98goWeFkNmCgTQq/7GGaF1ZGDDWdkP7cYWGVC
diyzspHbHkaZnh2DM1zrBGoTvI1p2nIucRLyf+YAHwjgjptMW5gyk1uT6dxUbs9UYLt4LNe1JMAY
BHnPFsLpnmhv1NSLwBPfNINvLrO/RZAcUqZWGyPv3swQrxF24mVFHqgKflMWMZrBhecVIfpZXMWT
a5zYNd83MnUc72+8VAgir2LvONG5+4aNNFZBiIblWUMngHFe5pgPuhTSi5y0GjLOW8ID17HMPWf2
y2HRMJKQmejgulEfUnfC14pJuAKQVJgNpthoL4hUj2S2eijc6wnaUjlvWibxurtpoAhp49Ellj2S
+exESOUgoKxNkgwYwbAIl8b8ahDqbovw1SXk3dRJe1cCNeLNql/wKkkAuABVXTHvPvDxuQsnxmr0
bw9a5RAhS0pX26zcrRFmW73MdkOX+oFrVDdA3HIcQ6BSCHEF4qB8i4ayVJm0k4WyRwUgcuZeMKCH
dZkNynQz8e4UqhUrvhmwTw5nR8RQ5tN9iV1rMaawm+g5N7MHm6cp8cQ7CRrQFGdzbIKTydPexzT7
GLjavCrcoab/DzVY2gm5IsVFmDbSRsP8JGnnGxZna5FTeClB3K1h4O4ix3ypivE8xiQFRA6Cxyju
ckAGfELS1CSrTAz4ZxmMcJ1M1IUqF1vLlcb7J987avPeQ3voRce6Idgxq0x/hHc1dDGbGecoc+cW
RZu8aEjdW888avNEdVNWr9wtE6rPbJkW7n0bx+a+69WPmVCCzZygPJ8Gd2sO/ZncbATnMviDVmJB
XSN8YuvfG5FvDcTYSwtB4rpu7aNZk8yRDquiI+Laykux5dw9egLhxGRx2Vlti6+cT3Si84J47pYp
iKxFqyHkgKvERibZVDrVrqelz2mNPSK6Tivwdxbm4tHYWQ3WIs8dTgpUJEaU3XVukSk/NSxRNYLC
p/hUhurJIgYyK4aTqV/bjOqglftNo4T7QS2/kfaw66L4qXO6+8orEQ7M6grmNmzOCzqJJXXvaar1
57jStl6rcDLm4W6GHrxL+uyZH/A+kq29Qy24irqKxLVceTbzcviWz0OI/Ss5jPDo/XYgQ2PK5ysx
TAQ129pjNagoGdIbIYqXtHIxsbUdT4L3lFkl5O3oW07ky78N/X9k5vS3f93Qb7KPoviTFQtf9L2f
17VfsFmgNEf87cGno9X/rZ/Xf4F8bfIfJHRYnxD2fe/n2cugi/d+27HwT9/7eTxPrs734r/QHCDj
+Cf9PMain1cs+J3Y1fA9Xdc05bf7nX4PUL6jj73rXes5vg6O7bnaNF96Y0MpIn1lRYDYn5lZNjek
OaJOzqVQeUaxbCfesSm8lOsifU0ZNE4UC4PehevJhImwqIxslNrsGSq1Ua/6wbuhTf2UKPcl+mCu
Q32jODpiq5heBZZtWG3cgvulUrZKnL1azWgscdQcw0TcpLpUxHWNT7+3BVOzVWl3F0YjlrFXkpGR
TBtUiiedCgiAJldwZGXrXp22oDjhFyraa5LDvsMAumtc57EyMSY14o3z8Aq1eGatAn63Jw/PbhfY
eFOs8qMBOJGy/VgkXoe/RS3r65nhKCKhgoAgDZRGeRhS2lLRqch+DaVBXu8UO9Vw+W1JzPTbEh5M
O1wRkUXoT9LqMCDMBuuPgUpE3yRGH66b1ODqbkIH44z2AoL4wI5q8GvToY4s+6d8DJ4Jv6TqL68J
KkCxmAcWjDkgLoVa7ATZijSGLVUgeitfFSbgi9wtN5WMkaT3zZeELiGomm5yK921IZxBNL3vU45R
S0Vexj0TsFxBo2SE0wt+A+y3mvbZ6cpeG/odIYrHhPEgZQOF2UDyClOWXhxL8FhEXtKdj3Z3nNPs
I1cK8cj7iZ/tec7JIiDKmDDyc1Yne0y1F4FtddlgW2h9ZEl1dFT0oucai1O8VkQYlBHQkS716hPA
UmeXtS7UGGuINrHrIlLDyuBd6Uig905aDhu8zuWOv0ulrkz8cRtyfb0LxJreW2aTNrICKRkHDNZk
bhjfmxk86zHcaFOJpMApGv3oZFn/zS1td4tNXX38d775Nd80/1aHcnkpOqJySQZ4+eOhKL/0h0NR
B8MJLAf2/q95uD8ciswpORRRqsgDk6P0+6EI2AoSlcHo03Q0xAQssr8fivYv9MgGvlEAEKS0ERrw
D4acX/zmHxRNcu+MY8hDQUwIEK/2s0rO0UItyxqLVGa0iwtARayOxDStxhE+sD6G2k4E6Tozph0y
VMQZXhE95Z4jz8Y1oUGbMitPTl/vYKFyZgQrFVTtMkuc8pjF8GuTuHmYVPOR0DVErtL6j5ZzNUzp
nd0E14nKFJ+NHFvAMnFuxtAALdXM8lHP8FSXPgMcFSWoepqjePC9mfxTcqyorsgFWBQqtL5Y81Zz
0rBKCpkYYT+cA8ZZJCCUMFNF7mMcPI1TRSw4JhIOiNbyoxEm1TCo9wOOUwfcptA7fONoPJe2CiwG
6NSbze/Jac/3Jbg1Z2HFUlklsIiUjuSNDCN3NQUgZfocEEE2RTvmX8EuqxKbWQ2JOxyJG3qY7GBZ
ijiST8SyY8hxvTTJfVyjZFMIx1o2YXJdKt2S0QFLiJme0u7vYB3ayyyt78GHXVe1JjAeiiNJdfXa
qIN+ERB26BcKMEBhqmAR4T8v0rq/qipcISlogDUkDHkS7K1CB+A03HqgqBF+J9ZiFtoWVGKCDjZ+
HzTjKgTTOesInXvHJEI3aR6zToHkXCIkiKtjH7EDrlTdW4Zws5R57JZQC9IFwABjUbEL9DPdRlFp
36QBzhMDiAz0inBVm7m7Fkr5VuvsBXW1PemGWJm1Qn5Afszz+FrL+oNhzNC7zPZQDzwzQd+e65hl
jpvyp1EHEm1NXD0t/kd23Zu6Nq5Ipk3XHZfgsqYU3KZa4aeVgpdDOadj2V7NIBJ492KcYq59q9v6
lVdl5aqZhnFp5qYDzRdXjMEeDZl3164SIJKLjNinNmzvRm+M1vCzr0IzeJ7qgXpXcTdha9i+1akP
Zl0/J0bt+FrGbVB3RGYBTUZEfNTG3Cf97kT+w3tji8rPh5a/YWvvwjoGUWBbx65vr+OyrZWbsnSy
+YMctHTrMLj00uohBYgPfWE4MOwxr4o+rfZJ5z2VqXrbWc27W4EQqYtFNYfrsLD9qhV7r8N/rOqH
MotOcVnuIYWfijI7E32W+nULvzELerGzA+tzthXgIgnK3U3cSwSoiaftotvzVVg3UIWyWKxDbLzQ
HGxelzsEUKRw5nY1OdFWzMa5sZ5aRQvJyvLu4XwvsiQ8NCCjF3ln7URkLMJqPvezvg0GwFiT1d9w
2C0aQXqGjmgAThtPXx2cjbY7uhay0dTtDmUfQ4B2lsEUXuYKYTc0EUqFkdJHbzo+KJQXGy8Ea92Q
2rE2UnuThZInCZVloeuRC+dLSvJ7npyiQmxQQPVb5HN+hiX1CLKbgFz1HURHujTL7GEuwqOlpWik
a1o5S/qVVECuNO/Vq9srNFRpdBWPLseEqp5zTIsMimrtWhjZhzGTqqTO4qNv5S7YHm+xLFc7oxie
tTJf1yb+tNi5cjMy4docM9fI58U1W3CtAP6KEYFKKop1BZ+Y+aOvVs3Zi7ODaifrucWTbdXBKXG6
2IcisoWJ5+0dxbp3+wCRPj2f4Zl3mmrpG8bwrT/XGmyYMRlXtaJfwdooz07p3VpTuwW8FS+LbEBI
QZS0XrHTjEsmC5bT+fyuMVtj0J9E+71ENR1xBxZ6YWfEJLnlZ+i9xRj32864TfmbcA+wxgiLbNFl
7hkE7Fpl4MgRlppMLinXhlnES9amG9zaDiVpxhyyU95jvp0LrdS3rHCfWeEpSnA/2308HExFw7VP
S7m19PF2LDJfy9ktsHvQ/N6l1BqZc/duE+5GuvJAAdZsHCIPJQQbiWe1nfGA5XicRxPprTmulai+
6HGwgRPaLMPI7ldjjNwCAsgbkbAMa1pj01isbIa6vgI5ABpUry69NR5RWSZLxag3BMlhyqtOoqyy
XaWJ67Abb9WpXKGGmNaW7RyguW8VOOJ3ETTrtej1j9TrR7AGzg0roWQ1Z0j6/q2nvuopDa33X7eX
2z5/LbP37o/FlPy634opdLhshKVf2fZQYNPB/VZMofhFmm6xKzWk/ZiK6T/FFCYwycvC/kySA+gq
Hendf4opE9CWKnGf/7tn/gfF1M8SPqKhDdfzXM0kHBuF4U/74q6fBNokS5x7dR8mODRvy3bzwx/l
T0wFv5rMfq9AV9G6mh7EKiTE/L6/b2I1dBpJkrbV2RBYscgLslrMF5GhF8Y5Upuafqq0x/RmLmPb
PckA2Uc6Lj29IT9jWgIrHHUS6KtlS4JgHZFPFgALNOLVHGssWHicpyk7B+S1ZqVCrizPf11eOhUf
yhRpq7l2bse43RLzBtYxJ/4w7jTfMus9OWbXipu+ZlP6ogQBqarVLskSuNQJ41HSGkIuXFfPdk5E
+pw2Np/MirlsYuFndICbuCZTQ8EGsiD/blsPnFC9k9xDQ6qNdsmv9xja6k71cMgYWrWvx+Ijaz2C
HkaOpCn/CCpIYG5eQfeCTgylqVnjxT0GnSN8t5DiFiFBDI76OrbFHpJEzrKwuBu0kBAd/b4Z6Zb0
uPuW5qALo0m8tba5n8ymWNdJdVVEo/C92oHFFwfWkgiBSxNzfDgm/KtwMq7yENll1xo3mcCPPA/9
o5IY61lwdTAPyReu3n2C9WGbFeslMuvyXJTmwRGNiaKnph5J62RrEzVNWUWXPCZ9sYor6m1tAEBi
VvM3jZxfg7dzUfbKrSUU5GI6KVS5R03upk9K3ZgLXVQ7T+uSU9aRCYKkb09WFzJmrYZC4obHsHsz
knLt9czac6EvzbFm4p0V36CIm8ugdlnghdq+cfvG7wZnMzvWWxUj5BJTc6BEfHPlBecm8aebczWF
JuG+defdodf8NGOxVOv4I65ZuqKS3kY66m1tdJdlmJ8HvX3VkoRUWJM1O67BXRaTh2oO3TqGX73s
DcxAZttRJSoqARRFf0akdD+EfbukVsbiGzVSC3AJx65Gax0SwBIgRTObZjUwUZhlt+u5yUXHfIy8
ixGzN3xLVSag8WR/Jon3zP2PZUVgXzJGAOEkGaVXRZ5xeyRxteRcuQ+n+gJ/vYIDZlyHmeP4UUlw
qTaOz0MC5LsSdb8i2YihvwNX1A6wsjEPoWj8QFdvr4dGvU/DjLlvoRM+4MbI1Dr2gcpnp7hPijuh
T4Iz4hgaKo/xK6jIgZCgrzpjSnfVlwlKmE0dbCv+Gh5uyvrOCsW8YE7DU+5l6X2Kp2FnzWNytg1x
V9c6PX31kSPWjdMqW2Rl9a51NWUwSz/kXmwnUwHfoImTb6bZ+ZkNDqS1HwpvNRI1MCXHHMRcrCi3
TZ94cnKT1QR05cACBuGCCSE4gOjjctlmFu0Dz29oVBjMjCsTNgOzLYW5Vrus+GwujKg6taXzGLnW
R6yO9YJjrUZloK1zmpUhmg6MB1+UsT+ILt7nVv8UQkWWZ85tU2grKH+3pWbshKbcTpPj20r4oKf2
U+taKGXUgyfCM66kMxG1V3PbrYHtkI85vTP8hjDuJH7adumKFM9lCj7QaRs4YWxNm2o4OZjNm5ok
NQOpLqoTUus81h6Jq7D7Vq6nrnkgziNdBXr70YIw0+vxm9J+WD1P4mA7a8NMHCLtcLejnQ0EQ8Gk
n4iro0lxCDIYRrqTRl8mIc2z5VZddUoN41GGglwIGl85Q0EccpZwbi3S0gTon1uzsemmsoGkS2Hm
GvlDWrfrphOPQmQPNAqE7DTGjdpb85kLr143Wf1S69ouaoz3MXCvCSU+eSTb+UXOVhBAjOYTBefC
yqVapgz27mjBpqswjy5xGL6i3lCWIu2zQ8PgneFdh/etYG9P1sdTofMuiugujsvE9wxl3w/tIxF5
M2tbWMCB9DNW/HyLIebuAbfDGdArGfT3vpqvlc5V7uyEFfg0eWIVNvDT+JSTs+C1vW92Tr7l0+z6
dUZOjT0MW7pusWHTRx42GGii2dSI6RkAjrBDAcFK09qKzNMkg5QA2+62NSM57N8kgxz4KQHwPjQ5
s63dMbp8bLTxElqNvcNr/Fh6Ajp9OAenv792KR5+GJJI75uKxdOVN66Om0j96Wa3s77CxV335xI2
kq1dJ+6dzU9tMX1N/psH7vdVhHwtJucMdjSs7g4jIznFfnu5JQmi/Z//q/2/ti3HTqeRPrsBMWYP
9bSOlP9iY/tvLyH//YeXgK+SZaLPxLnigwlFchENz2Z1+fu/2Z++iMfg3qFi02j1fv8ibZSm4LKF
OBvNXV0eISQrw+7vX+KPbwt/qh9eQlowf/g9OjbioWaO4my6l7xez9h7qEIK5yWZ/ssrsbr46QH4
/SvJn+SHV4KxbOV2xy9Tg97WCqQ/+r7PWUSthpy4wfnXHdNfei3lD/77Ik8D5KxbpqEaBsge+eP8
8HJdmBA+1WmCifKjRpvm2HdhdJjyf2e3v66yZOn9173G1Qu12Z80GnzRb42G/gufPrkvQmuKQ4N/
+q3RMCDwskNinguQT5NnwfepLXpWvKEoWQFEUKQbjIG/T22dX2RbAJ4CtB+7J/7pHzQaUC9+94Aw
tSUYljhZDI7yp+Ab/v4BASEI70xR52sjjx5qA0BnNk1MRKsaP9sMGLS2NxrCDWsCRz96Dxy0RJL2
3Oa5Z98lLsL6stvlSbLi0ghaMmPQI67iSFT3Welpq1JXb0IFam0n4hABVZYor3pW5ugUUElEB4dp
5kiVpqKlyZxk2xICssqhGd0Q4wQEvLcvIoWY7yIJxKrEOqow/CqC0V6P5d00KQ/cEvdGafULVZ8z
xGlMq5QJV4O7R45PLEn71qBUtdKCuDAsKVWinz0XdvbQFn7UQZIJuvRqqOA7kAL3OTE0ZtmjrWF0
hr4OAp2ye7zuGu2lzhJcKoOBPbeM3muRz36nBpS9o7sK1Q6NSgnXNgURHDCsMqedGBkwRiI8aL1z
beD+wfV8mHtnqWqRgxAloijXh0MzVN8i1XtSTIfGIwPuiSGis7jJY4IimmS+7xqxHnqtOmmBWOUE
oujkyQ1NfOv1Fck+GGCqMN9p+fSQtv2B7NxPtbEmX1UmJpWGAaA0HgibUNJuYTAvrFuFMjWyl+gW
dD/Q1R65VuRe6xMTQiKC0uXQ4SfC8rTs5HavTFAV58AZSa0ny70AJ8R823mLJghzhjZtuoCNH6Jf
0EH6zrONbd8310HWFEviy6arqG7qCn6A3eebzqJcX6AL2hlds2xbi5R5KP1GqevLqBjWphq8ptzK
aTYiLO1HPynGl9AmNorvCfcMnGIp24hosOlVlReV0TcQKkSgDOXoFryPKU3dK5r3YeWqyEv1PrJx
ihlUwkVziWCvnvQuLw8aSUQh4YaJTzjRNiKGgnIWLn42OL6b59oGLl+3znj+T31MCJRi7giqeVAt
a6v2+oMYGGyFUav6XavLzBs9OVYFJXDo2doqsjjJgwFtLAQ+c0mTGGD41NRTNRr6DY2bs43TYePB
HJ5EuM9TmF9jrb+4hm35sF3ja9idSH8tcz25LA06xuHaFGdLSxSvU1uu9SF+LGGExB6laoiha5lk
U3ZtQheMx/y/zAr+cAGrJqeNRSkBGIepxE+3Y2WMrGwVT7vO8vvUfIdzIfLdD+fm+dcb6UfGwZ+8
hCcRB6bKGUmR9NNGfarCscUtC+2tfe3T81TdFd7x6yX+dbVqf7tf3OXVRxO/ZH9yTf2wXJQ2dwm3
wNf0paqgVvx+TWn2LxpudYeC1cATIVeS368phmiG4bCU9PjCX1eS368p/RcbR6vrEIv4HwDTP7im
cGT8dE1JvKyls6ikcpajsZ9qWYcjpBiVeroajaoiYytlF3lVOVCHPtV5LizGATC9+fgZKLDnbWkT
Tlww0kmosm0zvQ10dFEutqltow0Osci2/haqiLhKL3gBcXRhGZWfOTrIK5xtfW1Y7CkY9rVXpW1/
EvhJV0i6FhVbG6+Ru0J2a+MGCJtwFigKrSOhW/lOKbKOkRS64Gk5kti6TJKwOVXwEul4vCNa9fSA
Fanw20pMa6BK1aKrOf0y8EFLaEUsL3CKnMxh2pMpfHTLjoSKOEuJX/VQUSEocZn/QNeEjTOtR8+J
fEPuWWvmEMQTkpZTj3RttdtDszGVp4wOo7LHYu9E/Z1mRyoNOZo4tHcVKcqTcmoS+00UNKN16Wib
0ko+5yR5RmCHDc4ctJyVLai9ykyme3SlAULwiBG4gYogSj66cNafGM2guccFsh7srPadNmNPx/0I
u84rvAN+QG1lC1XZm9WoHq2YWJgYktEibHr72DD+drMwuTCtYwE03SkVyOzSBIyruuWNYyMQhr4E
Kw84AyMUJo1zitbRVAWFwJQqRy3q2VJMTWQ9DVWIuUE1gAMHk9ZtwvyLhTA3jd1cR7x3Awlx8dWk
MVci8UKTy7KE78SKxVPg0bkeHAQdtYS1g8GrkyXXZ/FOJ9dw3wyFdx3jG6wX5F0iQmQ5QDCohx4R
PWDqfQ6alx51rBlEsM4XaKba6P97en1N83Uq0r+psMv38u2PR5f8ou8VNoFfjMp1FjiASUGp8E/f
jy50ZFTeuoH9i4vzKybsf0f53Dcyn1l6wgyH8+b7JB8PvysbZgMmA8zBf1Zgy9PxhwaM+lo68Nkx
aDSuKp/Pny62uqzNjhiZ6FxDUmcEnQrWX5ZzrZFugCYgVAJlXuH6kJBchiCq57exYwYyarWDFqbm
WncRthZ6nwINdoPCN3ip0jxRV0gVM+XAL90Gey1KJm0VIrUKz2ZaxDnHmBmxEtR6hGojFnQS85aM
uREQIOVxGAwPk40xrO8Mz50WzdSz4EKzVEdbB+IPrH5kGHj4ncba1mEDSapgNLiwa5E11xhAe1jb
xiScVQhgmrAA1/YJqO2VD4uK5Nfy49+LW/oA//rRRxj0f65euo8/wVHIL/z++APr5QI2CUB3vhg1
/NNvj7/+i6Xz4Fk8zHwOVD4Z329uh4wXyPGubf1mi/x+cztc9xIBZQEN1Bi4/DMcxc+PP+wERJI6
RQVpM7Qlv28v215AVbcnca2W5yY0VxPm+h/+KH9SOfL7/fABY8rFEo90cT5ofNIpiH+acHABp0bv
9P11ayb72HkgIdKzblrwa8FZDKdWW/39632dGn/7ivIn+mGmoo+kiOI06a+TqldwMYWd9M5AHsPW
VrY3oind/dBZ1clOMVS09tpOJpKPgzGwVniNEC2ivnhmt6/vbKkfmKSSQGsxKhhudLQQGdBGoRBF
djAo6aeHDKFAjkBEMPGkJYNuigq0ClK1YEj9QiOVDLnUNJiIG1qpcrDwva7DKi43wTQWy1iqIRyp
iyhmlcRdPb4ogqwupBPuMBw4U9kkxQNJnMR8ssSAH+CiV0J4YU4IGWxxEwQZqU6KQdaMdobCjPHA
3hVqH4MyDg80+hwHyn0j1R1D8Twg9gCcvx2k+kPDRRYjBzErd8/IfIQAW4q1UqEZCaLpquTkuTid
CteAnrUtLmUd2Vu7pqPRinoLv0PpbmZWW/Bj82Ysr7PQPHaAxU7w2a0tm57Zz3ujfqUkPNq2uMIn
dayceDem4qrxgpOipqdptr9pmWejj8cpjypu3ejxG/fJe6aU1kpY5tVYmezvDH9IqyMZvKu+n3ak
553VuWZBRMzvOB3FNB5RFpR+NxM5HFri0A7qt7rXV4h30bVgdCKQETYmGTOnuC/ORdpB5BCndE4B
A5MLMFbsN1L6ecYXCM/aIVUXJlEeOObu625C8a6o4VrPq54QdNGhvtHbGzeup2NGbNq6dXUA1e+e
Iq7NyL1t+0ZbaBGOxChq1lqV74MsPiOjvYihYNrL20KK2srF3OXk3TtVIDNHO7nRQ7Hy+rxHJqP5
eJd9CrwbhqDYQLkzbGFuRDOsVa6hzgZOQlRuWZYXlGnnPACqL8Z2QM+RDrfjFBF7DB+RDCa3ch+5
e5ajYzV3laqQCxs3n4WB/yrwNlj6QA8EGbWbSak6fJDLfih6G9GuhlvM8Xa4weB6s0C2FTZlQXhG
qHdlWsm2tvLNqFqrzCmIrQwODLa3jbRZzJ1vtcrJ8zxfFwoaYvtmcsOORGnW2SD71rVnPJgye51P
yLKWE6DCyqZtSmzmrslQ0sR4RoxJ2aftfEdNHi2mrDvFTXlJBtXHDMNjHYBy7l1dGpFeEsf9/+yd
2XLcRrqtX+XEuYcjkZgvT6HmYhVnitINgpRJzEBiHp5+f6AtWXK3d4Qjdl/02e2LjnDTRRWpQuY/
rPWtc8kYCHfvgMm0QfwdNEPuWwFmjI9j5j+X3iK1+OtL71BM/+S+W17z7b7TrV9sk4IKtNG3ENdv
951OchksNmaqwnCYp9Ik/nHfmTZiMWZvBnNwRPvf6z3DAnaPBuL3hLS/7Q34GTwIO1h4lI7LXJd3
AdzvTwN+I8qUHvZOe8lTO9qWZRavxzJnv307SbR57Ei9COTYxox6EYGN6NNhY+mtZFRqyKkYfHOK
kXvC+6qma/A9FpYktxuW/FJ9tKuOlV8WGTvdYeNMJ2RmMbhqLUh6iULVKwui/+zOvOFG9Opi7QjV
m6fRsoZm9HWtSpoXZ25r5ootfJsG29X4kcinY6HeJY3yGNaJ6BCONWflMJiPVYkW1IXBUZH5Z63M
NEHuUA39ieyoaYtBv7g4WdrdQQgfXgW5EApKUhS+9mY9Ei2JSBMxWsl6vUSbpjHPgpgTYSTXka66
gzHd6o4khKwrh3NaOMNFT/pFZKbeS+rdJbJK1i9ujCw+a/Gg+RFOxkNkJe2DHCo8a1FhfXXnzNv1
pFWjSuDsRZS5yzTTuHNnQUbS4tbPOjGaeElR/FttiwXcFtOlBiZFCGPSbE2lY51qGihKSEJIGZj7
dl8FgkmwrgARe14kvxgz4sRoJk1ylcpOvqbsrU9d1YSHCXn+s2E1BlklEkepYpk6u3l33XXpV36l
xYEAYP1eb2LCaRIA1Gdz4ES2iKS7TMDw1+FkxRcrbpqd52X1Jpk99zJXbC/JomZLOpEgEGE0+IpV
LbuCqtI8dXnZbRsvKeB1xfJMQFCGfT5qUgzmDJ/1sbJvESloW3rd5saIDbXGPVaeMKCiDm3SIz5O
QnFdzd1W1jS+D2aU7V2Vh8exjE3eW+Jo5ziwBaToBuAyEknkNC0tezW5xU6FONxNcFWr0arZKs3S
C45ZrdlPSC0+geuSV1Jz1TVvP9gSoW2eKY8QJde1uCaBE7gu5PlDGONdRLWcIAFQ011Uu8O6bwYC
ceNu3JCSHGwbmGLh/8pO+seeGInYkv3016fq5e21fsEs+09e9Pux6lm/GGx/TMsEckstvXy/b8eq
AGdJ9yBs7AW/tcrfmmgWWPS0cC4ZC7MoWgbD37po8bfWUn8Cl6Owo/aydJMEe25temjO6x9r7Mzo
NAGyqL8y8tnr0WmktZR4jBaK01Rc9U5MYnJ+iPsgeos6zcV5GafDg+Wyv6cuCO6z3F2i2Hj7Z1w3
9rWssUCOCdmoVC6My2WzxN1Ko9a2xRx3zyYO2wsupyrBuel1Ww/Fy4VS38AhUFNTqB70EWkZpNFO
lnFpwxzxliOqrejd/CZNRXHDVre78wpbJiiFwvSpnobhaGpooFYcp8WzqIbgqUP/Sk6ji9Q2i9z8
rpbtk+2m86Fx9XGHkDm8sStrvhN6Vt9hYwi2hsfbn4N2JHzCaI+p8mZ/HAyWNLY+co2YDjzktAKb
EifjC/s3cqsbEiERzNjjDVjQ5oYGKvqEWYAMSVHijjXCXm49gA/3DoyJO2u0k01PjhOESogKJD0O
8sqtmsccQFeIM18i1IUWJX1hqPmhaBHMCH18Tbk8KLT6tNkLjZynKi4WDJuymi9xMVNNVfwdPmZc
GRd36KOt1kbM0nJTl+QBLskkvev4YOxcd5UEWnwjPcReWhZeY3hKtk5CguXMWc9exvMIbymHqzEq
uiuMafEFYzWlaZsP0/3UVt2WBAaUyHYqrzE+QZ+WVXF2KoHfoSmmPTsN4wUYXHlMULXdI87IMOym
WrrBiUKiRh1Jl0G62Z1nvSKJSAeKXwRZcau1wrhvJ7P9DF8/e59kIx4kxvy1nY7Fdd5Y2sWInW1o
ifaZ3xX7M/SE3g3RjvkzIIIeoLgq1kUrmdcU6bwbhKVtNKMe2R82zbXeqvIqwUXie0YPfi3hg8N0
UfO8r4aRsPDCNAwERJuNIvPHLEo3RPFFtwVtB2por2oxj7BpykVJ9HFDvBnik5de9i6ldR/vsOqo
i1nrbB4LATJGztygTThuR13zxk2veSytZtPcZ6Fy94IJ7ltShMmN4NLiMxXOkA4hYeBwDLSvLogD
cs3DRodoN9gEzyNw6U4Mk50HiGrRMU7x/eAphp6hZdZzrOfiU43A/Mr2UrGJzKZbYq1pAMkBB8Gq
hfPnKlPMgrGgjCdQfuEDzhmotGgMa1eFu753ihtq+fYOAiPgMcvAU9j1MxNzXQd9YZUVDU1EIPza
bloHN8lQ0DsgAwwO6IuCA27Qms01aDZCCHQIM8FYjYAI6iB/4hhRN1ORzXvixQVcv9zaxJoSZyfS
i2HX9UtOeRXTXuPrvs7DPLyuMSCubXIlv2RxxkCeZ3v81ATRwuRwu+nethdfomIsh5FIj/aWHeTH
bu4LFJaaMwSwQiqr3xZqEtdJgG7H16wizS8aweJPDt2uQp9RBsrHIhJwksRqXs95+WuGVsGF35eP
Z4T8+cRfDVT4dQJo8Cnsm8bbJHCnAghOIWiAmEQYnzKlkttxrGB/KFeNtzIT+qe6CYrOD5WsVbXN
7NIS41lHNELIOE7GvBvllmV0mOPSGSaC+Taj6BpxHzQTsKrH0EEUe9caUdfvyyrnaT/OSmJl8Fs3
yYk9MJmwD/d1MoYuXAQS4oEbOpkYrMe8T1A0b1xFwPRW67oWM6XDIifdufwVLc44Lrf/6d7pHH+t
y6Z8bz++89cSK3ocRu3HnuqPf/v3i41eNB5/XQuc3up/Jln5caAO2Fq3maTbDuCIjzbqWykATY3Y
EhLA2NDazN3oy751WLRRH4J1XUC3tp1F6PJtomjSYQFhEwzb7Q/q9d+pDRze2Q/jN8oCj+NZX0b+
aAx0CpOfSwNHVyH6ibm9OA03XwqKEvhlJLO1U5nezundlyYIh22lLKIfsOqZ2jFveDy9tRPL5HMs
ofxcR0GJ1RC7rcqRYCZ4A0Fjds6NQgY83BSDuigjjR/AckAXjHjq4BvOTGKIyPhiZBbNXEFskhIB
fVuIVpDcI2xT8Vqac7RtP6rWyhrr7mAGWg7pUm+drPmcR0AkCWIGowjhw+jsJm62ssBvcsxzMprv
w5mlFgr2IEHKS2DFzjNCzNnQrME74BQjATrZaSnjxKEK9F2fojUYeMh3gizmp7mPOn2fepM9b4ym
m8L1JL153GQdjBG2pcuqoTCVBhJJzfa5m5qoXCtZ2vexbdc4nxwY2Dbu9p2uorS9T40MniuRatn1
KO1I7iqHf59CAnznwfQw9MG6TOrVGJXOAf6ZIX6btf5PP8j/ho8o9ex/84guEs0fa/XftWi86PsU
hCA+VGU8i7q9SMf40g/PKHmw0AmYkjDNYLP17RG18QLzj8O8g8H/x2D72yO6DEGWMl6y/3dY9v8t
QIKzTMD/UB0ujyiyAGiMHmtZvMfm8gj/MCHXAy7qVDnWJZqpdR7h/hFCx8Q619cRSW+gpvH1x+fG
TY1nhckEjsGQ3S4jQ2RvWQ4MaWxjv3VEAOfEtZvqkJf1vJ6cHoxvZzU8UA1bLzx1FJn4huf0toRs
qCAcgnz9Mg6yRRtvXCa7qNbmgkPEeQearopeSwfLvFygiagamPcJzR/hKeIGSckOTUHfw1qM9OCZ
Egj6IhHogKWyDypjmpUAGhdUY2/VrOzWEd/V9stuaouzqU32fgIsHJtxAJE3GzaiJfwoKHr1KpP5
S9gz3mztPPB1VWybEZNDmTPcTLR9HCOzH+viVRh1wuwiMNZggB7jUPsqz6pgRm6CJTYcfj3ZjFY9
Cx70yr3NS7Hxpn6XzLd6az8OffNpubNNEGDe+V9yo/77PYjLeO6vH8RlBXcsX6run6k8l5d+exw/
KKPclbZNHgRKGL70/XHUwYzaXFOQRh2T6eAfzyMqz6V/dgyB5AkqKMuxb8/jYtvnyf74Zh+xE39D
PcMH4c/Po8tinEfR4lFcMPR/vjJZI4+jOdXXk0bTiCmzW7qKAi73we6i4jo27XMcOdHFtuodw0nr
lixWMhhCcWcE5l1ad2+lQPwwjtEhYWFE5whUvrtKEe1p/XzMCv3KLfT1LJesR3N8xSZ/RfITVWWX
X8jW2Aahc9VE2ractFs7iR6dqfhkYQInvOjNNd1Vrbu434tD2vFYscVmmAVRyI2WJpp0YXE7pdml
A43Ue+IyOj0RODaNhTvvrFr3kZY+WnifNH6iTVYPr17cngMPi3dtfIFAtevb9lgENqg1JClmdQmi
6OKV4xYOACI+deno2Y2yOtej/MSxu490/eJhh9dSwAN6cik1nQ4B4hlpZZHoPwMPuYmi7kyZ7Pel
yyys2xiZfaklaUDee1N7cpMnJGwhFToyznsJ0Akhb/vETuGgNd66t5q7KJx3WpKQ2cjsTtX3UwMA
PBjja1Ae+xS3GXOLR6vJ9/PU3OVu+1pI4s7c4kLQxVVv44ZYktzqac8Ukpx69Y7f9mLpEnCBdzBC
886JoOy5mtq3Di2ImTFi7RxtpU/VqQrSF6M07zyFAj2mesmQqHZaewWUDw96f6jJ22oc7S7xxoMu
gidgDI+hZ1Ae4ESH2ImjAL9cFIjKZ+Jwjt1sgYVV42024TfGMvji9F69U9W4o+qn6RjVJ3yz0Qq0
6isYRYjldR2KatPg9Zg3QePWyZ4wkejQlnVNVto8c2InH8nzfV3EW08H+9WPzQF6pNjR+ZEx7Kq7
tGzVEaZY7zdVCg6XKuQ8WjOERpBnxIUTtg2IDZWrMSd3UpcEkLAcstpwn5A9t1wCLjgVMgQgCM4+
AY8OFDmn2rSuSPANDiZm9MJaN/Z0z8ipAu5AFkFg2Cm2oVb5tLKSVO3m0UV/tkntDhxQhsLTndR6
Tt4HojFp5xcxUfC1dA1wtOb1DCverFNs/umAoRu3Wha8LY59N2k/aaSjJOe6a5GvThgZK9Ux9bJD
sJzlrSzzp6HD4K168FQB1bY/R9wNiTJfQ0LiVqIm6FQ1FUkGpscia1G4EgHtaWhAehMqZd9H1TqV
7luoyHGb5CMl+xvvP1q1pWiwbBrZ2lBIvKOcmbFVQOJTKdCHHuIWfv41uLzrPsqPbj48meP03jmC
kYp7hF0Ug43sNnRYTzGjMjiD1WUKhmoLMZWs7U6zz2UW3HOpwnDz0gX5vsB2TLS+g148D4SuEL8A
LrAk4ABARr12orDYJul4CLRsl5CTgJGt/4w/j4F+O14j9HtFtvs6IrcizwEGwuzYMM96i1dm+5Co
0pWkCXZVNqOQk7uglM9tFTuMqx3CKqwD27+Gtjp+nkKDb66ZX+Ogytc2la3Xta8a3sVGEtgyBmJd
FcEnVgm9P3kN36ATpMMTaNhpeB/bGoV1rR6iwcjXIlmYJzZ/72MQPBsZzp4ApzufL2MLMBF8mjfw
iMbp5Jclj2XNnoO3B/9VyBFff+hR4QCSTUEgDHl1iOPZ5r31R0Wyw5hDFZnmDn8q/rZIXKK2fyqE
OLaDS0IAcyMseBNWODFepZG4H8L2ZBXRgz45AnehvS5qcvdcE6arPWpXsGt1YObpI5MNMohzGKyZ
g9n1PopIY6yHJoxIjAWG3sPaxxHWRwezRf+Y9SajVVfbiZl4dAYpMQy7vNyOnTw26XSrFq2Qo4/Z
bVySFvC/sRb5sbx33cXg8ddlCJmnL8NL/faPr/m9/nCsXzByc7f/Dvn5YXrPl+jica0v0l3xUzsA
Lw2Z63dx0LJk/VZ+uL8gW1uaCNoEFyuK8Xc6dt37U/2BWYWjiDBvgRkJO5L9p/oj5YOT6LNXERg4
Rc9tQljI2lbGwGCc+RaKAcSlW+JGbrJSzgPRmkCGSdhCdyHUEk2IVXs2Zv05iMHkULekuI49MbyN
ra2tydlNqCMM8Dlhe1Ms8OsaGuAyeKfFjtW2CL1mNxkkMdajZ8MNMp14H+SWdZ+0Q3E1ju18Qe5G
NrfbiXnvEMCNhTnJ66Oti3TdlcBeNYdDrI3qamV4dn0aK9plOze4g0Yr2Q28ObkyalsdnDkODnC0
27vCC80jYOgvuLW15zjLNdzNBOOYTIh3nSfDjQqhCfFYq+t5bFxwH81t74a/MiPjhwz4SfVI3ppy
SrceVBESvcG6oh1qob6l76o2OCGEB3+9EHO7sVQ84zdt1bbC8XUX9fLWNkbAzE57bssKDInkXtLd
h6DvznrAgDcawV9Ws341DoqrMi3YhzCn53/yq3LKr0xXPQcgO/wZ59gxncIvHoNVuyr7VWbgUpnS
L4wzERahDRkTDR9zVog1Ec4RyA3VbTtBSsoSZc1HkCwfTIhOglQwsJe3UMEX5lt71Qh/cnYE/hg4
cW2fMgRpvOypnDrzSR+NYsfoW/mkGhlbFOew6lsk1tAH3ptZ3QjbnPcBE56Wu/mlJObrQXkteaUA
YA3fUNlmcKW6yQZrH7gz4mmrra4ndt0oVXBeNgikyrGOd3ozhQS+pNi/cVLuvcpeZFXuYzYrTmzT
GB5h+YRHUJKN4zthk9+y8ey+agJZOlNiYdy2MjMuOfpJfT3ICG4A19S8yaLi3tBY04AaxcMuS+Ou
yVoPHU9QrI3FgrNc4oz9e2DNmdZjChorb1dXhkoPodIJk2DPvmK8y67D7e3yInVszwSOtFBEaugu
Drvkk5nb4ovJD75uyHWjR02AP1v8Lkv2D4Q0IeScxGmYKqs9YOaxVhYb9OldK6xZ26FnKoP3ySNN
LJO1Ea3CwkwR28QGML2MeXae6Pf/kiP8/9MBrWVx/v31aX/1kv500n8Mfz5e8/tp7zq/0M55+P84
Az9wlt+7Tdf9RcIhQSCDQxD776Jr/raslb/A+kAXB69yWfAuVtDfj3tyrxdLIU0otndkmkA1/0a7
SRT2T9Of5XvQBwNX0SXyTHNBdP44/ZmNKiU00OuP40gMGbUDdgJiN51JXmpHG6etk46Veau8KrOU
H4XlTA2Y5A6djujyQl0pGs74PozHet6aKDFEEMY3ddGY721kauvQC4qnXurLWiWBWqxWFr6EpPKx
ryBd9u0ptv8jv/+/vw0VJTv7v/4sXl7UT6KBP17zffKB/NhmIWAyO1w+c3wYvk8+8ABhKgKvh6AY
W9dPkw/U+ggHmIlgfvnYI/xReuiIEPiKwZKBhMu/RSVkuvHzhxHhgoNVztRZESNkxD/084exrprc
tHo5X6sl2kmXLbtFLlNgpdOjnlRIUNlVEWuwDlT3KrrgC58dDK6jeWqsIFsQ549eX61B3pytGXaN
1ZIZG6C4FCFo8DjbToF7I7KQFCYdHWg1iB2r6PNgWFdlXu7c0NuTeAGfEGqoazO9q0OqGXxD97aF
hgf/6ZtmFyf6UHRWvRmeHZvIEY2mi5WltZkksQoVDMDciA/CGhwffsCTo4ybRmbXFuEYq64uAMsa
ffaU2tMuGGGTTZZ3C1ztPkSliDfKpXRIiI7LSoGvwHwbyjA5z3OnQFPy55DFsJu1eulmQl+z9X2u
pcTXjXq9ZowZbVovFi0QL3XsKDw2UiHl7CS5lWlU+XFmbXmQX0N24svQF6EEIXRVHac+UuXdyIh0
6wiEcEO6r4uC6OrWo/mK1rWZ6Qc5lSdDkKKhg9APIJb5bo0Viov4auD28r3Bvq/02MYFWbe+VvT8
FMRnEFyK+njoSPCcEfVaDXpO2JQIrrn0i6L1mzb40oTuQ6K5tHnIls0peBOm4MQwR/w+dr5urGRY
EfNHbccCvIyCZoUVSzxMLg2eM1qHvCCVwQzVna5n+xExoh+R+QHenyOmjBsqoaEXKypE9iCJt42L
ptsAl5xQemfmygrTrzVHlN9Xeu+32izvvIoh12yluEOBzmsssdZaq4ttPwiWyeR45MR0BwUjOc2i
fRWDP8BBOiiwJaNDYFtvQla0pZPs2pLQxj3J8WVw7w4u1Fk7+pWEAbVxg9RjKwu2DP3Ioa7Ch0bg
LBGt3JsaaY8EmW2g+lmbHkKP2xflqXDrM9K393KEQmTOw0mM/bNqJmdlz/FTJ2E8xoYHNz9Qz33j
Coxv81WHSiQnu8Cv3eR2pjKhlw137WCdiyVFL9CewAbRIg/zPpEUuXZoXjsk+tFvbq0YCV1jgtBh
CrBLHHmV2WSCUclC8A6uUTY8AlAkVMcKDqGsrF0/QVxP9Cre1EnZbOOoePFEeo5CRvdZGG0QZJ6L
zNu3Vl/6gwM8LogfS22q/FALo1Uixa9GrJ56suS1MMPswnrxpa+tDUC2zz3cktXQumcDzrGvT3Z6
CyLnS6vQyenOrwjYTxMiilk3TyEzGoCV1vUI//5c1PkuE+T3KMc+GWPtM7USKwI+7kiUW6CX0xfp
PKTaxpzck4oZYPUElxOjVIMZ1B7i3iHhPM0QdzuaL8v6s9Lau8TuAr/QEBpaQenbRrs2hmBNPbfR
NHs/N0BJ8FpXuNwbz69TxnaRd3Y87+D06TWuH78D/l/LoTn1DujeNJ+p2SEjtUgIofZWFm1LpiWh
3/bVVTfMB0/Fr7AVxSrQyUrKB2+l4uS+zaxXr2ZS1I1MhorKeaLgLHw9D3iISwZgRtRucqpJKDZL
ZmRTyCn/jZTyn93fsg376xv3Pnpp2n9y5y6v+n7n6oj1kIy6cnHsOjZ33vc7F0ke+wKPWFjgEWiQ
/6j/Fl+bid2N5Z+J92dxA32r/8QvVGpURx+C6r+7brCMpZ3/af1nsnpEOsDYge0GBqCf71xMcOjE
QMNwLzpkdZhM2XRzeOodmzOi0q4VeDnU+/E5zeSI94wP5hRydpGBzITXfQPpeSZ84QE3QeaT6sn9
ZWCVbcJ5xQx172bd1m6DTT7q+wHmas59tRrAsCGD/dxYpJ3FrAWNkayKEUSlk5yntntzkmgzMMBu
tRBqra7O1Wh+JY13F04emWkNCVNanHf7RNX72vNOTRICr7C2MzkcLDFpxq3+ypblo4OriBav86fa
jHfRLF+yWmwpy5/ZDFhbJyBLTVX5tKuX7gkmS0T+Y3Nk24FGK1AnKOF7z0g2aZTcBz0z5BEs76ZH
o1PoZrhqXLUdbCJeSK0RJ6yN9N/uMK+1Qi/gmDvXnpH9inlQ7SZppeQucd9rU/BQZ+V7pgAmiII0
JyIlzqkJpSMOJSK3XmV+xELWB8M14Zd1N6R8HyOrJcVyyB6hwyKSqAr4meVtxIO/KlwPlDl7GMdq
z14hHypQsLIdb7ESaZtu1qbVlA/M/9x3XYPHAJf8FnEermHX+5wk+t3UKI2M09KBumnk/mQbD3Me
f05ZyAK/IuHDxQ1jxCSL6GT3VuK9IWNin8zotGXcTZuosVEeBsZt10afooT3H3I2s5IiCctWJkhm
zN6qMMxN3rCdSlLWKtl6CLnDluy3qdUBKMOMhx/WrKZl3FEW0TOy57uxpgQokeUxU+rI7kQ3VhUI
y9rJA2yQ8LrMaHHy5qm5Q2Z9XZbuJxIh+XtvONaRVq9Erj7rXXwFquSqjr34gJvY9S2bwbwpC9Ch
6KX8XDPghrVqFxjlpYg81JELoZ1wjBXw/otIys9VUmHWzpCzdXFNZGWB9YY3OqBwo/Pu95UubqQE
imYR5kG28KkOu0NTqMdO63dlU5wjGnxE4R7jYBTyYdN76AOHxUWO1dsV/TMq8remZ0mXjDsCLydo
GuQNFHZ5LSZ+KtL8Slxefur1926abVtxrOZL259RY24n4eEDKK51q7iRfbBH9XKtdTa7K3bOMoO4
0SFQxDQ0Q2pG+WcnaMS1PA58W4uCFZp3fuV80yKny3NtmfuDid8nF/17lCLtHHPDWYpJHlWgDyPD
6aF02WGNHfMzslrB0ns7vbAOkV5Z6zkwgbZKHFkrt/DGnaaN4cZiquSz0R+2nubi6VISrGvUHolJ
Stg7mL92Vmtuuyj9tTT652ruvs7OkJCriuM9NIabqYN0DXaCqX5rtxuOIxJfra6Q9UmGWXvi7KnW
SzQZUA0Ieasibw9WgU9pa3TKth6pVYjKjVBY7jr0yDxLVYEx3aFx3bgdFfTGLTRzXFU9vdCeje9E
8rRhzfFFK4h7u/d+s/d6tWacSD0tT4NVZNFzTQhuf522ak9Onu6TQ5BtkACY2zi2QkS18wvZB3dN
AKCwTcejaRbdtkaLuHM1+2ShdFjjdjFXXWZ/rcoSjVRrU04l5nOq2a4f9czsdHiGR6Pkw5wWYCH5
zwV9QPlFBeZLlNRyvUj6oNxV7yy8QAdHBPmaxSBXQpAXVLc1WVpkt06KqNXYw0ehtDPCg1st6E4k
KXwB4Pw+o+cYRrYRjc4cMlQWwEBjPEbTwRJk43iOeonT8s6OCbNtJWotKPUOLoPhXsjkEjTelZZM
n7NIvs86cMQmtN7TPmfdEa+1+SinMVmbVr0JwvoOMW6+EpFgQ70es1MWOWeRZmLtjeXLEM5AH42a
7GTUGlU8Y2OW+cV20nkNmincCEKwwLbJ9eBYMz4/RMBiwhQ5BouwUe0dYmKp+0S7Mwjc8ZWp1o4X
MyoEKM2cVnsg2mi2wk+ybrCDmknABpsIOTf1Bv5wdkNe6u3JY2RZN2bMpNlW+4OLkxHN5LBxkDUr
t5Ur12VbF+rOdTwUZ1DFuT9SDqMCJfyp2Ydd+2J7w7QBSHA/ZVq1mfMw25AwoaC+d49B1zXrbig+
IYc5JlrKe+zm567yoi1PnclnYC5XIOM0vy7bt8bzHjmgt0JlV0D4iHcMjT1Az8cK1bAWO6NPEbsE
+9307Fg9q3yNuehWuiMupmhPYKkQswKqRyyg19Dr6kOo9VwJ7RCupMX+DGbbwbMmAqFDGIcQ73aN
heIlNptroo8BMDnbAuU76Iw9QEDiRDvJB7AzR+Iw837DIqECaR44Ow3Rju9Ap0Zx3cPk0fSdjen1
0PIL9ZsouxaqSVAit8euoIGpbKDXzfiYFYhjppJLkCNrS5RcCJhQP2WFZ/vY1lk+86SdQl3e2DoN
gNagbmjRSB9m5rhEY5I1PwHJ9xPHOJhmfBN1Cc7iMtwiMaCJjEkor6DLzrnkkbDcG1n3M8tk9n92
OX4tyvCTYVXX5I5+nU3j62iLrWrs5zINn8tQ2euWbj7I1bMoScgy63um1Ccj0aDTTkjrs+gk6+El
zLNd58g3DwIF7fXtrDtsD1txXxDlRDyLxcKdlKZ/yWj230/ps5hT/rrsvnppmrd/povlVd/K7g/Q
hI2wTjJQYrhKbf297KYiX/5vKm97scNQ8X4bu36U3RjKqMdZqP0k8vEw4VO9o8j5Vqz/jbGrbv3D
qAvHPhg3FB5MMsgB4f39OHdFnzJqqOmG6wkNm7OJ+iBhE+wQLBZOcUTiWXBq5zQ0MOH3ffqkdzpx
O8h54/ag5pizs2c+dfWbHiMZZQuXYlBFWa2GAo8OH+IB/HCm6mDetGEdk2o21vvxg03x20U2NQ2w
5PaDXxFM8+yts9/AFvgTkZ5WdihnLsAPBMZcwltcOR+XZC5DLkzyS0gbCtwPr1rKjfpxuSJhMK3H
TNcie0u6+gH5Lrd8QRLtXnHk7EeDS/x9MNxxGyY4/jZhmEBvNDxP7CkzwqMWuNlrTFDR2gshwq5g
nPUbLcPf2OdoAbyIYaDINeC7WCxf0eVE+JRzoKrwziImy6G5s6bo3R40UgEK9z0pmO60+AE2juJr
SsMuT+AnIWWc5KcoJILQxU3J4gbGHTigcIUxDmmfQ50pyeohDZgjfFULTbDoxy8P10vs3dqMVlyE
xYvuLla+uQyPqtayG8zhETIW3UNGU7ylzmztjMxgdxj15q4p23gjGpaKaQhE3rS67CZFsu9Xnomd
pZervKqGjYvHfRW6xltEZtoe7SIfi55jLg9NMp7L0FkJW3tl5Bju7TnrfN1D0hTV9TuehWCnaDaw
jyd9sx5qcuWzVjq7ssybo2eJZC21KCGyAJ9BWNrlcdGzxF1CaKZjMQVzhunW8wJrN3hlvmm6yFqV
Q06uZo3oa+gC4ujmmrfpGs9ZkVK+VckiDKIaQTFFYpvDvIZZDLQRUK1kTNjVLWxlaqxwaG8dBC6r
edIrbtYJ7jEmQzJLBM6Wpi9JxzVHtRl1p1su0GoTjEW6ZyoGA5bl7v4/xybaRIt90X97bJbN//l/
RfiWvTU/ihN+1yv/IJDU8RQA6GBCCY0HRfAPAklc2x5ebjYIBkcrYL7vZ6dh/gIIH1QumgE83YB6
vo8sDPlhN+BYtUjm/rAe/o2zc1kC/DiwcDAnLBZHAx8jZ7j405IgcZ3GHQovuXT5ZrYcpnQ7s/r0
wy/m5h8Jd7+hfv78p7DUANlpmagqLH4HP57PVUCohTVbyaUtkzhbl64oEIcx/vADgyY9MRoAh5PU
r5zQhXSgkDVkc3Dqiaq8Eyq6zcAQUibHV4MQ3VowMvd1FxlcpsfCF2F0GGR+6DBLxr23V51+Jebh
llb0XM3laayNa5wSR5EwNcz7MFwlovK2znK8BB0RjrH0ftVHIOV2mvNFGosVaV/vMS4GonOwNq3q
pSNbBbx+dKBoTIS828dBm/NdMIzOutUaxG+eRPjUzdwaKfWUX0vzKUAYu3Myy/giczLmNVC1u1ik
kb2JuooVfQlx8hNcEbjPbkr6XOiRaXzQDYIqYVu6FxthJNZIYpnJTXMjdBiGMtynWVY2xH+Z7WoN
yepOLwcY2b6iSHUqv7PydgpY5JAm5VZSO/P9FWwlQmMWcHipFTu3NPHxdazH8XeT4e248d7IzPTY
YZ92b/jzGuOLNYX/xd6ZLddtbNn2V+4P4ATaBPC6sfuGe7Mn9YIgRQp9om+//g5I59gSLUvhG/VS
VffFdtgmIbS5cq05x7TrA3OKLmcZNW5yiEjDJdRi+Ch0jg5uJex9F7TB8zwme+wQrcHwHIGANbI1
dw6m+cqjj0cn3GFFpinR1+49PQWa4ngxVmS60/EohtBLW8LeyyAYd51udVdu29qrhmt+JKK4fqnD
4DCM7BDGwdEXbknTAcr7Ck0yuva0629ICtjHKjtFN9fcGyzltJdjktKdkS1AXsArGRJz2eUaPpno
0cnoZnHrOvxs0bQiKEeftW4UAUgm92Jqw5XdjNOmaVKoni7QzBpFycyqqTfC6La9KWHaD8BJAuJh
WGGyUyTTU1fVcp1V0bWZWzuHonnpi3SbRzJZBoZ6qd3+ttHs7h7SufOFeIVFHSdL0Q/iSx61Syur
l4lfaneq0q4D0awVPU9WrpKtE6dexINDd0wUb3XdvMuoeh/j8QH5/LIyur07ZGs+ICD7po05qKfR
6ZaG22yxIx0nlBdB1b2qVnsqM2Wd9hrrD+Hi7fiZND3Wrc++2qLbEKnBKh7wh7C6Z0tEr+kkzJWo
k3rfdOxslH466pmOtlY/iaJd9m3yXHD7CLtJl9KxV34n1oHubJERPQ9+vQoyH6+vimiIuPaFVkuV
dDMyALUxXDK4vHCON1YLrG9gg7KMKp/Y5U6NTqEpCJr19esmlfWpL5tDoA88zGSopyV7aTZGPGUZ
m1ReIjW3F7pL/4igdwfdNV2/R2WiqWPZt60eXGMrPMJ88LA1H7O2uw7daJ+iU9Z9SLtBMNBUSZCg
QOz1WqQgXlCpVzhjP+WJ9gnS2D6qE+KhnH3catdTrxHUBYI1TU+WGXtlWo6HybapxSgSHBLXy8Te
tjTS3ApRYDgMqBX7vZNP466cpNw3Tv6WjeQlKSHBPWOQyiVNnGRTujTKak25mUalXP/6y/sTeiSt
chT2qBEQwhv8/ccvbzhqWT2KlADaMtFXXeqOK5vkuGWGNvXYZEa/tDsC1PMwo2qa3rWirK/LMlHv
0AylIHSGm7aKj+rgLxPXflSHZgOj6IsEfbQsCnIjgthXCb9W1/nEM536EUHdVu31FKTIvSBz2E6z
JeX4tbJx4EZx/aBDtFx1GvB8Boj5IpVeX3o1UuuCtmjjy40WVxvd7C6pnm/qzH4b0+yWGJN9SwL4
VKf7siWOEfOwU+sug7eRUNsx2upDaHk1kkvhk44bMoDFmWwva7W+MceWVlIo9mro8l7jKyPSRKNF
WQ336I9MBPWIsvRRP5u0SLxSzMLXaCYjT1dhHe+A5mws8haWUVrufIk9oIWDReXGnriJV1ZQHNOA
sHVb6uco7Q9pm21Z10g2KWjZ5mO9zuPqnMTpDeKVmRLVpUsBYxeVFsVeVV0io+6WuP2RxJJtZ44m
CMkhYtRnH6KOhwmVGtPhaZ0k5Rw2vwF3BI9Ee46zcZkZwhOuuWUKcKKV/5a79lEt1Y5psfLma4Js
QB3FWQsAJEkzbacU87esOUa2eNLVdK0iVUMpnzyPma55cT1itA6DszFZ2pJA12hhFrGzhVDUPuR0
6w84dqpTSiW7+/WjOktjPpQIaHewaOlEMzrgCX98UGPiVeGxZOS+M0434n2lt4tfH4GS6bsj8Cth
HWoGCFXo4Y5DR+LHIxgCWKrjBsFVKuKFIs5RG22j4qbqkeBUqRcJssfi1a+PyQb0N0f9IAlqC5qZ
pqEoJ3WUt3BekSjwD6yKT+zuxkWI/Ypem/UofGPXtRK2wUByair73FP1KPdkNT3lin2EI6Z6JMes
U7fXXh3YB/ST43vB5HIZJOPBTs1nZHzDXksN0fI0yZxhhS1xHivwzIvO8Ww5jrt2sI3XXMbN2mSv
t4qi6HPKs7oqVREu+QKP9D+F6rGlvm3NdNrwPbxvgSbssoBwpLF5i213y6J0V1fVWtR9Tdcr3hqw
HVaxSoWS9lJu0GmrHvQ7c1n1FluoaLjRQ2AAUdQh+A7QLbgkmdTdl7KmsVoX0a4yFXjQ5t0wxY+m
muwtvBDslynWIt+AHdNE9C5ba5dM8UHvy6UcfX2JxJzIFD/hK6s+dira/SjOTk44bGTFXMmfeIKx
JkCsgCJTAPPOHCIAY2dZpf6pICtttpto+cxYD4ZbHKoUcAyo2wYxh2Gg+57sZqMUEeqZNn8RAS4Z
NbsuMc5WMCpp7u47i9jwzjLolDp8ETXtXo7hdvBpxnZVe1UI1si4IES4Mt+dEtq4Hzm0z8xNUJhH
u0+/tbD+NvNgFhb98hn/MH/sTUoMHRbmKT7KS3ClrPG7PPSbaWdtxdFh6fE+6/3C2msn+ak//PpZ
nyesPzk48iXsWzo26PkP9733EZA6RAtTOWGfWMij7hVrzBfaQXm01+pKvT8r3vGxW6EF6F74S3o1
HtXFPlr7MMQX2W/+ND9ubL697YZKeYnSm23ULDz8/g8z0mdH5x2HV6F6IVqaadhj1X3b+v7t5f7x
m/XXYyBl//4YU5W1ShiSH5mX70G1dcfrX1/Rn56DzZzbJloWBvmHu5kNYlLUqGTxVi7lV0ogNee3
L9T/FxvMX+K/73rO+RVFXv9EbjD/3Hd9T0O1kYWi2fu3g/GPvqf6L1JFjG/RFt+rTQ37X5h/NdKK
/81Vo1n5H4UfgFEMDyo7bQOhgI584R9s3RGV/vDCYTbmEWRZAxBOgCV92Q/PeFwpiW5PenjO1Mn0
TyGKuU+DpjIjsBCcBZdc6a391JbikwjNngdUkSV6gUHpn6vJrh/c0MxvXTeyJi822j5fG9JuHmuj
1RjkM4dZiRDxnBkpD4OOUHUI8AymOoBOfRAXx0HLH2jntiNYJR3nYdOLHuKY4WMvgMCsYGgxLCWn
Vh8x42mJWA0dmXZKtedLy6S2VgIq7o7prTq+JCU+trKHDknhXvNpRTQ4UoJ6IBHWqezQqknbWVit
uzODivDMnoCvTNyYnXWTRUJbJgaVoj9cTcRfLt2OzApZ3haG/on4XWOR++RISBm3Cxqx0wYsZOax
r6VaNC2kR/axc+onPQM3LmR6JLrrwOi0ZYqvO0uzRq9kVszXs74AHTolN11Z3JfmVJyMCl0edEgN
aRV6uorgu0Vvdv2iSmts3CgxvEEG6VHSApzs4gkaAXY9TS2WrVq9T3U1YpqcOZV1u03reKO62VZL
mmVh2/F6VFzPNIGMObq+bvMG4nbMNQB/0HtB51jbSPJPZgfXRbr5g2TYa7uEFJrEyxXpZy0J70TO
iKdpYvPooymLCuU6KpigdJYden6W+4sAsFkw+6vz1LwJhbgzK8jjrItvIpeHiW1/MTpsu1SHfZ60
bUSOeQztdYB+o3mNimnCzOUmjRR2U2YLEEXrFm0pH2KBKEGIPlprA2DLornF+oihtQfSFqrO2izt
7qp1AvCrY+00i8rcNYnIHtieD8sqaa+njpwLUmavJCllsxDUAPvS3ldj/Op3uBpEyHzRMtW1XTmP
aHGfbD/wdMJKUoCwC/TXWMG6G2WE8+ZP5zSJVnUE+sm/8LDmgObbIyCbyzQKdK9utgZRpK2rARKR
6SYNmIjx0AgeO82Kj7lOivacYx0qzqNih8qischu1WLmpEo1x8MlV1aRnQ23OqBEvyAWZKbW0aIN
bHNNTCqWHGUZWvp91qQYfHN7X3TiPEY9WFpBbInLFqwrCZbx6zsntl+FMpxgGb7rfnYH3meH3ugY
d4m2U0MbK33qwuLKuQ90c0Hk9LxiE61sZ0jbZSHFmZMXi6YPn8rKmgfe2Vn3tQtlB1jQ5FVRfA8I
l7qwQ+LcMiO7wD91jtIgkiZr5GMoWGpwMOszEis9KGnLnBUS0MJH/I7lNXuhN56smjG91mr/CYzs
6DEiqqhlza3rTMdUNqdWS2jrmM/oeV5Q+u4ni4P2+nVcRMsUk25YNOc6VeE0mVsUU8maDM1TS+W+
kKYj12MiEZTM1EWMIKMV7nElGodIq+R1TfBgvR86bd5gY9zJdGOCU1jS8YidR1T0KW2NTAPBxW4T
jQnDa7bA7KhkDvJjMPXLMJp71lXtKuTF8rjn1lnasKSsDp6KaOzhcSplcFOhfj3EZmxtGi7Bqk+V
dAsdC5cpjTYSm2Gt4CwUTbhtFIMpChVuyoxF1dZKTL7319Xpf9ky/X2nXIfyxCbv75foq/f+/+zf
q/p9/MmP/XuFtg0WW12g+jNZBr8h+v69QmP/s/g3bChJT2PtpLj6czA56yls2NxwUfF8UNf9Z4Wm
I8+voyXuMkrEYfLPVugZjPBdSYyaf9bxWw5WapDj4PA/rNA6JqnMwNS6dTslMtjMGXDLgrxKDqHf
WYdBrcqO6D2IHrkahe0Ow19zHTLeyzZJrDERr6oOxU6YYAG2/dagYY2OlaYpS2fgm9G129Xqxk4k
z6OLcmhibb8KEi2EyDn6/t2gS+tJyO4l1UbWjDS760rfum2SfLrGqn+XF2QIpbIgGjMXKUJwS7Nr
hDrxdGp7k0QKJ3a0m1pA6G6KRn1yE5z5xClF+o2UPdGo5A+tcuITUabxg72wUf2iw7nKBoK2NUXT
bvxJV1CqKbAByCtUF0VuoJrrsgnlRIfVcGEOSfFi0BFaTTSIvclE1fD1QiUT+sfKDl+5/4QaKghR
MEx3cM2SanI2zFPc3IuzlmQMkoZso+UHa3Cv+lIHNDa7FN3MfeziqQzI9HbUJz5vE+3LjmxU6EDb
TB2mbdPX1a5TWo6uOT2Y5FgZ13WEVL8nIxFONDlQfIaiiOTbvjambRU7bUbfOlCe29awbp0mzjL2
poZ2rJzaVTe9paUPQBtsh+jSVnuqMofgg2RQ+W1pFg5nFmflyxQSvzEgtNgn4RC+KWk9XBVIWDdf
/3zsq6sdTzaYZUTc1U5PG24G2O/Os4Ut+7VatZRfLTZD9HzTOsq5yLUzNgwVu5YddxPpx8DRWhEu
2M4mPfpNyA9bP9WSaQsyrjLWoWUn0caYjBybnT+hnFTyZD+Z+a4jYFanh97h0kBF+VQoqiPW2lwJ
bHhUpm3bZDwLTpHQGq3rJUfHRF6jc2GUjbk0z6b0AWVXehsW1fhUFmENJMNw7+Kpc9YhawXw66w0
9tJqg4NPXsNjDDdjQXfSOigFN9sRccJot7EiIBOcJBZ5ZWVNei036ILR9FglplXhNgIgdTE9T7If
N+TFu5s01Y0vvTBomflVluULzZgGuuB6HGEmjdUmvIJmw+9y27RYi1zoPT52o+MOL7oqZ5bcBEl9
42fueIomXCRGnkTLibizUyayaJYH9c5Ga1yqBWjED2nrJJvMGRTGKyJ00yX8nszZJJpa3za5+WSx
eBwzS32UDoIwb8QThjAfGem0IlqKzGOfBnWtCUGG7+R77BpoRquJ3Ac++4sFPvXqPE1pfqnFlF3X
iiHW/ThmFysytX0bSBdnTxmsMluYWygAzQqv0rQPzTmqNdF7dGiMn+4HjQGHlY24SP1K8KIOOJDN
Gh+/1CVNGcbdyVo23bDS88ZMF6ofT17b18qmLIz61ELiPEMETQ5QBq1LYwX0ksOu4X+EpExRnaU+
UiTFNSmqSuYZ/aDaT92kRCfU9cHnsYrjd9nku2rk1k+FmywlkLUee2ceokmODSE9lZ95mUqXl16h
NSu3LOPlbemqoLn6TgtXLdgEFAcJrPnBGlVIg2V41RlFtZ/UIn9QhDVu9JI0hhVg85ySMoDFvpLj
BPelA6K8ZIWuV0YrGRD1fChAnKe9uuzo9x4oS9H/DlP96HL+KJ988oF3RZbb9VJMQUX3OYYIMAqm
JknvECeXAVfi/Mu2hURh5xrttQIrRKpTdduBCqk0JVhPp5w+dA2jR4/UOvQWsS7QXIui9iqX0NtQ
RSXWj9kL/XMUCdGo73K/tK8wASt3SZLy8W/1cFq7/RAbHCJF9DY5U3WpCKTb27JzlnnPx1wXYBxh
dbT+89cvS5k0PvkJWbIH3VQvdQ0h4be3qBB8tAZSHB6qPnOWAm0XZYyeI9ywR1aYKhdyw1av2oFz
1E1eh16/QQHOgXCBD0upA6HyUsKBTj3lP0Vxr7jyitV+vKqrJB8h5mPKrls5nSrC17/1df6rC6H/
oQZaLKq/Lpm6l7ef9TT4qf/0NAA2IW+YlVI0m2fZwQ9aLtDtMybJpAX/1V3xH4CaS54KfTSbzt63
curPksnl91kYbucahzXX+kc9jY8V0+xaNJEhYHJAHYZfY66ovmsi0v0vDMuPxnMkL8YIVEn3x34x
NO79MNG6VMHbLlxdHkGf34CJgbeUKp6tTLzSIcKeMarZ2DQuMA73zLgdxIIiXpE6ndLWfZim8p44
hi9tG6xLRcxEevs5LTJYQbXQPa0HJ6iDAOiNHtdX5y6SybjqVXSYKZ1cJJbJgwjEtDZyQU/YLxlv
k+uAV+KJ5f4hGKdXNFcSE5+77cv2PomaS+WaV5EDsVB1CdhNBgbgQ3CF+2Gfzy/PqNQHzYlb2gTd
mqKJc57QXRtwksnBcMK1K1wfCq1cy1B5bAvWWWyRlC9XKeOnyWTMza4cwIAk7mUiiyKOynXpzGJb
GgeaqTEQis51oglkWeV4O2EWAR3N8I0v0FQObLFjCDAKqEN2SErMzNl6ziZmhYIAtNUAuH1v5xH8
px6LijL4s9gLhW/fLVOA2kt3xNzZu9PC0NpbMRY52mDrgaqWKM0gqsxb126DZga75FGCiAGvw73W
91Ps0cAomQWXjYpAL2a3fDWMQYxjLwxScwnLnmg2yMqO6FZJPW7UdNhOfSdWbT0rOAKwkKrJwjX5
bEwt7d60ye/IbPO9iK1TqtbuomumT5OJxk3UPDih3943Un6K0vfKt/almSIKNuvd2LYoROzYE7Hc
5joLRpgUBA7Y3clV88xLRuMQhurjaIp9VhSg8qzxpdSs8t7M6psgMzFJdou+6HctEJsB9u42snyM
KZG/lVAmvaA0DmPLnNlVCns3KiPQ+Mx5ULrKWYhSWfeuvlGjzlnMCg3H73eTi7lFzQt4GYGklaUw
wC6LTQSmjOV2ukgdMnZLIgpVOAPD9mFK08fU0r/kBtcMj9wTCXJIJ5L70Q6fg6y6DCGh4EPjbFk6
n2q2JPx6asEhtr3UzFZyaPZZi3IEWN9Thx8E8f9LM0Yr29IPbhwttah4xlnUgJJiZAHwGwxRBXXb
rO7DmjiSojVr/mjJIRlIj56X28Z+ZiFnCW7FqSrsG1hNG9XwH7VRGTbqOHpZ236ynOCGQNy1rckz
KU7noVDhK4tJP8ZOR/NNyOOUdFe6EawT+ZbMZhFW0lXd+5s86tWFm5raMrfGS0R0qKP6/Bt0CRy7
fpqYd3q+0F8y34fCoSaNp9Yms7FAX3TdeCcmfJdDnmLEqew7eqUHpjPPkxOeUne4NghzZzgtEZu4
b/5sSHKxMgm7ZEKX8QD6dyl2nRWo0ncrRhMfddodj/ETVTdmKT+/aiJxXbvGmzuNhBoo/SX3+2SR
1Rp0lUBHPuJLa5FSLi6cptIWVjKkF7BzNwkdsEVI2N7O75hcZaNG11K4r4PfvCRpefG1ihGSbfnL
uld9LxtLd1XF1gGSinmZDGdDrG0or/2ujG8LqX32RwNhYTLdT3l+NKbgVZMUjWk7bgmmUVZNooNR
whRWU6Gvx5TGC72v97ywp1VLd4g+XEGHqCnxRmKGoN62mZpbaeX5ZnVElI2jS9tHrbYLw+amCkja
VXtjJybzamiVQ06JBM2pXBZNSPU5KSayh2AZh1nrOba5/N/YIaHFTyEcNePujaT6rzpEnbHS33dJ
Tu+SnMBI/iQ7Zv7BP1Z9HUGhZrBEE4TLiJ3/9MckwySMm5XbtQgzNdEU/tkomUsFncXYReUMNNWg
VvizUUJfA4ij/U+XfEt8mBtalA+YJbGRA4t04Xp8GMzbaRM4CKGVs6akHow3zVPN6d3v0ZMlVioW
raGu0Q6tq3H2BahRUd24VYZzxe4UA59eLu2bIHAZ7rraCFit1qpHH3Px+NlS6CyL0M8Wuj6am7jk
ra910InB7CcGFGduQHqA8QVFtmHjBhi+UNx1pelP9ETUz0GZkp6kD8U6B+eN6qlpsHXMzdWc/9cA
u7xoE736VKAEw0jCqjuRcr/vpb2P48pY9Mi2rRA1dN0qm1ZvX7MBs0cHs4O9rkQkPUc1K+OJlpC7
yGxrRQu1u3KgGi2yChcmMY3GphpHaK1EgjMPZ+qcowUzRjdZOYwyFrpfFasJGQ8OxfoS1zSC5Nik
z6yu462mPWI7wUWjkMlVBiF8N/c6nqDlGbp2GjHisXZHZ+xxn+sIiKHDBN1sIDw4nYU9xxlQy5CI
upckg9KKj4ZdMtbqqrZKkFPAdcBGDWrONUOXx21RzmaJNt6C4xY3ueE1kck6W1uQqvPheqKxvYFk
klwPnXrOweZv3YQRkE8rdqTQmqI1TXKJ+RvsUbKI456sKz9MQc7Z5KpD8XSWtWMrBIWF4GdhGxb+
rcVhN10cFyr7XlvuZNV1tHvzaO8LxTlFJuE/i8b1wQvww/Kkla1/rbUh3irLWoRSvAQVWpq+TvUV
oJjnRGuCld8UXxjEZLALgmPqhxldsPGcolbywjH7EoLrQ8TQnMfMZCGjnPVMdmOeKxOEcp3YVV1p
77GWa14Xj7fkU3KbsmxjhvzFrRxPG6zWWZhjD2A7akH3WotGb0ENVl2vm6fOKpT9aNielqN3v1hW
ncyi+ZHQ3sVgGZ7Otn1ZxGlzrNgcL1setDOib7GuSqs8CJM2t5JDd6qQViDDajcEM32as70bddA8
FuB63+NAXKRdAJLA9J2rxM/WSua+6Up9FHF2nbe4qhTjVBc2KhxdKa5GJRp3+kzKxoW6VSwy0jPy
zO/U2PdXjvPeKMMhSpErmfZxDHN3hed4Uw7jSuTsXSvn7BBdYmXZp6lTDpYWHbPQCVDLW/5JOjjp
MphouBWD23Acgl0ZElIWd9uk5CY5IdOSPkKyE9v+Qk+cl6DteQNFdB46gFyETlQLpeky4Balp4l0
R4W8ckDrZ1RYPVo+WmRfhB3xacnWzD3X2K48tSNKPNDVm4J88bCIdzZhUWyyvV6jAAobVCv9kN47
qXpmrHUvOpWs0MTNxdl3XbEHqfWlKLUbOKQ7u6XYzrKVaAaDWKbhAMXMw2fyEgpjA55zRcE6B0k4
lzqRN06uv7mkHiyy1Hhv3PHGxJu3zMriNJYTiUEmnlfDQ24VeSYaNXRlXkd7A2ld9hmp/10/P49a
Eu+qNrxM+XDOMDHacbDzh3xrg5TjQ8roxVKvMzlcjeXo6SgQpd8uFYfaGuoV47StjcQnK2I6gcNa
sWblHqGAwmkJUii2Sut6SWivqObPslChhKo5HS8dnVQbXPQmpeAJtgNwlSxXjpRTlA7RS9nqC4yR
XskrgomI7pu2pD/u+Q0Vd/qe++3NgKw5dtTtqJLV3ssnq0SgN9GqNjlGU3mmr5/Rbt3WjVgz2F1a
wXBjDu5cbelLN01rHBTwYMzKc32XJ9BXsFmoa8fNvoyoJPjCrccSq2VIW8PBGwzcc2doOGWm6knV
GoZQzq0QxZMTUrl343WbvcmxeC9VlQ3eoC1sI1oTEL2u/XGZENkZqjTNjfAaD/wp74wbxnF4vrEM
ViqFDrNQVd0qbrd1avyEYXobW/mxYS/C8Hdh+8BUhFWsfAWehtqueRWvatdZa0a9N/yRA5aroOCC
DbJe5qUPptbUP/dt/sSvMtcDKOyxNkniiKFRYPT1SEh7qWXtwfk7kDq9mxQbAbkdLroqIfGQRSIs
2JK64ZiA9rTxrHePWSs/NSWgG7Ye4ILwzpjYhptqK6HDqAPt0cnCahx3T32lPuZVfAPvd+ObA/O4
lmvnroDube3G4um0gX9317D+DwUqSVrmt2lkb53BP0OY3Ukz23e+hjEbhZNso3WWjhdCqXe8YIui
d67jyj0a2vBcCNSvFVIoco3vaUYyh6jPsrZu2oF5mqPVt61lLbsiRw0J7pPYwmNqBeRmlXT/0+BU
zR+qKX8akwavoLUpCtgfTY+Coffqfi565MEv5H1VjHtNzw+KboZnxVf9V7xg6W2NN8ab9GZfoR2b
evb5DbkcSvwWBuI+bjJ7pyP1xKLbPJv0CfWZMZsHqyTS3kRGj7wpn5Iq3Km6duZ7iwepSjYa1BGs
zbyXqZ14k6o9h1ZdrF0jucsqmqTlkGwSQ7vECZDmBJ6DpMOwxo6x9RPh9bqSraIp9zpcEHbQB7BY
9GWSoiwN5WUIxCb2h/0gx7dCQTVfxy8NE4kZ0s4bQL5L3NkrGhqrKlSkp1AhJE3rZSmLxODKbac4
bx1wBiLYNkFnr6ECrCRjH3Yj8YDMdFoPmTyMTXCoGusuJ10Fj3PhyZoJNiQjhe7eXuomz3rKezqB
q86x8jenCRFJXRWf6U8jAmZu46fDqTPxxWcqy993Je3lrw6SD0KorxUiLSsaU8asK7M+jNGavmKf
G0nlrGbbiKClPLlRwn+PWP9WzTV3lv5UoKIQowxFuqZpKptN0J+zyfC7zlOkZKqwTE2h0f1a9Zu+
fR7yL4GxzOiM/vp0flbwfn+kDz2u3M9HbfI5ku5chSYDZZvezbTLxUPcfopy8RtV4E+vHm8T3hvG
5c7HE9OdvHX8NA8unfKpaQ9l8Fmmn//5GVEtUyxzGAPe+o/Xzhf2oLpEIV0604v7TQsIOA2RSAeb
iChBvflGyPnbW/WTMwKOwaYFgJqpk2D14+E6SUtnVJvoQpwEjCY8ciSSJL85pw/qvvl5+OEg83//
7nmofaUhxoiDxOiNmuoYu+G3Lev/82nMp/ndEWhQ0fZiN3ipipNgYJXkd74d/eYgHyShfzmND7em
AFZadFkdXQbFWKCRd6MLnBA+cM8M10R91nHP//ph+NndIU6RXrUlEFt/lC0mEUwOGWvRxS6vSxWM
Zrqz/S///BhYi6HskT6GI/nDpfMBwgqnq+ILPbZVJpa2BICV3v/6ID+7dAb6S/R1GrgZ98NB8j60
7SgaYu7PsxTHkJ0iPN+F69/G7cHEmtn7178+4vxMffgG8Yn784gfbhZqcNwj2kgO2YCuuH4EIvib
j4H2492Z7dbM8DFkMwcEhYm49MeHrs5NfL+Dll3iY7Vrdiyep9yzVtY1aXieXEVrx1PWvz6rHw/5
9cv6w1l9OCRxr9mAlTW+dIweddRZOpwEPd/++ig/v3ZIIVVWTktYH+6WmDRhM5eOL37perp2cJzm
N9duvvof7w4RfTxtIBURjsx6zO/e14LkFm2slfhis/UdHZ1q81MEuCiI49+cy8+u2PdH+vCBY0ec
V4i+4otmvYfOteXfltNvPm8/P4RFho6L/RQ3/o8nE5FE7ZhTkFykPFvotAe6yXorfrPU/ewV4mH7
4ygfbn1SdWFD0y+5RMnnVMEWo6wqc20lrZc0FyXZpNZv7tFfTovBlm2DAUBm65Dr+aFUAE5sF5md
p5em25TVp16syunmHz5oHw5BL+37x0B2ARc0BPLVA1TRFLKmYus3l+0vz/LXQxgO3wIKHvpsPx4i
HoZMSdlpXer0szLBW4x+c4C/PMocAP2AxXtC4w2V/I8H4NNp95qcsgt1XtZaKEt3EcZO6b5/vVb/
1ePa/35Qjfnz8vdd2WdYM3/t5M4/80dDVvsXSzN53Br5cC7YmO8asvCKGbPyqWYbTn2j/9GQNWZ5
2nzDmLeiI7fm6eifDVkWKQh4GJzgzln/jB4LqpYH4M9vHdpyajmBqE4gquN7+pFk12CLYvwfD+ei
YZsNpmdp+9Vdo0NajPWxWU6azO8YfKRnvcmy2xoz8RawZ7ttqWw9jQ9K4OZ+syhN48qwTXXVpBnk
JDt+NyaoU8SCikNYdq9u2xd3+ZjXK4Jchwv+rMLLMml7buvnd2bd4bkhmaSR0LeiEHJQULLu9ugz
tcBGAkXfmsBkX1vWmG8yZA3blAjdTewam8JiCzs6sOfbaj2YMQmWuOnOaTRknincT4oq+q3bOw9y
0iP03H2OhH6U6wZtkIfMhNhwLsEZcry/HtTG3YKUss7IIeg+IS3b9gUk2DQwsJzLiVZNYD/lddHP
jjkgNW12bMtxk7jKM4owLMl567k5ma5WWOzV1lwlqERWetDtk0o5dLnzwNU8ASQvcLuiXslFmy1k
En6yOvNlEC7hoX3+GGAYnwE+7OSDnkjS6LYx2QMaqSIWhtRsTwTBNpm6cquI7N0I6J8OUuxFhZOv
mSREJouA2UaxgnXoM0ODg/7MjSZrWxS3ueJfmen46kzYwf204EyMN3+sL6DbuiPALyxZDaCRsneu
gBDRmvWnKyvnljbFsCzH/pJkxqtuVI8Ipz4rflHBgg/3STqcmSb/X/bOZDluJM3Wr9J295ABcIyL
uwnEyCAZnKcNjKIozIBjHp6+P2e2MiWVMutmX+tFm+WizNJKEoMRATjc/3POd/CXSCZahppjaqN5
sNk/4hGegGtE/gnrG1p/YTGScs6rqfA2lStC/Ijxs4yWa3qSYeUx7NAmnGrDRwgzrCbQnnXmnQSz
bPEZo6g9H9yuzTZk0Y9aSMItaACGrXO7aVexa79r9IRjqbJYtuet86Ed++jF+pCfDWlCYpPeF4a1
xjlZQlJ4ihcWKlptZMOtnQHYUqaKUquYto1tM5rzoOBT+PlWm5LAQgwDNwFvtqnA4uqKj+tkCx+y
YuZqM/TcSHF0R0XUpeV4LyJ5kyvW7pBYh0nRd0kd63elIvKGlkU0TWUKFK0X+A6ew3DEHQnJV4D0
nWdznyjGb2bbdw3QX1PRf10wwJAeLpm65wcMnA6ZhR5DBNBgxn+QaDuY+pMiCkvFFp4Q6BUrnyGd
fa4nHEF8RSLWQRI3eZ+cGXN1RCk3DnWV8C1hiszFU2uEJ22MtuMC4BgGP2BLxTz2i2ZHehQbARFv
Dy5yDB/ZqyS3OreJlC4BAQbAKI1nkzvKQ6ZhkMwTwziRvxbrkCjVDeaF6AwDOAMsL7wcakx1qe9s
zBmDASEQrvOhKCmVma5ng7HSXONArImJ4JEyw71edxZJisrazVHor3Wtbg+yLo9RrDPMjHpxBllx
OatTQ9tZFc23VS2vHc1vtks2n2l6hNGxEFc4BRkDU8580BLLD7ADnGnMlqIpCjdOKp9rpq1f27JY
+zG38bWLtW1BVAHN44uu+e05/c/zUz3V/vz5efHevL1/+dcnqPpXvz9BUSdtHpM2sXbV4Mgf/S5p
Gp+oVnMwoPguu/7vJE3SWQ6TJNCsvgKjs/n94wnqfOI5JFwCVUL1BdAs+TfSWXSw//wEVRYqJi7K
GWWSI/ppDyc0Ey2hzrKTodOTdAawXOpBMhSW9ggbwx05tpIXCnpYmNeGS9sKDBMihfvpcMB+uSvL
CmsdEk7nPaCKgPxMhjtDWA2Y6rwC6Bkxv3O6MiMfwbi9aMPTnAHfs4FA7aUJcjChFLLK5tOk5QPn
ffM1ZCMYAEE6Sh0biTOxIofNwwQQRNroNL03PSz6+AUr940UFT9ALHIfTfZ2gI66x117jVng61A1
quKt4Clo6M5Gjl12H0bFlWYJ4j/6DH9hMk5eFV6PBbxrZ671PaapEJXV2w+OhHmUjXvMGc+WhJIw
YnXcYNLOAWnXw4bDeLqXooDmAZaEmEvowFuOn/qs7talLbMd9crQUFXOQqjERf8RvhhVDiP+iGTU
H/EMUyU1JpXZwL1DNZ3KcbBFyI+6yna4KuXhqLxHpZIfdFLap8QjDRIZ5EJmAiIwcs2rWGVGSpUe
cWqiwI1KlMQf4RLWoXxlEjgJVfKEhis6OmMCP7PKpXQfEZVUpVVClVvxZMPkFEcxHHCSbXVyZrnQ
5g9QwCmFNrGGDLObGZ+NWljrvtdWbp2mFzEemD700nWH8yUu6XSzomWr28W1lfrNGExzBY66yd7z
qn+kUe280vVoXbjjLsfxHWDEvmh87aIFJUKnGWRMmd8Aqj2TZvNsatl5isF9VZvFHbuEcdOpNgBZ
X5mRe1kWU98FMb3iV3Y6J/hpxSDSy8KOyQWAeqNtLRs3mUydQFhDiCocH3raz+n9Ymo/Oaa3KZbo
bZk4toQ69nLpozBWKkFl03OHXGq/odw2K+JbWQBvrV2LeNr0BptMVbZHKzy0frrnEh7ANLMhfYdw
WDpnLPD52NVei4pkpauW7oS/mapkFlKFywASdxJG+dz2s8BbrGHHI3lY4yy+dG2ajrPGBpAroZro
sBydZGIjaiP9Jjn8Sr0wX5zJyFbhXN2OLh18/oxHH2edCx+fsU8CZQUHhb9qXfe9CKMveUVAkbsr
6NIZYwyDgd4ueSwNiMlsWoO+nYtNZaCaMvD3qWNDJgd0TGtR00Xr0O4YhWgIqiO5dRfvfdl21d0/
56/fXDF/ef66qMruHQ7OL54g35/BoH8bIJhA4jE0+sgBffcEAa7F8dtx6A79YBd+s8I6n3wQ5Khl
GGJUy8y3A9hHkbDP8E4le5l4/C0jrKsOgD8ewHzOc1SXeTyNQLf8bIQtZG4hE3jOZSGWYUvftrWu
dPfZ5aqv3P7R7Jz7bLkOFZG4NjZm7cGLju5DVZOLeUAAa82o7psvSA7SpivG7L5Q9bqGKtqdadx1
Osws8xhhck/3uNDHQPYVPpsmhJPLnW3qxgu1E/Kz0QFi5TgwblJV8LvQ9DsmjbOHPntWjkz5UxE/
FkifbB2fF+TRXHoN6Zn6dU6zaz8Wr41jPE0DZGgk8osOomkwxxlhvDo9EmGhWaSohsdZ916STibH
UhrhxhhtZ63L9D7r8xd9dpeDVaBxQ/HDprLsl9p8Gdri0i8bANvuLX2bbLQ3tQ81gv3yfR8nz16i
7Ue9emwbLTojVrH2WysoyuHSSMHV5DN+0+RSRVbrueGmT+IvFaFEuiRrrIfjpa/SmVViHqxqi3EI
Wx7aunmrIBBYCLrsuTbjesWvuFP8bp6FyhGL8NvZcPay1ETctMJVZbctDz0fU/AoEPK0c6eoxn3V
uQMsiH4zVikWBOfc0XkAW06sBUOec9DMvzRIb+vObFnbGn3XOEsc2EN/RUnHXk8R0HXaOXdxiYkg
wWeTl7xejvZtg4r33eYz/YQJ9Bum1t6yrhANKWbEbthTL9JxBpb+ZSGttZOCKqzm9HyMYoA97hoO
cLHqLCwJuY6zs1S5zwibAXzuwaApDTRN7rYt5WY0UyQuftg58fGvFMuV37mvWFfg4Sbdtm9xAOg8
gjFeXY+u0waugdxQi7fZpMXBqtOb0ijSdcw3p0lxb0MtrIu82TCo9M5rzTjkXnUh0+llKKaHuG0/
w+ugF3acw/XiONWqorseDr1RrLO0O1CUUa3xHD+CE5erhS1ZkMTFddhagm6ZaV8YXbVtIgH5fCZ2
klUHYSYpjFucIUV1rKQ8WU1M+lvfkd7CG4HJAmQKjoZc3KZL+QJp7tgZ40W1mIAXu/IsbLtzvagO
ZkEiJNflwRu8z2kbHfw42jmWCRUcSMrYJrey1+4R9Q56WZ31cEAqxzlkenQiXftStvm9kzHRyJfx
3BLNUfTVRT9kHSfB6Tovht0UAooHHl4u41761cFQ49PZ2mN2OIssjCENBmUJdWhs9Ss9tvJtv9Be
E3VPoxsPeNwIhzXdSfYkSebFPaOf98ZO5DFLhr2VzT3vkARdOgA/0puLSLpYPgbsYLSgYDC7bav2
MSrrI2bhiz621nE035R6TiKcmz7L4y2jyccoc3d2VMHtT7zDbJc7Zxhjro7uQpQqzOUKtizRAWPi
daENhM71mnpgYne+/kTfaR54ep6vfbO/GWP7vAd8uoKsRf3GUjyxf9q7/RBIZk4mZ/+gx8ZF4fDL
4vm7UWPj4o/bPBmey6bft7b+dWmjfkVcb7MQTk50hJCVuwAdvzFxXQa5N+YUo1Y2a98kxJlmFTDg
nPzoR/05ye/D1PXdSoPMH8fxyRryYxiRP8ACcDHCYd8kfvl5SDpQKk1+qen+rq78ywYeFunmaVvU
urFJbOOBRqTzybAeqfa7NML0dlFfITCJz9KYuBujjTDHoxFpj5M+nASVy3o2rWPHrTa0Pr+aGkia
REZYgGq5rju+i8awt2UfJbva4wwtxMXsFx0KfbPPqnSXlXIk/GM8MFA8q1taAGMOAq12PYBGCEzr
zo3op02Wz2nu3i7sO85Lu5YHPQpvZFFeaKUerkIKXazFfjGks3PNcGUJQvZpBwZubCZzrzqPTTN6
z2bwRKht+nF253MivubWMKS9pXFg59Z2A2UqlgAimBU5kb5vi/6pHZPbulzO5z66C5t2T8tLBNOK
uRvDA97zXTTnj10dD4fJusoyDBf6gBedvsqumHa2VZ3GLrpL9IXSYmfYa1CJusU7NK1zveTGvol8
PhrjpBG2XcXYeobevCXj58HSpnPBa9T+2hivpXAu2pzn/Ybdnplv+rFOHuwi6Vj8HfdoljjwCi8f
tnHN2KTGYph4A3fnQn+BO6+chrfEXnTfTPPOJXh3BarAwwY3lBuCbgDEBnq48UDTN9wXnwcQ5VQ4
p1ueMDgNGeeupal2ixFnmm4fxloCr50qgWqgLy7NJ+IO2vy1bKh55i5eZTMsKJHiDmeb6m1sPP5D
RZuzPjuqHxirthHTUr0Cyc+Qq4jOOWzKU1kb3VNquFAf7KXRONKN9nU7lhSVewvb6DG3PHKOoHE4
ty05U1ztHJPqGXPRK9PLttaUblxzeSjq8Caqm2NfmxhsRRmYuddvyAU8hSMjTFwqm8ZoAflkE/x/
aACi6z4PxFiMzHu2QnExjDgmyfqD3dt2ITZw0d5hl5rXnhu/srI+6KLZY/E96fb0HqbiWCx8TD7t
2lxIVUDO8Uku9tFNigvgoSJw3GKdggnQJDajnkd0M2O7c5qQfjF7nQPTZ+yXAOtdDjJyzu0p2RsN
gMNMHgof4lFFnWniknd0UnHtj8VtR0MI0VIAamV5V0KtorYiOzIDO+i6dkFlYMBWaGdO9aEL/R29
pIfIrY+R7B6ZmkNTN84awZNWeBAa5RtxyU2aRddTyE6B1iSKyOMNDaiBXXfvBRUYGn1Y9JZhY+2P
vZ+/OZSyrlq/PJD7vmkoWnFUhNZK55UonH086betakzuwL4H4EZXsxuRrBm34QDdJKRuqffbbZfS
WNabTwh5QZ4a05aC8EBw8GVrUa+gUtas7tkT83DOtfQnjBzc/YzRfB/lgODSB/jEO+EtV/oAuzTr
jLt55FSdyseKvCimRobG2pB8CZtqCKaUpvcuJg9l65dhJF4YiTsbRKONBaw+9ZODn+j+llj6kWzg
u5zty04avOMRp6pjcrFE1WiD/3cJ48zS2ISz450qo2Lgx8A095x13OnXuaWd03G9BFoktm2L3Te0
Y/AqLdafeHae7RFPrc9Kg0NqosHWw9jIXJzi82upOc+mmYZbmZCBwawG3LnfZu1AlU7LuyaFtffV
0lNjvxwqP95HDZNvZgoXkvNpFmnLSaMAQxpRvTaxRq7rpvjKgR6q9ExFDGiUr3M2r42hVhWNcgf6
+TC6+CJp2YG1qZ7atvU0GdxoKafTdTMxI69n69LIkksgIYGVWvHBjZf2XOJ8g5QjHnGNR2djE177
bf6Mm9naq9sd0CgHzpKnOQqqePZi8CnSujbGKTn3Bf1lhqQkVb8zI3Y0lU3X7Uihi16t9SI7ryMd
er7VgHEpvjK5yVnLzU0kvLusq86SLj1mg8M+c4QWbXZPs1Hf+BNFD6V0L1Mjuixgz+SuNR/LKX2o
c//ZmsQN7qLqaIu03PSRU23NznpeCv/gQ64MUj0pdyXZnKNWG9vKSADYlNawpxYF6ztO+jSIrEIX
t5ORmhwjmkZjUJvPlpkGmXC0jWkkIZGw7yaGV79pVf+BjHIFRLVr/+//4Sj23QEKNBJGXN8BRMYz
ngCD/pP0bCa6Ppmkm0+pRNgsL9plWvnW7V+/yI9Dvm8vAt8WPBd2SFed4r6zBGQhdGGtbRNaZQ5a
eaEDTtesu2787Rj/p06hn/Tg396LyxDRUqIfafsfXyZESeQUoLNxN7+O1b0m/o3B7hc/32VUqZvg
8/m4fv6sWn92KjKN+akcudD2Xvj61x/Tr34+cjOfEB+Uyo38+Puj1IWLsOvi5HHusK9s//yvf/5P
jrp/+Xx++q6BxhqxxlJ6soqdRmiPcL67tsAAvefp+m+/FNBs4p6eZSPE+j99FcQugUsvVXbS0z1u
xw6iBQB4K+AxrMnfpv9/+rWrX/sPEfbj6vrha1GX+HdXl24kxeA6eX6SAr4CO7qAW4s1dR62f/9N
ff/9//SmSjf1MQn+9kKCSCkgxHjLc0Q9iuW/udZ+cV8S8sFlqUCfwjSVZeS7NyXs0qx48JanVmzD
/BXmgB2+/fXb+dXl9t1L/Hy5LYQSK/Cv5an0XtPw2dL+G5ezj7nEtXzsQCgQP76FlPrezqL465Sy
AgoXWtJ/Y/EiWKU7Sosgpq10j+8/pFIr2d87RnVa3NfRvewx++rdv1m7fnHTABa0GQRbIOTwIfz4
Gn5cyHL2luKEf5wkC8wqw74e0GzlehH/5kr+xWvhJzCx6rmei5nup08sDj2GbMSYT7E6U28Am8bz
hlKXij3WzceX/49kpqL6fy6ZnZpX6gh+MfDkX32TzOgisMBIMkDlizc+dLFvA0+6CEiD2yYxf48L
wuGu/DbwhLGEkmVj7IWaC73/O8lMfBKe4/A/fiwdB1ymf0MyY6jJFffHesdjh8udn+/zODPxXHo/
XZG1QyPI6IJaaXx4H2LJMx8riR8etanWj6XbUh+i6XP/YqXxWRLOz15kLIF00zcxwCuGTTK6gOGY
m2xqoadQ3Gp6MNKE2k/TiasHcIOwnYlBtpEabdE2TAWaSXpbNK8W8Or3rtfDZgs0iWQ6TRpBySmh
ZPaxjfskrfGwwJwO8sYatnWDMn02u9QB+PQCtB8NAVkiaQtIVXHARImIBlaWcC+lAnYSciinZyCk
CQ1JjOoBTeARIIPFMWCmWySmoSDnFCtpLGCMQUnxeA265jym0QDX3LlV5QeDpoOJnRKFe7TOcXaz
g6od+rXZWvG5tJydLrWrlPDvjQy9Y6dqFBxVqBCxSzsv2wocvzZmm9mhHaeRWgoPvz9NXXvSsomo
FOOk1czJkLDwuIkj1/HJKHeaRAecm6+Z6G6TXL8F9l/Y7B678kqrgYAIK2PuIbeRdOKnSrFkOmod
2rAgDQDsTlTxV/pv08CUHGHMCq3e78EGiOIWYMu4lR4nJrcm4NNQK1vWqsCBzCeiEKgagDZr0yjj
E9AdcvUy7VfC5twDbefGGTkvQhRs9blZCb8vV9KkijrRLoxFbAfHQOnppXXf+nD/CcBzYsy9LX3V
CQNqGsYYk6EiuvLZDntMH4bG8WVVAp8MWnA1u+9uxf+XvSg3nDKl0q/Mqs7u4celFjLyqGd+m16a
eiy3Ih/NV1jKHuSXjGftP+vfh+SjGsz/fP27fS3/Y528R7/w3al/+PsS6HzSPaqdlHNAV+HlP1wD
rI5wR9SuxPa938gofyyBOOIwtOMs5VShrAG/yz7mJwIPQrUqEX+wsbr+/y6BHMbYF+GJY3OBkfXH
KyVJ05hut05csAfFa2cje0dd0Dt2dlYkAEihlAyLi9LM7NdkZgje6LavwnUUl9G56FP3NYvLQHR4
jfT6JXVzw7gC3UHgJx0AC6zaofRPRdVRrCb6PDkwXTTviGdr9sFo9UZb+b7WnYpQACabHR2eFKYC
4zZxoS0cl2jJ2ze/jJzxogG8ZF9LEtkDzNR3mAPJuiqTngi35fWgTCHH0Y/uJcNNV8/dwcpNRNZl
ibNlE6o1fLEoNuHWj/Wjqdb4pq5TPwArF2/iiShnUzfdptfn5Gh3MwDTcJE9dqDQf+1bWkWpFwjh
tYDtXQJuov4qNu1XtpUvTHneUodZLbu3IpCO/S674t2hHITwdlFbXxBAmDgz06qj8VAuur3t6MrD
KhzRjGXqSRKMGY0Bng8Znqi+92hoCepRNoZvU8IAshWleaDYKz6Hv6vqSRv3kpV0OixS1jtLdXHT
iQchSlkIbU+ymW4QCfwhvODLlWuHGx/AW7j2uuLo9UDs7LBxL2bbXg6ZxaOBQhrO7H68c5O6WDX0
2GL58lIWe1Y5l0YR6fnvYF61nTcs+9yAdMNzbDeHI6PrtshWUdjQ121NTxZ5v3U2LpQT0BNDPQqz
n24KADmNl5mYoGLE8RT4uWKuslGEVSHNE1X32S3PUnFD+U35nupWQ0VuUj6mA9FLCgBITQ7p/wzX
6X+fUViw1f3rVWtFZ0v3q2WLf/lt2YLaxFGTlYYYCovhD/wGg4IpSy1Ov69N35YtpGqID6ZukqD9
Uax2PqFhczSxHQ5if3fVEu6PB1XWRhzHLKqsqmzbwGr+dP5uey7eIfM0bBYFQEkQgqratMwdpkpK
esvcea8pMQ74x7Wu5LlBCXUjit2opDsAQHifEPN4xKcBony1MpXUVyvRL0H9G1EBK9RAqdcXUMoO
7Ay8cxafZmOhHIYoiBFKYqEkxajD56JERhu1kW1AwBG6pWhKv/aVIDl6jKObtKHMxP06Wc60TUd5
W5jpvWrh2yxQJ/EUQUAp/PrJ6im7SQy5LjJt3KaRRI6ptC0Y7Z4dQ7MbM407lTraVdsXZ2AJRnw2
YYV+xZhcW4eT9SLzQZuv03Hwhi0h45HkfaV8Hvi+dAmiSRlCfJwhbLr8rVRmkUHZRkxlIKlnsRmU
pSRT3hJlMvHpBS+U7aTX0y8dPpRQGVJoFbBXorvMh3uzpRQHZBb8Sr9nfIuXxVWmFgN3S6psLpPP
FJiRMhzqajg6Ydue1Xr5GTU7bdZ08NIeauNigoRbWOZ1nUUZW2WXfug5u9NjYExuz3Z3yvQ1AKan
0qoeKBOs2LdO1bleJnOguf6mdFmTInko8+qyNdpdgbia++7ZZIdPrq9DCMrEfKicdNuXln4wemVx
4n2jI0wIxw4zSz1fAKbm8aMXdcnZkLB7lHx8JIRDTYnpxYkz5V2uBJtCuph10HCsDzWnU8IO1irG
7c2H3mOM3sViztd6S7207rQ0Gyt5qJH6rYqBh0o4WqAo1ChJGlpXjbJkp+4BM8UuG/p9rKSnAQ2q
84rT5OO4mExoAKhUFrUv7YhEn+I1t4r00UbOcqt4NyJvFUrn8hG8JoQvLOLnDUJYgyCWdMbeUApZ
qrQyR6lmC/LZNIzoaEpRm5DWHKWx8ZXTWNin7yny29Dwu2lzZOPHQpuD6LmaFheCp/1iNvDWlYrX
9fnFgqxXKH1vVkqf0KzbpB8/l1oLhvWu6Q0jgGt0HSERSqTCUi5nGDQedD8diTpjZ0BUTOYUBzoy
IxVIL4XSHTXXwfWAEimQJGOlTRpKpcT0/eqHRrXR6SFZnAVa2nCC7/1oInBWrbauEDxNz/4spI6h
Q0mhUXwakUbrZjyPkUpzpZnq5rytlYqaIJiGyKppUV72SmclEvd5UMqrGMNzX2mxAlE2z/lriLSj
UmvHpjh4yLeDSn4rPXdSyq6rNN7sQ+5lID0HzocIHH8IwpoTPadIxCX9wRisEY21do8i/kxNF0Cu
YYPLYpcK76VDbC56S6PFp1sLow865Gi4kk+z0qfNAvPKaNGsYfY3nlGTkEbtgNkrnhLkbRiu8BTQ
uyvPuhYI4FiKrk2liM/LcGEPaOQTYnlYNt7BbySlne4u8bLH1MzOMcnfA5TUV3mq33QI76bML2KE
eEouH7PCugUV6a4ounyzCm41pPsECX9SWn40G+yTkPdzk/YP5H4ukrNK6f8xRoA21LdUtUFH74en
wqwh1qAyQBHmlDNCIqeuQ+AqqEftQBHRXsdu0DX1ocB+MIJk8OlJnfwOJPZy3SmfglvUFwLjwiS5
ZL2CNBGWhhBrQwZZxqrtQ4flobXkWYwFwhDxw4AlwsYagWk1XxGw3Q42mgjmiQwThaHcFAu2itBs
zrEAnhHN4A7DeBFX2ZF2ppcJQ4ZP6GJlzuTtcXEHKaYNa0i2JSYOnETHBFPHPyeqjxOVmr3++d7k
Kn99e29+MVHiX323L9FRDez/ssnpDI6/TZRM4xO7DlCSDrqFOmv9MVHyPwlC29A/yNT+Rtn+/Tjl
fXINA5lDjQpxbjOH+hsTJfHR/Pv9RAmcJOEa4Nt4sE2V4/3xODXM42B1ljueumlAf+uoWxzmG7ca
hk3uR6fCqNM3hhblKpnFnegEXEKhhbeIlF+1WN9i9LNWi9BQkr16Aw4fwd9F2aew7nMTkeWYcpcy
ir68sbgodzqRp93IPt8rqHeLpfu5F8mtMyyPMdNcRPQOnI60gom+tX3myjMh24KfCANX+OV2yc1b
Xms9dtzBzdjHa7OfKajjOBWEi3PRZf49+grGmCz6krbehYVuqFvTKY7afeXyVAXGcm3Gur61PPYk
KS1qk4mpRNEOVq4JdxsuhELQcQ6rA1H3jMgsRN5R8kACk7X1OxXEYt3d9LhuNyILd06WMxIWBWMo
ad01Poeo2V/3Qmx62eorKgaSgMzLYTGAcHdl7GHvWR5s/wv1EuvGnC7atjhzh+6JasAkkClAJksk
rD8z6EyotTgVpvl90NkzGi5FxxpoJz1+iAzGZr6n4dhBxkZ6hV+57FPTBVfFccsCgF41D5Vmf8ZC
eMQ9i0ZPqz3YpLo1DnTFXZszdq/Idm48PqGQ/cNKq5rtmOeXjeXfOIn+OZsI5wAugMCnG8o2N94X
pvWcIlIxrRoDrB3WVvYGafnJPVIvcKfleCGcRSerRcZrLNPjIsJ7OTWXuLyOUUM3XJvn75YWv0yD
dicFNqB4uul8Z6s72lOvpW85Y/CVzRYraCSlDYvaiZht/dWd51u9hxReW/4FX9P5mLoI0PRIWl8x
2GxCk7cz9stWuqDVTSu5BZ28d1KvWumRu1tSl21tWb2I0nkWNB4E5Ty9Wv3I9WVgMCsikgJDV50b
Q/4l5Ir0GyrbLTr2qBY+6515Xzndl0GzyD/F4s7Gqh4xTCPiVV8ZOgdL8sLT2vXBADbanK61GIbV
LDx0CT97SDs+pAV+6MqOAX5ZhXnTOXLjywLYT9H4G6gs8iwEbnJp9tXD1D5TpSe4554LYCvUoFJZ
HTGjWzrrvqrn+HoeG/8Q0liHQb+dWN8x5+gg6YlLGOlmVm3KiSa/4vXsfKwvdYfVPg7TedMVWb3c
Dx+4UZuuTUCgUZhZt2UoMCtiKnhIrLTaWOBKieEvbJUtEnIWTzaFNPVShqKlv5vlCO3U8Lw17JH8
DFne3RSkDHHNiOdqsFN4HdxuecwlXY5QyOOJkzFCUaAlxTry/OnWk8BVib+dpnj5oqaZZJu8Nafn
rQ6mlQ0vZw16ZDclxa5rgFBI7u7lZNGwDeR1YQeVAH2NPZs9HRhY3LqHBCwsHLB1DiY2T/qtVGhQ
di7YF3GJaiBlLYZAlzmQ2cxybvl0Ddol6S9NQYCCo/XB0jbCYh4cjp9bx3qoKvFU6C5BBrhBaS6w
INXLoix9D3bMhhMGaxzgXLocFQu3VFTcLM7PdcYu/L9mMKnIcN3Zzzgv5MqsyXaL7Ou81PcydR9k
nVwwKv/ctLBt9MI9OWB5nR7atFXHgn0kAG64M1qgh8ZnfUpvPLC+fHnwfVMs8V3m3hfDMHKHiC6w
Ry/e4NsAxg1G0rcJhKWQJauOm2nm1nNhTraxeWgjIJRJ3N3Q2QmR1ThjP30khHEOSRC6ju9iTx4d
in+Hwl+JpCA/4hKxsAqDqRTsSy1eum1FlcK26/1kJaV+WSpU5qCgmSauHzbXr9pcnDPGutcUXtOY
5jdNATdn0ixBM2LTbK1yVYDoW7tR/TYiS+MW1GUAD/M+8Yi9SvmWUC0XwB8r7qaS4Gxp3oNaK4JQ
8m3kbriFGKuvvZCBtTMe3EKG1Mn2e5nydJDdm2+OzHeKnGsNgx2D8FyPtAakkUGZIyPucoPA08Kx
6lr/xSyokLn4Z0f024yZeeuf74jUjHn13pSvzZdfEjeVoPVtZ2RYnwyh5i6KiPMxYfl9Z8Sg2QNS
4Vg6cECF0/5jZ2TzJ4xlfPYtDnCb7+Np4hP93KgIzGwYA5Ew+Ds7I2Tqn7Q2DCtMfhy2RyaTbaH/
tDPyqYeWsDjjSy3zzLU9FN3Go+/p4AxQLYZGsL3u6q7BxjlrrhtAkbWhC491m97j6wcUTYybm6Mx
rTU9u9FEDayrD9f4Oqv5tUdrVN3DU72AhZvyITVZKdAXxbQWH7nbzDXq5YAQ2ETtrpNaHtOkQadD
Y3cEiUqNZMaKcXN6V1RMNSyCZ2aQ05F9GxvgZYhepfFWUqG9VIhye2I+rMZ27z6UBmQyGgW64UGC
7SUhZctlDqySaHigtXWJ40h6VyIbJI/JOn3WbGnvGcV30YpHY3hydSPyVjwJkoulhcIdFOFSRIGX
OCH5bfNQRnoRFCLtMfu4xaVLu8pNgbq4aUCBWriey2Hfa6FNgVrtkcot8LL5nV8tnN97Z1q5XmK7
QQoq7IYHDAWxS1ck+7xxl7fC1AQOa2tuy2DWGQtQ+0VeWyozbo9n3RtEt7MbvhA6NyZteMb/axib
DFT5xkrBWpYbIEXsFDecmhZFFx/Fsvh7nyYQA5xfE+1cvVPNL0P6woazvfbd1t2muWMg9SEi3iEw
XPqCEDvdcXyaV6UWDfomahUJOwqrvj7EptGHJy8x0+cMNfRuokejZ1ikOsrHUk/yvf5RX655qsq8
Zp41nRUuIM53Z/Sid181ouPpDvFsx1SlJ6o1vdXoTy80LDuZl7RPsTBkc6o16s+cpftHHTN+W7nQ
FP985bqidPi1/deznLLGfFuxVDMAqF8Wl4+Tl8eB7fuzHHkoRnMwt0zqA35fsSz9E0IVjiiLCNN/
eQq+JaIoDSBWiqb2+/z575zlXCWS/nCWY/hNzJbfgqWTBsWfRFRqicsScqJxsnMyp3vCgVSMk/+/
SMM8sJb22ouXR5RndiJdvgMq8Eg1d7sqYjACVbTzFdEgYXME3w5zQdVcO0O18y392NMc5xTTQcAi
WPo9k9vnKorYrrL/ik5G6kcXVdJ6AXgBf+0a+AizlhSJMy9fgOBj/+whtgNSfXatkC4/oVGuO3bP
SwUjAnr5WtjDFfh0salpfebP9eMyTERjmK9ZiMVsQfKHUmOsWjT6eyLbr+NifvE07NNVn8UBh6hb
GmbYfE0Uqs3aY7NYKOQLY0zP8cCD+pelM89HzcpucFAoJCqZ1ilkK8u5nf9ov6JxW/zF9q0ZjDVU
RHOdmhTekKo010VMI/xSiTc9ewKmHrd0RrcklW0aIx0FPQvdrlmz+Zst5EigkcyDhcDiKeYRE77o
/FcjsViCkon0clwOceBPZbYHYlRD9mc1Jk8kNxgrqG/4T/bObDduLN3Sr1KoeyZIbo5AVwMdc4RC
oVm2fENo3JznYZNP3x/ttFNWZmWeBPpcHHTd2bClkGLY+x/W+pbuz6JTj9zpcUww4fS1sXQi1pmj
HEi+GiuDXyytr/pCxNuuhLFFRcRThbN30dQIFMIqhl2YJ7iIK+dzMdXINzrcqFZteczQYT+0c3Og
fBIXAz+wMRgM4xWLEAt6aayvGMQvGUUVBx/17oLOgIgaW49XTMubQwghcatq5BhIb+GiVWaEUCMU
wdZIujfipjziz6tuWSWB3BmO9tQTlrwAt02ieU/6hFGhJIgwqe0s3Xn1tcJedNUwrLHUgOr3rX2q
d80SCEh66QmZrI0mJ+VIA7XvE3i5JXgG0mTf2FsvrF4zZfhbe5aKVLWWXrpTIQ88cxS+wZA/esU8
gBwjfccGgOdG12b1AvoYYbRJvTJcF+B8reVP5QgjryD7cNHYDWGQnlafDW4xnMmhq7d+iIEPxiu0
lNZJ17x41iJo7LcI7RuI4hDeqSW2aCwQtuoERiP0Zp9Ze571pGewIhkaQMplAwCpFkVzVVr9mjbP
0Pgpc2cV5136xGdOHurY1HfDlOTtOgSFqq+V8NTG7+06fkuzYtxxRZlXBa0q42K3OWuDSccORS9U
6+o21QwoHnpKrrDwE9x71T3pmHKpTyBmCn8o1g17TLtvHjRZfUqLnMaO/e06zOD099mccKW7GQE3
8T3cmsu4aqIvQCVcel0ZYkzx4DGXyLen7gqxMTmjTkqSfe5We79zXsO0/4IwaDNIj5Gtr70NcUsC
Yx49kPt3wPX3WTkDg/hGc5ZpVs+HiH/OU7HvEv+t4HOqzQqTNvNu0SVcVkZ4KA3bJeSsOCEAeDYd
UspSTa2MWl22E9Ngr653xdTcNJN/V4VOsNZbOjEwNhjlx4hI7GjcChPFdJzTpnkAPAd0K7UXXku9
theuBCLTpaI6s/XpkUwKiDk5uJACFovL5S2Gc43osdXIPI1PCkZsqhSasSgFQst8+in2SMpwkjbe
SdHjqrDIBVK0kgcH4N/CcopmYdnZk9+QYJ7pXY5evbosBu3GaZphGydJdJBYckhYIK84GQePH4le
ddQA+9IWO4ugGORVhlqY1AtsSt384Zn0gIHR/KBtaYfrOIj8rU42+HUq63LlmewqOGG6bRM7jHJs
5W9LyxhJgWLkBJg45YRxx63qxngdNJHA7pFZVKnk1Tm1/YbIalqRXbZno3JBgsUZJdwR7tm8WNDN
rRhEumbwHWwSiOkbFl76Ng3ACln413emo+w5x5vOMp0wV0Tm1hRzbGvMTxtmfGrNAaB8moOjR342
x0BySukktW6HnN/Urnt7F/ZKLrrYcLZajJ08zhjHVZJU1zxLLYrn4dfA+//PhJAfa5Y/q3L+T/r4
9Jg9/v5Lfi1xPOsX6FjWrNZHXEj/9du42vN+oe4xBZWMSTgko50fJY6wiUFwbcoOfUabfpVNfi9x
cJCz8gZJ+8Mn/jdKnFnb867AAVcCvmv+KejHKLLmH+G96Dc2StNqhKUR1DzP4SLI8bvOt5rbd8/J
X4rR7K8PA+WE4TqlBmPxDw8zGcQO0x5ou2ayjNukyMaV6HTvIht6LftWbv9bBfssHP/wKyHEpqY0
KezZA9Dqvv+VeC1gA/ci2I1G4V/o4NDPHdsQB2vS1WVJoN5fsXWF8bO+fP71MPTjMgCl4KE0/tjY
qqSxK8Ot0QuONVVDUBXtsag7koYLLSvsWdfj31N2CXOjd7IXK7x18bh1isHMt5UtO+6R3iKIWuXR
toQKtfMLxVx29Gv9KVdRfax8ggarQGJAnepomzlY21GJ5ofZj3yVJikxhFrd3hmtkx/8vi43WpBF
p2Bso5MlUUGvhMzDLVPPbB9Jtt5V22RXpkbqhR9H032YWPW9W8pzvaM0GNw0X3Zlqu8mUyTnUMIp
+kICu69MRAdvk5hQiYshvkO6ROesB+mGZKV8OZsHll2RDzsd4vCKwZqJXkgvFjVL27URgpRBZ9ac
uQg0TnXpMXJLE/HI+Ejbpc7AZrDWhl01pkzOLeUHztIDJfJMtHd2JItQXdHThh2nHH0dFYG10Qn4
fGCB6w/JSoW121RcuIMcmgc6BHtsjmFexhsXbQCRdwHvc9RHBbtGXWT5U1cjxeQY9z7FfmJe+xLH
y3Igx+kl9poSfSY4GKZq5lggAYbQtKl7DwsdlUv4xFDSs5cRNduFnvYeK3VLFke3G7qzscuHe2+E
LpMEUb0yzZT3XjxJLrAohvkijOtQRVDqVTxehxWwKdK56wcIkv2mwOG28XqH8AuFOealzrIQx334
jD60XOGnss+k73Vkm092mFHWFs9hTowxoSHTJ1R+2pXIo+lIjeKRaI4IY8+sQNdWSRSTVaQV2o3l
RPY+wJOz64c5mnCMkqMey+5FNk77lACCZcAhJydfa23kH3gKGrKDnGf6G4IKhvqUpzrlvpu+6HOo
qpNYZ1CLaU8SeeeTD8WbtEzx15NeRPCXWjYKn2OBCQiAfsRGqGzPYq22uNxbyYZc9+JHmyAl/rP7
RRA3u6JSHtfKdarrAN/00QmbS1sNDG6ZU1m8tfn0KNvsz0VimevY6F9V5mobuwYQnpj59ITLclzy
ymJ8VpCQcE9DNp/a9rqyW21JpXVdVX607uzps9bV4mROoQnua2pOKHCm9YDA9ybPwfFJw+83BG5c
5UP2CTBcQTnDcr9nXC77cHzOnYiWIOi7rlgxi1BsZ0avxJo3NXEPzD9LbCyWHYm6Y0rE1BFdwKj2
qa/LMVuGstL1RaBpckI3Qn47HkGwyAMyHq2oVt3YN/GtVccoUdIFqd9eP9y6YxtStTeuXNmQf1gt
BEnEYqdibuUjG8jZA06O+1lplvQ27piY9j7zMOmvonQOJW/iJiI+RrIX3EgUevK6T2z+JxVvL09O
RbzDAmJOPlxKR5NM/kunasIznziBIkJuPtgPZomJPl7oeaCFs0nbN+GHD5q9qRRn5IurQl6osA1b
DSlnKbv6JsmCPKu2ht8k89wrufH7LNrWyHbmB3PtXa+36b0bjBoRT4LkPXorRxxsgjaA7089JYqt
hXQlLQKLga3B0VDK3pmZprsLlYwRdtrJN27NsJhTpQhtd0FMOcHNOHbDs4PFmmwAIy83ViLEvkgV
j9tZOWkLXWqRFKDnh0gNPkucjogBTMiQnjRvmCF0FvQ8t3eNjeE06MXqKF/bpd/i7NQZ8pF+gP0q
CPwvquZPVavlN1OD3GRh01iXK/YI2ZUSVvlqMVo4zl5vQsVMLI0lRvpp1TkyZYI3DgzZ9NS/SO3I
eUwRPYagFXtjEzRudoV2Hrx/4mX8bCw8+Ddbawm78Or0XuitukyT2JlWOGqKG5nNE8mGMmKughOn
43Obrr7e4/+v67vz6LkumuKt/V/zd34uyrGOZNh+rVN++9v/QGEl0u1/P/C6eXwm4YUsrT8SVvKV
P4ZeBulXzJR0F9wk7OjfKkJG5r94DtqG7//CV30XVqJSEJSPHiMaWB72rG34XhF6v+gMwwxXYHOk
1iQz629UhKRz/VxA6SwCGPnz04GDxV/zEdQr4j5nf6YGtD2evrS6CPtAH8brMp7jDlVLDGDScIDb
Vv8wxNlZ2dAYcZK7bNlQMgejbFZB7hkkZDlreJGsg0foqo4eaWfMgh/twJxOfte+DpwvxPaQYVSm
wY3oNOcc4iLJU72oaNr66sRGYR3L8L4FFzZwZmwi3ztkrXmwauMtUeP9ELLpt5KLKgVRYJg7P0LY
4MdMCKJMlIjuUBWyYiAjWbcaXCkccShLXmPXuhsc7UvSa69DP6edBBzKaiApMS+yl2pWWSW6dmp1
vC5A1TiVkiFf9L7zNIZQjiirjWWKxAAhRhtxXBf3YVYQiSuJHwLt444WI5uu7dey3nbyXEZ7pxTX
qPwAiQSv00xGyS8dA4YGOLVTzrKe8N9PBFQvAjPgTrdvext8qR6/jXKO+0vNK49ULmg6zDF62dwV
GvjHsSM3o0vDdKPaVC0qnw6bWf1NJlt7RY6WtWs8PV6KNIRyk8O0nQprWmYRDqYmiH2ueKdZsejY
JSFxipkmyPfW4mt4NOZKkZO4iEeaAiOy+5VdkM5UVzPwgBRRjiSjPExafV00CjkqRtgtWNU9FXK0
qkUbwaCI7V0X+GNyn0vNledmM2Wf4sbGvcQpR1JV2hNYLBhq9ipiXmV7bw3+eBUi5mu53BAUsENs
v+4Ta6JOXrK0cLWVb6T+LrKMYGNDH2F1AjmTmQXX9czRLWeibjazdT3UkDXxajuAV1+Smb9rzyTe
YWbyaiV0XhNMr58Pe5ER6FIHHdZ6+KgsN+60jia80wexVsGUb6mT5HVmoTNzG/yXDVjgCqXsQgAK
ViCabnkHuLCvXJLhZ55wPpOFvW4ooQD3Tw2OyzM3MXswEOFrSQ0MUJUk6cg3ThrEwhaNgeKpt0lz
9ttuV89UYxM8zE3lVCkpW25+m5hIAaGnhsveKm8LwMht66CT6FhVyMjeKQehRRdoDGeA+YD9HcGX
+MFSE7VaZgnZWHaENhJzp7cZo8A5tKP+qIJyWYVzpUrij8j1ccHkBCmz5TP7VJa2ZxkyfEniAVH1
VAWryGsJaS6L5DnBELVLu4ERbuUdkiFUu35Cv1O3/mSt6onlkWP79dUgjOAYUrSee/14auhyyc/E
4Uu4K5/MrIeQzEUKcCpvzjVvIh3PSKD82Gpa/7fcWv/z7iPrL+6jvH38xxKjx8fpBAf7z/eRzagT
r+UML/g5qNFENoeunbXtd+Dp9/vI/YV18uwXx8yLe+l9UKPzCwEMNjNTg1kiLIS/tTY2Z2T5+4Ze
p/7H78m4A8swiPDZWvW+oaf+LPAUeqBmVFRsjJlGU5ucUKnKP0W1QMs0M2voBAkhSxAzQBvaV7YB
NVRHy5NlwwEeiGApA6q01TtC3uUaBZ/N0VugjM87JOHM8mI3fhqCGn38TNXpqVppViHtuDNzR6No
uwyr7M6emTzVIAgdBNMDm+NOyhaxSfQJpMxtRgzJhTvLxYtZON7NEnJdGdEhQ1UeQG0mi8m/Isud
8IPOfEXP3xEJpw23eeXvmAOdxaUaN7qi+2rUdWVwBxdkmaRadepz6BpWtbX1BsWgrY6ZW9+gfAKQ
PRbnje0iGGzFNpmb2EA2zyOnPB9p2a9dImGXIgpQV1U3fLw3CG0wMkLraOo62vep+8UwQnc5qOHU
zxwSb4J7B7JkyaxyR7qWsVIJykDC5bn4putAEnBmawZPTRf1Z2mExD2z5ckvo4PvIZEBwrGeWu0l
jlPiBquKSX0RMbgYomUVIF7U+gQcNjiiRYdvskvZjUvYpqKd71T0PSier+PS5W55IUnozeXbdeNX
ORN6qtBoHkMk/NxgSPAtt0VBjiZGzHmYuNoX7O65XFML9NvY7LzCv8Y5VFxWmXFeqVit9cooAWbN
gjbew9vJNG+tCTRe0vsrT7PvMKj7h6qPEUtysztVcGIi3C+9INmABTprivZyYLbRpkxrh5yOHW+p
YUefGJpZ21xh1g2aLCQ7rtpMERaravxsFtnGyvsv1jDCBhL9dQ/OmxZ+eOWRFWuJ9LV3K+OC0oMU
bmO8pN+jEEjCc5+1/rEX9ROMRIj0pIQyvcmdL6GWuevKZVW/HvMGmehEwAW6LSIMy5PsNfILZdFc
qaYw5xWEJA5blBXZdY734jF3OfS2AE7jbupS7ebV+GgT6CmC+sG30IhbYw6preQhWN+UhPfVw9gs
O5un2JMBuItwuhNlYSwscxyWonRvvMo5a43xNQ2rZGUk9jUhlvLMmfr1lJGnDFfQ8AG5JA5UWvJz
XuKp9Pdt4b4ol1kPQCBQEz28icJortqq4Cmuz4OEvD+3HspD4ZLxFYGeqhJrDb10zjT2sMOoka+g
U0QoJsdNbARvaRlcpvXYIa9q9Ys+7Iql07FxDKb0rDJzfT3pTrWT3YTUrqfqyw9DbCJtCMyHmFXM
wkH1dgwtTT8XQ22/6nqQ3Ba6Ve4Y8owaaWshQ/f/3E7f5AE0Nn/WLeX/2AAQeI6a5z9qmPjiHw2T
yV0DxQESjTsPyhGD/1AJiF8MdN4Mlrm9fh6huwRX+OC1/d++6nvDBJHbF/O9YmBrc/7mBfX7donB
k4U4iugpActmnke/g4vYqc4QK6ini6n9VHkBZ9qvApL/4kR7DjOy+B5gKIlKRjb1tWF79wgUVE6p
SmFcNEQ01SQTp4xj7Je+3717Af5gSv/zb/L7x/lw0ZLDWMLVt1E7cOAZ9XFwX/78Acyfr/LfP8IH
055kW212iG0uTOUueuvOZVlJRehrF37Xr9lQLJv+oSTRI7psi4DO4xXNlZSXZnHV5jcS21NL3qwt
1x7hldK66uKbgcNWEY3x5z/pbMp+V3T8/if9sLEQkRagw52fC7FGjcWa+VPXs6A1rIsBYfA8JorG
N1dDD8IfPSda/vkPMPfzv/sBWBnZjs7Lj2Lug/QkhzPR9ro7XnB9kU/NMDo9MvJEmDqWVkVsQkxH
t48971CrZmF3w7WBzJStayGXjHynZc1IHul/p4PDk/phoLuot2n22cwYpAU6HbypxcadElm8FYkf
e+yv20Uex+vaqfcl2hCzrzZGO+JDG7fhdNE70TqTaHS5SDpn2jL+u8zMSzBamwDkItp62dw20jsX
zCxr4o97QAMm8y1h20t3YjzKDDsh8bFk4+6wt5yqmifRWHagK109Ww/lbqw+NzH3t8ZFOORnRmtd
wSWPVbbtYfjcZXa6KMUk1oV/21rOCsQ6JnOWnHYkLehLlbfSPXawRZI+tBpplRnIBd8Omjlc9S8A
ULNu6d0rRIXLufPug299+LgMEXSFVjXThb4Vu2A/HdtPYuvt64tmYRzbHXbytbfyl+NGLA/1ARr5
Sj1o+2TTbvWtcx5t4m8K2X97TPzsiP39W/bD4stK087N5rdskexZWeTDigiSakOI6Z+/Nf/onfn+
OPpw4HlRNqUhProLDez5rXqp5ljlJZcscsU/fyTj56f426/0/kPwUTHK61ELPzIvQny8lwBLO/TO
GOAaVIdLeTH81a/2RycgtBpkqqQ10NV8eEkzJFmumwrzYogb2t6nXrv889/ojw7A9w/w4bljhIVY
U5rmRdOvZgnXoLEh+atY0b96kA+nrK98ZyIrzrzw+7OpOrTOrel8+fPfY/45f1uy/vrCvHuiPhyP
I3c18BTbvKCdw5GEzMq59uOTH6r/nuro306cfxpAN//760Bavharx/bxp7+Q9owl86p7rcfr16ZL
vw2rf/2f/9V//AfDX77LLQnO//rn4wvNHk7xto6e2586cPTZvCT/vjTaF8PPgoJvX/BrOeTrvyDV
cX/4638thXwHTz46ghk/iASSauTH7NgSBH8x3HEZDfssG+YC4tdSCC0lmm8QJLqDgOrvSryRIfz0
vrARktOk02Z9ddrNbCX+/V2pMmYtLbMbeQe9ytSZFsOeGBIzuVbCTl4goU/7IcAct3QJWGbEOgbJ
SYisfohjB0NJ4DbaJSFbbFnDcuwvLdEG98lkBtZZFSn1HLZwlfZFJaqAkIROaMtKTXLTGYG/DvDF
3WM/Hq66uhQNXXGWBgeEXymF0mgf+6oj1UQVMc7ntPaQmkNqGVc5wU/LVgz70Lfohe2eQUCITW3h
5D7JDXkmnBd0Helrrrt7mabTKfZV/6llk3adBBqNRNeXwVsrgJpJrT9PUjTRDHej+GEKRPVoBbL/
pGSVLc2xCd80IeCi+NLGH1UrFz1C72crNYrmMralOoezwtzAry1qi0zTrooc9eDC7TN56jUz2DtW
6Trcsx6soaEQ1hEPPR5mPZ7QUyv8e49TKXOW6UGztvsgfDBGIdVSeJm3bdhG4HTLmC2OBi6hDgO5
XXSF3EWkXG/lxGwd2kK/1QuqzdWUZc5NFsop2k55mLqQiEOTSDDDxDAbJjnyOKz4/sto6Kpcjl7t
6ktka92Z4xP2ZAZJdcATF6/jxkDeaQJ7XKasCc/qCckgIR+AGnS/9E7WWPgRlFm3u+6x9u4Icyp2
iaY3TwBPSOjyscwUiG2d8qZChXugUWC8YiqeHALawY+UeXphuIFLlDfq/YvIGck9k7bbf05huSzo
/1rvzAhn9WI4jQrIk3T9g9BJ2l3JbIiBM+f1BTwX/FQqquDhOmW1sgYV4nPj831o40yEqKyUvPTa
8q3hu3Q7NhngZzRPFG+DTJBTCejGxGpYU/uc1yBGd0HgpfdBp+J9L/JqPfljLPZl7vSPJQGMl85Q
96uizO2Nz6CWmHpRiQ2SFQojFTH5mVoYVveVDvCzv5o0LyrStUHYQbt1jT66Hshhp/zyRyN94dXF
nrMMszriuVVWHmoNIgAGQ9FJh2McnGRT+avMKDAPWS1rG3tw9t5omHfS4zGCr3yC6cZqlFwPOQKY
ZWsYfb4LcgMlSREgwOUTuux90z2MLfgtkC8ZH29BFgKMr5J1MpQYo16Q2IwwUod2VbXM6OMQUJnm
tuSdMCeBK4MBME2MM7P1CZ7DKMWm0rrWLX+XDrp9nEqy4ke9Rqqp5+POURXPe6cUuMvegs2RewiT
0QtW+kmzi9FZNU0nlqIO/E1EHtbBzIASoGFy0VX7w7ETExliVZagsek6VJvZRPfQVN3BjLvsekQA
iwu3AFPjxHl7rfnN1RTywYRv/jZ54s5ASOykXvLi1YW1ih1MXAV5PLdaZ6YnWLbussmpsSNlGze1
BWB/1kWmC0IffO7DWC2DBKtBjIZz2ZvWvCtKLjHD3TN6S5dy4oOtFQLgubx2nJxM4cLAdFuBbY4j
WMIL1aTerp6gfKrEmZ/tYrjVhQhXOnbYvcsqZ22mTr/1zNi8dkrEwxxPsNbIutkjPs7WTOFtQhGt
pju3/YSsCuZfxzGzp08itazPDDZJQ0jguqmSzDy3a91brEDdWTk4bJN82XCmuAVnxyKyA+1Zh7cB
dyKRVLwJn16SsOPLqedsTGTpoR4lP67TfJIdIJspLBxSbVj1QTDI8a8M5EQsZZRUJwDd0datM+8s
qc1H3WHhAO6h36gADbntVy3QiF5HVsyTcjWkYUIDJoCQsDCfOxp8MDW6IN9/jiJyXhfYjmf0NAk+
yzDQ8mOEH/QCq/Lw0us2Nro8mbasDPW17pX5KgYBtakbL/tcFZ53GbayHJeSl/9z7Nkb0+60k52o
/MLou2g1plK/pSdP0XJa7YNrSOvGrVR+VVWhXEMx1jdpaXXn8/pjD7SoScir0JK17Zkph24YdTeR
JYqDFzbiUTS8pYWohqMyq/ycBVqzU+x9LprGJpKorTo+VcN4gw3ZwfOtGdGp7X0iH/ygPxKuR9pc
CAi9j5tkVcBUh2SKU4AeZBcFWkSyLbbCRdIT9Cc581cibk3kKW04HfS0DDdZEmenyEyDu5BghxCQ
g918IWkJRfUEcfuIkLvZNQgscNUa6ilru2Q5iXK6JYjJXOKsYXCbphGeJbdq7uBYmceJPMfjNBSI
V1JHByhOx3ltO51xQ8akuZkK+r1xAPfFKLYNP5VV2VwSxakQ/BfI5DiYqh03unoMCeK8FaHlNjSW
hloPg0iWMAAm4jK69mDX7VXbjU18IWu05u1nvXJQbC1GZ2Bj9HnUZJrvCuXW0SfLNgNCCVuiLLmJ
GCDGF1MRIoXPRZetO8OZJcg9EtxSV9OL1/YOHswxB6ARcQSH2E36RV0PBEaEY7cdMEsOSlXbKBkk
FOoo2PNSpqsuz9MrMedD2Ll76KQGo8epfx0B/Eds8Qf1MeOXb7Xz/uVf//zmLrKpUv99jXzPf+/q
n8vkr1PH+cu+Dw4hjKKpNBGe6sRCfBXYfh8cGjiFqHsNylVEtnhTf1TLwvoFHJDpElYOOvrbPuz7
4FCQ3kSRDTVFR00wr8r+htLi5zaN+cHsVGLPBCoCXDiX3M+1stJxutV13p0mNGKoryjrkHtz2r57
Xi6/NWXvoeTMQz8U5TwQ2zgLYKoD5IJp0s8PZLDGqpzYKk96Z/t3SVhhGsjwuEw7ln42u6E276x9
0wTTDSAYTInAxz/FnisfyiJmviRH/8zAEYwxprb59I7iWoxFj+xtlPgm+iRuxJdeVY7H3L7qeybx
3Jc9hBT0gVpKM502hJSUZWGuiyElWsXTJEIpMkrzz1Eysp/2plpfNfmznVoDqIUyvbA6vUyXRpmk
46YIlEAv0C20tIG95UaUvhd6b9jJsU/ji7ql/MhK0HehfykM/dVuype8kmio9FuXYFp85Ftbc4ot
7mds6yXmFyvY+NnaVtk+GMdqJRLi6praWKVj9RbiaqAUORlm+daJ/gYRCcMp1HgPbsLeyJdJd665
ZX2qGts5pJF/XvqkB06TydBA08SbFTcsUIIQs2oLDhYbPxdUqtlo9ufpmH9q8gZ2ken1KxAT5rbN
3bvR0D6n5Dutijhkqde20nQXnaCAkJBN16an4+Oy5m/Rkn+SOPVdbbV4Wx0vD6/xoGvrzjXqta90
GHxpNPIsmmT6NklXryytHlcxq7sKEOAh1Eh/+fP3mMmH7N084Ot7GVESMiRWtK7gbf3zW4w8q0pK
+FIniE+PQ70wbqYbd8HCZklU4S5AFLiS62zrrut1vrAP1kaszV2w/MvJx4fZlMVHHfUSwEzwL+ye
vQ/zFTC4QyebsDgFpjxgZFLLRFbBohwsc+G5ib+u+kBsapPTmnGnfi5RbR8MXiMikTKyoseTDyly
4ZnTF4Sk/oYLMdu0bbkJvOmLaweMG5E+golVn6q0xMyDsnnpNjGi1CGguA4ZXgIyWONz2ZJ2voxB
51YWW4HJ9neTwPFimluLee8Co/PsRcUjl+U7WFsrujmoJwRHDoM80j4Rj5GzekW1whgzblZ8iE+D
ImS6knGyaIS8k0OxM0R23ikPca9XbukVUKn4lbWB1Xbz5y/xz4fI10U/GFImBASVCkd8HI35kznA
1gjqk94zMOYggOGAjBP6RLgGfYF1q5Ic1z9O9D84ucx5WvBuyjSLC356zA+vpqZ6t+4T2ZwqKYDm
1iB0ZbGaGndnZd15UQX6Qjp1SUUCei9tWtId85FYDFRerHKPReR9poGrFuxb3/DdbRg8n5uFc6UH
07Mtqy8ZkXEk1lXlf8iS3+7kWeXx4xWcZ2i/3tondI//+ufMKjh2UfOPi6eoKf9oqceX/7ibfdwv
HBQkx+uzQ4YT5fvdjApSWAg9sGbSz2BL+e1uJvGQS9vz+AcP55rPV32/m2ejjcuX6QYZ91z7f0sF
+bvzjLvdA8xrmXw/GOUfzrPaROPE4ExekJWCtOQssv7KNYIB6Hfvbk8g52TnTqPrfa1O3s/K6MaZ
f6AJPxFmtmf84G8UWTL1xs3UuRL4++DCjM12YgG0drQS3bXRevaNCa2lAOTqO+du7foNeICgOu9q
zauWWSec6txxNF2taftGudJLA7BkQxJpUQ56idIvy9aEoehb6lp2OAQ8rQcu/G0dWtWa25VlkFNi
7Oydy9jN5XbOB18xJKq3EXU2oS51EWvbPCOQ4iavp/AtA3ywEd/iVDxMoWv/W8yKn/K3tVECOlmH
1pzFApCHWVVZqeqqpQSvo2raTJphk7AefhalcRbi4QAmotGC+1h1+2oLSPOIINxYuK126sL+3k7E
LWaYmxr1jcz7e8cmnttzqmKRRNaxqtEHWNWRMDLQ5TIhu442TirnbDDShadn3qKXxRbRoE6aIfCf
YjzUtv5QxjFBbSmjNb2oLurIiXekxh47pT+FTjLCT4HyZJHuvvBSA3Nmka5G31+P4CQXLfsJmmzB
PYEyfYtffDqrxvKsD7StypJdq0Vym5EHvyLcmLa/JMw+Os+GebEoCDeUYbmdpnof1NF1aFfpNs6x
60gt2dcTO1C68H3eqHqNyvymqNuzcPZdaKPuPI+0bMuxlgO9EsnqJW9VtEZrC0Un10G+ou7Yq7I6
HyziNI2Y7MgEDjBKLzLm8QTd2IzeFkJZpNjlOT7XwMeaHVggesf2vHJ6DcEskXnobLdFqqNj714A
sXtbEJfZmfAzQKRhYkdXZe5lK0NZkb00oGpSiWsHH4TzFvXpc6KF+8lBSmu4dy384BQ3ycIba/ou
BEbCOE6Zd9Xn+cZHmRnXAW4YbZk5Q7LD/rH1qHZWleCJp9PaNXr/yZha0n1tOYOhvgAEYYyEuCuq
1YFN/OXEN+0NCIqz/8Qy8HNrj2ZjvGqa2jMwOYoAq5t7r4IvhTcdyO7yNnYs17Vr31UTVUqvnpjS
LLrWa0F7JkfbHC8pVY2lMBM8pIn/kErzATOYv6oH4+hbuVwO1kUV7nCKhMtwwrZqT9XGDbVbTzV3
VtKvlWRxZYfy0uqBruJRx8Hak+3Ims52dfRqvXFfauGt52V3WlkAtRo2rizfTFcdKl87KKVjj48d
YuRxeTlpRyVDfHFhwP9ktnltDfGB3+/MjvUviKiBAwgEAuSShhsTWdQps1TCpCEzH4rBcz83XhFx
k45jcJe1AaN5pu4LpVIDQ3uAOCtqw1WlzZl4KU7RsCWwsTI1fTXwsTj2pR2dOmuCapvWfYAoqHTm
TxgbC5KdfQTPXhV4T5MDNym0nXutMZ113zinICyDNTiEHmu+3/BmFnMEdfd/2TuT5biRrEu/Sr8A
0jAPWwAxkxGcRIrcwCimiHme8fT9OZVZSUWqSMuq7sVv3atKM5WECATgfv3ec76THWbOAoh3jZtO
lqHq17jAwqGyXUVJDqSl3eYVxX0y0nkaqhYHhaN/NU0CMs3Br3vYRNbUFnubeMbLoIIVOy3US6lZ
fsP1lpChPUe8cpBpdeNODivqpmQmz3sOLxL4S+6cBtckVH3rJ4dSLfHtRK1x5ci3IiucVv1T26fw
XpLtkHSvSJFwaTDtDoOI7tSYPdJGXBOh+FQiDertVnV1BXp2MAoNW1vgEQaq2gaGP88xsCtrldTq
77nZTZuKMLGkGB6xKZI22JEfGvdPbUeF0vAzp+NaDawHpWjvjb54MJQyBweX3E7ZfFE447arUbVL
Y/JAk2IXj7yi03Q5BPkmxGzD+mnedN1yQh/9OEXGsQSSZ+vDA8ZBTxlJ47II9x10h8VCJkxIB51r
pk80s2HOJeaGkTqtxwwJZGfHu7CdYKNrBdpmw7wl5oA7mMH2DQvrrh7ifaeZndfG8iM7waEOGDtL
cXFF7mO3LZPwwZgR/4EK3Rq5tmK5wZY+kdDJt88j64Jo2G2ThnulMx6dakCkVXqVnZ4Qo24BjuJl
ofGcq+mzZEu+McbbnsxSt+6DZ7lL99xrP16mwkUGtNf7+bqtZD6m3u4TWdo2hvkUgPccZuTp3XAb
kDTLYXdZY1YoXUygV7I+vQYyJKsZxqesJ+ghlvjSMTIsbPVdXnSYt4tyO4QcIG0nny8wncKwUEkL
jZ/MoDzIjQa5jkPWushlxS11fbyCi03tSZ97ldrN10KOwrWEz1WGF4A0o64PrWKFwNCnfI3g9YVD
YY6aPJS+jhVNP6Y4JC1hCXc1Pc5+nxCW+6qWR6Y/zurlSNj867v67BcV9s8tCFHUO8zwVOZ1GFEY
Y52N6xDqKXmOmeuYJMRO3qfON93Y/HeXEJXW+4kgT7GZIk4/ykxWTOvUV6cp+WSqLs4BP58TxNcw
6ajQ0DGN86mjissuH504PMkju7zF6ISYvjtJ8j/+Kj8PN3/cLc63KiobTDo4ZH7+KmGZzJqVDuGp
h/hbJ1CEiKqU6i+9fjUSVWy2pHUaP6Kr/k83Af8HatfRenx4lOBw4T43355/1eQTIJ53BwlI9Lql
0a/7A232r4OE/JtpqTKqduaWePCpwP+Urxu/8brSGEPzThiwLLLO/zxIaL/R9sOvpBGIgS2ek8k/
aPL97SCB0ZimG7N1VQzfzx9NLVKksaM2OEb5Ex7TaXp8d1t+8Qajp//p4f/RRsTaaxBeBNvWsM6O
Kj2J08SdTv2R1NeVSssKfdgxC7DxNN0rkmG/SZrYz3W8QYpU7Gh8bps6oVtERqEpmmIl3bHCAglI
tyzpo7VO90wifdpVnYvewELSiv7aEjFlfWu5aUNXa6cwF624CaxqyE30DMTxKJ1KjLQuo7zdJBar
0UBH+7Z+4UMnHU8sajUjCDcVC50OlQc5I4tfIpZBJ9VferEwUimGnk6b8qCIZTNU7JNVWdIqY0WF
3aatsNEhSxbLbTLhN9XEEqyIxZiQ+cPA6pyyShuq6jti2R7FAp6xkhdiSW9Y2wPWeEaDlzbmFLC0
xZMktgGF/QDmPtheNoiWcNg1qSJ+WHW3Fk0dib1Eq7ESsbcUVb/vxGZjsOtMqb1PxDYUEoINCGdf
W9ZzoAx42y1gJo4EeDN+7sRW1grADXtbFiYnib0OzD4eTfWxZQ902Avz2rhguGlgbxguMw22LLtm
U9VbU2yjpe7cY9XvtkuaXTViq23Zczv23qpWBekk2esiCFJsz6rYqLUFDLvYuiOxiffs5hiRY0bv
bPABO70stvySvb+nBhipBfgtmGYWHOfgXu0n6gWHukEvNY+Q7KNJPdFSV3DOuolEodFTcVj6cBlR
gZSAmUIcbIQhw0qiRskGWOtqdkugHFKLJHvA5XOvUNWYQb8uqXLsxYB83zyZovxpOgJvtfax5Mur
cz5tJEBXKRUTQ26voYLS0umiGtEo9nVYQQkqhH5DFFwWJyQqMN6CNaFbj2FAX3lqu2Qt9T2PTf06
U73ZXbLSqeb6Rn6UqO5ai4z5lHpvoO6TjezbIupAURBGVIZp0qQbRRSLumTdRVSPddVTRsYYjOUc
Bo0CDVASxaa9WMYlZT4e4hgbrlShKadMSqhRe1GsEu0K8UAUsEsy3spUtDiDbWBhFLlGTWQXh9+b
SRTAvSiFh5Cp52RqLUdoCmWAu8FqpHYOO4romGoaEQ/JDaLAbkSpHb1V3cNbBZ6/VeP5LOGghsQe
HydRrtcVoboOt8LV0ir0mh9lfRn5eiTGeb0kr7oF618hDgIl1lQiZHr5UJmGa0ez6nYEMnfddKr0
ij5DD/lH0URylVq3W86RySqM+wtTCQGmp1WxgUqwCabFATOrKtiss2pVouYHnBVnJwuYEg4diSH7
wDcOgurFWOb7JtCerbTesr6RVaPknqOwcc+ZdMH0XEZxT38gNQ0SZLKSAzADWl5VK8ge+rS4GYdm
9AC4nfTY5pQCCD/RfYArvRBWHKzaYkFU+NDWeI1cKPQqq3JZo/b0hLfAilbJQD+CagFm2CYyokti
5h+Iv/WAkyCYDTIMHSnJb7R927jzyPEwkaTKKEj02PpWjZLqQbVusaHUY36XKvm4HkhV0HC4eRrm
OC+yGcgvcdxcLjZKJ5X+CyIDpSYdJGs5deWk65Db4bPk7VQl6InMRXubzcMXGj53uZp7fQ5WiclE
H63mscsd1px+P8pm+VToHdEasfSKSUP25545PpfDgFeZ+qnUcEF4c2oNHF2iYVPo+bxh6ceFxKRy
p/bZHdKmGDCb7Ox76BL7LAnxoRqIdCzNBiPF4EEvrTujZh7hkiK8UIkjE5n1AOtlWt+ZwXxnF1AU
lqCIvawv27XRhzRqCKXvONRtKnkoNnCWS48YJtROg9F/bWIC0SZ7jhcvi8eIXSnqtvpA8yEdcRnb
eePPefloDuR4jLEIpVj1bXmSZ2uf1vMXGRfyEDOhKqvoS5+pd3ZfO4dpnoZdKZElUgbZ7FV9MsIX
kx9xfmo+7Y36a29WZKEj/3DTiAfdiiFoSIH2VSVX4DZQjWltI1zwEuRCq4+3578V2KSwQf7BZ0Bu
KwT6sxmfioZKs5EXHDvMZzgbd4Y5Xo9Nu/74MufCejH34DoiWRPRHa/9eRHQWUueEsh1zLPssjXV
L6xKV2BTnlguG3ecHRFfnm2HqVojaGHOHxHzx0hELQ6sVBcopMm5Sq+joL8xa3mlRb3Xw12ntfi9
7E1YebwC+mIfTfmzJv8v75AhKEiMPcSA8uei2sj7Mu6ctDiO0NfD+U5OoGOUn2i1z6D8P6YXbycd
mztk8KD/fBWO8dWcp/1wrEL4jJKp7+if6PQAa/aNYYB1Lg1fpSorrwuHZ9CRd6M9InWfKxYqTb5e
knwdSUt/jXvBuS3YlfpyOEoyXUXSgNjK1YQWVRkeYyneTwEDvFHlvTFzDiSzMM3hqX5OYagopAFu
FryzAbK4VZTFWAI77UUCvMrwqvdYlUwiER3FQ+a4ScB8uGxFlDaRuSOy8DuUvOfJAvJnwHgGw3I5
Y15zLWuWtrIyJpeE/eXuMjEBwT8Q+5ED0l2JQ3RoSn5Xj/TNHCW8MFB/rFuz6ramMq4IJvdwxWkI
9K0UZYR6MmSr8KcFYb2iZReB/NwzUjKQVfXyoy3hXrdGZTsn+mOmNRGsQeB3lUn3hjbRolN6TLxm
oKgho9B32jZdboCEn/Z4EZ7TWAVnkxkbjFi5b2URExm8AVpbr2MNdHqvTje5aWYQAhQm0ct0qK32
E6U8crqfiuYfz4MwrfI40H13zoFUxFuWBX/WHRnzP2tOm/tLNWRHU0L+wnr6xCgeBX0beYo5+Xb8
lkeQXXJXoPxFqbVVw/ayw8QHNvPSKO2vyLoi5DtGve57Wd+hjGacH9MMHezBXsmlnm9JWEMMqzBx
shuJeoSFSM7LAuplDbsDG7uCLIbdoG/djtS8oqrXZr4A2jCfHaGyHpTS8ppc/WKqM7UzvX2tU3zA
eBgNDCl1m9FEw2QisFV/Ny1E5dXIMuBkW7OY7gJkWdbQeHWp3Zog9BZQTP2s3sKdukyT6LaOjZvc
AuMwd1/tFHsmdaO8MuueWrAeVm2P598WMEeNjCk5UNk5TOlZ4pnwKkd7VDTpqxINDNM6zBmRReDL
IsFImcqVojcbmWBUpxjI4kTmGA2+nnayZ9vjwSJsYFQGDBOZABl0d5qgAdvTroXorI3yS01MamGZ
K8ILLtO+8NMhPZXRdGEV5npEZBBZMQk+0CVUJ75OK5rmxAuvSgBXZhb4eUVBg3mYcwkv4yA516iR
XjESBpgiBdoC5rrQOZktuRdkHiqKeWG22ibWcKjYYuqvhwu9QypUDLAXEuz8VBkfSubqIZIrI4Km
E5FMn0oH+vl+NIYwJbNHGpXrmrhXZ6frvqKwa2bBuO7Y3osmr/xeqhNUkNImGe3DwizXcgC3jAp9
/FZm0V1UBQUFRMjRviK8dRsWHeTM+qIQKI2uy6RTVgmrTGbt9XA8gBxi+inUrYB8FG8kJDyqwC22
nBIyEyRAvip7qyDA6so0VlY6Uscc82ltoqvQt4E1PFSyhHJRBpPWNDAP9IskGlt3CILg0KsDKkdU
LJ4FXXMDYMivqBu2hBO1/mzSvxuoQqwSd64Fj3UIGuWTre2TN/XNhfOuf6RGyGadKu2PJvv+0F7m
yDwmLL7BeEqbS/JpP5HL/GrO/W5l0M52UjUi37LIWRnK8rti/T5MN4NzUYRfgWl8vGeLEOOzrhXT
bd3Qkf/AWyGw5uc9aWyZ6CfyMB0XZSZpLJ7IWg9UkYNR7qIS91I6DYeqIiO2xGR/ade24ZpJCfgh
AQKCooFfRpFeYcZcT4XGZEvr76W4PJWydYuSxOXU43WtejvRxPWLLlwTfPFUJPqDFGXVTdgzmjCi
qNvkSD6ZHbgUFmga5ZFBV7ApOs16oLN6Wy1kTGnGvteIg9BUAjnnnVE5pzENDw3btiWlB8BbvEwS
3FrbmyrlIa+aVZwFu7EiSiabbLcz8udFng0vG8NHRODNgxoGBH2iYvjkrv7cb/mxsL+/qaJV+O5x
wWBckJRjT0d7eoqWb7P9SZT8Z/++eFzf/fuylFEjh+l8jO3bKnHcWvvyyWPx8VPxNjV+dwEsSKmc
quF8NNQrOCcoOFdyNHsfX+TvDVPx6NmMyRntGrZ59uhNVkszWedbOKqndi/dmFOTfIkn65NfQ6Q7
vXvGRXMKT4FlKGy1ApL4Rk58923mJMaavVTqkTLmhU3Nv8vWgY8q1429B7dwH3aoyi++3cRedD+t
nul+f+ONbrfa7uMv/EspybvX+u2DvvsgzhA7lRBuHbv14MseCvPbfpNfR2tnJeK118qG+7xWPObP
LpQ1v4JvfyxePv4Ub+zJnxvVP7/yZx3kLEDSDadiPn6dduoKR//aubLcU6ujj9o8GN6F6ecb5xit
p21xa2zvCNndTFvWPXfZlAT9+LTOfMeXLvptsWlPGBrQd/v3pdsfZW/eGDtnVx7GbfMlX99+/NG1
zx78swpaUts4qyR0ZYbL/HXdfq/W1Z3ik+LiB37kx6tine/LzdXLxQpbiceBPdmDYtonR3CzXoDA
yv098O4//lRvLtgPbuh5ynUcl0NjmXyqaOe4kbds801wV0CR8QAwM7B1MSi42cY+1lv1iUba6uPr
i/fk75f/6z06W21YaqS5rZBwyEu5ssbxsEjpceghXn58HbGqfHSds1XHJodnGJYMUV/Yu8P4Ik/b
ERQVeHdZGGDWH1/t1z/1v77V+WFSYvalGXXSHyOI3nNwU4XX/90Fzs582mQTkplzgEqNg5rQB3Qs
/+MrfPLDWGeDLSmv7AIC4nwsqyNelXWlfl1Ij/r4Ip/dp7NVtFUySI9W0h0n8asA/GRI+8lC/dn3
OHvAepDcfdHm83EcJi82j3kKPyr/ZHz2ydNlna1KZhBKM805doPJ9HQHTEfWnTSt9yyoH8moQoWJ
P7l1v/xeBmnjCnMWws3PLmlrADWruOuPev7aJOsUn09qbv6Dn+fdNc5emiyER1pH+nQ0Ep3+/TUQ
2f/uAmdL4pLmk5aU9XCUWbRpRqda9sltOiML/1nO/OtVPB/QRjFDnyDjOeZsgJg23A/b9JIjAo5y
L1oxiXTzH9rFf+siF5K+D9ca8dS/2ylJicFjoUbsUV9pDBesqpch13bHZ7Q6u8G9WryKP3CNVe7B
g7mW3JtuJXb1q8f6SttzasfztJo7d1t40eazj/fLjfx96XL+5MTNKCsBL51yEhu55LYbQJ6F4rnp
RvcfCncvu/PhFeGW7jZf5sPojp+sXqpYnj5ajc9+90FqTbi9M7WEP/iLP+NuhMB6yPwb52heANHz
H9V14BZ0bNfNptrYnvTJCv3ZR3gLLnn3I0lTL+nFWHVH6VC6EwhUN/ndWCu+dei/T1sk5xfWRtpI
r+Gj5k2b9BT6yfePH/63g9cHd8E6e07SQcv1tuDRhOO2rl3FjUVVt0u9u2E37XYgtNzl2OXugwz5
IF9XG+sKB6Dfr6Ld6EZP2Scr5dvB7G+f56/X3RBz0ne3BEcYsyFMI8d6pW/MjQnzcY2+8CI+KO4L
QKt16tm7aktT72LyrC8reBf8RN0mXd/i9KJI+KM4+P+je51d6IPRfZk9F78Q/4q/9efMHoWvaIcT
+kPDF+kJh+x/zezV32DosAHoDMuR8vNHf87s7d/E/1VEhyEOZufgvftzZg8CFVAdWl2NY6+QAvyT
mT0a5J/ecI4twkXAoVxmro6h/pzpo9t50ui9Op/sLmyurGTOb4hkt76Wma7u5zFNH2els9b4x+RL
oF4Bu/8QgQEblnvLGbvbSC4zRJ1KjBm6DFaW1OF7iOsIdZx8zLLIuRwEHNEQmERt6vj7AyYlH3SQ
aBbC5JJsZz+pBBO2HRMSerPpSxzIBdrQMfDlGRlUA3b1KY+icF/W0cKoskt8AFez29rgyOdmvnfU
GkO29jwHOSY1AX/sSmk8FAII2ZQjbRQBiZwy+ZQKbGQfp6nnmDUJKzAlUcDQOnO0jgMR1lpGBUny
vZqVUYfEg2ZpWcJXWG2PmKKD1RIMxGhX+6RkWDolRbpTF4cwU0QRV6ESfpXTeR/3WrPWq+LaIEF5
FcudtOnMcCHdsNf2USRbq0zLDgoN2F2MKM2Xo0jfpFmhrwZVDehTDzY21JD5el6NpHngiW6SAnJs
S6CiRKymZBirJCWbVA2dYwJvAH0hd0fqpegmHjG0wz0VZkvV9mdrrHZ11O57NXmqKwsAZ9YVpOqY
yYpuO6E89dJ5wcAPJo1K42dSKq8DU9kmugSbpgm9yRgwlaYB4rG+eh5gT19Onf5dSktZ6LlQmBnA
y0Zcq2kS3pIRe02Ir0ZHZ9qoQ3avvoWI6g5JpKAMT0OtXJWqfS+HrcUEIN5VEvpstSNXpWY0UXEd
00wZJQ96SLitUXlWkR9aTfluYOCnkT/eDtAN0SOROJzKhY5jRD5ZobMt8nIzaMZFMmFSGuVNpPTq
aslCIpAC82oOkvUSxqd8iTvX7Ajj1RnCLMZ8acyVX6XSF1szMn+Z9ANje/6kD55ytfmmjWjvnMh+
mSzkI8b8pXawq0AUZXEV8cJdwRD/WKdG2XpoqfoXHX+XRxcJSWpQThfOWKAGtUjzucCRifOtn7Ny
XzmB5uNhmi5CU413b2vQ/2OLMSvoG2FEuCQ19EzUbh8txH0X/S//OS2751/8xT/WYrghOqkVJmYH
OEw6GJC/1mJZ/02m1tJ0jBZnSBHjNyR3qoNIShCnLer7P5ZinfXbNvBI4hESbDXjn9E/z8oMiCL8
E28mDBIBITIqZ/WeI7eIE4JaOiDwGq7xn+WrRTjcc+F1t4TrXV4G9QYBME544YlXhDseuwWOsxTH
/Cy881rLKF2pO3Slb9b6IEkKrxB+e8IUIyZw4U1YaTAPu4HZPu58HZs+IV9Xo/DtY/6lhBMTceXN
1S/8/Y5w+tNCw/Rf64Rod4IEUFX0ZBctzI/6OLR3BEfRy7I6/W06/7sMTmAGK5CAF9CqrqZj3l/P
ztzdJIJBwHAOHAHudvaaZOn3ZWXXB/QvQKYnwTAYBM0gyQos/KNp7fIQC0UiqAfItp1110JCSNJy
Mf2Q23lsTAlUwiioCaiDmQlabzCFWXAViLmSV7JgLVQGkiO5QZKUqTeV4DHgTlQucxANpIvkPssG
cywbfkMqSA41fLt1J0N34IEh41sQH2rBfohHziYpNAh+rPywCEKEZUChzAU1IhD8iF63Kvwt4VRs
aVYDmDAEayLNltvaKGr0rdE9KAv1y5gb5m7SreGxELSKSHAr5Fkrg2PVzJj4szKKG8aVUqTIh4GI
5QUXipam/QpTqC29pNmE4QUKKNrwdW8SROz2RdkuyHxKHeCC3tUd7WiiN2qtsI9O6OBYGe1amxiQ
D/W4QeUAgNkypo2VFxx/YkW3ThMtkRs4FnRb5hj8ZedCrNTQsoNfvrDSRiZdc2KUSyA4kzhs+6T8
Jr2eHgla0yrJJwljCmnhVc3SNJdlksX04OFMiPmkyz/UWo5XDVOxFHuYlJ3ZPJZqYNw0SzXiz3fa
MibACZVU2STjddCl+aYAX4A9SUPMPYxrB69pv2z0pWq6G6ed1dn8Msp9K99Kw4xoaAWWIUM8ooZ5
PxFCg3ZnivkAZmnI0+UYFzPTxho7bs+AWlYeSqKkr0cMQqDYkqJW12qsJKWXSuHkx5iZYUv3beus
4nmQyI4x4tRXFyuf3Q6C1mWKmYzUBaf+3VjYSf2yVoObIoskQNOWUVfkKFfRfWAUaX6UkllVvLya
5dMyjOawziRrDLy+jsoCv1NBwk2iRNuyyKRVvFhoeEa7n2+bIBLcUKmZHtI4cwDK1Kb2xGkfLHCY
hxgy5vpk1rG96oaKdJZIKcYNH0C+XOSWk2tIDTIV2UJiT1FdodyFyjHVU8+GqyB10eeEskJxFKQy
SRLsItvE+o8IcXQNsOTo3zviuRRJ6RZXVgoauQPdADcxtG52lYFEkUhuu5t+sIqr2q4IQa1p8SqD
cXKSIbzDBzEdqqxSDbcmAeTx/8pW92+RWbQK/seENLzf19gddPp8/35DvHxu2+eXqG+/d137i7/5
x45oOpBDUdMokK3fjhmcbP84nVhvJC32SdU2TKFX+et0wr7H24pvkb8mM1oRkoI/t0TlNyH+dQCV
ojlSBCL0HyiKf26dGfzTHHQcwh4U/ptDkOhOvDvnOtpsSky6qy2yhFdST1BOwpEHHCCPn3SffnUl
9god2IGpqWDrfr4StXehL5PClVQOHLlcPVXgstwxQB307ne4+nFKf88o+NWVRMEghNgotW3x5+++
U9hJwdJUabXtxrT3gl6Gj5cL+85y/48vJEyXbyRZvtabj/3dhQYrUzBGLUzP2/Q1zdJX0CmvCf/7
n1zGeAvlMJ2//UadGS1tZEzVNpDIlnFsoEJtZHIYmCAl/vNLURrpMHABUnKkPrt1lZzrZcQ3wgDU
XEwy7jWiiuyLpkg++VLiX/qrwfL24KEAFQhaoWQDI/fzlYCQ2VLnoDyIxjEFqzXfzOF0r0jzfcXx
1f/4a/3chfzjYpoJ85xwPBF29/PFEMaWvJtltXXqFgp0mzfbBGuZW0rxs2yHuRfrDemnc9D9J/dT
F34YZvKES5499GZTQnciNmxb1XF52zc1hj5HSu+lhP/6+DuKG/a3G0rWC6uCaF2cN/GWPiFsrcyr
rdTXzTbvq3lFZGlw+/FVfvFuMeD96yosWe/fLbzUOvnkGVchgP2gNtP9kI/Fvmj+s1v37kpnt25M
86gcCq4UZf3sm1PyvJRShvPt09dL/vuX4thBW1wQAnRVtc4eDypKw87LKt8Sc1v6SE0pu+aKQKQF
oesKhkMJcBwtSo1jYis3U0nlrDkrrdaL/VBjvfLGEvS6zeTGawise7GiOBcaF22HyURZ91b6OnPw
2YWLMlxWFhHPTbW0JO86RIiXlMrrmSDalZyOqtebmrGlvs6v58ZRH1JLLXdGkARPQz7M/piTVxVY
QPLLuYAKAZrKT63JDL127kk/TIvJ9oc61HddR5x6T89j1alWcdtJib6XnWV8eQv+e4v2G0zi/hDe
MeW1W8TLkWVHJcivTP5GwqfkxS2fR1Id/TkP+NLpALqidMLqFKoL0HpDR+CL6RCRvNJnDpEx1Psb
MyAvsJaDCYNib/tSU+HAlfl2S87ClSdW51kc6b3AYnGJQnKwQKH1XmFNyrqLqrIDDCcCFnG1bhJM
ywdF7nCok2W1wTgnAXuUVbyKg3GYQiV5Cu0yu8fgS1Zcq1WPtZmrDwHfHY7DqFSPVa5TyprBAFA4
skTglqbNvOuTqZMYIHE6u29H2zjYEgmGEnbVp4Bbc4iSujqZffIqK/ymfWKqD7kdv07tGNx25lLu
qIf59ORjHeZMLdN1k8koigzHyaKrJDanm2SK9Z2u8G0DkVE2hCTEUgYQupWpPRJ/kkw0V4cCdQw1
BDBkwhavpkSOi1JizDX7DNs2WQ4E+7499lkb6nsSZu2LyOSWcfDka/ZR4i06eg4icMI7e1H5SqEV
p0/Ogqs7r8fSDwwgIj7MnnLxCJs2s01cqHJ1qQCadHwzCoavUVBJzkpFOGdzik3jxTXlormQynh5
sCXCgwjDJiXMiso933FeQaEJXGryeqsninNfqqZyh8CP58doZIO8Y92AG0gw81CuyXxwLhoAkK7j
MHpyu2BKMYSqBAq4UpiSoJiYzn1bN7x2urxIZNKwxS2zY286rYLRQ1Q61X1XQDfa9HaRPDujKq2d
gvfItEqcq7EzZJt2CKabsXGGr0uzpBuj6rtsPSKDhYtcacZCyC5REm7TkhntmlOqfFucijyIhXdL
x+QAqWc02i+D1VWPYaIbB2vOWEMJPjPcppe0vSnrZMPpYyxhSueXwICdooZWMbYEYbECmq16KUnQ
qh05FwHWyD0fRFkj+sOlOrc11pzcjGAzgLIjHsTZJBK/UK+x9fUaq1pkNzaubie4TYamT/2omqLv
ReUY2yIVgmkzIvNPV/qvVTsPGy0nWc91eh6EZbRJHdDj1zaAW1dLSCGZJG9wNn2HeGX5uHVuOXJt
u3L41kcz2SGFqa76oDIPbIXWddTzUioFHwv18XA5dI2zClPec92mkaxWVvpgK9VyIPd8nS+WIA1O
VeflY9qmQBKSmDN+xkPNqgjLKatgoPaJc9IoKtc1qaErkvFgfkM1RZSbkHbcsLrlYzdsFLHvVjrf
W82TZ1KU7ZM9JsZzNrX2Na4w5ViGo3KX6IG2n3qeqJQF9anHR+ExXS79oeDrGy1oRTe3a+cEdmp8
aaUGdW3YsuZEempfK2ZTu7qcPRsGCyWQYYnTm2RdLzGSVrUBZBRYdRG4htbb17igmgtl7FnJ3iqt
3mnqTSbnvZ/MCYuYKrIZRy7dlGWzjVtwoqqijC+RUUDiJHuaGbHMEyyr0CiyE12Zch2Nms2PkFen
thZ1damWh0ypeJjGOuqB8Si6l1rcnThwRj8Hd7d6W3XHKH7syMX6Lo+sVoN4RsjCVo5pQAZrYkzh
mn50whpHJeFKUmcckxARNtGg3lA2qmfQ39nUXTl5pDiWiLG4QwvdAH+Sib/QpXb0en7hxM1ksrpD
gl7vhioMPNvkkBwsfX7d9qw9UsjqMTq89Ckp5P7g0CDWEgPORIErSAtUGQNT3x0GyaAeLfuTnbbZ
tjXlAbV56WxyJ5QuYRqftFhDEp8k7Wmeou4ySJaHWNbGBzudbd8GLUq7QTG2ixMvqwL336mSGsI3
0kerbnJYF9FrGQYY+br4C+/zfTPI4ZY4F2kVhTlYKFmrTvrcqhnbIiInU/8G0rN3VYtNL3XYDQEL
Zfd1wcrbFKw4sDuUu1hWqtJb+EmxzIvawsSsuF74DdacvUYaGkA52bcLD9/31G9z1UB+XESOi2WQ
sUHXkkJCOkzGYpZwyIOYoiYOrUGcVzhOatlxOeWD/U0bYUUZavDxWaXFuauFdSe7RjBi8K8QYbeY
c/ZjraF5oi1UeSVWlL2Wtb2P0H5WMz+op9IyD/OoTjnUYxlcwqWZ09u4qdUxHn0Z2bW00eMhj8gg
cYASumoeDPZeH0jQdQOzRyNB99xpetNdyGGFQSlyx+0hzb9XaBBdZP3WbrItstQweDQt1Y0B5LOd
WNdnYFdAB7qm664KODYkw+g9KWktZpRVV0WN7i9arww5a0/7ZCM57Igsym7HRCPPrVJMvG4U13oM
820e9kWWpH5cyd90u98CS0kAkGg5ZkYJxgS8XYARwXBtGIl0iUFMImcJiA17tYomTetVUpaSFspn
Zndbte671VQHz2lk0MAd1XSlyqXtl3RevsLpnI50loiWmUKIcIWu9pLn4IU88rqGL2GGt8tNlVZy
M0swGzJJ2sFflck7xZCKY89k+dZDqhNOSyQqj7qTGX7FF96m/Zjnnj0zufm4wH4LoPqpjhc9aoK8
DcCAcLbPj2AVsVSSrROTE+W5vu+HNn8tNShd7tiRvpoDh6G0yoh8TtwoUbojyFSOLmlUnSqFsipu
8mc2LigWKvkFs8o5o42rIveyuTcOuhqjP8bDe5GadNzQDCMW7/rA2IYB76A2cUxZ6TB+bzVd1p81
EnYGwp0WuuGSYl3PgcJyG8xTdi/HcfL0tgYWBQglb1xES/vje3GWm8G5zaGOINtSRvipihHFz6eN
lrmgTt8x29YUE76pjsNlF/aEstoNNVNHmX2cNSmC47pQY6VOUx5Y/IxDp+WIjP43eWfW2zaWbu1f
xAK5Od+K1CxLljzFuSGc2OE8k5vDrz8PU11D0l91o4D+gDPgAH1xUrEdS+J+93rXehYlQf/m0rqs
B356bcBLYVnBYL1c/H++tIZYaYHV0+yXa8/ku/Asc74MdvxWZP0tmDjy//VvYLl5/PQNNZVrMusI
7iauulxs/6QwtIY083CoyFrVDKRF0FNjUjCaFEVUHhWIO78utv7Sr/OTRej7bxzko+k6zkJfZzX+
4zcsGoY9w0ozHq71AHGv4MyL20LSsccbq1PY9qYt7zU2QMP99yN4KGfN2kZi0DaRlilgijPzrZxr
uR2pa/5374if8unLO4INjoXmay3A4Z8r5sN+CFibtoCQrIR5WyHk0o0JOq5ufKrJYuwUxkbWyxEJ
qMY1vbDp/pZne/kNAYdwBIxNPqS8ND+9JB2cWLpztXjnct/emkpIBy8Lmn/zGPgnxYLvglAhWOYu
HoSfnwJ93MvAKsp4ZxkMz1bIg6uooKPUwuWeYaV0zU0Jl4coZej91+858c+/44VUsOg/LllD4+fr
8KSlhmyyIdoZ7RASbYXLfvreTZz3jMYE9c3p4iqm+1wYE5QPGJdKZQ7rbpJAmbuyiMiShU3Treqs
d/R12FWMk0ba7Ji/3VNSFu17HWhBt1eClovr95/+P72a/V+hVyOJ/LHB5SOh4zXhCfLXmvVr/+WH
5e0ff+dPXhqetixukZctRFrel797aTT4t5aKlMVzgX4svvtvXhqXP3HJi9qgwZCflk6tP7w0sO90
nl7AalD5/l6dMNC+Hx+Ii5cGpQ613Eah/OfTMWMGUUeK7S9dUn4K3ALaeqorR0EUfgWTpsIQAseS
Rj/3PKbE+EsKB8mtGIemNAugOSOYTMM1T01DP5vhpGTNB2srh/4hc8bqruEKWkmVVnbnqyZTlbvJ
sMNzEPiMiXs3cDaxXal+BYStXzqKCpemX3swnoai2RlxVDxCLqUvoKq+WuSxyr56ajQqUQ1iTnyK
66/Z5ALcbtnN1sOwG6tx5EZVRsUVROFWSwzjXtGtY2AtJeKDGnDRUkg4AJ4DKFdjseje7D78GtDE
TucsDXQhu7a9U7h0SpXKrcuc7N4F07Hitkk1rt4AZ5hs2w9iy/BCBdmoCKZ7KhshwLn6extbVyhx
Z6fjCldF6adY6I9d6Va+koiPivZUaOnhU0NxZYyVpregleaztgtq911V04L8XUQIfbwWarIEhV/z
Ijwms/uoJeBMzQWu1gj1sbITQZG9cUCW6bwsCApyIubb1LfgQOz2k8NyfNXyUF0hpvmDod47maFB
s4ivXO+1lZKTnz1MsPw9Fmzf1KY6qFZxdub4KKcy3OtJe+spilgxu+ETbPKWTTw7UysjTVZlPnIZ
4pSCMMoLJmAVuF3GEeKUC+C/aJ2LK6ppmxWOWEkL1h/9mbhUmw9RS3XlznZ4VfpUBatlfnUxxZzr
SXzLcKpYq8bCohMlwj3Tikw0oSBhG6TkYskopRvuhNUB38CFLoWKW6tzGRT0LXRiUKNTCSDEYDrT
ykPfiHMFZACEHXeEDjUaRW1ZWZrk+kYJ1lXrP1sIISm7aa/pWVmLqID5CzqMXgexyoqkXDkthrGY
lWFQfslpVux5uB+MQrlqTvUNmWgNEGXb1yMyD8RfT+0afW9l9b6y8sPYmcQT9QsP/4uh9yNjsrvw
C5MXdQiezFxpd13qQv9Q7KemC9kza+IUVIL4s9PDdKtZsPSqesun7qAOXD3T5BbHFFj32Ss0kC94
00qkE42cXyvPTpP2fkNnBYja4s7kxgBsVTnITMdsiVa46al69ovQPlGw+ZWFke633fRS6QJrPCUS
VTtzC6Azw1/S+mkwc+0u1POQDV8iftdrS68Cr7BQREpRfdKL6s6lRtlySjok9JagevC1U+HiNdy/
lAy7AdYjFtJJT/w/rb3JhS1RTOZ7N5h3Q431IXeSUx1wr46rHFOUEFxvuekk9RHi1ZOWzmwu2is/
HwA+gzrUwb1jksp8fmA/ZBVNTjolc0ddCJXbt9bVP0+di45qRBk1Icp4UNJJ2Zf50PhcrE8yrR+I
wH1EVXrjRm56yJjQJg09aPeBzVeZmwgZxTbWEGiQJ5AH9nkurokq4FfqhkUCu8XEVtqpRzICD7OT
Sfb19iUpWUUDwuFKGWVEq8PxypZAXQWm+tWZsbD8fzmN/wcCp7ga/PU5+1DSrvr/OGmXZMLvJy1t
yAb3CKyhXB7FTz2UYMfooFz6GS1cG3+ctA5tyIIZ1IBwsDis+IJ/nLTqAsteWuSAyXNr+Dt7YZa/
P5y0jsmq9vs6ZJkEdAfg1I83gbTAUpCqiXphVMRpt0DV0c6x3zVJv5YGT1Q1D9IdzYaAqdGBg06C
sm5gjpum/aXLswcbjNoKnpXfd6gdJDS+gIjZt7I+pQoje2MCoY1rSH2W7AhtaJ8Hewy3rRjaI6uC
fS1DuCdIR52yzzG5tniGtKZ1vT4goywnOr7t1tlRjoQKqvi2TpP5YJVeqcz3KUf2AgW5Cb17dbkX
eGZaXKdU0Vi3KI8Kth90+YQkQhxDYLSOWfIJzPnnIVR7tJzk1jZkWJu69WCUHnO1psiJ9vapLMUd
XqdLFM/wHjTjOJsVZcr90WmD98odjjHlaPhl0qsx1tILiwBeagc+QSivFECuW0dobzTpTKshdWBP
N8+xUN9Dm0A5ptLas7LsabSV996U/EMop09T547ikGit8W8I1PQunqu3lk/xRgZpvB6mDsCFqCHF
mgE1y1BZGyd/wkR8IWX/GTwkKFtbnEan3uKjKnGaQbiVjrZx2hA0oXlJBfcLc5h3/aCR+pvBQlnu
pl8efDLaqp0jkXmSK1BCTiHsYhwypwEU63oIqk9xZOqeFHUCrTN9rtvJXqVp98mch+OAFROFDPHC
ae6wA4Qnul6odDMi0sMWJKKehHwndm3Aud3W4aPImr1aRbHn2J17GKy+WgsreucQeAiDadunw0ip
TX6YSgENSFc+RqM6zlaxsZLuhf/frigBZRjScdalgEUVJYhVbZKd3DF/tE6llvLgs3Pf4vPkR3oQ
+Xbffsu1ekcZydbCnuuhmIcb/kO2I/W6KqHlqKmURP3bB00228RMX41J27oh7tWKpVGb4LTqSsgB
RZFTHxpN2J7SjdGR3sLFvJ4iCEGARBwvnZu7ys3gouRLUnnSt4J7Y2oam8ylAAvl4mqkwyGJSFlH
DSkIl9+9ERw76sc5YWN7+gqsvHmJCNP5UehyGFhlYd9ERSKK1hqE7ataufUNkkOebbGPbTpd3YDL
tWBgBN/ScPwIuNICQ8m8Qq3tg12Mz63VfOlSpqKqLK8YfLdKlF41KsKBx5oe7hO/QgFNdFv6MTrx
xiHIDsLD4B8Hd9i2FXi/yY64vrGOAvQxN7MpWUGx8qo49xGfN7o1vY0W0N1x/OwE2NHd6YkXmjh5
ouwxv50wOm6jVNkXYNKsVKM8JwMxFewS+G+pU4AVdSoIJvMBNf1Fqxs4sLAqBMQBDAR4tmJIFHGd
eh0NLu5obwemlrzKeUGeuybZTmO/6Z3Bk3m/p4SVkrjCBgrU+lHsfsJPyPjURHBoXc2HWQozGwV+
NacFRgH1zDbzazsYfAiAH412tU5xklPUcgfqYY8sTyOoUJujGAZeWwZtpd/1bfO1b+SFzm2/TYxH
NQ6hrU7NaU5tC4WzWBspn0IVoHA9ai7VC+qD2QcfMJx4d8p837m4Q1tAS1poj55SmztDz+8DXKlg
o2NgXNTHO7Fku9HfDXZxHBVchXmKxzR04Kf0eOac5fqzaiZ169r9fWzJF1VU+8AA0iAxxqdJxvNv
LBQgK+VNB8zjxXNzMfCeTmGyy3gAVrE8B9b8WBN7hQZ3DUR/aGqJg8aUq9GdfMopNpbVrHVF25cl
7ZNtWbBkG/SNa3ZHtZg3TmFIz4VkW6PzklSG/iX6z3rsZN5AhmOv2eG9VkyrKgyv2uycXGeS3jwr
8caaB6b71LNLusPhjCXrXIndvR6a/ZZGyHs9UzbUeNxjJ/6mixlcauW3VrduG0fZxHFdeIPSXaau
uu9s5wmLTOTlptl7Y2666zER2adUDyZQfPJb0vZQwtXnrC/2SVeeIreVK4Cst34Wvoibbybrzr7X
qnM0kkpK5qdUE5B5ZPrME3jdFua1UQKggqr7qljNC56/Iw3C1artc9vTK8frtOhICYoXjeYlHMKj
0XU8xo1pzw2K3YEW1JOxs9o2fZaZMlB2rhTaRpm7wXNGZ52p8V6YWPGrIZ/9sYzeDbAMbBLKcakX
eXPn+aI1YP0YF0KcutpmbOZkRVPgN7vDvO92xPtim8flNBZ+VMYvZSLuy1zcjLQYVrI0YOu0X+mU
8TvIXbYyXVpr3M+C51ezaOOww5/GSXmuxvIxiwUNo4XuVxkXNWcaLjK1Zg+O08NcEIjIMKBcmy6J
12YGq9AoVHIG7L5HL9d0Gf2bYKH4SRlFCIA1sOgNAPx1FQvtj+NJWzuaMSGiXbSHfPXJ3Mj72oMq
5rlvj7f2DjDxuqQtJD6ZW3avOxZxBzPcJXfRrzrdf1pu+h844KL8/IsBt3sr4jZ769t/lqAM/ubv
Qy6NoEhFMDR+F4b+JCcZi4qEP29xHzKu/i4nkb+y4WotHkdwe9//6Lch1/7luyL5ndBL45H1t8yP
xAt+GHKRy+h9oPqLZiLEKRW4yY/vIlDQetqMWXnpmdnmu0RUZnLGc5mIdccIe8/ZItl2Z+bZrOr7
npAK66Bh3Yj8UWoZwRwtP9WieWUhfaD48RZT/NMpAhB+Etw5pnnHJ4erpD1sQ12GVCinp0gdXuak
+HDjlv5LKdjE4py+muG80XKDpQ78qh4slC8MQItZl9x1wFBGywHGp8tC+0LR9mqUQ4jDIWSS23Mr
aOKDSK0u3KaaguFYla7FarnSE6AFCrvR1cLAs2M739a2e7AyyH6PetCxmwyorOxBm4aRcWqSuH1N
BpbEvdRzsZG9ZJ3c9cnRbgsr8YCVtMOashbFd1unSXYcphJ2cROq9RqnPRBwegy/9FbONJsVL3bF
Y7eLhq0jXZKrsfVW4d737aHm0ulkw4ag2B1BtNoTbWegP8XreqaFJXKp5A7kE+61Z6WZ952tLGWe
XiGHPbBOXyoQmQfcz9KiXKeyvIa8wdTGb5XCcr1nLCm7/g5KUbGyF2frMoU1rnaTvbK3NLEuAhSv
BYmvNzTjDTst7pg3c1Zg9Sl0od4ta8Oy+aJO7c2NWIUk1hMyO6OHTflQeLEiGFMU9jxk1UxRZexn
lbrFP3JrOgdE4LBPLOMl57xnL/bmOi00xKH3nFwXFE1/I4mwNjLrrA/9mpDB1qhmTyvbuyBu7920
e21aMPQYpypFW4OGO89lfnGg/MN9OxetsWtH8UJN3p0UycrIFxXM8KoE134UnZOgPLe6e5x1c8Ol
68BNZgu087Mwk40Td3eV3n0JS0iby0sf2u6j0WhenGtbxxpPGIC6Ve+q515E/lQnpD7EtZ5I3s3K
kxnp+yxZXmEWQrR47FuYUpAkVm5Qf7hGy90ge+Ea81Sq0Y1mhk1QmSf8zRvR52c1kdnKmrTTYNCI
wA/hYeCBh66dAjkfHBtQStSdQpujL+YEHaN92eb10uvw0dgCZNJ4a6bUpWpVmlfbpDzEGqKzFRh3
kynyC96rZM8MRGYmFqWuAffn92WO9UW1TPojeUv1rrHPKO7xamsgi9a677hNzyqhFJRZJsjwOtad
5Y9V7EuaO3y9rj93ycTbT7dY+AZbbnPTRtGDz3OT3Q3uGG2cvH9Mh4AZiB7c1OhagGQzS0cuzivC
zLanRNCOK6kUaxFpd4Fh3Ax6AT3FyLtVMvKKy8S9Typl2xo5hJik3KHAKp7S2smG4fCuS/ptiufB
ZDRWuS+teXfwagmilG7f3tcBxq/CaI8CzdCLpvaY5fEFENxJr5Wtpg/r3KrPlRB0+9b51woBaSNm
xed6PfhJMPHL6qyrmTn7sqNxiiIWHadCgH45j52nJL1XqoKQBzWRjJ3VCeoqy3LGl1yUnzob5XIS
ufSUfD4jNN6Nafxu6dwEFYcuLopooYliUCkSebMK8UzBzEHhBHYwj24yVFxPjQeKRLVphWEG54QC
s82tit4XddCvhpgICYbWU1lrw8rS40ua1k/S6i0visbH0KLnNgIqXSjYBYH8Bxm/GmwjcIqb5IlB
uqDpFwUcTwGlkvBLj/RHpP8nxa0fDnCkPnbaf33uM8c0YfyjsvXr3/nHie+ov7AAx0H+x77ntwWS
Y/5isVoSnO3fl0TL7va3BRLT228nPBMDGpaFlZYPPqPn31GxWFr/eMAvEpbF/5k4KQw65X5mU7kC
MmNQOtkOcOrrkEI46tq0XGOh/lQo1kMjAXCrff3JybVP08AOu7cnWh3koZtsZz0rtdjrQz7t28yd
V4U2AEXCU7vldlX5tsJlg3hW820KpOWX2Gf9kpqiE9VG1WdWdepNEZPYzkrX+3o2gLpwkJsCpVhM
gPYtkTEdh+TwUoecG4haHrWyh1451JQnKSDHJ3oCD+j0Xi3zC/Ymc1V1RAihoO2b1p6v5tIHUtqD
7WnT0D9i7kjpax2JGMXcQgxFuw4cBdu2C18sA840V9WMJBqYzE6NtWOi8zOpahHfa4SW1pQa1vdk
6deQ1Z/7EYuNPtJqUluL1Czfyl5LcKIhZjdGNX6JCzc8pgPjhu4ixVVZbW2ZD9R1YzTcwymbgnWY
YVXR9fcuGfUNEfjAj2Gq0czevwnJyaJ08gApNt/kMRZJFDZopl0RrnlVV0NkF7ccompHZyP2rEsw
Jdka3CFECt0FFo/98+ZW3Oc6aVYvpkw2oMKvs9bltxTjwAk6MGFgmidJogd9dtdUejhQfShVj5a2
9FM/l1AeKYrd6y2PEV0vsCtUoWweal0JHoSh4ZdJIaKyfzK/e+TqE8Uz8bkps4Hdo2jfWVG6z2Ou
swkry36An2lj0CWwR0dWauxrPEpXQE5s3TKdtX0mpLnrdKd6BTRpQ1O0SW8XaWEeTVL8W1Vk2tko
ZvwtEO0xFYdq1Zzsmox5FZPw92NXLECUxbLZigorW7t4r2d2KIcanCz+TzhFSzlkinUDVHp8xjqN
Q5n97EYMdvLZFlLhlFssq6aIg2duw+WDo2PTHHPyCVpaamfdGssjLUDuKRzH5DOHH65i2DtxuIkh
7W9yrKtrDHfjPeYn6nu6NITeHhrjuo3bhUZLuELvBpajZoxhvakd461W9ex5iif1S9Pb+l4BB5R4
YdvxW21K/huaku75BWL/HaE5r3AFaY+ShS1rKb6kTSNH76tFyKU/5K2JYDKlOxPTL7rjFE43LOH8
jHmpjjeE3xKLwvKw1ydeh8rJ+IJahzK6zhoco5PE0zV2ObABPn9MElxCKCxi4ArGGEu+HXXZM04q
nEW10b7TKoZVtderD4C6433Ql9Xl+09GwU/lMCJrfPmMTME1nBfHvElVjIe46CAA8x4EpJB/y/LI
OHCV7h+RhAavtCYSA/HyD+/0nNxLb3ZP9pjzH1K0IPZIv07rUwU/IZe1GCkHI/n8/Z2WmB3fbQ5d
jNHahM8pHtkTw/0pL0PF/IednmObxqjs2cAn/TIUEBzXHcPItTExQZa0v9+0EVs47gxYfWFvG2Qe
eFH7nigDRzmvmgiAZ2dD3r1/91cVamldSHxPFPJo4haoiXMbaiWnx0djWJhdM/jsisUFZeYYPwj6
8oXojb429lSkG6Rr5eG7G2iGNvlQh7VL/VfnIuXyauVDXj7E4YTzvE2XqmWtk45XJvzmJlYnJ61u
DVQEJwPzaoV8+X6YQhIAI+/6mf+JHefVaYzJEzWQ9DaZ6UKNzrKe7nulfSQGUa6kCdycOTXMrclz
nTvR9RS7hPfRUgqeddEOOMc3c3CPrl7iTwfcXQj7Nrb6BtECqMT8HDat5ZNsdU6WxResAhMLlLIS
1VR6IK/LW8c5htdUL/utFmvWzaiSp1ZLtLMleYanGJ19y650T7MLg2kb2uPo+sOY+G1QHvTCDu61
Thkv2iiY0stwwurnWNHWKlF+HFca64mBm0U2sR4pGZM6vOwRwQoNcRx/by0+6kKWxzqKK5bvfbsu
RK7tWRV9bTQKUx3zyjGJPVf2+kXUYfCqhOITfuuvU0+dwgwRbJPJDFj/BFVXyXXaXduZ5aCgOcKr
LIvgEowUT0bJ/J5L0xNzBLBpjtoNGZmHIumrg2unWz3pIs80Z17g2EKKolqJqq0pxWqoPVmTKkDT
1vt0nPK9SpPhjgaj1FcddH48ZyQK3P5QQXfcKGX5Wqs92hTU4NOUqjateh1hkIn6AVMGr6qG5Vfh
gtBr0zd9qm5V7NgfsbDjnYHr9rNtKQR20vSx09rkbZoUIMKo0itAvI6nQkADl+2SdHcDgzbPeeZ5
oMtsFyZLpSqKAfp26Qu8+HXevkdTF6zVwpnOY9QM1VoPJfD+ohPAUQrKQdezFAXbBeuc8cy/8rZq
1qoVaHSTT8Z6IOtRejk9alyW08o3WgXHiSaqj9bEqzrnYg+inqm1qt76rEQod1rXTzT5iVZR6YF6
Zthf1jsKizf0i9c60rfqVAdPhFsmIKsYWExSBF7JpHvXGOZTgCvEs/gYMrQDmnUSzuGi1f1OU50T
aedwzZDgvBu2KW+2GWtP6URNRondRvdaw5oOQxcM5koKsKdeKJOnZMnpGNxRPtrATj66pskObpPb
4NzbwC+lIjec6cMmbfm7IWLkNHfq2Q6S8qobVAqHUc1kpSsmG67GOVeyGj5Dlsk+D2yFzlZnwDtn
wsJKEc9+xqeIJ3kX97YXFWaNmzB33BXpr/Akxy7VDnToaiPJm9k6C5eWeyesc5WPRPjcWaNysbSG
bYsuRtTAslS9oAnhg7LZP3FvNHjHFCwBytqkO8+YB47BsS/PJSHZg2HmdMrVZr4O2jp4duu4uw3p
vGwX2xopoXMLegdDx9wzKVDpQbfjOh4z1owDMIA1l71vRS7ERcvD7ol6u4HrnF2/WJjwsRcjW9Ac
F3mDPbS+YlSxp9rznp5o7ZhLqRxUjEpeRRXGrgzM1iN5n9AhNwUb/EsOP1ZWb8llfbFBfrKyWHDF
1HLeNUHRbDK9bLb4QaTXD2ngMTPcjWWyMRRli1+VCgZnfk2apsTCWcjMG4e68WasGKuY9vlNbqiY
tZvU2M7lfMedbdo2eOFXoqfamBpcSQsiM14qoa+UlnQu01BnD3XSDjtHT5VXliRnrajaD1ywDCAg
vzduBSS7zwJqETAur5omjv2+mfmI08/K8lG9cYKWFxJfrBpwUa5aGnOe9WrcjsMY+i0Uhglf5HmM
2fR1FINsp0LbWkNMzwWl1CWAnI96nLZ6x5En6zKjxoGd9KiO4yGWGjWCSQsuuA5OcVjfjMA0fTtw
kv00W+MxSIjodH7CqkvDJzLf3JSnq3a0e8WK5TqpIuIZ2xRZLLzqVgJMQvTtEK74BxsyXLkKEfvn
MKzxTKSuGn63f1G7uqfkjoiOyaiSekmYp+Z6ahPps75CpzH7dEyWBU+PepJbMcsqSraj6WuUOoM0
uOCSsiUWk7+MuXFVVFdu8gKDPe7n4YG0HxwSqpDO1GziYJGmcddRlVHPeryeK+sWu6Xiwe7obpFb
gCxwzeRSI759acdy8hJRzF+0VuvuhtxmQ6LJjyac6Gk1hbxzpISS49j4hEZuP7RNI0JRlXkabKu+
hYwqaxH0uj8p9mcE1GBV533yNnTh5MVKgwZQBMGB/YxFBaiqemndEpaQ4OeDihVXFVTZFpJRvMVV
/egqcL3NlJ350jmKgf3dFoOk7SRvzpZGmUtpfI1o9/CJuLiHKWS3u060ZegPp6b7ohpD926nZnIa
hgKxxUEL063Y3DeJ+6BKhCt2TRKBg5hiup/nwGkZEozpZMBVvVZZPr9kjUqfRZR/5QIKjr0kPQAq
nR3rcSoCfM5F9LXOc059pc7fbWktzyyyhJu+iOWm0dTmlfHFogVGH29d4M4eM9CNFaR50ZMZrKEm
Mv2AraL27YkVytgXw7PVD/2xrvTiNGcSllY9ddklLWrb9IguRV+KumXzFiQx+Sot4ihQSWewoo+d
kjkgc513h/VS5MnQ1G5xHzovXWNXr7OeF1/miIZv0Oq6QaypsF38Y+pQPBYM/WuTrdoxKIkgtTwY
14427+MpAHE1cMki2peeY8zUrzAnwP7XNjULJsZdr0mSAegV3/xShwwlSenAAytit3ukW7kBz9WV
dTHrJF44B+fJG+Nhlqmvtx08vrqV3wg75TvMGDHFYMS7WVB+pCPCWDsFNtfH9pQ2LNarsHFuVq7K
+zDqqpueuBQkDjXT7ULFMhEpsTZRKZO4TnDgB3vi4od07ALIV5Lc2WeWEja/msv/07uc/63WYQPt
5K+Vnwf04o/mB7Hou+F4+Vu/b3u0X5ZePAxBv250UHX+tO2BKqDBCdfwlIvFbfSb9uP+otOxtrRs
w+eD8cSm7zctyPkFBoalYva3tWWP9LfEIPE9vPCnNAU7Q4xWgvwAIhQmpO858D+lKRjURFcr7nTh
2t5uoK8X69ZQlyCj7gT10VGTEYaKNBXsQgGmwQFbsJqbWwyKTG2LYziOVPM0Li5iyXN11eNpNYBO
Ea7R243QOAutxX88yrq6CoO+LgrJqHOYQkQYDMvu4rBTsNoVtUEbVTRfuXajuC5+PIXKEIJh9E0u
Xj3ytHhEiV96cTlwgXXgvfVxCGcKmx+O52xP7r6nYNlcq4sXUFlcgebiD9RotkCWX1yDMfZBsF8f
A3bCElthtfgLG9VS9sniOQzdDJ/K4kNUe1xLQtxcfBqrAAMMz/rBJy7lt4uLMcDOqGJrrBd/4xjK
q4rhEcLAk4sBkinis6rQLrM4I+OZxHiBWdIwJ7yOuIjmynmfFz/ltDgrHSGhUOG1DBbXpdJD9Iys
cUM2+Gu6ODNNLJoBq3WktbsC62YSM+bbi5szXnydgzl9mWNx1mK6JQanusVRSBw0YbC/b3VHmbZK
v5gKsDZilqJlZAkWO8wMTVVSWDVuqE7dCrU79ov3opk/ZsdhX23LYzGajWc3NtNVizRe9O1i2qY9
qHF4iAF2onFVGC8VOhJ54NCvjWotR2H67fQRUCkiBM5mEYRcN4pvvR2WPkdV4XfGXG40tcvunEzc
B82EwGDVKqm36ho185sDJgl1ggYzasBZZBktzdlWuZeie06YoHs1V6H1ETZ0Muh6NRNZjtivF5h7
res4hC/UoLurLm+PJF0yVmM5RXIWb1enNQmVpmG3nEXqzs4KNuI5bHhylB1ubve5CpL7FHaRV7c4
zgeHiCJxP78zYWJMM0kOWb7Z44LhGpXYb4Gq7IIOr9PQpfT6hKT5SMTSfK7NlT8aIe0lXfhgB9w0
EdzFTuT5XQefz+uLZXUzzgpmv6VXxDCOeB2ulha9FoCbV8WYO2v6hU+5JXaWQ6pWhu5lLNoWVKIw
PTtixxmq7cqqtA6rWgAROBsv5ajsmxKiJATNr3gPXpJc/1JN1Dga/eiTvP7gIXVugFRRZuOc5UCc
EWGh4fJXyJM7tfd6pb8nBgG4top2ejZ9QfQ6j6J4iEkoerk5v2ZLTLNlb4H1KUk2HFoYbAKaC8v6
KkKgWziIPpKZSshJBNu5R4gVmWKBclvsPGH8UEbhwIc6ztZKlb4UQ/miNRHNtdJ4a9Tkc2FxFGod
DTBVybgcl/pdXzrPSaMcqcE7wDsArTaaayuqDkFpJl5f9p40NYowXOW1q6etnZSnsgEQNtgtINzQ
/tTNLIjSUHd3srJdv83dfDdovPHq1jUuAkyY4tfmHL9/Pw3+04fnf3MjxJ/PN8y3Szjzr4/E84d8
e/9hF/KPv/LbeahBPOTtrJPb+wep6Y/zkGDLPw5AWE8qO3q2IsLgpfshPWPyRyZhHNXh4HJMzsa/
wXriIP5xG8ISxF6+jSDaR42t/TMHJ+qMURbo4Hd20NrPbBfM/aRrSoOak9H6F2G7ZQdaHkAE1RpF
MZQ1qQy26wEJbttTvEe3m9qLT2bE/FjaGPmO9Sh1wxNVDcKsR4p71qUhPwGVa3xuCXRgVpMgTSAd
Lk9Vl3T+aEUFLIdh0m693pavhQzkZW7cYPSgTcBnwCsJcw+3/bCJcyPdUetEc2GDfIUGNnVby+VH
5BmfjCw7wtJIICygRhvTZFubaHToTXINbe79MU0AmfQZYeFsStP3mlPlEocmfT/DkI+XgJMG4GIY
8G/HMzilrGXj1KZ+tDFgPWv9WG2h3/GnOpRUcegdFOiavMy0D+FiJH6eT6PC/rpJUMyDGfxKyf1B
vwqnKq+ukYQ3Cpnkpc7YKyR21vlDhGnRC9pyUXUbOlrdrKDzwij/i7wz263cyLL2q/wvQIPBIUhe
/odn0pGOZqUk3xCSUiKD80wGn74/2m2Xna52oS4aaHQDBWQ5UzoDh2Dsvdf61hIf1QxwpvUJoqQ/
0M59fbYz6wnvHGl8RH0Boekb5AeuImkksmLbO/gw72JMDMpczO2cFi2dn6wkrQaOXwHDHEOeceHg
L6GBU8dNwsABEFNZZjtkeEY+P3d17nT2/UhrasOgm8G576qIDKGsIdI92hU5dESWpriFuO3X6C1p
BNpY9nBqp9FNJLSBDLkSSFjcrrfJrybiy+uvOtMAYEyNDKLjaHZM4C+tNiFCi4469hmaTcuR9i35
6cacMh3JCjnljNz6YajNa6GLtEea0XbdOMEMBIozdeIljhLLWl4hDeqyxZnR9EVBObkseXT337KU
/W+tA1bW+X+96D1+Jm//zNqw/tZv6x5AbsjZ0BDY0rNz/yME1rKBwErTcjx0V2zumTb/tgyaP6ES
Q4mFGstjYrvS8H6rA4KfvIBQbhP2Gf6/f9NE6P5Cef1THQCKyxXre61ovrWs+H9/dFWXOYrCnI9x
MwZJ1mGfsZ9i1zymZWmchjzeCbZtXOOj3kTjcDGzVG0QTUpgsMGpdzMZ1jYTtTjVj75RNYch5flb
ChCYlYSiOtQfsTXzjF76YY4O9M8HY2sbw7cOqc49F/d0kK2MrhJHSzbiHuU3kdc1gXpnKheQN7FF
ZI8n3vuo+zKjoT9Ss7ORSYUKCejj7p2Hey3mO29M5V1TF0BZssnfmnlJCe7LYpMHJRCUIUA5TU4R
XsACNlW2T3ERH0XqRbu0UHjoB/UdYsDMJn+MFJjldESKSns0runV9evAkpmMuIksvGX0Mvg7+ktH
jxDdTc3bLwrkSQvfindR7WZB584q4sNytqdz7kX0DpLTXMKeadnEg3x668mjvJQxO52KmS2Ni/S+
otmJ/A2ACKbLVtrk7xVsa5ZV3NEO7Q4QBpnNiaQH7xtPQLMeAngldWL6F26z3LZTprcI1Z/txvuo
2uq6QTS6aUVyEr576/bRYzwSMTxR94xZ8NXWzoU5BGfm1N3W6gwZitLxDiR1vqRTfpKlep3TvsMA
ZnzNsU8uZx/sVT7+7JbBZ81s9UI4NEnSsodIyjxrg2MNtU8SJ1dKTciAiO/9mZHQra/TbwwueNAU
aKjzEiMlEHYkOeikcUJ2z3LsXhFd0be3ql1G8DHia5WETNG/VXaQ7QszR0HjS9qh5vxYceqB6o52
qEaz35WLGLGKGNXaILytOyI0TW9Kd1SoH07dv4Dv/l7EpbOPbPG9jrKUx2LSn8rIQg7o2/sY3d5e
znYUkjcMN5fL9YB5T23MyAEspAQTgRpcmTEEwSEGXx/afsWNUPlfOpVbJ+ve7XpK0H5N3k6kXbaF
jfsFhlvyadeOqA/DpC6zfK+YngOZCjZeG2BaVNwjkMRypMfJso1EEyJwtDcTTKN4xG6Q+PONPUZH
yy0xqZY3MvMvgHLtBwt7G2XoOeA1O6d/qJsJH6X2KGDksxcUa0eNPbCdAvRJiaggYpBA8k8Awi+E
gprbaqZQqNI62AHHbcMq6Cma0nJfZfXZsoZDZxRPXTxcZE18xWy4OAqL/DyLgXM+HmnCEqs4BVzt
83xT5BaaNTN/TTp17cq6BJc1eRdp411ZQXGt+vqQGzZMX7YOYZVl4LQk2alxIsA+x0JdDKm6sgZ1
JZhB54JWgo+4ayNF9MRQ5nlouxsLYyiuiCrgqS5kSDIkKe4lMFj299mGqvkQo/yjxl+wCOjifpLR
84IZmgboQNNTkUPf83s4QQj0oiqs0+wCJCZjQtvZIe6uN01gHQHL08FE9wqbCwPB2CfPVmTf9ROG
ElsNeoc/yqGb2spj1phfrgguHaWuVJIwMM8Lm8u62ZqFel2k/RhFnHdy5L2wIVNyk6XiHkb4K9kq
EEvs8s5aeVe0JL9kMBwQFIJ/Rpizs7rxrk2GQ1Raj2PSnUHvxezy/JPCSIZOpLjLG5hFnjJOyZQ/
Kbcvt2Y/n6T2dyDVQARTg4dpQyNDllO2yx04dYuZnJcSCYRL+cmcNP+Kl+gRRBqSNYGI3UYcc5iT
9Htbo8qvRIkfY1q2DmJkTKOOeTnhlD72fr33JmA3S7PcaRs9nQH/LoQm9DDTeB8s4xhE9WUQFCNJ
BO3J9V36BiKJQ8ywDCdwMIW5rNx9VOiXojX3fWy+UWArWPwQZej7X1P9PVnueLV4Fb9qqZ0zOvs2
jXcoAC5VDaSyi/rjwkUEXgVFr+uYB+2Jj0XUZzdmzZ5Ryso02TWi/UR5f+7n5o2c3Z1HHDYN1yF0
bPFa+eU2ynzMnqgVo4xewDrRjPu9M3IRmKxHNk8KD7nMFpMcbWvtPdaDOmNk/cxgzmyVLavdmHtH
bm70U4sCy4N1d+6CmzZY4oPlTFgoWny1Ofplb2rpVls4rzE1tS7+KektFUPL+I1nJ+MblQxkO+pq
xzgIaYFv+AfDc61D27UvKhMPCCVyWHXBE/C8VziEwBJZFzYdXRIGaTUhhpACF8t/txlRHtqgxWVU
vbdpU21Kv/reRQioA0ao2zKB9FNmqbuNEG/zzMOLx78BlLtkmIfHnwhbeNrVLiiG79EaiWB6zXc7
KW/SNOjCyIjwFY3RWdSYgpxYJ/ugQgYcM9GgYY9Qi7uMCaXvEm1mcpfVqtwguNhXQ3zULnEPHuuk
QbtiMsoHXS3JAfD2z9C+PlwaBTZ8n0MUZQf2EZyDaHwQLvClZsSctRjeRd0nPIpLh8EIW6NQCZrt
0hDdTUAsO3OnLzBLCBCK6WYmwJ4uRXxl2goDRF9/UUjFOwYRr1OFiphphssryRWShIIsNl5MZvN3
rV+eWc27IDo7SB0SxQiZ6PXEvzCxejfXVQ4eHYu7MmPGXwjhlx3Cvyb5Nffq/1jjgC3kX1AcVN9/
s48eoMYX5ec//73fdtIi+ImeuUAPSdvat0xe8veOuvmTZJMsPc+iRU4k5u87adv/ybGxD5vC+mUf
bf1BXelB6hAWSTi02kEu4jr+NxoK8pdU2X/spH8xCdOcpzQEAsq2fM3X+eNOGgY5zsOqKG4WNzkR
0bNxGO1uZmrYBSLBfoR7vUmj/OzUebZ3bedoDuKg6v4mQYtPl22LTOmuFAbgA3GauvotG5xXci2p
Y/vzvAj0+M5xSWS7yQxmmYkXv3Y6vyNNONvJonjDBk3IHHj2TZQPNWPtKafbngNEyBLWo6Ivnys7
uWTs6l+VGOn8ZHWBVswKF/y0bZC9M+Tb28g1krm6qVu0znWQvpAiLTdVyerkYq+3hoytnZjUzSCr
77JiMOeynwqXBA2fGjNx4Wr/qu9JNI+KR1vPnxgWz50TrMa3RzY3Ky82PlRyuJTuCi4Y5Q0Ry6e8
zxkoJ+6TbRjbpep/nhK578Z2ZANrIKgK/FsnaJF1VzdUydfpRAeS1OhwcCf2oB6PWdEazwFsiU1F
i8BkNEpPGThArS/ZQ/YXpZtDXF1Fe4kMCgZnwc+zV9y643DlDH51XTd3ZmXvC4zEPFZuwELtkXxS
W+DyS1e0Ix4zWyShyo2X0YnQkJp7OYB7COim0jEt3pUenmocJmSG0WQQc3qtRw5dkw135hzhUstk
8a1xLiQSL5ISfPRT7NTH6xjGWoSDmGQbOYV6GB8Sne74/2qvsEJu+6b8BlBuExENFGaK9G9nqg4u
cRtUOKTZg95qRs5DmhqEgJt+vq20D+ZA2/cMTi+nKfruNATdKykfnUqiwwV/Z/TyKiigMA6ul4RJ
zY6Rbca9gXPaTXvnyq1was9N+uhH5Ydvqm0ZFXcFe+m0bL8R7cAmzXIndIuZPNaRmEKMquR+VTOS
NMva2w7zbeUhCKkUGZFq2C60Xl14pKZD0J5l57sSVS17nuETaxBiIIlF3PTql6oqdgG+26vE5Wg3
eadC9mYTnXHRgc1sgd/5HvXkrDHJiqA+L7p9apbsPqoHP8StxN5WYW1XSA63xUAZmENCM0HwscnM
MMB2L0p6V/B67xGKqdBTQREaYlkOBeotZvi02gJdcmXaFlT25sEfOfHuFG81phNziL5HoyG29ugi
uPXvYXAdJ5sSU0TRhZcZhItz0W986e9nhldhS1FFblLWMWxup03atNgEFv0W20tHo4hhR84RRWvX
nvqRAPiMylrj0RGrgSGQ5kEtVrHT2T1GJ4GxeDPGyxuAjLd+lI/xPD5mudgOs38Lh4OdUYwBZrLs
lH2d8U3z6Nv0ubdLln6f6FGesITSfhO9y2mnB1ka+o3zqk+MWnZVXTubDDEaqF3n05q7M0rS82z2
8G58Xe6Yg4AyU0dg0C7ql0JzupgX6MnzNhq298ZqpgcwjBUzlF4caMthmACaF05jXm6ngSuQv/+y
csTU2s3J23XWwjs37pvB/OwKLgkYgwrqo/dUt811h9ARuKTzWdckLhnTvktnuTGs3NmVk4fnVlDK
mUsLYpZIp9LhbHPEL5uSL00FhAKoL1+dImcPYrAGx8oPkGOge8p1fIwcOR8rod8aqapDwNLoZGrf
2Mhuk8Q5L31y0+VwGBmc+luSRsA3FhO4weoWiQIoZuexXlgrK/Eg4obSZmGWYlbeW0zGVS0THGiO
2k7KlBvXHJ4MuYgQWQOy23RMN63LRZ110esol9e2b+6TzomPcW4wChPDjqYIIrN+eKh9UWzbjPNr
I+Lz7ZaAebClyDfb95QoHc0qXyXBDQvdgZZmsbGc7lFH07fM6p/RGuNDzYZnJ2DkJUDSbU3TSi6X
VYmj/MQNdUKtXMUNHWFho6FPH0ppH5YaWU6UCQwCM8AfJm1uHqShH6DTsWvSGFvr2yjvpu60RC+T
unQS+66EuwrP+VtK5ajsglNT0pouq2urRilV56I7wjb+hDxPiTwHt6OS3NrAho+Gq3OmgIva5R51
v3KcbRVMVzRjcTpZoL9zll8FKleLh9KVl0nF/hCxxrPXIw01m/7UrNRHah8XgGyMkdrRKCXyKlAH
q2lXDLN6Ri90yPM2vSoNlv/FaM+BRv0z6iHb2xDzUJjbsIdqn7OF/Huq4xNQQCPs5Kr3EARBNBs9
MMajoPr0VZGcp7LfOHXMiu09p5BqDi3WYtpGzaKvRWKSuQ1CfMOwUR7J+NkpFcEAFd0p6hdMunZb
3ZgLZVWE1e9ixNfG8MD33wba9odlni3WY7/Z8fBI90FDurwrzlbtXrAanWTEpcOAZNP2xkI959jf
oHCxQiDw3aCoPCaNc+04XXwsE/PT1uZnpON3HjnpRifzUZvGtvC9rUXsmt3zGTtbADOf8w+6/QhZ
44SRMAylPqLwLWP5kszFeCCSL91NbOIh6SCIwWguR2OFU8jLeHX8vffmSTjRfRZ5R8OYrGvVeiB/
ZybVQyHCLDefOPw8xUX+Wc/paYS+s2dKcoea+JD6DDeJCyn35WwyGm9xk6gcf79oppeyn1uC9B5c
B+x97j4VQXOLHY9MtSW7mBy5By58i/Gz2HQQFkRfP3oop1hcb3ui0EJAVDTRUG8x19mzwIkDJhIe
2aK7LhPMYN4CKkOSwRekxQ01mqbLlxB4FGR6x9iB6wFr6RbedEI/rtsVc46QSzrIZyvrbelQPeTT
dMDAwOLso3odipe2ra9mL/fCqjB2AvWXO/mgwNL9OFn3gAMuuXOPmHlRaE3J2sSrw1RhoxM8ajNx
paL+MsqrZ8qflynKeEaU3nNnzedq9sZwUoGxSQ2GE4EbfyvInAoF8odFnTCanOc43tdgX7eD8kGZ
1TyjDfk01ON5maFSl+o9d9xTkwkqJFujIQU5q1tND22W50L4ZSgLFkID3IarJINR55hVyN/M5XJo
bTuMXcx1cpHPKbzXWxsQwzbufWNjTK21HROUkSjP6nBywNK6RanDuoPKBCvn2NHZQ2yRvnsTexh/
Hm69urMPQTtWB0DR3VXRtDps7An2DLIDxvIEFEbGIfjFkWv94s7FnYdTV/bGSa7mXZlUF8Evfl4w
wnh7l198vv8tw4//4XPcf1aOUZv8TTmG90P1+p9UY/zab9WYRRodtRZOMtOxgIBScv1ejdk/QWv6
h+7pt6EGkxDJ7MITXAAMXdeYk38MNfh7JruoohCVQ1n6d0ox2uo/zHbZvSGiCvBk8gcfhXf6Yylm
lMUsm6YrbktRO865Q8CrWMIVAqaNrScrwOUyEntJC+WjGYufkfsmh5nOBM8kVBneux6nZFfTu2gB
sDVrM6P3yWscHA8bEY0OLKFMOOqZ5sfaBoGNAa55bY0kdXxtrM2ScaQqwoN80+n+u7E2VNxg+u6s
LZaEh+KwNl0qX13OaxvGDtKzQV+mNSv052urJunluO3X9o2n2++Q8qAHDu07OsP9UmQaf5T/btD7
SaZebEBFHT2vvy6XrAE6RJfIbabXiSFB3mtiQmgk2W7/gl7bOvBgA664dptiRd8J1i5G57UXJWhK
MYysDp1Ln8qnYaWUdVM5VAbJYj2YAjcVlPa72TJPhel+On1xYEvy1jlsAiyUvi1Ssdm3Ltug56eD
Y2G2LwORm9U8yC3T2Zeqky9BSsZltSUa6aMLgo/W6m7aRT271fyROX6xRVWwbNlL3Bp8WHZK0xEn
DWtez65uMYZ4rzP10Cn7eqiN68VuojA1lYX9FvCz2/jFRSq6ZuMKqpfJBCDpUgSjK1rxuIkXxjNG
v0TGRA4Mct/E+Tlh87nzu/lJdsbJQg4OF6k/+SQ4ID6FvK6dIESs5V+0dWkddL8a+FPWshWlUuvc
P2Re0m5TE6mRJHhh5w4WYjY6R0S8W8c2nr5FvrfP1XArTcw2BKKEhhE0hxaS+ozMYRNnZLqSvrqZ
e5TVzrSgiDHbi8JAg9VaRnTgRovIVBkvTc+8TjgV/CT7P6O9l6N7C6TrIk7B40grPThp9VT0zjEQ
M3vgRT71PHTNIv7WVf0ng0gD9hI8BnegEzE2Ab7tYXlh81bDS0FU49XPxkDsI+aNJ4PWWciv5mSa
Gs3OHrMHjYFzZ1uS4kTAa2RMgB6vPkMeuckcHW96PRNmW01XA0SG3ezTRPCmIuZeIdcgrRQxJ1lw
nBhsozFs57c+qtOt2dXR1m7xENlZ+kzag5dDte95RPmgynbca1vHGWkR915/KDuyZN2pRUkrrCi0
K/NS19MZrOOyLVJlbxfDuNMjTWBdko7nWYwgSh7S2phpTtjIt+Z4gQxWvWVzA8/UNh8c+2Ro2ocr
/DBu7ysP2LvGjkRjHzNZ9Y2x/ZcpTFohnvPVLuZr0AVX5pRf11o/wGaG7NkZyU6yudrogq380L3l
DpN6pS/8ajnBhl+LQLbSXHtYmDonbH39ZXXtz7ExXE5Vf5fXxAKMabZXZb+Fznm2g3EOhUnMg1tO
1iZdeZtDgKcB5vxXbTDqz+cJbfvsvamm/RkIHsIsipyNVTFBmTFMnfqB7XHnGj7lpfPCqtvAHKAr
Pebyoxe+Q96mpSgI/MuOpL9D3A3DPlmQHUQ2bMQ2vpfJ/AZgCZ2Kkzn7vulyZG74yjunOcqCzQHU
N3gW80NPV2hNJt7lczJtm0zBlCjdlpuu4pbw5RmnYbqr5ogeql2GzoC2xTPihyhybqo6eMB4dLRn
7TOzIGuCuFoK+fo6jkWzZ3ORv7QTxVI0jVcGgJRwwKWGuy59xlbNJnCc6KQFEzhXK3nHIgXgy1Hs
tMoTC/q9dqrx2JgFrRdruKtp8ZNz7G5HDLEHNulxOHa2s3Fl9Rj55SmJqFWzJr/qkvFOrYmhFvOa
SKHE9KoW/kQM734cxwdXpv5xKYf3rqJhENQt2SCllYQYJAwAtsYXihueF0mrCOkx7kpdvUube7vJ
PRoURH2FOTs1Og1LeW02AaPeqnkRfhHh3KEaQkcjN7aF8jyhq7mtWLPdujT3KcnO+7yv3ocAdlHN
hQSdZK+J0d4ITvmGx10L+hvxej+b8Z6GJ8eUSuuCcQ2iTYfASWJAuGlcmCrO+JTo7G7imRj2KdHO
yqVCcD2g1bmhudxwCm+xjnDF5qtY1limbeakZ/xjFRJdj86POU0bI5NPbo9LptTf3cq9TeP6cxa8
HOEbL+uobzO1dO/kUF4JGwKD5y4QTs1543nl0RTios9rEji0Newy36xemjzNL7qleSI0r9nmpf1s
aOemV/13jDZkcaZPPOzNS9piTPz84KJT8Q1Wm8dgyY42OR44Vkl7AMvBCNmZjpFrbzzM13QZ18QC
BjBby/M+1FxRBbUV06mqXva68u9FVDQ7l+EiPra53NU1BvExH6ILs9Vv0uBi6JPR2kMgJAGIuaMf
GcQWxW9t6hGGCwl4TutD1QCRKr36tsoA9dJYJR1UuB91OjsQSNSrY9LwSBt5i8T4W+XIA5aQ+bjE
9ldqMjy2AdtSXLUJAoUy2UsPxkQvUWSblebySxF8CqWDTbOIVwk4NqBlgeeFE9uSGbpNNFLc1MNJ
Lo30zSytc8bkK+xVlDJIqS/VmHOo+/agF4cYJ3tVUJrZMY37OVQ+LSOzZx7YWACJK2qUncRukcR0
Gxs/bvejsE1KmnHc0m9klLusq6okCCoWmziO3LBojEdMgU/Mtpk9qSCspvxq6ATTlgEZa4xMdGs5
yUMvvWYHouJiiIeOMKzgySmH2zifghDfBKqA2hggk3A/2ZAw59jIKVbLC2xi2EzT1KS91b3XcXE7
kwgcc7R4hKTHhrkzA3z1OdX012r5JU3IlrbPQwC7PoPK7Iuku2Rr5dbHqNtLsoGnjfbcj270Do0/
gJqNxSkq7XIbLDCGZ5k9xwXs5GYGdOsPyMWMAjjmu+kzWgoKZ+M7RrURQ3qq3VaE9ZCm15aqYJnR
YfL97DU2XDq6U/oomC1t6sG494qAlLOClKVgep7Zc6EGWEicqKty1/Tkr2oXlmKRNXwdp1GMwltn
B1Dx0m8QUfj0OzOvQeE9TV/oGZE5gAgln8jeY/h5qVfefNKKuzwuVwKKfcYPRGXn0g8dsvpBKs6R
i7OA7eXMOt2W59lpy30rHeQh/QeMQfieqn9uZqS8xWA+Lbk6zTp/tByD2JuOJdUz30fSWPlgtEeD
3pu2jHWu6q7dlziCNyCCMGjWJikEMv0M2Bsno6RensvPpWhPS4D4JAZhZFnlCxUzSSbpEw7ILOzY
5XkZSx+9iyFMgsnDFk2QSzN4B3NuvyRZxazB86tdsOcbU8AvIEoHr7yIomibZOVb5GfvKWZmx2lO
herFNgaKGI0lT0obPXKDiTkRu5n8CLro1QPT2mPtBBcB9KbGTG/7xQ61Ar+i7QR6Y75T7UhSV3Ux
qDrMXXO0Tl0qKFBjz8ru8nKRL6T0SP+6MeDf3eVuX49b7UumEbXxa8TC/7GR4J9rSedvVXX/P3/r
sre//sbvlScpsoQusv54tun8ofIU3lqTshsLLJcwTVAnv48BvVWFh5INyPB/ItZ+rz1d/smFxeJT
k3pr2IPz79SeqzLvDykl68cRjCcdIcUvDDV7ZfX9wVfje6MuuH2cT3rTdQrvYIlsczuR1NbA5O1T
S39jAEYZ12mGRiEOC9f9mMkt5hGJE5RE6BoqEt3xBj0dsAwSFylJfWZ481NrFqQ644yo6cKQkoX9
BEyEPTbwJe180KDBMX92+G49r/aQvZm1MT0lZNq0dJ4H9lNbduvKajbLAA7uYHexalY4UQqSHO/u
bJBCXiJ1wZKruyQqjV8pQf91pAon+k9Hh8RWHt1EhghJpDDt/z8fHSpAUfXd4n7W3TQGLDSxt6K3
aWPa2TmIXXzF4SxUWXw1slX6ER1KwEdDJNLyfWDOxPPTH1obt7/OZ/8YkPtDwgdwHezcCOEcNCm/
uq7+/JHA8c9F1bXxd/K53excOyrOTjwika8dEnywNOMLTyVs3skV8qld0rlmBpqadZW9VXOnIZB4
g2ukp9wcOzPZLVGM4HoBzAB+oO+XZPmWoHGEFELTspHXy0KMd7IrIIW5zcZk7w3h5e+/1Nrf+Mco
GnEoB9l1gsA36YNI7oU/fyeIebMyiLv8NCdDS1Qkyqjuizyqltu/fyPuqB/eyKa74gTShTzp835/
fiOdF02wyDn6bnO2hb2r8yijGrEwkr3NNoljNxMAEjshtc/NAcvUoFzH+0y5/zJDlzn+j58EUYBt
Ig2wkczKH1o+QJU1uXyp/D6C45MgCnXa9xsm8oR9neJOLq78dw+ya0tsCLSmBZYF9EZ//u6GiA2v
yj37Ix+wVulto2uDmm30l0j/q6yfPxM+1xPKwkUvBkq65ZM68sMJtXDhZLVyre+ziDvFeE7nXpJc
MPPkuovx8HOIc808Otj9/Qn+y5XEdhw4E//DcsGi+wMU0m7zrg3SrPuYYVL4y4ZRuz/eRxbpoP2/
OJ4/5C2tX5IwUwt/CNJeFm/zhwOaVuCmp9Eqvnf0qQvvqIKofMqtnjUq7D0i7+qbOQCKWFxVqi2l
uXMRdy7f0s6r4XYj0I9mfPVpVAR3aSrRTofJWFr5VTZisNVAvR0Unce/Pz5/OTGuL1wIX0i1BXbN
Hxc0AT/CoiNWfpS6x0zCVjzI0q8RN4C7jrJlZW+jYqzIj/z79xV/PTEBZ8XCDyOwcArcMH96zkSG
MGc0Gsb74hqAeMMAgAUbas8nkc0MIVNbhA9ym2TeG4O+GClg07Yt7fnCmK3xURXL1JaUmPMCBrEU
abC3ScPUl26hHeIh//7Tcl/8cHvyAT33l9uEhizh6j+cW5fgrrYY2uo98ZXFrZj6ul9uOzm3XFSL
Bh4wHoKu7uQ1YEHF3dSVDn0dNIhEnSTg/tCcfXABFumX7EyODI8/J0MXMAqnSr9+XYCdqGZ1AWPB
4Ip4pYAc5rHwMq5UkC4dZ6dsexgU29IWI2ckKVCudTujSxgrbi2S3Mi9JJVlfl009z0l9bxEHAvK
DhiIG3NhkpTuLadxub+bZFLzLcOgtPiUE+gjsbERqS+33P6B+0IgJ5cmkb0pn1HUaYAQQZSDeMm6
qqZbMsg5X74tPTzxx7Ft5HjPeDvnZxOk5xySJJEV58xis85bF3aiMvAFKPS40XHzV3yZykzThIZo
UuJvJbontfhJKVTEjyBx6AoYZCPaHFSsXsHDTDdzyhLctZhxyMOOA97aUFPAjy/0ZHk3gwQdYJxB
pprXxlfuyJycVLxz7sB8OUwCA+xl0hh6OA3zMHMtzX60rnxqZPN86Y9dwsPSBFnAH40fWdxtDDJ7
8mArp6wzis1fvwAKk4SvWnpmIGkBmpHBAXUpWfVlR240i1heeCZcJTq3kj+YcGIVCLs6S9GB/voa
Td0YQLcpa5CKc8lV04z4fHE5BjSdNW891wmLo7YrvlP861EFOD5x5Fy/HviBaeqTjATGdiDvUiTB
+o624bFrIzNAclhq7TV8PRb69XJBKM1Ty84qDLG7NJJpcV/2jLS9PaaJ9XKBl2txT41lEHDVUJvm
nDN7NnlBQiVE5CF77TOfjqPDTBu8wjxyDKt5TNdEUxZGET34OSqudLtAPc2nC2LPxgwBzFKue7dU
zFA4tlqyW+RLpLBF5nNjU+fEu4qIUD4xUDNWAcTvNu5XoA7Rev22NrP2Yhf7dmOPJzBaDq9SaVr7
PT0ebCu4xuLe49nVWhUW6FDz7fnLiaxn/nCCBGN6iPiOW1D7TcaVYi9SOsdRgj1BflUof923RWCk
1HVHYof7ogaH/wgDW3t8rNQJ1mPMqIUjOMzTwOFcfEq6apuzBXSOKdx8jk9syvUSXbfW42O9ctMf
G+Hn3MAeVgR5zdaRWf2O7GHuc0aXy7p4IA7P3siQb9dbGv4XL9qajuBMuB37Rlo3tbDHR7KgLY5C
UjF61Mdxpm1QnEeylXjBpu1aPh/2vnWAiaRZtT1kVyzq7nH2c3BntPgfkacRwbSlfeqtK1OSA4Ha
02jYuwiha3vfZzp2zC3Xdo7jazTr5dbVeo1D9jvfkg7a2gnDFhuFqZLX0qV2bDcJhugGSlGUAvas
RKKibsNefT3DkDY0cegW9zLmNdWZpHJs5haITsdMvOuM6ZJYL4Bbx8joODeN46vKfSs7UfJlyijV
cfUQFE3klNdVVwWEHUlTORPkwLZiudnRdEh1Q0LXUAUBPCDpz8jMLAkJLLLTwaVL6Wcss/JjmVzD
ATADZ5zvHGA3XEjJarFSJPFVViWD8K77md44F48ic5UrsZ90U+8zHa3XpTnMHdcQFIsmiy8r5m38
W2ONQyuuF9dmqYQrxFHaFtgV7HIzmwa5E9fkkRGosU/LBqzqrmSwyLOg0gWT/5BUgnUVpI8ScOWa
qo76cW/29cRPUsKAGdn0bbSuS5kJef0u6NN1R5iQM87yVDuz5PhB52V1GDmK3AvC6rElMRlpbcIk
OfuNdi99HXOl+3m38MGT2Rh4a0fkM5+f5ZLH0ahrj6c89IGaO8938vUh2/dDw+U4S1fBo/H8VrM+
aD8xnJvZ1C3SEZYo5ut105d8JdK3KlxDeMh5fxP4vf4o/IZq5D/rEFb99eBMVWMTJJy1rKpEUycp
KCksFMuC6tEn+2LbRFMZ7RxUas1DBDdXX6qKhz/2BWRafGIvJQ9g3FcFas30P9g7j968lWxd/5cz
5wZjFWtwB/fLipZsSZY9IeTETBZz+PXnKcndbWufI6OBO7poYMOAtgL5kRVWrfWu591l+C8xeMJ0
ME/w57Au08l8j9y5x8DFG9oEzqK2zHIPJ41NyyFBzDP2JHLzaUMkGtvMTytOmbl+GJFkglfpSE0+
jGUXTXWOVsVILRbxmabWooUjMRd3itZcrF7atkmRtVR6zA+iHmkY0yV7zEUbl5Z/FXGn3raudNp8
Tllz10Muq7r45mfF2r4vkaG1TxOAyOndqqzCRl1OhvxCo9ejFyXMKhVAmfE9vxsO0xSE43XbJNGM
crC0S+fSK9hW91HYj2jNeUdk8mvcYbANoC239WF+zXieENKv7UR6yscJndKxbq0FIx3XGfwPggKr
H9N0gQeQhVrKXbBA0IrPHzFOo7g/69HDMxvlCvN03am0WDEPiVyo1RczkwONRp9fTbbt6MOoZOzt
8Beb1zuMzJKajU/08rxbliHcIKl0ne3isMJRIox72GhWjakzMjzptogzCorAWPzsmtqe1gtaYGz7
6EwO7p+RnlFkbXpZrEiTIi+wbnRel/790KGRoh9By0U3ewWGcL6j9dbrryxKbdZ73/K7Fcd5RvUm
aIVo71c5xhVdXKRxW30MZ1DtmB+NknYnNQPKO0YpgFMYpRRzcdjBm5NMrmzBhoVfnDILq28JorBx
3oFoX6BlZ4E3kI2WupYbl9bi3j72UdUE4Y6qV1CQIy8pMlzD3LTy/DgKTVibfE/CCtYW2tcwH1CW
ONQgVgHBqvesmO5APkwGQ/M5+oauFgnnPTQ2zDk2U41GGbhY6ZU6uJ+WANHjTkdTG43EUzbF2NMy
yoBoDGQGE6adFxNrVlabEUG13jyabUWxkDC5m9CEjy0bONMh8YVZ4UrouywlqYU9cHTIlgIBkflg
GgfEFYoQIWmQNCNbT5BAWyQlVNHjuNLKIvmbhyGoTfRH1t+cHGTmrNzt4o9loY5DU6biMai6iltx
tCVzGtKsnlyDHpqAZTLoOiL7MLd4SkcAwETBuGObKFotk2Yty0Ks5aeLyJqgrOy8sgMDMTqVWD26
xF1oGqcK2T1rSjlQvMfR0Cpg5sExLLFpAtBWuOzRE55qhCYYY/c8IBoBzc6JQS7Q620bw5d3j4Ok
i2f9MPpBw/fqSM38MTuDY4/HTFC33D924WadzH2k28WWfk582NAY685pn1SrTLyqopHVBkZlK75M
U1PVB2rcsrqM62xkW+y1NrFUpaUJWeCYmWeE46pAZDpYHYz03VQ4hiHMfkjegFaqaObZKhtle3nF
Gr6YEOk53SO60uxSP3cw36l5jnltm4yFUJO5e8cDVYwfZuxnqj4uacmhoxjg50AjYV/hDgbqwAyf
fzyJtWEKbQbtrUSkErXZeFeXvSjpIsPrJaQGZxVmKKY2ccD7oJyj4LFoHXJPL6+RDdNxHjj+Df1d
2EQzn9jLKod3NFCzcNrrKs4RqdysU2ZH6tOYyyDDJxvcXIkzAOHoeLdK10SxMElM8qlthzFNzrRd
maDCpkWKEHxyF3OQD0XDYCnJ1zkUgya7lT2djS5RSuxGJpofa922wcnWcTeGN8hj3Tq9FJG0uR/q
SWYeUF63+ajY9RFsFZ1vpkgDRIGEFxIDfiAafROo4YtMeNhAEKs2XjSkjQuwTxbE2fHL7pqMY8ym
OdQTgerW8yjc3gmPQsVp7IUZjxF+30TWQHA5akerrPiC/29+mqikXW+mIpRsl07CfSGmTKQJDaHh
xiaY97S525fpkfeA3+6KYap5qW3HwldeegAw488j6IS0PdFPjVkRxS3GAu6ECzEBNEHEdrzwonJV
dVVO0En6XVx0oTOc8wdKj6B2qtGpbAdrLLkWaEw+gq3H1CQrKITS6jHWHPliqdL2aWwHRLObLh+0
kTdAovAu/cnp0WNGgcs4K22EKc0m08B57mz8rHghdFQQXnLw5D33KNPpcphczk8IsJYZu2nXa/Kn
MXFmHkr0Evl0sT0Sa3SYkPFp4a7mBAY/T8ThWikCA+rSNqevKm4Qhx4wISBxvFiWNX/1xoEWY1gG
kO28RCccR0ZcPhGchkJ7w51YMVwC2D9BErqxEjouiAlEaKKwdqYEhjmEak0gH+ua8REhyeGt9SUJ
3Xo3h9aqoACPQUWMooJ6feCpmxV3dRqOe2eN1NVEMW4sGU4i4PKk9oCC8mc1azItCDKY+wSPiJmh
f3JCB57gQp/f8vVl6gF7NKFVYZWKotACJ7Frdv04dmZgVJPJH1mRt5ghieJ7qt7Z/jxXDQ9kNSfu
AF4fD3JypJninJZjfSVE7hO8LsARj1FSzcOtmOXanYXD7BSnsHM5U7CxWT7xgTfTOycPosgp+24V
VVjWqqypTCSKdoBVfDu9nBrnPM6ZpU02OixSBPyUHjsyV26xV/FoToEvB4siWs1N1ysd+abLUixo
8ftw5cTrj2HGQOeQZDP6p6SqeKWpM5hbH+B6Q/ubkwGW395CNp9f4QprjugojxhRi5ubBavnNVrJ
ds67FO2bsNJupTIAayl/8tBz8QeXl5VDzZ0JdEuHYnP+hxzX/5AzCskJKs+gDgKcZn5PcSEgCqdI
4WM6R3Tgp0B3rSIJdli9N4XadEPL5/3DJV9n1UhTAUII4B34jhsSOP1+yUVXVWj3ov8S4I3BCv8y
NIrQMpndt3Nif78UNAiDnzEFI0pTrzKrbgJaYCQ78SX1I7M+1cL3IBfPLNasXW9f6zkb+GtBwCF1
LB0vcCVMEmzwXmULO9vpiqnIvS+zVw4cZIakpJNuG/R+wjRM2tJhL1xFzaKBYVpAvXUYi4b+Fd27
nLvJQpjKBgYwJsOD67lZa3/WPqo2NkeESgYdewJEr4mv3r79vz0qWKgoTZVjexzHXdt8/5ea2owI
s48nGTz1KUqqZM8GZY6FbK4cod6+1N/GHBJVpKlwhhR51fB1vpswKnUxQ9BPKgm9YTlFS5hND84q
zRQRUTz9cci9LqE4vBjDIQq4ZuAi+fv9w7UNsLaY/P2T9hOzRvUzk+0G03uzQbjK7FmRIt4nmFj4
+nvhSrt9x2pXBmdvf/bXj5mqaRCYWgZlUuBLr0ckTQ0I91TsfSYnwdFxSRKyVFD0zXH+7Su9fspu
4Nl8Wg/JoqTs+jp5nRMYhh5U8M8QoSW+bLowR/M046R2GhPXRI1vXxAr2N+qQ25AGSx0KPIGNHuS
Pvr9ISNxWllMlvZzCzmfEdR6kVnmWBQX3mvUNsWMmQD09URtgdUl7Ixv34CBufx+B4JBrGz8PEDI
8tFfryx4ZQHTldXnJqH9u9pTy1rzPVmPRGXHl7BlbBMTGmP4btbvn0lxK4BK6uFf01fsC9PLwymz
wKR4SP0vZiL6yuO0sBYh3nPEEdMLM7+3wgl+Rd6zWsspMJslLS8QgzETt5n4iMyooRsdxkDyyJna
eUL0lJOiM4SU1O3PUkrLSGjq3DLzvRs7E3ZZrSs5xXRpY7ZzoVNiG9l5ZovXutXclnxJ0HeE9qya
ee6aoCkL++eIz3VMsAwKwXQ52V088fzDOGvJTLrjPJokS5WTln378f9twEnf9W2BwbByab19PbQB
tpAMttflU500HjFrrCF712h9ehMB/ExZv31JM29/XXLNUotrGzWaEC2AfM0Xo1C2IJsMp08qFibH
OKRK5KjfkJBY13ZncwcbH8dTDlGzE5mg0CpKczdv38brT46SG+qmYwNd45/wufz9y9pZiQYzFbdP
PtHKYZXnadn2gBbgSLWXbtdfv32x14PcIziTHpki4YEu8oNXg1w4NuAW3XWfYX5m60OAmyzDIsu0
iazevpT7akrz1+kvgr0pJJU3z7NfRQfxNNtFUY3uPapgmvQi0pd9DIiI5D9mELiMMRcoeOP8RnJq
6RmXc+ApSJJ90Iaoksiv1xcceUz9Xk9eQRzqrGiN71CGckJJJIvA16TOEpPWmi2TBgh7AbHhbAyF
SRPnJdWRO5pBPT6clQfsRXEM5ZtlZYR7zqnKGdAZA21hHS0OAPxj/+rth/DqefMMFEc4m3nqS8g+
r59BEMS9KsUw3w9lZnbmqKZUARUFhur68PalTA/9r+PZvFMWLwBRNHuQ1389nqdak1N1/OgOWfTz
tRA7iet8bEyoP7DUswS91N4LRDo8hcqwYbHPePmqHQeTIbAmm4cb+NLkMzkLalY6t+xAoJ5ZkOmt
9bJjqiIbM+by03HxkBB6+xy0NodGINEcS34W/qgWmSKSVWQuc2cN7ZXvjfTf88LXIOMq1nN1XL6k
JkaHDGi/s4LEvMnMIWpBLjqy8Ne7vsV5mpPRSwmNGcnYzah5sO9FEVkOw0opJ1Igbz/S8PfXB34Q
rwk8vxEsBeyFwevX1/AJxtDW0ddi9ORj1laBe3Apj55g/WhEiEXSHzCTUbjWpBDjtB9Vp9LNi4cx
Nt3fVThUFE1BuShrgfAtkr65jzi/djfF3I20dYdQTVKV3ZaU2r6O2u+A8LbwRrbUcsS7ESbMBUJo
UDNLnIAZLBPo1VaXeR9X6sjjOb3QGZCMQtn+jqxh/mCtVs/hwEi9t51qb3x2JTyeYfxc0aZCw4pe
mj018eIBnL5/DqaJKkFGwzBmUPlECa93is+oJoCMo+zEwmRtkDh7upV3Lvvzk05qB/PgViSkMOKu
O7pwyO4m6Q0PyPch3Ic2WlwYh4H+lA+q+1ZYuv1AQ15HWBQNp2wesgNlgkXjSkFxGcC/ontk8Mvx
vKiwf5nUSMImyWg1AIZG1jyi5aCf2vpuzeh7JfxEy1tZlr+1hX3r94v9xV367rMjV/8+GfBwTGZR
XuSyA1CTLukfnFx/X6wZEJSVWcwwvKemT6Dwak2rSf/IJoirb7yv+QYSMHxCUeBJx2uzxf0fht9v
E/rlYhKhnNnmieFeRyTR6hPatar6JoBzoRGa7TvMC9xuU5b51eh79LDMcW28vD3Qy29f+28j//lj
otWhZMMi/vo8MgSdqnO/Lb/hJsHB1St0DvPdcxC+vX2h57/0r234+VOC30OfA+WDDfn1IXKGH+XS
Ypt8c6aaOeO5bBcbKLFOukPpKt/jDxO9T7vIgnhTBErvvFGnxXFMA8yhcNJDs4o34LtWtOq8shp5
z37bESfRifCAQBjnoL4q9cbtHf/WHrPqRzl48DVIz96O7uJ+VBnnVJqIHTBgcR6/80pjTmTJUpC9
yanFOZMisdaq5VtWx7SMNUN7cOLAfrLn3tuuvL8/xEKOGUW/PRITBhAG8Vw89ujXIYFjyW72w2X9
5gPz14S9XnL06qw4zev8VDmq+ORZat4NbkzRo2ktgYHxAsD57TdjoIi/34ZpTOFUhxgQ4RjGuHz/
l8jEyaOS8kEiv8UDhQPSaS1NUGFgOL1USfrd6JfzSZY9zhippUuqPXV5qslbXY1ajD3Ne7H1bnVi
+kfWhcRZG6nPiH9hfbe5dZUulbxcvOUI6sS7IwdavKvxWyRipTC2bNd+puyCc3W0lVrJ94SNY32Y
/PTHIrIUaqhOjzmZ4lMa43JVBj3E0jrqhi9LkQz3NoY1t1aFZwF2LA7mrW4PrBXr2fgOm4IE3/rG
5gMks6M2Yx9TApBZk1EIYU/8AFoIQ7Zk8T86ZLUj0wEWzH8Y9ubZ/faKebY+2QXJJoVO1jXz75dn
O5AS5r3L6FsDyejaarzsAdu0ZdnlTQVVFN+DPx3pnN+Fr0w0yEtGdYseyUOCZ5yPf72kg2MbbEOd
fc905kNt8kDARsNiXZCozA4UIpBle0HcftMAJx9SyFFwApV9a43KO7w9tMTfhxahpqFqhq5Eifta
DNhOZdCFcVV9j2cKDJzb6+hz3a44Z4Ejg91uuzRKDuBPcLkCM4LJU4KxX4IcdkeeRCnYkhbdAm0t
5GPaYwhF6pcUemV1yVUu0u7UeN4MsiyJz+JAgvuupXInKGOOm5DhtEvgk7TBQKRaA33EnkkfMuxC
r8AbjfzAJK1L0SXLzTJPbGdZkOpDPLF7b4Eb5pclZV4iSq8E0VE0BX4745RRw6Xo+QC2Y9kTi3Qf
eneuzpKyMHRYmhxAowPIW7eCrN+Np1I87eFh19gqz9SVelEU8bZD+3A1aRquYaRoga42dGvcsUI4
ZUdbxC5+GnX6iFVH/8NP3ZRUz5hFf0p8/X39YaQoRHNI12hU+Ftez3OphObzlH8HmGrLjZpoCkXl
YZwNeWXGCfvb2tF7IyqLRtxsotVEjLr8wxT5nwZsaCTIbH2h8skN/D5gUUp1ZbfK4nuEHdqwe34h
Yh2SArdE0R9sOsrv6JMYDgvUxr0GyvwpCdtRM05W5+7tEfsqQfc8e0Lf5JZZOtBavlbsruUw4WSf
Z99jaYsPjXC699DTrZ0ksXvBvjhcDwW0C+1X5VkxezjiVpKNDJDyfJPKJESQXNEkl1qDB1YQ7cAm
bNL8wx/u8vczgLlLgd41YIqjmeZQ+eqRjSVkQ0WTxney3k1Ml5Yb0MPj+thjdvZ47Yoxp6bUrSLc
hW1Q/0hWW+KLF7l6Onqy7h4CVdA/I6f83m19es8GdgEof23B46aNdes3lHtfXvT/6w6K/y8Qxr91
TSif+PJ/b/P/v23KhPq90eL5V/7RaGGrv7BRg0SmONP7fuD91z9b/KG5E7qhC5akyQGLuf/stPAk
mHZ+C70JyRa+wz38o8ufTgs3xJdWkvMmD/dvNfkTpP62xwUYhptcgwoJZhxu73UMWTay6+ZcTJdO
Sh9dw/F8ogaM7IOOTvui1mPoloRTkgr5MXfLorQ/9kSiDqdJXXZ3bun3K72TpOZd7DCzVk/ZVo5V
o8MPKXqUTvSYZ1UUTrZ6mv3q4HtThfF6pZZTZk0T5RHOa245nrUDiZsR2Gg/VKDKq2LJMGbHtaij
SVFXcOKz+ZwNZbTPslQsV4sfRXdISjUBpXi0DAGd/m4Zb228EDGs0peZqX+XnGZwoQpy9y7BD67C
9mMA5ImIDBoxC5HaTyQbpl3RrqDERCHm92s+Bk+2dlmzOf+MV6mdUMFzExOdcADHMFN5sV0cq3nE
jGpsDeZS1emZwPpCXitKgKgsFzs9NpYFq1cYxHz/TJu3TP0zMQh6bQhZ2TOXXj4z6is/o6e3NOh6
F6uYTwi/0Fs8k+05ufS7pOvYyGJt2PfI1FYylADxs6AZH3sDyY/WmhJrGzca57Ca1CMHwIAP6j/j
9Sn2NpdT4BTHzhUtvIKctuJYNw5l/fZyQjOO+bAvpz1oPnx+03wKzgR6rgeVLfMlcZnqjiSWGwhY
HZZXm5GhvrNI7du3jcj3LmABOAY93nXwSWdSpFkvN2kHTG0LHH+U1MZ9jFPsweckLMby1NRRsqPz
ZgjxkZ2m/dRnuBrG7ogU1+0Bo7Wx1sHWFFx+yCi1n9bAiQ85ICLES1GKI2LlL0+lQ4PuAe/A4DjU
s/7gVPgHoIkpHpH1ik1kk6/YamSZp2JMYnrVIeqA2G+JytmMWlSMzdbYszFonNkZ98SYzWEZ43lP
tRvHkKDRR2wDkNY0fnyesHlJiGZljmLJozExSIbim51Z9VlvbFb7UpY7sqfRZ2YDzD2aTdUXdOuA
p2nqG+Fy9o17F4ExOJvaUh4gAeNeoqqo+xD641cbdeBuXEgVR6ioShx+F7APUnvldoFRpraxCB0s
TUgJgN3EplR47hG1sABUwV7q4GQJL79zadbAB7S5CxDRXTdkdL4UfRnthiZeHmjFK0/RGjEFLctW
NORbK0I/bXXvlnqurhtMSaZNXxtWHyLYCLhabiQAUX0v4qZHGaaqs0ql8ce+KUoIbX1UvM997W5R
9unjCM2ir2nha2VkuON+bt8i1Bm2C3Iodagrn/guDBD1XGgdZsgOe/2uLSN16IRdfK+cfDlrVFdv
MdfNNlj3Khq8aatEb7mDOIIpQJgicy2ILcFcP1G1/RgUbbCFi8FRS42ubPNdQ3xMJ+xGN4kexM2E
z0zMZfNADMt/DL5+QkfvFv39//zX07cyrXZpR+rua//7rhhwcnlrV8xRyD51f/+dn9tiqP4SPv0w
IEMhkZot7p/bovL/4rChhADpH9BPpjh2/YTfeOIvlF/UsX2oNDRDyV+2RWwAHBDsNKyTP2c7+7f2
RZqeft8XSfPzH+lE6TjknIPXhx/klC7DevDPICaFtKRaqB6rfjyuUTKfF3ETnFarRkZTT5Pp2u+A
IeY+9LDQcab3OE/T/d9p66nASfoqp8sM/U7k3QkmVsyOIEDpdWBwkmLs3i8Y390hIyuOOeKis5JK
x+daRyHdhjI7R/O875eu+ULhKMP8LmxTanzIqajd6/WrrXNMoqNYUICbc/cDta/8XFVFdRFJD4sV
wAvoJqorCAgIyYuo3OF2B8x+7KazKi3LklYWYWiFsTwvm0GDUzdWSLhcA7EP1eWCrSQQNjG7twiL
1DUCcPvKWVL7irQA1rNj7TUHzifFEb1X/OioFPdOK79xZjFcRa5zt9oLNQGBRhOLMsBbNplgPHax
xMKjVWxDh+6ibUtB5UYhy9zgJoAq1g/mbtOyUh6DwtbfJvbog9dCZWjSlo13qPP7xs8EnA4A0Udd
ztlJdT12KP5U7my5YFXiuMNH0EDRu35Iptseg8Kv6MyWx6odvNs4p5XJW7L2GoOA+ZbyE/aprgu8
MAqGC3sWzZfSw/SJpgAYa2MxHiVW5vQw4Gbmg7Q+jYYp0uT+8M1SHtDPgB4FpS/cKj7zjU5sSNHR
5pBqdrhmXZW5Ls+s0DorcogQcVOvH336VY4N1nA/YgX2v8v69KIXPk4OtorO3DIpb6iXr+xuVpaf
U2CNrL1HevVCIx5/iJdUfZKNMYdIBdAZLaYPepxgOEQ+nG3SrldTZ6NDBzmWfox6v7vMBrv44Ne+
PpbkPNRmQuF6CuZC0pJZeN7tusj0Ko7xqUFFWRQbS4fk9VINM7Xqm5BVwhsvwanaN6plrJBlE2CD
Vr/4Osyzvo6EKE7LPHgXgkL0sdQi/QT/In1sdOIgs9PBbYnu+TQny3yNAsq7cHG5PbVDHb/Dsbe7
wytZbeeyK6D2DFD6gLmyNwbhtdto91NFQfqqif38LKXcccqyAmJDmWM3O/lJ8K7Q04WbTAB56qY9
WTgakFXon5AC2PSjzxizujqST7DRvgfNXJ7Fix5hhFD8rxH2H8jTA6iUlfvg+flXvIU1wJ3Ydz/J
sLqrRw9hfaehCtqVfQvBWiCtT2BXBBZ6DoLBEKTQSE56O1mieeqiNruRMRCUDQ256msahcmxGvml
GIOL+xB+Fu3GtN3ApikvspiXOHkQnsRQiB0a4fKD9Lr+C8ftEaRp7twhxzxjBxPn9dQckdYg0BMS
Wj/9+/ktddrifRAVJ7FMPWDDtTrz87LedRp87sBi+akH43gm8SI+gODESLQDKhtVc/ZedzRYr3NT
b6EGJcCHjV+RDvJHtNbzvST7eqshLWx5oSRG2iTHTFo4+gbWzWEqRHMBhjXMtkodgj6DPN5N9hW6
oOLYPPOUx0fLVIdz8NG3mR17p4qOFAx3J864lT22Xz1YR5uIXo/JnoEVONMME94ZLIIvL3zsJZ0P
G21DUMCKDMhWtS7xu7Wr86M1g4wHzRvIbTvOQmHzBOgljpb9UGGFsVnrYQh3So33MZbZGehmMtIF
sTHLHFnRDbQZ+4LoV1/h0mrvHcd6zNycemYcEw2lhcKOQNBOouiPhOSSfsRT1z4rKDfviSsbCBp5
/aWAO4EdaqJugzIUZ10XzFifI0K7TXsLApOstgjxuicBV+qYcdS7sTtR0rxbevb1GOIkHUYlZDI3
LMQeuaN6UOwa16ufJB/b0E8vy3X8TGldnNgR1+2SdeN1h0ceQ2nKLrtMVNt+sdRlOfjtTZ9FzRX8
k+bBitLimrOB3uOiFB8cVce71U30Puga7yPlIxzxIDXghYoxYjJn7vdVxsPVRNL+yfcas7kMq/9I
Siy9RyqPgyTmwrQ1Zio+DnQJIciPoW85UXLjOOQ/Jw7D4HSb+YM98OirJFh3y9LrfTe74UXocxKj
AlAn7+hjnhhoz5BjlCu82QHBduwNxyqde9Moou9hxRxT+vz2aPrXm3zEXEKPtABtlt5eIa1Y4N6C
eD6Iph6vnTF2zxXFns9TA65xosuT1hq225QpftGRLjmhHaNNIW9a9SkXIt2V1WQ/FlEbnViZaPzt
3d3iiuBmHTLrq6a39lyDYjzQTNW9o3++OAtA2R2EH3e3xTKF9wiXooNjN/aHZExtLicjCxtKSxw8
DgzX7dJ8qbp1+WqvA8s/JYuVNiScDI+zBzl2JeO7cTvrIqhsl9R71aaQplDo0qxg2hqxSwGcbd+a
0wN7f5bFd0NAIAK7qimWbeWp/raJm+JUJ0zpzaxlTlqoa0nt4Ubd/FCtzs/GIsGIfJ6sy9Qgj8Oq
vBnHKj+Bdv0UtKCoWGsbSoCYCH/Je/GJxr8nLIF+0NXwKazn95WzcjZYJ2p/XlOetZUE4tmkd25j
oLyJlHfARtyHnITiVyzh5o8oSD+FYyUshnpK+25+rhFf2sO5brpm7I+cqJtVXBFqQULdrDBTg31K
h5y/NzKAy9kN5G6Y5iG8afpmoeVURD+GdPFCzmwTL85a6HU4WOM6bqPaPg7weqFMJ7q+SmlerD9p
FlBiL9NSNkf5oaF9rDwPrbzdmUr0jiAvx/pwqc6HNpWfAmwUPpPSj7ObiMrVhQSQ3d4NyZpEx2LN
CxIEczetNDnEfZB9C5O5s+4DlOPB3klGsMG1leY1Ulo4aZVlA21SdXUYRfexkxgztjOkU5uz/6aP
/Y+z5U4nkWq5Xcp+uOYnMSY1/KqhSPAj8S8H8FIxrUoQ7vFXXB8sOVonYpH7ak2KfULe95wdxPqQ
WGlseKjOlibj5ZqzbHPd8jbP157TWpJOT36ulvNWCQtNszUcnQo+NIpVwi1vdeFrBV57kaZn5AnR
BC+7scYGJCxo7oaQQR+BCGz6Ff3bck1wr2qs+Gz1absZQMOct6Wbnvd2fCkcTFFs6ehLKF/9boll
83nwBH0Lc7AcsXNID/QXqr0V2xyu06LeT5GvyZ0ndOjBqQPDyms+DaRWqH675TGwI/sHLDPCaE1j
/pyS6cFfSISVCD929kBy9uvgyyYP7qPGN3U95FIp1ljPR5P/pDb/cIiD7sap638/xG3rom6fvtW/
HuJefuefuU2MJo1JA8NHOGQlORP+A19q0p6cmkBa0KnKHCbJ/S+CqaluoSUk+Y2c7NfcpviLArOr
KFmg5YAI8W+ZSTxXpf9VvwtsJIKhVEpJZIAcsV7XJmxWCbqiV+uCNEVDbz7ZonAZHttR+VV7Dm4S
6tkm5zCZZEfCIqzfLz1VlNM+BisSSKxh6wVA9TnOhWHuXVWWiyBz2Vj4qNgZsgegfN1xyLMeU7ac
Tu80vaRFf2R5xbsgQ0mB2QDXotBJaL6SvRvKYU4uETYFCwSoKZQW7ACL7ZQe4Ko8px7oDdvcm0yL
ahPRCfzJrVpkgrUAi7B8yICWoeMJfWpftyxNA9jyFD7V1CufIlwZok3bBgP8LehtSM+XjVwMRTWG
iBPq/8yaF7+VP80asgtvzxrKa1/79OvwW8YEPg6/9nPiAFIyaX1oDlTOzLwh+/Bz4kjvL8l0sWGV
oJ6Xv+KXfGYbonqUkGQ+XlIc/ygK+PZfJD4E1JaAjAX5FOffwS9R5f49++GHCIoV8gY/dCSKqtfi
hsBdSNDQ5XeqIbrBT8BuOKG5Bal7/4i/15cQkQY2nitstGFW2zwTHTDgJT8PnRziaR/ehWOYn9NH
ml/NQ3E5huC+pSU4zLXYfNlwaGVGSnMZfJKIRO3UBUp7R4zhMSMaddAKNLoSA0Ji5d5qpsKOLDzN
dH6Y751GzpvY4ZpsNeM2Q3CztYnKdiBWHsdCETal9abRNWLzIMOQRdu7ouTHc4cogiJBe6bHFlpk
gsFLMHqbDA3wvozkA8K695nnfBlbLk+LzCPOGz/YeLzNXEtsLoR769BETLsJn0foud/bbfOIiYKi
TVpW5Ef5eFWMoGUuK3s34rrUtuFZXNEnEnU8mhET1LjH6gwf1x9oWOeNEDxKuom6nd3wR4uRR+Dn
8T0fgceAK2GZgnaPWn5qxCtiiwCNE1KEwmigf+yU+a0+1AVhh8CFYTvm/u0UDv3e/Gbm4yaSqgE2
v2uOnwuPQBdevw96Z72N6+JWLcW4LzouWdB/cBH4Dbc/ee5+aLghT4t8R0nxPu+gikbQFHbEMD/A
wtbU7kH6BdFC4J0v5J0pSX6NCixD+lbdobHs915V0OwMXoOKB+3ufh/CJIcCt20z1QELjfLLRpFD
QOy8HvRqryccw72N13HRKZBnoWPdPQ+StFk4nftNt9OSceAs3m05hvRJ2upuIn+0dXP+gaZ8O6bc
VJzl/hnna9Z7etR2NRS7c6l6lzS3GUU9P0tx7TrtHHLFdefu5YjWREQCnxuXgUUdCr5LEFwznn/Q
30XMTj1uU0zpF8BCvPuVr7IItcnoWHhy9CHAGFr7tmXJU+ocUgmu1OuV3XRqS/vS4/P7LmMAhiOH
yW0/8XlpO8fCULW8+ob9YsAO+dx24h9MckY1uwH6OkZnKBkqtZkLZN+X+yLhS7r3vngON8LM4wii
oUUMPC7KN3fLypufGuaJlFN0PqGcuEo4yMO16R4l5C34E7zhcGAwhczG54dRaSbFZPGjOi+/lPXk
7iNbNuewb4K9HzFoC2w2zhdSMO/LLtNb6tAYYLYLuDTaRyFpu+6+pdETGqjPI7VH7iFOuouws4Di
4kN1CWE6xcZvdfe5ZFKSYLlMp6wiQq0ZZRXfnKcqvwpdJqqHQf0uHIl/ieSLvc08saGn3o5JcP08
vTxa9U+2M7j72af0NlDs2tQDOTQEI93Op2vuPE7s6jgT+ZvGXKZhjork+d0iIjE9atWlwUyzhDAE
Kt0AzZx4Ns+jfJX5eqBPUx05bOf7hX7YAzWxYkdTvN4+DwAzwpnit6m/VkdvYRlTI/PbX9V6en7N
/TAZbALDiIxsv4e1GD3BnbJOQcJHpSWMw9XgWKdIwQlGt/KF4w6vwMl/kDVCh+oxe2ygadvS67F/
qZzo3G6hv8rUnq+DOTiGU/YFVAChiJyqyyh38SmUzAhQBNYpDpinNfWyy0Um6iAFg6wqverS6hRX
BxDB2luSvmdxcCCQprN/pCfpv9k7j+04kmuL/sr7gdBKE+mm5avgQRAgOckFEER6G2nj699OtFoi
QIpYmmvSixK7qypNuHvP2UdxDpn4MHMc1lLZ7trrSGHCr6pWjaXa4+iiNfbKwd9MSWEcYKzbWwGD
b+1FJpPbyKN7NVOHvXUTI6fCdVjO+7pjMsF7OqyJr8OxMPAT4PwwijCrH9ix8A8P6vjr3GQFk0X6
J08R4i4E0kjc8dnxtdPySrSOvLHmdN4DgSMfiKoWy87Iy9RMNe2jhOdXEayNZqw8n1w5XfZe9sI2
jlszMwJe7zXhZtkmK/jI3uS5ypLepZw6tYGTzhS4lCWwW4TXFofgDT6ufO+HzUsDs90r+hRcDU2/
KGE+kSJPdmbbfkdK66BoooNYNd59UUmyV0V8Lcb+0lsUp/boR6c5maIUjbUiZYgmlLHFOVAZSLuF
uyDu9LfMyYsl1RD5+DbwTTje0CjSJ2Jypw3lkMDB4GzdwTfPN3ghagjCkepPWIx5hLYRRuEqjEzZ
b1ODtllcJd11HEl8VoCMcgrYeHJpSc9ZZ2xpqbVqS5GJYEDg/uJUh/2j6CpSDoPhu0wMoL+RPWUv
fmML8Ih4SolYYvofD13ZVrugyGBYAOhqCBhOW8Z8KklciliKNpbphxc40LXYAake1WVmxb5Hu1Cq
4gBboBNfQLsM67iPhvw8jAMb/2mbkyvaAIcn+nQAnbWNrDIUt2XP9gG+xt1PW7Hrv/b+P3MKF2nN
TyeCZV+Dls+3XTRRmNPeq3XzQFhaVm1/8BJSYtCyvUCE8pmC/DtoLuCAOASsZfKhdfCtkpBN2/K9
kvomRajFGvZOkhzMsP1hwfcHc3yd7BiDdpI9EymKWrPOXv58lXTBfr1KREZ00ExYke8F0HqMhETq
0B/ymRdk2QkEGe2DiHL15vWb/nd0/uAQAGKPR/ifj85/90z/r3r5P47RPbl1byRCf/33f58GOPXC
6CLKY2nZcxjgef59GvD+YZocFaD6IbFbTsv/OkaTyUjvlBNrgFUIWJLLX/0tEfL/gT4IoxwHacez
LP7qv8hkXA4jb14ndmsOx3wToCDnfExC/P1PMtjZLDPUnZNxgFmFRuMlRzE8zeExJRuuHDFTJMZJ
UfIJwv6LmREzYau/XrP/SDxdjkq//AQGLYkaXDN5JMvf//QTKgebge9HxqFqZ+MylF+IIT9XQ7Yt
4UlnFqrzjljFoI5K3GDhRV1HnOgtWW5H66tky6lj1nkRXRAYReqQv+sC4EWeedks6gnpDCtm2Y0Y
IhhL9XdJIR/iz6ovkZhn31K2iMsfZylXuBU+K9I9kkKtlNjOTnCQVccGLsrcc3Y+5bzSRsccKlpl
2xsjQ/pgl2TIQQXjnThM1KgLQqGkZZ9FPfneSaoxSOAo8XO26r64cJyUOb2z1VZl55TybvK47LdT
Ga0s0iRuXBKQbbFVkfdIp4NDS2quAtdeS9eDrxCsjDjekhO6GSbCk/vsdhKIpJqx3Waq2A5d/Y2S
I3F4ObBw5Z1xcnrSUQ+8Pls37pjvARD4q7HrCFMpy+/FJI19BmRwNRvj91JGm8jt1XmpRoczHIHc
pDn1ld4lmX0VFWn0l73hf5PLB5PLIjxgDP7n2WVHXS55fjOh/PO/+VtdYfyDjzCwh1ArWIpv/y7M
+UteKz2Npc5Gfe1VQvG3usJEdGgyp9j8AMNiyfrXjGLJfziUKig6GFgMlhDY/2ZG+WU0u5TjcAFR
4+PdpBj4djQvpkPt11V/ICidoi7tOWQI0ooDQkTtgO2p05bnkEbQphDY8ZGN/93q6CxVDWZZ7s/i
J/3FKt40kQ4GPXX7sbeGrTcXhEUmVk7/NykOPz2W61+3G7/9KhSWZDFhJGDH8fZCWxsAhYntYQ9I
L9nnljlyvKUXh7Kz+WCK/N1XcSsDnPeEpP2i49TmlBGzI+m3TEsgOMCcDUEnxE1PXv+B4+6dZPT1
BiJfRp8KCsFGo/r2qqah6zNoft0+SEKcGTN5u23vvkAQ2UTw8tZ4GMVSvszWtSGrvyaF/7gU8A7+
vBL888s5Zy1vMTlXy07rp5Wgo/Ee2nXX7QUQENQiE7wSUzZ/RUj/x2/59W5CikSfzcJKCBcW2bff
oqA8qqEJe9o7EoW/fPU7OVPjDdu0LlDP/fk9eevCdbgoh80xu0OSlHlNXstxP10UIk7Ljs2u33MM
Aq6XtT8823oh27ZYIkzPwBr+s3r7Hy/w19u4UBIozFPhk1ia363psK1TEFRVv3Sm0c8BCOFhBdX2
z9e13Kafttuv12WxXmOegQ2P5v3tbaS1w96B6N69DYRxZQtxzh70Cn8H9bElRezP3/a7u/jzt717
aDi4owaAW0+41Eime0WU5VB0qzolNgw0I4eNLHv681daTKS/XCFtBtcB8ImL+P1UNseZ648jw86M
XXmFvCa/B/6D64Iw0wPaFvJfmlsPVSchvFI9u5isT7VjH/qorfYDyMBtPyFObEcy1KYJaNjsymBF
Vl/zSROkCJ86WptZoz+YmN6Bj1/fuAVQQQl68cr/8sb5irpM1TGMkrGXBKVCS0T0MDnDVgjbQLpL
PFsNDnZjc/e2xM3Kb4b2Js7Nfn2JGJwcwzoihRNe4gdj4TVW7t1LA8cFoAcjHJj8e9dVGuRupp28
2y8sIiuEVUOm8rRufLfbqiZSn6fEhtc3ugEZzTRsT1OZthieC2y3BYggyqTkdklSd5q5NFa2STZW
CJBmBSJoZtdltVgstDhqDuEbOtSoxrwFcEhZ574fSfztBj+EuZo061YKb4fnE6ei3frsdaZTl7UA
8ETOpil0SMDLnTMCgT73o895l9hU0i90tmvtnuRa0V1VgacPTeJpto+UOYgoCM+NeDYeBCmW+7RE
vBc6RGcRM935XUZuWkSvHg/yFZ9c7v78tv46QEiBZmPAqAcN/guXZ1KUhhx2d/tExZciw5qa+MaR
eM27Xof1tidm9L8eknwjPnT6x8tB5L0hJ2inwSdWqNu3BDubSm7RWn8ntO+8tUt6z4H75c9X+Ou8
vVgbfY/OYhCw9Xk3rYGrHkB69N0eZiB20kGOx6gaaZlZ7fzBgvvrDOqjGnUt1DcASfCrvp3bot7B
VDVUrIL+4JxVojGP1dh7H9zA334LeRhsU0C8cA/ffktB/7LoRm6gwLvcrhovEAeU3P71n+/bOxvX
Mh9wNWhTfXaLJIC8Z04QiK5NF0/bfpqIskU6lO7cqYjwc8GplDgB2FLw4lPbiE6t/9BapM+TnPTR
tGT/Mp2i4KWXvPDgUa7Jd8+vIftJJ4On9hJhIpXsICfUPe12cuwSn+qrlkekDcG2NaofeTV6t1mX
jvuIcJmLQmv75GSEsf/51li//U0ekjPEB2RcvN9xRBJ0Wxjbal9GfXnEzboNjH5caVSRlyEyu3Xs
9fXX3GEo542Yr/o6mRcDobUJ/LKiZJr/yM1puMz8aaP1+A2tkbVukq7+NJfELddd4hxw8I6ncs4v
kS5+tLn4/QUALiGZBeGs8Rq28tPuIjQhQc7+yE2N59uo9eodKLToc8wstq4bL92EyjTWhed2rFht
cYII8egn3p1q3eDY12EIobwdtrFRBTcVTErYFfqHxqRysn0KzCQ9zzSBUsFa0eVkCTf1B0uCuTz2
t0sCr8VPV/BuFIxdzg+uZrWfRRqdQkKQTp0z4fkUgKKTlkm+py9PrtXRrmhLqCXO689vgf3bt4BS
GqIGrNYwU94ORB8wIqDTXhF6GXc1TSLfeWJbde1JRbc9MJ6rfJgePMuMv0Os6/oBnm1lxZvMjun7
RGpnGQqktiu91ZiYYwFknOBxwumIXcd0sQYnb/6YS9NkqvRQgGZbB9bnxhXBA06J9mAOjnEuHKB4
uqoe6YN9Io4aYK18dVYFyvngnv+6dfNdToNSskNwIRG/u+UOXLcspFG3b9L8oQz33pDmG6HRu9Ja
sD/YJ/5m2sauiUSDfT0f/N4RqfLMpbhsqj0FnJcg8UNWbVpUctIfJXEsZ5N3bxLfhCIlkJREjPcb
+yaM+toLHd6kNrrLyDt5gIG8aCdmThPOnCF8Nlzhn6DdfuTt/s3q65LyCxnNZmFi4/32DepICbLC
1EAx4s1fw86/nrzm1pDhS+51Txx53c2fX9n3dbtlTsdbiJrGBG/juO/n9GAQakoA2e85hpe3vc2+
Zw7tzVwSgmkP+ocRFndVkk+baK7Z3MA9Xw8qatHPfwQE/O3LhBqIlQUNyy9ygqTvBiceGL+jX3Ub
o/bclYwJZBIJ8YFOnL78+cp/s2jiLKGUSqGQuIz3M7ZL1EqE0oaHPC+xnLUZrnXvxx+cEX97f6EB
op5Ybi+kprcPNFVmVJmyVoTL+u3aJyUCv0CK7T1E6T8C81pHg+zhrDQ5SrgIGyXy1O00iDOt3Q/n
yN+NIfYjXC47Z5hG7wZsFw2hZZcGyYSmjJ9qgMIOTdqou1KJ6RSr0a1cIGc9H7ASMx3l1eA2ZHEi
ZMqsFTbQOKMJPI8XQ2zTT7Jgr5trJ3LU85+fzW9+5sJvo5K9VH9+GYA13eau9mWzx4/S3gSO6e6q
2QsJdO8oeP2rJnb916D+udfza5nCJzmW8wO8w9+w4kjldFAzZjyegcZXHHnRTrX6Yh5AfUagGte1
Ksp97BFcX2XkF//5239znfTqXZfZzGNH9WpV/2nRjYUPQQtu2J5cp3bXSz1spYI3z6kh+e+/Ci0R
NAC0l4R/v68yJYQ1103rNftOh8WLJCziRpdx0aIjMD56fL+ZxHh8lEXYIsKqeF+psIjlSquex5fY
RrQJu7L+hOvV2rK6wdyfiHSEazV/sPj+5l4GVDIptYChkAgH3w40cLplR2xEs58RpCPNmCDypYW1
aQ1LffBVKBd/XSHYaRioBtENoqN4N478TFZ9BDF3j2PVaHYk53QtpmEypYHKhyUcjFZZG6gzHVEc
9jCKHSfHftrqybMLPC4Or1JiU2M8hmrO7y3cQzAwysyHMJ7nLsrgsIkfEX2Li8z2HYUUJKc7rMpF
TV9ySTYyo4rWSjA4o7kbbcMmTwgY8D6ZW09vK9nG4HSy2Lxze0ubm1xOEK9Sk7T2LR6k2PoSjGZC
nk5KsYToYU4w8dkUA2vctEnWxp9VXpnzMYdR4+zjxCzkVhi1eSr0NIm96rNBXToFDdgL2fVzeOMq
My93/G8x7oqxVRkSGRlkJWnkg4wufK9cFNwO7BvA603+aRCoek5tKaqD2cIcW81Ra5EIHif3hXLJ
Cp56woaOyKUjBC59VWVLHPkcEVo6l+15OnCcRHwV1PQjlBqDbDMNzjxtqmEOjbNCAJWn7lDU1qYu
nGVzleAGfPSw3aB3DMlh1bDV2k+1kwhcJZ1K5+sx9IZPZSLbDhBzA6jGqMhc3fZYfXvAHfG0a/wp
SBAEROCskHxqvVYqDfYlOrBqm4cL7sgQFl2jRjn+5zQmQnTKi8omyhnrD7aZ2kHN0N9Q5931g1M/
hLWVf8mFb9x2pTuuQnzoBzGn+dZugqseTEfZqN2EOOc2JLhukHG0JQ422VsyIyQ4yOhr9cPJJnIC
vY16TDMX60Nv4eNNJxvIk/0sbTFu6TjRnpett3ex32wDmbh7GWiyBUYJM7AMojOFBvvJ6/C4yyXP
uvSGR90Aahnsxag9zSsnye8NA/I/7qVrJyhIsTfK5BodqibcNjHP/CKPL+yR58FpIVmpJLyftO3s
ycwi3h6/ON3B8BgGBCNPadazqVDeOmeN2ijl6Zssn45NJ0GTkgjFP7KrjOoS0Jb2lE2TtdFG1mwn
aM6rNA6JmfWwRY12vAQi+dehL28LEU9bc/TjHbIIrDCi6zchWKg9yFzjNozy+huqFuO8jD2EYl0D
c8roSDwVTbkW3VBvfArWe6+qnCPIaCDaZTgdbRLvj2r2/C1FipNlTrvEqU0s5vOXwugbsqfCg+fI
T0k/f3GmkFaiEVCo68MvhUvIOSOw8I8D+am7QTThBgXhHVLi8KSIZ9m4UeUjXZKC59DoFbh7TRh6
V98mrRium6j1b1VPm3G01Xk3hx4ukcXRJMofqhnrA4S+5ABYpTiUhT+8SNURxZyMmgpXNiSdnuG6
N6UmRZqdZhuRkpEEHax9H/6cxcvzUFiGPW28hnMESzmTREq38WvNvb9swBZRHkEj5mfm0YBauhVV
RyyAqf0z/lBtJwbEFmi6M6tzfx6jUX2d49ZTzWq2QjlmG62s9ivExp2RRvgXhMVv3nvCqr7D7s7q
g53lVr8p/NYbVnNFf/tcCBcxTEaECzCeeXDEifKsoSjSNsmhbblTON3KHABhMdyREjldWxAJ78Ki
zJLjmIIscIKkAblk+TtkqaMmN4JiXJwo48k1QvaT1HfrraeN/Kxm6fveQS5yUf5E1TodncQ+nybl
fpJDFr4EFPd7vFku6dSvwlI9+9Nn+kzFS1u36CTnQpnfyslrNxzRnKugtOqvSVCOGxWred+xX7rz
sZV9Jfic9q7Ip23VWc1JV5ynE2DgR0va6oEqHG2QVMV61w09bwKiqOZLHPnN94Y4+B1RJ80Xr7GS
Q4rEOz/i0iW8fjbUA2pt7P8ezuKNGzoF8VJaMThySzjrzEBiF7mus07Z7h2JrMBqRgl5y6k0aHcZ
56biUNQV/36XRMM9WTaR3vpOYvqrIFrEJ5UhEbwRGW1jsozz5R0U4wkTakyiDKnFldf21k5xO8U9
0h0u0SPDKT4jX4Of6mbD/WBN/XgRhWF0lfg4Qysymi4q5J3nMpZ8qg31SxqJ+2noLEev2N4RTVPH
8VU6qvobpTtrS+HMuYpahuq2rAq902Atd6SnyWLvQVW8yvN68Na1g7WTQdQwqHi6FOGbU4Y0/woS
Xf3UEkh4I3Vr3qmE+52A1d2DMJv3fsxNFUAxzgSv5k3ttPWTs5wwycHTZAyTDQ0fmH3YAcseHyv6
6dpsCT2u0fGe60HVT91ct18gj1lb7XnNd5CC7RL3GnNbm7IITxHViH0fdOo5GJVzJXUjCNGrguhq
wgZQs9sGM/GswV8iTqytkbAPpGBmOJ+bLMv1BlgTDlOUzs0qKmNAJ37fhwjtKsO8q83ZuUqcKvxc
u3EEqL+vvrkRoliMzDpGBqBDcwXxUj07PeK6qPOb09wa4SYS/XC2uHUOsGimz75ImRejMDm86nhr
Q0RXfdC4xOL5Dvv/0vDpWNhNfmyByIWrLqCIswH9EZ7iouNfQKy3WCJHoG2prhE1aMY5ZaxSPeC9
nF98b1DPcLucdRjO+dFsu+Ut76Eu0HOxnE8JJMx75BG9twamjKDUMbJbv2vrRxtS2CdBDES+IpIg
vprdogRFgivjS97o6dp3VX9v1FN2myyP28KseO6gorxt5MAXZWLeEUhrWEAmcRZKxV3zU0hgRiTm
F0NXCRZR6RBD0PrhrYVE7dgYMaJPe+QTK53dspGePgPkVM96HKQ4aZwc8RZa2fzi1ZT51mEP82JF
vUURmEvGVUkefIXAW6a6wG8v3PAW0Dhvd92rZj4WwxLSHfe8SVo0LVOvK3nTmLPiqzxLK3NdmLq6
FnZKEXcgTIdSqvLj4ejalV+u8a6/VODxcVIa8D2bYmxeoAuY9zKqx80wKvMHKnEifhh6zQ2zhX6p
rLRu165VzhmCaqf/Yfm9hvo5eLz7dc1tcVnJ1d4YM7NdLVzjOw0L6zboDGYzzx1+TLXf3BATROG/
serLbpjrrxM+0huz86Or0G2SfRcgJUUNZx+ZxwJSLKBvHUt4Kg8NiQbGTSt8xRxfZYuReq64efCM
LjgTh7uauGQmMSxs1E07u6chbPvftPK7y7Coo/2Q58NBkuRybFg2z22kwwBDvCi5hgy5JOJI9bmt
h3C1iPQ68IG7WtV1vQmH2n5ygsjZyTrX61pCF7DsCbPtYLt7k/u1oqNJPgxMC7Ic7GK+NYt2umYT
QlYikJ17K48krt7qE66ZCxyciI8NI+Es07absQ9S8sj9k9HHwykt6pavzdwrYyzMy9grmDdsTXvd
SMQF0Wf1FUjH8JMbWtUxmBKC5zsiQfFy0mxsTMc4Okl3GuY5J8qoHy6MaGzPIQqUCJRRCrHVZwsY
0P6jhPoYAEo5kss13WY4zp/J1Ds1iWEypfn8w1bNtsR8vZ46eTZNqXxgv22gy5mqp2Bc+kwVbB4q
y8cmrDy6ZTEb0gEC+oNPVsWtUcbjzpvqg1vlzSYY8ROuElT8/qgfqf8VX7OCtKElHp4sMiEjJnpO
OGtvnmW8TrNMHTNh2KshFMZVVkgEt31P48vsa4g143iNK8PY22mqPvWNcJnqgui2V3xJ74TedW8E
kCU5x6w46cvHAIb3vau6/JAk3v2ED2tPuTRmH8hWblUkcwVYb4wvEqIcYflZx9DW5lNshONu8AXR
VshzN+St2ZtxYDAqgkxWY0apMJpn94zNhXxIpbMvnanaMZyYgKuU02nkNsE+gB3zMpB39TDVBI8E
BcHL5NzLuxovNOGLgdyRP+mcFaHK703H827mgafkDGpqdh77wlXbtdEWDkT9Q9Nqsggz6pLLJuU1
wDAcJStE1EA06hrAhSxSMgaRya5pIKzwcltEmbhs6GWUPgJWQqiOfK6DFJCuHCnOqxkWhTYACCai
2DEUdwnIh4XF5bAh8/rLQjrhZ+JP2GbIASenZ+DC8bvk1jdajbDZ9s/UnDB7wWGOHSLBM7t1rgjp
qqp1PAYmTYtcH+e5Gi5cR7DsFBhlGXBuiWl3Sq/y1I4xzqQ6Z9wB+cc6L1KGET204YIg2PQLmDoC
UU0K8JTWKlYsXVNo6BMBaDe0m/OZYvZiWxgS6AMt5IoAYsSt48lTiw/+EA6EyfoqWzJZqjNVooBT
ssppjo74oUfVYY5LCWZT6cGcRPAloGfKOeexJS50XeAtXzfgo9YpeTRYH4bO/DLNsj2S4PZkavcH
OarNN3as+bdcFRWTFuZdL3fEjuCdaAuiv7iZXXYs+dyaNL2DThNOR1gt26HpMEAhS07Crka5GTxD
eQePGEXWGOlWV2IEO7sqZ6+6oqiCeNvyU3hhfZ4zCYFbTr8VRVreWI1f3GCDznKiCZlA4Yl3z7my
DHzhafzchIbGPyH4wAYVwMkhN+4T2mB//NKy4+G5JRxyitjNWSXAshzz2mdFCab6K6sllTudgzWh
6M9fVWFi3bE/5mSaFbE8Rdmknous6p5VrygiqLkvXjK5MEqV7sJvJHWaTxkhJYSkyHm6Vs0UfoN6
wCFchokI1jUxvc/CqSGOWtgWva3OnPJTTnwvD4kE3WrnRR14VxmMVDQwMvJ6xGQt4r4o8+pT7PaZ
wx4TSKhjOvw3QT3l7cZLg8zZyJJoyVVpz122GRS/cpsC+kE+ikrL4xAz8aVpIkt1lmin49xolIMZ
r8d6TKIdm1c+WQu8/EdJrqK/iWUwi72Yly1AR4c0xAtTBOdpbAACdVvQLWvy6nhKQrPUrfOpD78N
7QAyOCJAACtT5BQvVt/zrX1jzybcGBvs7evNdAYRQaGlPYlZQhko0zxTQxHgPFHt7cAhh6ghWW5N
LYhbDwet/OSgHyv3eQJZdFEWJBwwswnGm0kV6MpqnImcNQd71dx21SdnRFHBI6Tfuh7DhusjdIx6
SFsbWXqmUDEM+2IJJr/AVTK8DC6V2VVvEdd04QozvsvmwYKAU5YP0M+8m8wLGjxUtW/c4WEhk3Wi
DB9eyZ6LPliDwW9kV86vTsqQh+fOUyno/1UO2aYGOQYrav+gW6nLcBcHQZIDk4SlnhNOL8mKH7sg
gAb1I0lVmu+Dvm1oYARFku5JpoVFlxuMnxWEc/xbJfW/00g6HuibqmNH58SyTo+G21JEaemtYNJp
EgeSMyAwMtJyMjBh3sHZhbSHC7BYW5r4w6t4sI11s2whc5gsMIrRBn42UwiDTV4ZJ3rSxA5DiL7B
bTNhJMiSe63j8fNo4S54LeP+T4P6kQbVZtn/qeK9eewe/4kGu3wsQIMdHsfHJPnZGm7+9Z/87Q13
gFsa6NaBhtsM+AVu+bc33DX+wTIBLJaMC6yuS0P6nxJUy/oHGjgIyLRtaKvQwfmXBNVE7w7ifxHJ
Uedeejv/jQTVedsIlPTyffqN/CyCnHzEmUvN+af6PKqOXKeERn5SbCs5sOhCzRj6+J1rnTOX1JLT
Jb7X9juYDdiRcSZuraCBhC0FYPw88Z11ribKBQaxCxvhgpwKBJiVaai/KsPgcygTUX8VQ5Vcpy0u
D5BKDvN2zFG3hyq+fT1uWgJGfbxUF14PsJU1Z7ecG/UhiLD4xabof5RagNikAi2vxJTEV1OZA7GJ
VTc+kpg8P5INPSdYcLht6zgaGLZt1uod5LHm5MyifoJ2mD6S/TRfi4zJjqVr/jq3ul0jmM+8tY01
58fQRubKqnMJasgwb6LY5RwgkmRFyJv1uadWmH3Qn3xtIf+7F/v6CJb+CE/VwKRCnNzbR1CQE5KK
kLKMbu3g6Ni9s62tqaWWU034Ymyr6RDIW0VwDQXROoe4xaXVrl9hhyKNeK9jeM4ek+cx0OyudejE
lxa15Wfwz+KB+FN1Gy/AaSdJ0wtQg3R0/bjL7/M89PdRjG+2V3Z15fvt5w6e48Gpx3Oq0tadFVt7
rHPPaQMH7KdB8rum1NsGChctDfw/aHTp7EODfd8FrmnfRKFRAzCvivCruTz9CPzmF9OS07XwjJYo
Yrs9EuyDozAuC3pzpJPuFK5HnNST8VRnJrchcMbpKiJ47jRWtvMpnPlTg/LrB7mw5lkEeOQq7l2c
l5B5rh0/vI/kZCHYpdRLUt+wdrPcOCS4N/axaMU+4/C0mSvq49ooeKftzhjODG0/l25/PraWeej6
0DnM2JRZT2giJ5hjt5ODV9Sog5gl+mteB6TmyWr8nsQ4qfLOHr/XxKkfyfttDy2221UY03muh35H
tv10y6DMLr1BMJgUSqLMfjZYVjirklyhNhme7DNIBwVwO3/qN0lC/bFiN7E3NCZfK+Fk6pWclqaS
p7Qi1ym9KOJlB+rn1sNMY+qHnzesbyUtC1r7TtBA5vdM8veUOrCjSs5IXjIuQmrX135pDhdO1nBx
lo3/d9vEOj3MNFqCNSAU61Yk3XSlOpMbSh7zjgwV3MrOMjZFpnEjj+pBxjD6AnaJ51K2wdrgiPBB
LtC7OQvFNVw2F22+bdq4e8gseDtgLFq8YTR44jYGh3TD4bzcCwip9wDQyaf3MMujsODdaSv9nUop
PQycJfMa4Ur8nNbVdFm7VnhqOqN58BoJEivOjT1kiC8TpftN07vFZxCA+CqH1qEYP9hsanj251XI
8cXoKCQq6Et4YivrdjLaTMKX4FLnXswX9PNJRSbVekdgLcSZWlfZqXXqzsRtLqxtwtmJz5yG6RKv
sL55fW3rlFJkstB82wa/qllX4UuV+8YXXxTqIaCx+VAK3eDVTjCxFlR2441tl8lTaWT7pmrBXWCC
7gnh6nv6HrPOvG3mx/6VbzTVR+Fjr+LBf89Xy+1f5NmoU0BTAqb0lqH905IxNhgzI91SUWprV2w6
ur6ruW3Ep1QHXIGZWiTQN0rcpXMCoN6Z6qC+IPY2nvY++TAIoBmD/crKm/DkZ0P9mA0uPauAqlq0
rs02/ErNkosxrNw8Nkkvdn+ee353AXJZXjEGsi5Tf357AaXOVGvSCL/NXcgNgO6ny6aOol3jhhw4
VMk8EzYj84VFVuWC8hJbnOg1fCjDOTNHwEyMPRz61lw92pNnggPkDBtb1Hp2Te6Hd7nXsIuMywgX
0Z9/++t6/O7mSyzsHLgsiA9oyd/+9rFok1bL0bmteofK3qhU+MLbHPqHluI42YKJvkgnNV3l0Kf3
HQdbCLZl6R79OhlOtPvwHQdWe8ydkfOi14i7zi2oB6DdhiTQ9OWV9hXJixbXPxZkkK86NaoX4llr
HlEin1Q49kdDa58O1VKj7OmElMiivBYjLIXAyaJE3FHGfbBoYBygPfonheSHZHTP3eXKjnZ1Hk9f
6TDofTsO4TGhq7LVpVf6686yph9k9TBfQdQWi4TNMrfariGvVRmZ3+1BkRvarOysro+5HMKvpcdQ
Z08wXb8OvTAQ0XMbihiwc8b/2ZdZeNJTa93i4wfMX6RYzAOriZ+NWuldCk3jK2/e8APg4DKDLLcm
9cITpht9IfHJJZQvmPnqRV43k/9yZ9QWDBsJZeKLV6Tf7YoTdhPF05EYNLVuWwvHtsytc46KauN4
+XRJkgJryZ9fBDaJPOk3bwIqMfYMSHuc1+3gu20DczU+/2xobgE3d6C1qG2BXVjm5nyc0AjQXl97
4BmTFeXyaMdWrH50aYLdaEqwGWwfdYyJoNnEeZpTYsvVSMfHSLL1QK2joOBd7romW4ar6RlPM5kb
n5n+uydrlMOPPvGk2EBiKTzaQT6VZsJI8ouh7Jwt8RFwuYGc2zRr7DzMd7kJsozCT9Ef/EhMm1nX
3pEmx2dO0yZ9fvpJ+VpYpHQ3rrhBaD7TZOqN/pm2DlNkVi7pGZTpJlOj3mTUHrwcqjpCC54rZ+Pu
AXb7wRHZMG8mK9HbwJ4fzLouN5SVSWwz5phI5JQBEUSSlzW1lFyT3ep9R6ZVbNphyE4VB6uDDsjx
XlHbbPa6seLqwppCSUmgz+J71oHkXokUaZyuRxuIR1KkDwq0H1HAWeNGh5h9C+c4m9mASkEdw0T1
zFsxjMsGhzLRyfAnlipVuJuWHma0smM4FVh5sPWjN2DKy6ulpqLGlj+HXb8cS2O0JmsaAVJuclAC
d1HUqWNI+0uutJnaT7EdorONUC1nZwKnE9ufYL6hGFeJrY4a46nIK+bVrinoCTOzG2tRavM8csbs
NPMi0NqAe35GDm5crR3Es1/MSiMynuES3tA4D/uV6aXTbcve8gDfPICtrbR+sYgVI55Yiy223wyH
vBuaMNxaPW7BHMCihEUQIxKhqTu2grcwadhlriaEdR34AbFy6vD/2TuT3bqRbF2/ysUZXxbYN4M7
2X0jbUlbnaUJIVs22yAj2AXJp78fM7MO0j51MlHzQsJGwta2KDIYsda//sbcAOyVPzDpuHa4DGSY
NrkQl9FgVPhjFuISBCK9t0Wg1xwGEXcmmuaH316k/3S2f9PZImNc2O//zST7H53thTI3/T9rMMUy
+znY4Y+P/lO27f2DSsYno+d3kfXSL//R4YYuGQ0E5iwE2oUYuMQA0jl26f/7r8XCGqI93SepzEiw
/izbdv7Bl1pLuCb9L+wb59/pcAPzF9oUSb+c9k4E/xG549KI/3xkBsQmiqYESh07nI5WJMqlAbP7
BCaIPTTRuIUaYQJsmUHqH+FTJO6xsqsoXPsEx1RrW/v5uHPmUWD66dWJOhgQh3SzkkMlTJTGDnhj
5oU3U5y6R1l31gVUyT12bg9qOtm5oicAqBwyC4Ktzsk+wGmYAYOYGfhEzNfeqjaUb1i8Eq8wEFQO
joRH7I2V2u5H1QzWRUTCqNZ4UPk+Ppl2KPc2wFiDNNpYPuLEoHNFnk33tIqId1AU2MxSTF465v/j
NRm96EVkFi9xzrA8LgTViSOZ7N/hMlHUp9pr6vDkR0H72ZKz81RWgt3JSitjbVHEZMt4abyfiIrB
lq2P+DFk5NKg2nbSYEHjWE+ma3kfgT2O9zXBWAcH9uTzrAFtK6fmzHZMMHIfPsElWfJ4VzJI4pfc
L/mnlcokUtcoJ6BPRnP7mTfZgpG6tf2UtaV8c2IE5avRafgyF1XGWdSe9zElfG7VJ1yAZy0ZFrrk
u5lOYj/lcVpTEDsY0zLwG/mp3YLviXUd8gSmLPgpl96MJ7Q2nYvvZuIMYSa9OIWR34QDQ+VGZ+Nt
HmcDNPqowB484DOBsdxPWIx5shIjZuEb1jV/8vsDLc0Ep80EIeiL3S9PmHDc8Z5H2rZffCaC442W
MZgDRjg5ztwwvbMHgxE1irwp51+RxJFnq7BdYHSke9wXnRtcYzoazCD05MJ5CAzGgnvVCW84YFGU
mq80iK6zKwUW7KQ6zT9SAgjZg4cqeplK9tS59XbQnH3mfDFkpdlu84dgwCEQno2C+GkJ+6lyWYBE
MC6rliERfAzkirsJRCRZsnb4/Y8iYllEHXSa+9RnbrYKuoHVYDctTzZyOtzKowlYBzO33r0tA4hW
jIRaFp9hA5PHA967q0DL7hNTe51szU4ySdRL5EgQjTxgrNZBscMooUstcllNJzjEZHwWUUkjCk+C
9WbxWt7UEsXTIchpqY18AOHHRonrzuYlkUQU8XiFkgndrtKCFRNbffs5ji7fEvyIZzcs62RaRglY
qNLyOp1zFB7KFfxm+Mc6RWBJBJt8GzAz2E8cZfj2WPKtkcxMf1vC8Om4v0Vbn+vlZc+XRRr7w3jV
Ts8t0XYy3Y+0vfdituuzC62h2CE9jF5wquDGdbV0MI0pQxZMH5j1uWSwzgpYXom+hDOy2Meq9ZT2
PGyTjSOzMvU2B01zUJ6k8/MBNJ5cXccvRm4OxkoyUqlXRCiJdUngBE7F9RRtZxtDUxLu9YDQQvDj
EB5xzKiTEhLLJr4KYIYFZji85JSR3J+4ca2nwe74qc2ZHcSlezoGeOwSjFJCCFE+j7BjqJPwsKyc
qgcTfkxcA0ry+1wNSbDB7mFiPwXv35ilDA6+15g7swQ899SIMEaDsmAhV/DzOmOT6N1MTU4UPC8F
XOsGq+fV7LBjCbvW6XVqR3mb5CRO/zZEcibe5YIK7hiiF4y2wsJGbPXb7LwokMfnHVuGacbWU+fJ
njso3PEqWeh0QGmh3gozVocIN+h93KX2UwAR5QL+o+MdxpfN/Nji7+kexp4tkqokuhmLghVlRAyH
NpCOrCemVrM8JXXAGNKpIAOeRAyFJjcZhYNkFvN60DylkkzZjzaz2ZphurCm4O6xwCeaTaSUbUmo
jo54w0dULk+qn6yn3MORf1MwsKlWArP8Yme1XbTFJ1e+ETLKGyF8ZV1wwrOehLC4Hkby0N0GjG55
E62ynk4uzHG1thOGV0lBPZ6lHqt74Tug2Ytemsyz8rMr++bQU8+r3W9rnpxrPmR2/MxrWy3rn8Gs
demzIXoh3T3g5zSXbQ8hseoeBsrxcUcLz/4GAMb8MHWW9RhNbYiCKoxeDGfmQf6+paELyARWdZql
5MVh02OU0ioU8SiIGkBfw7p3fd6uEt8DPK01t5fcZGJn+DN87dyXJULeWo/Ka9LdbztrXaeWv9fQ
hV6sDGOOF50kU/HqaYd9oiRvIFtZg4Z0lXbeR0T03hbHaIFTYb+kgpODmo7RsZEY7ZFnhux9NcUJ
OzAIuHXRs8dGVlI/9OuwDqWFtX1aWekdsbrTge3HEZrcg54SgjFwBZMFaXN0Fgy/4CIF8ZhwS7Ko
fJjz8jtBLYu9cdkZyQtHaXOgLRI8osrkrSn6kb2Wd7Jhfldh0Gho28uZpjX+Z12JlzqxmhMRO71J
QxbqkTrEaZ4wczgiouXutn5VPsETlmfOmPDeIt015t0dnF2jnAy+hdVdIBkwVu5J6RvCJH3OAgWQ
hcn7u8L/D4KiummZMawb+kYzyHkHyC+0hIG5VTcd27SXZxBGRqT3ZopzAZxCYOR+Jwlt3hl+EN3j
ZLbKRXCNQSjM18kvMZWBNSF81K1WLdhV4cdiBeVj9m32MJRNKTaISLGVxmAW922f2Io1xpTiYFk0
z6vMlSFtc+HsisoeolVAvpHZj/rk5WlRrPF3mwZwDJlOBOgxFTxELEuEJW2P/6ANSH3uUEXehWMX
nCAsc8zhKX7IRkN2K6GtZ9ca6lvD9Ks7uJ/hKbBjVq+1mFfSvG6TMJeL5c1or/Ii6M8wYc1bJJ5Q
PVrDGz9KiNrPUyCe3TxQ5U2pWvdBFWm1ZU6owzXku2gXDs7wowUH/JqG+MZA2LbxwIHjp7wgI8Bu
anao9qKDOahhM42d2IpQjuka8J+5ptPmtyE464RBeO9/5l1YQQbUMed4Zm6TTD9HUS53RRY0+yDW
79j2rcHzg6/g2tM19aZqY5XK3jlFkMN09ZqH1uS2+lHlM4oR47e8t58MgI2VBWR0G2YpcC005HUN
GQDlieHu42gIbiQQzzZR7ZOKeiNfkZ0cEGUtVH2LqIItqhDUJwxYt2DugCSisU522+DoF9VwY6Le
vamdmRYTVeJ2KJT3OPpEf41KhVsm9+QqLNbcrJDi3lX5JqDqNObCuuMQwKfbHapdgh/jsWwcWlhY
5Q4evgfCCpp9uJwQDnEVpGVF/cEreGAtOZpvbTyqDRyw6JY51kOfoYfoqsq8Fk0ewiQpu2d7tI2b
SchSrYww4HMwrv2vHQap1CW2PZ86sPN9nnX1F9DhjvKuhwHB+raLp4Vydwighl5MnyQETt5gU4Tu
rg+8aZdD+DpqdC8fRiG+wGOF7mAFJbEWTdPujIBlA9NHgxvNeFow3U3XXlgo4mcywgi8koMoSbvj
UHmfEqM64sNIBbCkiZM4/ubHKW+cj7gxpdrEdTt+oSLeUl2T84QBYrWZCrPYdsr1n8igtS7s/I3Y
ZmR+rozMDg5mOzr4w5fTprWniYdWWvom7Q3AWun0edSzkYQN967zzOugi9LaYhrRTNTiwHr5NYst
snKtXLjlIZgJXftk80/gVtkKejI5abEx4CeYpDFDuTpx4j1yfYONqcn8Q1j0+sUoWjvk2Ittf5X1
FhiO7OhAUrXFixHb+pb3InM6/cIsqzzOPkyhqJkKyO3dTG4JEssoD7Kdb5fms07GkCXu4CxonLCQ
pPBjIxVZ9C0ihO4mUYLoka59RR/Sn0UT3vpF1a45vOJH0dsmUpDWh59D79KdCqWm7LX1ZW8eQS6i
7oRoHXd46OaYYzNy6JXe5pZB5ZTQuMV3cRdpqtmhpg3BjjZ8i1XJph6TEQYoauiJqJqVZzWzA7SU
owtd26XL8D+BAaARWXlm77yFoDwkBPX5EvaThcCgWJN64qzMRV6DbSjsdBOWc8jqseEYInKItilp
I9BtdEsh4g8uZxOq4nI6mVAxrpOtrSdq0XItFrQ6jTDU/BuU8Ve5L70z8+9FauSHlo+R0i+So2Aw
JZlEKj1IP+HAhACFyxshq7rBIRbz/7Z6JDgudI8TFhS0N07dFqfBtYdr7w5YGKWDjl5Mc6J4d387
pi0mVHsjo6aD+kE1kSU45ZcxnPFVs7SeVWTCloHKQvNWBM3Y3y7juM/fa+RMMC/ryU5YKEhyvDJr
gXwz5MDQy7HykVVFdEP0SUgghAdde17/CQD5F1NLy/4Zc+V2QHXj12IKzfAyWP7+T6OPIUoyoojD
8gCJBHAuIuinXad+ITn9QWnVmjDIauuPrfog3XC6qo6mW6U0pVk9NldRqb+7ogW8+BMK/NsDMokA
g5hCfiXnyc9XZHjKmHsOwEOTLyAb2pXx2oGtvLRgFS2+lUsfp22YLK4VQEofKJQrDS9+bzWcLch7
5NJMUKH/9a36mVcApQCBGpAQ0irHDgBgflH5QhsuMyT9+SGuIx4ocdvO+Dq7c99+YT41q50rIurY
uoKe54P4Ubb99QX8i2dFFLy1XAhsW67iF1mqTn2ATLtLYLdHqDOgKRHI3EdWbBPM1aIz6pJYot/L
0uTcSQKDtvi4xRc8qmFRm711ceuCfuSvr+pf3BZykBw0ybAJ3eDXBVQ5PVE5OcRS5nm0dyN143YE
qo2o5eNy3ZGTLDa9mCmrseGTb3/93X97XX9eLUw+URDyi+btf/hKwNsr+mqYuSdTSROdW2qCpNnC
1st5IOnk4bjq6NB5Kkh0OVpL41a5RIudB1dJ+871p6FA31h0SXogibw5SJVU+Y8WF+irrhyO6L++
YPtnmsCyjPCGDxA8ghu4KB9/WUYMUlU2MerdO6nHHmjXKDpPIYkyvGoj2wUbP8QsOxyMx8rGQnY9
wo78yCbCex5HPKSrx8Sx6E68GVEKYVn8L7sTv5MigtTuN3jIseXyjjRLxCdxMEl2qBMQsHUWyAGK
60CS1jwJvjs57YA3PswzXiwagt8lwf9Bov8GieYFtdjW/nck+vj5kf6UvvHHJ/5JsbKsJX6D/yyX
4AkIVf8NQGMaCpEKy07Mt6DYgAz/AT+7xHLAtjF5D5mfYSzDwvrDNdS1MBTlxINgtUzW4GX9O/Az
DqQ/79AY/uAiyGVBtWKIRwjazzt0YcUKX/LYv8ACNI4JkWPqTJrQRCMWInEJEkamonDwb8IctXyc
M+lFX/Fk+55SSTy6QeGQ/1o7T9iCjq9FYGRnzwlG2IAkZsXoRvxQMFpro5og2nnqrpCxE7VKE63V
s1mp2FhVQ1Y64lxEWbsfBhKVLgEmg4rouzLcIfiojkRxM4ajW16LyUo2YBvuBpMcb4cuFoYW1eJD
IaOuWeWmjm9KR+I62tvdfvIHdaJa0Z+zVb67VC+fbtSab6Wug70pM/neiMJcu57wkXi0H06TMyRC
WIcAM7AJqZ2ndDyYsnZByELjUkGEQjQSDLsUa6wmXjcRbI8G6VVviWHntSUKQDvT+Z2RpvbrwBuL
VaLc4N2Ex36WmmBGVX3tekVmcme+ll4WPY/eOEEWoxyWdvQ6jqG/HcxpHTuDeIB5pQ5u39iXRgg4
R6ETr82cABMx1Pro+Wl2GxnlR9QpDy4HGhGPLICzEkW0L2tj+NqyUR6n2Fv6Vqv8TloYo+w8tL4v
FArFEKypD5Gdfe97u9nCAR+/eFZIUFWSAUUqGSaIXMrw3bZ7jE6CPOXe1K8iE6/K4FsTH81um+oB
nwz8taF81FvchoK1J5fgO0zP2YmwzPYsbJQjAvPmEfsOWO/yuKzIZzW0/g71ANznuC+LA14rinEw
4CxXPwQkNw2DszchPU2Iskfdr/zCSq5uYRX309TOd7FOzXU6u+omBexuVxive3wXp96iO3L3bk7D
ADHLyR6xRS9vPKTLN+nkO7dYYOGclMb6Xjeq2VVtO37rCPWrViAsRGEXhvwRIS3GZVu71l4QinbT
zGi0Rq9qb7o4RLo7+jr5TBHrrMtFVowxIO6vUy+DswXXql5lXWBedDWZK7+JSJBrKtus8G8FPkhC
hFPOOOFPBK/ZRg9YqAl9Cx2HnaTDbkhtNISGoMWthR2dB0F05qqTLvOeAULNLtLjTaa4KMIl5amd
p/Y5IdhCrAbMvH/U/Vxvw7CM8M/G8LbxjE9/9rDfSdMcg3NSSFdOA6yzGmdAWQcl4C7IzegV979i
NTTBWcYIiwWBO7uS7uDrgD/5zs4s/1uh4hm6ghgYnQ4pYFeDGKqxOv0lql3n3ijiAF8S0td6jN8T
An/1dK614XbrMIzrU+gXWm4E9IfthCj+HuFuvZ1VhGzLxyeoGx20vuCZ1xJx0D4sdf+CtrBGvVzR
gOcxY9mAGvdsSEQqnohCsQ4jfiS/xtYTxk7U4o+kkQA2w7S15iHHnC6etpkO5+dhVERBwA7apZ4J
Nz2aeCSdG9+mYdXc+77aWKCAT3AS/Ss91qGpnPlOg3Kt6zE40e5kepWX9njMYqFR5Pj1PS24sbW0
1RKOIsPpkZxLeUs6uv1k2yp/RxakYJwW0N51o4/hlKXxsSLU4nHMlb0Gklg7ozRvRWCQk13rh8RV
zc2Uy3zN5mleEO8wVfMqstdFRvyzqaJN4mjzOCvr09Kef5Guqo62NdhH0fZ0sVYrgG2lDYc1TvYN
rnybOJM0YXJC32873eMcpdN3YUoSVYxgOkz0zw8kOArIqASnwdqy07WVecU+6Ee5yWI2ctOeuzNx
7ONzVZruTskqgZww+LcmHPVVXbMRRfhibWIEYm9ObaaHCU+AtTGWGIC5hB9u8tbz3zgE5wNG2cZ3
KwdmHXXKaMR3+x95bNQXl8b12irfYpYnmEEo8yOZRbJVhJlt7HoY9uHQGnB4oI28QXDpbhpRXlsS
fMn7JmPRaRpiXcuku58rr94BS873ppVFd23aFAvhJ563buI3e+HW2RolWrghMntgwpG634mdG7Y6
GL8R+AZtiD2TeN1Cp+sG+c1NariKiYKnXyXmA2uGLfMVN8lo0zm1/4ZhDe+G40sQE2ACOK3jbQWO
wYZF0ByaZve9KAfEQQHW+VZcVfvZrK0PLRJ3Qz7mc9yzpdt6sg/e4EuxMo0YSSbDUEDJmVSZqLwC
0x2pHmCoNI7lbwtz4gFXthdtgmx40FSHr8bo4VvTY3c9+VV6n5ftVK0MlegXEz3VKXJUcEqYLofs
oHF0YN9kqtKZN21gONd57u8pK9HCleiyUc8Wa4+1Bz/OFosAfMUrAYEmspBmzkl6jELjWkwRS00z
l105TpyssWQIwTP9HoSsK7dIrsXaDOMbRBTFvvbbHk4IjtnVjIRPS+SEvFDprhdMApKO5Bt7LDEX
IGoT5kfD9q1j/ZFmptwbg+mf56ENvgFdlV+bVhoXrwU/dIT3iIXEszm5WDpGsbrR2iHHpzPmfdgH
/QJsDs+tSPsTyrmPfM67Y5rjLqOKbPH0nIpDP5dI0kcjaU+MQ/qtmyXutU2q+n5mlLBB5O6BI+cP
yBXtN8Sl+gbxFJRBx4qHVyvLjEM5D96NkFl+sjNvVzs50wob7Z3vvowGObcmngzbrHKYzxKm8ESj
J/dg9OoOORizg1Yizlfx97BI2AKTNN2HbcR4PW3LQwticZO6rj6T9Zp8Aa1glNIO9UbOaANJdJt/
YOPxlIoKDkCRB49FzCV0VtGtuT7EWblzO7Crbgn2fY9bNL+AU4i7ZQ0BCybo6I9QAiz3uVRFdVJo
oLeu0Qx7XDyjXTYW8XvTT+PeHbPmfTQqfwWuycxnsIdjoPN+V/rtu7bYVyJTWLsENKqABgzbJv0w
em/aNBMGpUGYz6comlZBkZTnsTsHNXaQmM+I4eKWuEqloYnmzQzK59zwq0eKquJcqZCj3rOg5mS6
CPO7ZY65x3JTXtCE7oTvyH0IsfUWvTb2JqNn7OlZxc5M7eQmgBO0bey8PyQMv1DqYktwz2ByPKZu
ae1GmrPNlOfemgzq9xY/eSBm+K97ra35TuogXxceqHE9N9XOY7zx0YdxuPSgaLrjovWJgCRWvFr5
k3I3Xj2P3yoCe97pPNcmZe6HSKJ4w4X8AKVVu1xUUb2eKqM5Tq0ZrkVekPwyNwW5LaoQ+coipvoW
YL8gc5VUET0IaHEoOz/RudrosWbNkeYjxfEik+likd9R99KHmyQqI2LambHkBNWxdZrZB9YcwnKT
hqF5iB3D/BFiuLTqCI9a9R0uquTTJVumXsw4px56Rlk8eDhBMEUwp/Ecxy1ynspGCcSjfl9yaQ/w
y+JtUPVMqpMJ6KxpAZSS1Gg3Spe9i9FlHHxRqbmkOIE54xpiPgSSAwlOQJJjBNFZ3whALe8wrWFD
GOxy7ZCDs4urGWObx3CM+xzb1yFM628ZsDbuKaIqI/EUjMxV3FPshVlx7sYwqp8YsXDXEM6NBpF5
UUWlvMob/DAw6i+tYFhXyJs2GFAUwWZKk2pjdHHeYeo3jd8lxgafGg7OihrB+8Jn6ncDn4XdZA/y
GE8xOe3WgPMjcu/s1A+hulWSr65bv35zePOcggEJ3xE3oChSG+w47H0WeJI8YzlWMDpN67bOxvBI
jtLMG0wzdwl6/2lOAT1V4/mfbinbeEVWuDzjSKu33hw112YJOsp90ZwMIcWDqVPmlZgjMsJOdX9w
yw6ff+iHG6o+e1O7lDC2bhf2Y1Yc/KZ0t+gm7bNZtSg3TVDMjNHaNoTAuvH8ScAtNPh+ZiFr7HgH
95UwLQZSUHgEYkHLIBvdLIu1yZ2DHYBUJiu76U178V2SAwGvzDIaH0dUwpshZ8S57vqZQHmZ2Ou8
I+2sYSCqVq0X+j1aPQmfm1MYwHNUDFNbaJyrVpKXOIo8f0rCsnvrKD3pmYhInqo5eRTe3DKY4mbH
Is33BCfQfXmEql+MmFE1gsURmmwvTWYNrXqMY2F2GyIfciKOI+8ITbq6dkmEyYuy1EuTNugzUMt/
qerkJYbmeeOSgZUhlCNuCRQF/RDwLaycwTwHkZCPOEe01SaOZRXcIpR0H6pUfQRzgyJXziPzKSM1
5zWh0hz72Zy4aNbRK94V5VS+5qbMn8Ncx3vUAOQKTbCp9rRC3XPR9PpzwHdlLVEQIxVM5IYrqnZ5
k/MSwjSfGVx13rSi9aDWITrY3uCfrL/CiUApXBtkOTX1ON2rICxIxGAec20StOqmmiEv4zBgb9vQ
ICw9wL5KF252TOc5v8G7LzsKmGYXtLQ0sKPPYjKNr2VYz88McGJv5Vs+PxxzqnpresX0WrBV2MtU
2lzPeTDfGVM9b0rMRPedPZTXaqmTnJl1Bam7W1nKxNbTZpotqXxRBET1ocpjC+k5Hnv0n0sha3nN
jedQXGeVuShK5wTmjdLBMg/LhfpSdzoUd1aRtw7GLz7NmCKrz8SWA6Luuk/9lsEykMj8aUyVqe+t
yMgPPpQp/sHBmF47WAfj06yNnPPVgErhdyjXW4j0OCMD1jEwd5pRn7klTYgNTUJ4yNpprZqg9f8r
3KFN3c4YL3My7mMjUE/Qd8aXP8E//wqH/wVGNUOSWIgK9wKqMtCdhXL4ZxxeqhHalWPpCz7q3gaK
Rgo3aOCJiKOBZVicvNvC2Q+5fXIKb2e4zc5LrW0YEInSo96oyWscjH0055ig/B3w/Avd8PdrA14F
rwzwRP4VdxbWoCoztvVFyuYSSGrF+JANf6eB+QVUWm4ApqRA2yYk8ODXG+Dl3UjTO+hLZuNSzi/f
KHdVUO9+u9H/gST/FpIMF/PVv4AkoSZW+Hf9JPykB+ZDf6CSBIxgL2MTYeFFFvmlC8L4By02sv7h
Lf65i5VyZLOIASz/iUva/JWPyx9+s4xPzAVN/AOXdIhH8gOiGIgcRfZpoiT9N9KMIOH+vIQIPCDa
BIItiQQBiGG04JZ/mmVlfgZ8Y7XpaVRWAI9Rkr7tMZ08SxUA9Uyj5eKUlkePkoEpNkoYBYGNDaGH
UWpLA3loLIEncliX/mmeAzfelkM9k8NtmuNDj47a3Vs5wbsP0HuaV4V9gLfGtCQhgS0usZcb7Hag
UhahWpUx3QoUFHN2scLq/Zso9wMON93MR9QKnbuq8hpKWxk40F2XsIu1A//thPhFDis3NNTXKJ+C
b5zLw6aDQ7hNZhMuVSrLrl1PoWd7cHe0a99Edpdu2kj4txqB4koM/bWF27ULWjxwVxRyZP15vpU9
yjyfHsbU7C5NYouryPGz2AZjbeADEo6Jt6o8M6Hby+W19OSA44pWICL1dEi0H51s2WRntt39mNkN
bkB1Vu+8yvPXdpvCEug0WZ2b0cPawu0C+7WMMB/NnKZ8tGzsC6PUfU/wobkjeDnaYHDm3Pd23hwH
cpg3qWVDwZzRllR+sDWmjA4LStO9Exjlhby5q2dS03pliUkTHN/0GwN4uXcD6BQgWITAC4EPiz+q
69CwqROfmiW3lJ3uRaeLZIMapL8x9VbZdX2JGf/+yAc/2pGoOu1aD2UAQFh7tf3omxfHNaAO7iS+
kaqV3/Ib3hSvkUv+aQNCCcvROw0aNm6Acdhj3rTO1Rmj8exAC7vPWhNXqiL9Cik5/fBqX284NM5A
U9PGwzRjha7J5SSXxsNQj+KxbAoB4lW2F9uBStFxR4gzLB6aMu8uxkjGVMYb+1yMM1lWrT1eJqzj
NnL07K3lcaUGDjAbc4iTpzkMsDwoQ4WJRF7VdNpVnjdIOKV1dlJlnhA/fJZ8/V3Su+UDSioorHj7
RdcAc7wHpp7wFJs4B37HIvHiGkCaueREKfCh2c9GX11NmxUd+H13Yxeue54QUsnGcXeU7u1tTS7N
GzggFqhINlK4e6m1kW4BQ8VxBnejikLvKdyTnaH6s08W0MlM/dthaBXeF/C/cMgK83WYj9RdVTkg
N2EN4vY3YeQQGx3M9e7F4ERI2/mKAau5i4Mz83gqU1V9mXSf36dOc2cgArZgLG2i0r1Se5TbKpTf
WhkE6G7rl2mx7EY19S6CpoR6ZHfTWmQ26bigT9XypKZPgxnqqrZwAp9789Xto3E9TFF8kHowbjWJ
6du4l8kmN903NsP2zpZi3MHnqddlkXjHCSbVi4uvFIaJQQtwicjKcGxeK+MUULKtMPd4w5tIbftA
NHt0dTaF72nusptOQLwjSxVaW3apYloI5ofkjaHnAcsVW61ltit0Pq5dSqFrGDvlgwy95IiBNw5+
dGVHohPGBzGW877qCkhqHNh7OAn+rdsM+Lo4+thMBL9uACD1AwK5l96ajIOhJu8CaJ1WvGB162rz
kbGFW0YbZdEX30+xdgSUWe8CD+UrsiVv6/tz9JRTFe5I0CnwHcvi+8kJszsvbT8qV4LWKAGqmlkf
vhw8om8as3tvYV7sl/B2iDOlfV5mkjvT9ljSZlKuB4g51HdpeT+x7UIUX9LO6waHm6Ca3uc+grUZ
sz8PPWswm8bpHbYCTkSk1KlH1YyPFYwmgPJK3NX4puC9GVGX3idebB0dSU/EtMSl2Cu9Ad3NnNdH
WQx4gWVVR96IrKJrlwc/ZA1+m9g4e0DLhBlCoAFZ8rgckrfoV6KOSZEU/Ujj3HuA/TLzjZ014wUY
2p3YTSkTcDZ34Myxf4Gr1FruYUJEdiI1Ol2ImIb6Bi2/npD95xjKwlO36Q+aEBc2QkHDQ9EDgNyM
ELoeRg7sR6eJeUUKzdIDqRq8L5BQm1M6C3hNpLV4XztWf7a2yI4AhzXiwMWjTgZXBZeZJsEym1Nt
k02jptggHS+vEsLru+OEk+1dCi//ETc5J1g1JFrvU8Ik9TqadfomQ7fdDrYLnTFL0o+Qqj8ih77B
0D6ZOvcmcRp4WYErgcNmTS7OIOl0tTMMwwpLAeMBctH0oypcSnPHtfVtN7TtPWpEwrwDvEoatF4V
JBMMzpxxhR98/2piM/ShGjN740wm7w8jkNsW+u1dPHjRD3NMe6w2y9hBf1YMr0ZRzhdhEo9Mg/Jd
CMf/9KrIQ5WFVrzHnmootwmuqUevHo6C3XbdUj9MGzTry3gx5i4C1KXhSz9M3g3QVPkJ+TyPT7Cr
MB/2ZaYfYuX6L5wjEOaZe+x6RpwG4E8gY6J70Nsem2wcvxV0NS6bEWx3zHOH+zGg6cF3PjXus9wn
AdB2RPOGMWdxcUpUuazizg3WdiTmY9Sr4hPGcoHoD0uetiT3loDP+MjASmysIuVlhcGn7mZF1PIa
4Wo4rWx8WsV2siPzFuGpfvP0pL/HYare8cMYdhWkTCyikyghxUZNxgkB83CPly8ojgO18ZtrTu3d
hAsU/EN83g59gCniITC0fI+SEdHqNMf9UVoI/Td5liugE3ShryrMXHcV1k53JX+8LzHEctTF72QJ
fX3xjYGWhih9cunwufJo6wSN+RZHXexuq8wsSLwdDG/fl252jSOJQB1Da/KS+4pAn9DN92zPAL6e
NTBhKuzgZtKdOllp52/+P3tnshy5kW7pV2nrPWRwTA5vs7sJxEwGx2RmkhsYSSkxzzOevj+nSvdm
pqql1r42UpmpyGBEAA7385/zHa92zO0y0h+cW1xwMq/xRfits2tMLEqAF2k+j2FabkRX35OP6Lcd
k/Dr3BgHUHUhaPpZpvWpk06LHz0v22fMlJpBEQ2dIGneVV/pOq/LXQ9/qAFy2Ky/QUe2L6HJ9Mm2
vDcnitWTBNvwWkVdtac3esy3LPFhscFBUhlkkDNWRAaz5imRpryo1ZEvo9vmxzquAZNbkUsl82Iv
9pucmBP3obA/qz6OCckU9oww1jL6LCt6k2Hf8D+zdcj8I9yu5cHPwmYMZuLHr6Oi9LIu3fqF03l/
76qeUVg6W+bzsLKB3EXmNHAtmd2w8UspflUNc6VdWHiRcfarNPwKT7Z8wr7pdXsb+/jV0A0L50rD
ANPWdozLpZ2d0ii7M9ch+dqU8iZaxm0VFyPOa2M3+ZQLlUuvKLdUJlXMujtSFYwhXYWfBr6VsfFF
JA+kielUdtvReaMpycItR2jzc+kskrFcMSEuC8MWSyC6xATeFkU3XW+tu4lw6MlKcyAgjttv19rO
94NpDteCCaA3tMVv+DUHuN2DJwFhIz1vxo40beb17VOEK+HNI3C5Hys6wjd8m3Qc160zXGJrzgCg
2BkBmtBF0knaKHVg/Trpr7WpGLdw+Cw3tRHnLC32dKkYG33JwxlnumvGBxOLJueDcLhumemgwlIP
dkW+QQWRyR6xmKKzD0Cy25dEzo9+oqgOpZYq+9r5Ekwjc2OmAHHi9uGuri1vx1R0vcoMUZ8n7B/X
vMP82nKS5D1ck35fEEsG9tqM+0jZ5anJI3tLGuNLDRBiCIQl2teIAc2d3TQMx8ykPf3nlFz2Sb/8
/SnZx2/4F6fk8tfk9cfsqHB8/TN/HJKdXyThdVLWuG2cjxLOP6Kj/i8m20Pl2bb8OOx+590Rv0hX
SQyY0kVkIVf6P2dk+QuwP6D17Il/P1r/kzMycsqfzsi24K+g55NVy7f+5GLktJasZPA0enHewojN
X90U+AikP5O23XhlWrNZugXEyEDOO8giMCFe3BaX1QudORD0/u2g2Y2/Sgwst2s4ly/KTCE7RioD
kshPFdu5CrmGy7V8KVxCbSbterdtMnk96JHWvuCsAWGC84zhT0cp3CHx/EcJRuwBd+x4a46vRdVy
z3Cw/NyPZvtcZcloBOuYA1jICDW84popZrrsjIU4EwnJcDsrlEfoNrSs7Wqvyd5i7mLy6G2Bn3bB
9L4DwJScSM7OrAC5Gi6I/KHN2hKuTGVay6fCrKLtOwBZlMJ991P70CjN5aWYMr62Uzn6Ox5YCS0b
ZU4xb2Zk1btGlz5XQFtuhm7BTW/n3VWkuumdSWD5DIECGhubmeWKsVRzv9Rp9AqDiJNxalV0cwx7
HlB14PHkDObEn25W0JZ3aKGV2pA1bUjLF5Ok+TPJbny7mO+pmlv39dJvl646SYm3b0MLYzCWA3gd
ZzlMViLvRNMR1Ujt4n2mmJ7tWOHfea5gatGn/aO9QHFIuq7bOdNiH8O1Fjm4XSZ6bk/gLV3W4cqf
pyQ8rXQFnsc1B1NnRpBZGRU08to3C6sMWmPJP9tFPTzSMshOahCgu2kYEF8T6oW+9gbjs3pyYZuW
yrieVgszSsnBvloXJ5jmcL1eIzF8ybOlbgKNpr+ewra5YhA1flOYXyhCWHoj23Y5E8jRKfNdjekj
xemrGKUJhjcXjrOt7kgestdG8/fJZjbuIUoKhF8LIvVLCtkg1yi+pt5kjR3dlb4qxRF7afIQ15n9
xYqK5F6tLq9mm7J9FDUen6GJnSthpRwS4qGKjxyFI8Sjqt5a/dgcp0WMD1FcUBdBuPTZKKP2bJuF
+g3Dhmz3nsmYfiOwnCY7sqDqAeFnnZicR5XxNY1s7y52MHWDeQ6NcqO6NXt36spWiBYWCAtzLbYK
oBUmKsgIfI/ZE2e1+E7OaXfpxBKfJTgOtRPVhIMpLB3cIktUbLlcae+yG1Ozt6tuazT8d1FFzoVw
2lDtEMPrmxQ5NaHjsOAu/zqXInXAgEb0cvPxzAwS6rMaE5N/VaWI+n4zq3FJPSwTxFnz6xIVrASj
1EGtOhYTRqRwBOz6sEyjvZxjyn6OzeTdCT9ly+rINbBtDmdAPNXjDIBk3HXzkD+HIaNdkYfsnuSA
sy7IaqvCrdK5j4Bnh3qzJKIPemdpgphN443D8fq6x7Z2IF7jbrqqy7FbYHRVISXhvo3fpeV+eQg7
vFCbBDPg0/xxXEWoMNM7mXQEH7dOzWH+0Vk7aDM5Ikbp3liiMY7T0H522ELfG5mv6yj0CdnmqDxG
pXep9Om50OfoXJ+o66FY7lEpLDhenLcrffL2ly6/n1ob+9G/zuXJPrRVvpNg57bULm/AzZLha+Kb
gqDcoE/4Jkf9MT0zZuI32UZzGLQaoJAFPK0PuAgFaYqIBTJ8A1qt49doNUHrCjGOUcpH0BqEVh3o
S+xuE4QIpRWJabUZtmuVIl1FyCyb1XpBwii1lhFqVSNbfm278apf+QzD3rxKPwQQ6AEkWrv4af5Q
R5BJfLmglyCcuHxjmLmtB1NrKiHiCse+W29K07se2YXxEMPF5UpqPYaU5+OY2AVRctkHkxZuIFSP
W+tDzcEaROooFhkGHsSe4XfdBwWowYF0bu3uqtfi0ELl4sHSgpHoFkw4jiU5LoI3OLeRdBLeXr0+
M4LrLmqenL03QbbjMrrytCxlRq2FGUZLVXQIHAy3NA4487maGFHdLB/qVldBK/O15NUsi3pgUMW4
DCNLfp9pccxT7a+yis1zlkTiai1UszM6hk8A62fq2MayQWXzufw+SdoZtq5wKRrVctyqhbnIi5Yb
+h4wTo2ifVozCtgNF6+JpZJ7tzUabglkPuAsHUoK0h+GpOJxzMPw3tXCIK5NcMGVuWxtvibF2WOb
aSExn8PXWEuLlhYZLS03Jlp49LQECfGzCHrbO3danpwHLh3K8764Wrp0tYgZpzOlpx5/qZXJ94mj
xYMPxoXirHnZQwhUQENl/o2kQHkD6qTTYunUO+imrZZQWWOM67RP0FWbuGgeXNhi20bLrrYWYF0t
xaq5i9+dD31WVV0X4Ml/4CLMb1Rl5ncQlBkjamk30SKvEOYd3XrOVsudp0JLwblvq60xaHl4Ei/u
2LI/Fkb2SKCCpK2Wk3sG2fvuQ2NmOdR6MyafAFd1uV8+9GhXM8K1RG0g7Z7dblqOpZ/MJ6/nETln
q3cycjqIficd/mea9Hf7ZHZsf4lauXotu9cfZ0m//8i/tsmK2nkfRy2+SV1ZawlwoP/aJwvT+oUS
PcqLfF1h/QEE+2OWxMTnu9kRQyXBsNnWSS4s8v9gdsQm+8d9MaUYikc8hna6JnzYLT952htq+/I0
mr2rwqp9EUCHEZR0CJSVJhg6QrcN9m5kkQkms12FN1W5COLGrmmwMq5EdcVjjgXRKBjhkG6edwaI
Lic8+uEADniwRyb0JG1XahZizPtyX7TondNND2wXytViyckJnA6dMdr3XV541wRUuvcsmu57J5EI
TpYhAyf25D7HEsngoom2tbUuj4a/Qj9a+zih6hjHHcdR7VVeD5wSdXXOLHI6RTqTg7lsu6Q75o0/
NHf40rPHtgnVc5evNqtS19AL17ZjWl/RqBGzYV7UV4OofcVLEPXfzbDTkgNaOi3M9lIWO7tK/Nus
Kb3nhq3o1lDV9IJlJL1buWf31UAYl/M5TiSyjbhCK5vuNIyaRn3I1iI/pXgnX7zObb5anc12WNB1
814p/z2flxvfbAlcj1mxnPhHeBkHz6Y7IzGP9HuJXZ/aKpjZd/H/oX3lfkjh4AfmslAbOkVkXREm
VbGphqoFMhzSIToJICNklIq7AYHoM4gqdIZ2mQ5M+pZ71VnL2VCp3nEDPzYQCYzkGOdp8ivXg3uf
ZvjKYXZYxi32OYZgrgcEppoF29a+/BSvMjmsVF7dVcg+wYgTpAocv7cujjtaXwxQqw4Jccu+rZxo
2Ko6rxBamEqA0FnBVbpILMngDDt4IMMO1BtuKHIDe3uCF0taacYRFjbri7EU9d5PcuOABWQ9OaC0
3tmOy1OML+1xhYJxMxhNdV1Bui4Ozkpp7Tys3iiwsY1OD+Fq88e/2dc4Y3wxXO1yCRITCaeBZKCo
6jindQe/HhZEN+X03NJrRoyUqR8PDrz+GC8m2GrrDtKcMN//ozz8fykPnPpZc/7fysPVb2U/vGfL
D/P533/oD+mBmI9UAhcvrdyALP97RfXVLy6JRZZZZuI+mxIWvz+gVeoXooxKEB2ygV/Sjvf9CgvU
lnURSYKkrP6pf7TC/rjAEpykkt7yKYG2QZ1a1k8LLHHPuPUpGTyPAlgJOyEh7yc46lzjJb3ljVTn
0XxLjYlzY4OHlWmIrx5IKPdHBq/jwW5Ec2DvbJrBdx/jv7HeuBbv8YfEKbW/lKhic4HX4PD40d6c
73wDc+cubkbl6kmO2PNuFRviW3/1WOtZJN1sI4bqMRGO4eySljadiNOaUY+4LCGUhr/6ZSnuO+H6
DQyQRRbyywo74oZJ0NSzYHfiuYjRsFvMBDV9SCMltNvcBSl6y6HH7wyMub3hH6csXLeOmZWM8wUd
b8jlFVGp9immy+4INxlwcKDcvGHw15GBd2THZptjuzpDIhFa3kh3c6s+sbrH7YAf2rfvQNEPT6oi
ETm1TTECBsHwvhmmtHkrQCM+APytcN85ePBoQmTnyeaWne6extE4P+NWz2muGhcAgSn+h3ua7bbZ
BOSmbCmKCyPj0CZre26iVBwGiA/viRm3t4oex62Xdlc4vM41Tu5PskxmXFnzcpDd0GMbpYJlNkZj
m8iVFTfnjHzTUG9JhUq8N8BlI0QNonowHPVs2mlH/h/f/nbN8vgrZNBabszBnS4GZ+p7VHJGtDJe
ut2UjPN1JNdHus/y23ahg5ue4RLf4uSJaO9nhoMbHAutquNuM7vEC3gy02f1YPpZ/TDiugb+7xd3
7rhKXaVLl8SFaXRnP6URQvMMn/mWpO/OWUJr38Bj+bRwKIanikY7e7V7wBlW7mvZU7kqWm8IOtJ9
GgQqjrMd1rSYKWMDTQLfOgmxk7P20BGayLvnU2+uiLq0+xS49zkCE3wmSOqfY2HmtHGWZv617kX3
qZJV+q2ZhCTsMxj1Y0OOHouENV/boyl/jQC+7ZkLNDu0JQIaFq0ctLK1OyupenJU8ejs1waY5qYG
N/GacdlvbKudg54rbQNBbnowJR4sPGDjlTt1w45hjeLoHec7XPIlVlJiJRSk25CKC9pPzZUIfZvE
XNJtIcP9NGbdEqzMzb66/JKASAfPUl8NOwys4tWK0hhH87L8ZjVReGkY0279eW6PTIwRG/s09Z55
EgMwDzksnqzRS0lUT/YSB2vPFPjAExglSbpd52+sppAW2hHVARsTROQ2j/IIqkAXGp/cudP1E0be
U9/TiitFU4q7m/kcTyN2zW4Daim+jjKvpECTZJQNImwNnDHdpd1IhmkBYENzQei8M6qYMMnmU4uD
sC6vdc8MH9/aZBcX5RSKqyKN4Sf67or9hpEC+43xMHqAQlGM1HQvqWNwDzKrvFPGkELF0/omx5Xi
l6lzTsqjOwFQsmIKLoi1sBJOz2MMkHtT+x5RsCJaS7HNkjZj1kCiYGFE38qXknbJYesy98b/icN7
vEGNc04ARSeUReVDTRFjHxfXSyV7i2D/OJ4qmi6o4GARIfqBRx03TuVRSJJE1i1C23TvtaPocL/G
I1vSsstvIXljdLfASW2maqyMfctGY9zW7erdeCwHV0WM1xSLRl58ZiPUPCSD3VM0mFvMzrQGZTRa
jpJamUq0RiXZQuVbMSTO1tQalvchZ7Va2RpXF4O+Fcd3iTVlT7VWwHythUUUnmyLeiJQ+CGVuV2W
vacR6E4oO1pMM+zWu4OdkhtfsWMht81aebM+RDj5IchFdeu1e0frdEAtmvNSiOmZeAvqrNbzhFb2
ZiS+1fDgeUVa9zM/JMBeq4GxGlPgFmP76NoVYmEovPheuJb1pRqL5EEucyGOXdtFdxgca4xgtKHk
AQyD7qWCYltsHGbd7qHVKmWo9cq4UQ0lGmIeLz1KMeI54ayY6aDP0TZb+pg+AK1+0k7Ey5FRGr+x
viMmGrQ9NZIcBfXxvESkzPUaH4G9TxebppHMmneNVl1ZG+ZTqpVYZuWCf3DRsc5zk2doELRL0eyy
GVYyPWQxkHNTreyKD5FXLrDFNmaH9ovIggw89lh2etjZH18b/OP4quA0EW9QuwNrFHLXxd57aiNX
TL5TB1kz259R8epTymHhTtmx4FWLd3BcyNKQUu1bKEbXtCCx5Lj5dbT4IUo1sH/IPRvyUzPw18LY
+ibp1Lp20pvFJXzrcHDgB9bZuoXgiMg6acEcm50ZEDa1toT9Uc1a/pH4pvGSasG9tez5ynEbJw8o
k0KQd9X4PmqRngyy3Lb4AsjhY2rJtZjPVeraARNKNH64SOj9i5b+O7JkIHZ8u72yfT0+cO2YOYHo
sAjSNGvgYENWVPZ+aemU3WJlMD97ad+Xu0YPIrDDMZNYPuYTEcj5kHCbnlv0HzMMP5YTZ2lfC4wf
Uw6s5u0zEebsM1s4vi6yMU463hrwcR8W03vM5tA9pB+zE5t22DUogdVduo/pCgKHdRtmFFWyxape
Fj2G6fVAhgkF3xd5KuY0VNWVLzb2HH4nYxxLD3TMj9kOAM7i4jeduO5YzriL9Bgo+pgIse9iOpT7
2PE3UlrZKw01z50hvK27CBtFP1X1OUXTlhvuOsPhgEj9UjDk4QRTqmqKB3K3/U2lPYiwERIkYW1M
1DN2QCParzh03UOkJh7WuKQvRDhjxkjcYteJ5Ql3i8SEsDQ5UNKIcTrov9oZGWqPJMpr8+arBuNk
uxrqjLhEEM+2XQLKuL7UbvkwXLbae+l/2DCVdmT2H+bMOsmxtc3GKjngp+l4DTiHufX0YetsPyye
bE/aL9aH8XP8MIEyj8Zl9WENNbkGwp3SjtExbXkSMMItmyOhV2fezlMYk4DAJIOtKrf9x1k7UKsP
M6qjfal+m7HQxkqnkyovTy9tvGRzwNJeINb78+eWYpIHhgnypQn99FB5qPubjMDpO1VAeqAvm/LQ
dC3uFiMqgHvFYuWRQef7cEiKWtzRaRAXZ0jpCuOfJKFcmg5kOTMyT7Wf5mZQVvAWyd555nZm8mH3
V56/WJX3+yb7P0LZ3wllyvLt784jf2ISX1cDHQc/j5R//6k/znX+LwhcFnMY23c+jnb/fbJDRsNQ
jXVe+p6wLQxM/3Oys3/hJGNBWPCpYlSWdkP/Szuz+IWK4yZmbjxCbI3+kXZma+zMdwgWIbjBmXUD
EeKkKN2f4wHwsaahSkR7crlwgVamhngw42a9+GNS76sm9cmi1dJ86wwZfoJsR7KtKMOz0SYYnnn+
BzKncqCCZXfInHXUzxTaa33265/8umD3ENf4SiuzV4FAzb4VJf0cactgmqqy/LNjNf2u1j0AXOvh
hRpcskylJcct+MA2EJHZTvQGGOuRdch7HMph/pvswk/iIZ+AQ6URnS8WURkgG/q/f3eATNmscVCF
389Wc77zwk4d2LOowOp7/b74u7+7RP7dkfVPnziHeerhHQeRlEbTnw6skDvNOcqy+jQZrQ2APH9j
0zPqPpXkb17pJ7uAfmcS4DWGfk7uAqn1x3e2godbebrnJ6ao3dZi+WYnSXoSqkTySDbPOSxxGj78
47cHMleiF3Ax+cRifnxR6sCY07H7PA0e6+HG0GORzrSkSzedC57hn7+ai8JBQMEn4KJTDd9/eZHy
p6QsUoLY5uRmlxJm654oipgoc1ef/vq1hFY5frxXeGPcrRgJSClgHfnxxWYyrTH8kOTUxHMODTDm
LL9tmqKCpyjwvAIPuR04zl9PEGyPxANoR046r/vH75mUhA/QwkQRkiwqP/4ZhCTkQs1aemoGsMtb
HvQdzeZh+El5+F//5sX+fA2R7NG7YcjoGBB/Vn5aDsp233opjsJ1va/8ttv2BncwvrgsJuSauHAT
SwW3/68/7J9iS1y7rilBwnNQBvTtmXrd+u6uzKKUjkGPmrpyakY25Xybkz1MlMUmxMf/0Ws59I0R
W9I6Gl+vMJ2fXstJjEmMsUpOCed5RoJgqTa12S5XESznp79+rZ/W24/XcoGtUKMkTcf9mWCXFj1n
FPZup3VZJ7Gt2C2c88Qe/zXcep//T/QbQrSuSC//VzkUdxUO5+6//vfPsph+T4zNfI3K05er9ePn
N3h513rVnJDDd8eU3QzniY2zlBaDf9t9jJOkwCOA3YC8JAJSuOOkFV/++r3+dO3o9yrADDk6PESh
28/XDoezLGncnr9h7Jh3kERDb1iN6BLaS3GuIp/jrGcvf7Oe/5kqhn7KEkSUkEgT7uifvs4x8tjd
hZKUJC77Ly1x2zO4uuWmZsxwaO26xHttVDMe5WWOZECBzDKeJq+cf8WM3NAsN6rinIUlY3g9EgJV
zj/W1Lj/60/n3/2dLl8MIw92BwSofhJVM9cOp1UaxpGSAO9tWQanDcYm55hFIGnymHdwBNvAY5fk
aqopu5CnJmdpl2F4GrLKucI+Gp5wHtk3yvA6uQfRUqW4PZUcD3/9t/75qvVNPk1GduTEvD8N2ExV
IgTkUwKfwqTZOsPkmnF26frdX7/OT3c9VwwZM74yTiGE1+h0+vGqTQyLD8XokhNgx/VeJbrvhkYA
94oRjPv416/183L+8WIE2KyPyhriHj99/ovfuZ0zpyznVZttIz8cNSWcjlJulT2TcdqfZng2Ypjl
s1GU0YEjTf83H6wwXX0nfvdU0X+GzfQSwDGbAv6cn95z3taGxZ0RHuUwtctJ5haLaa9muz5FQ73e
M8Uz31zd45UQmWfEVce01CcJsQM6DEz3qqOA7KyGYbnrR0WTVdekdJA3sKkgn0DIveRxR3k8seOH
NbfDbyPGkM/+kq+XNSc5S9NV6z3Khs4oq/Ddq7E1WXC7YrIe3CHzHsGsm0cYjuI6xgA8bOFoGSBm
pvV+iUJ72OQITrcFCZHXPFzMtxVY5oWZK4dkNZfht8I33PpcFg0N3OVYh0eMaU6HVEol/caWEFY3
RkXSYFM29EvEePvfWfbsp8m262YzA7YEXUIs41s+9s60LYAGgQCmV/6CH6s4Oy5Li2jH5G2IWbyr
LnK/oSz7FrYkto0cx0yoVlOiogFghOccJsdkM1RKanl9SbK6TBv57DdT6z/QucP1xt0fZRBQFS+P
icggX9WxdmLKls8rrhlKE1R0kfpnOw66WBFdWBpNMtFYJJnufVKVvVx4zuSfm2aZbj8+3tCjONAq
Y/O+tpuYep9V5vGJihrPPluEai4ZPmwYJpQnojR/rFake67afmWF8ildfikrsJ5BZc5U5uS5WI9D
UvPZLRATqHkyzfgT6A7ny9CaEKqsyCzvtA2/3KYOv2eKk/iC2T/ado1M3lpTAf0K23aJSB0DHN8w
yHcfcbjZT34J8HVjWHy2Ba16b3lUWHvRVs4rMhNYVG4aWslCCtXv3QmhK+gzetzNsZlvk4Wh5FY6
InnJvZ6lCRcJiS6TZJCtr8NChyT9IQVCu0ClTrbrLNjAiKJa9+WYcy3Jol8v0bRAkgs5ei2bvhsh
Q7sGgyMdmtkOsa7OS3kDqMDpRBdRxwW2wwFVv8ZTZDJr8bl6Xd211YbxXB0HSEY3GGiMT16c8YGZ
kbNcIiNPz5mf79SKUMesf74F+drsyRAJEpPgtBogksFiVC3dRXFyMv22vGJ44gQJULWtZ3XmRdjl
eh4a0zviJA4/Rb3cVY72M3pldll4tQCzurwtVnmA3M98vwxnrOgp8F0smhvARwezWnrGQHSmm8a8
IjpaViAY4O/VjDGIvAO0Bj5V67NKxtskooUiFWofx429n4a4AvRjM20xcN5lxaQ2wNvSc575bQBN
IydzofF0ncPYy3WeW2ZOFzyTty3FMxsm4vN2XHy6OCi+2btN8uSFHsGUrraucoyvJr3RQd2X0yFT
hRlkKz2d8Wp6zL+ddZOo+KGLlzdiA6/1YHS71CjsLXwnpgxoTifD9L822pXEhL/Og2X2eaoNtfVS
2M55JaVM3ja5ib0El5TjfRrH8KoqZfS1xxWxi51lPsd5wQLs6D1SYS03XmLbQL+75l4keXc2RoA9
6+pdZ7JZ/HpDp7vEb6kXkaj7rYGAcVxERcQLMm5Ivi6y07OonEpsQiOS14Ob8wdVOQBH9F5rfXJX
mkvmKYcK1I8Q2Hohmls2Sk68nSgP3GaSvrGWKMgTkuX0uFQQxZHyIeZt6nFdLhkUOh3UkHsngzqY
Frj659yDQtOoghdlF31pI/PBd6fpQU7LsrPXYdjp549LAwV9K0FSN8Vd1yMKSu60/MTIkq2AlRFa
axf2IpnPsCorvS7wTJmwFJXThhgJTwQZKXmsU44+uBCybcE2b69W0zkM04ik29ZWcduZ/WeZr1DP
GLTdOM1KYDPCM51ue4rp0j0zzeLKqLtsX6aZewfsvtt7coi+9Gk0XdnDvO2TcDqnENKwkYLDeqHl
BMCJSyt1QpC6NU6lauOz3bBvZ9JEMmkdCy7MlL0DR4TcuKfeXe6KpYXXAcrRLPrxeXBK/1vvzBn8
olJYn6zClV/maVXrwXQTAwvkNOsINvsxOJXHel3VzWw0HiFbJlV2VdWB0TcSxM6kaA8VtFLXYmh/
qy3f39VTulCraV9k4ZgXFbbkRCG8XqMjl2xhSol5M1f3edjQoxnaoc3hP40dZIoWkHUCfUz0uTrz
pWKCdcmv8RDOKck2Rud9Xs3uXmKUPs1N2W39CqaH73EJeGmJDZYm88NEAHrv+T2oMbJXTxmm7zvK
0mxcpSI9hWlj6WbEZGsTzmno+TmMrsuFrcoLwFwzCAtl3UVNTgFuI+1rFeFjbmsQnKHbiG3hT9Uh
N9d6n8OXfh10kIiFpgnGjiFf4PdVC8cLnM4hHksLizhGZADgISEec7ZvBtOvbil4YtuvoJptaork
yt2SGZWDu33MD3lWymc38xBxqia6mg3XryCnOPlpMdTyW89x/Lq3pwF/kwGXh0ZERurMs3mm06fT
amXSveHEjlsIqwwHAFGdc7FQLzf29WVKi/yu9tz+1u/m+Wg3XUzhqPKPxby2p8mHM4fRwL+qyGNe
0gHLjhONxVtWMj3ZQf5svjiR2+w9L82+KbcABFBLRrK4R9GSgEB+ll39UvCrd21TMT5Q7gqJqAvX
8dVkJIH52ehgn9YDe1k6uvqgiUvYJSnmeVBaSWBWTOPdIdllhfU+GQoyHowUIN7K7nYlLR8XxnfV
mxTleAZOz7RD8QxEgF0Pi7uEWwZv/Z0wx+4tbTPWbLrkChBzqs2iPhgdUFDuU28OpezePVjVcMOc
co6/xQbG6Z6WKTo9nL7kmNQb3xovLi+zW1s3yeQOTyScxzenTfznaFDk4bRDnywb7DiEb3cpcgkp
uCzKo0Gi4My8FfpA4Y1U74rkxswKCIX+SK4gbfTkcspEwC4Kw4O1yG2fN6gaVhMSu6Rci7+qn49O
mZoXZ0rybZ5NPDMYZS00+wyDBz0gq2IN5W/mowin/ixaMgXb3rEqlrMF4g8IewvQpWsNJ1fNPEYE
6hDXJao8ZRkrfH5q9PaKWvpdzUPhYJt1f67XZHivORvp6UgOFbTgU2j95CW09KWMomReYllbEEeZ
fh8906aXwrXsV8OqjW8W1o/r0Mfl65ZrCqqWXzs7s3oSZUJnx+C2L2HtJGwnTRUwgX9iYxzu+tAj
MZA1D579OWJmSyKb5TXMQy6q4rPpljSrgcGTI12KqSzXADviHosWpJySHLqTmcVmZnMCLDYG/lK2
EaXW1HSXti4smZO3LLfiMjA4JxMW6CselZq2ZVj7wZt+IwqsDpzlnaBhaLDPhC+DrPDosiiA7Saj
2FCPs/cJhQaubxlbGXI5m+ksrha3AI4kXteaXxxXg3+wlibbFMWSHwiwzI+NB+HRGvzokpbjN6Nm
zNCswFq9cbTOCcLurkPNOifQ14/KRB6w5pGOzbodDjV9xm9ZL9SGMz5PHTZCZ+IIDrGfhMKeqe+u
zX5OrzMxHzJodhubDVfAodrDxjffTtiSyEnP3tGF2B+YxehzNKHeGIQiD4gqvJtFZzJJo0jE77vf
+taodrVRrQfhUUNTNOqlXYxi3y61BxEd7WBl8EE0BJqH8Zp4zr6iJZp9irohgXAujOZ5KtbbgYLV
vvKeKLm+sOQiGOUJc5F2/UYl1WehgCZY5aFmNw1lAZSumeAiJFBKgxicY9fsgrXVLj9DuE9UEYJh
qKy3WQk2VhTHb/3YOuVe22+VZe5TmmlmZoAUv3nvxQjKzypQtbFucyKIpmH4strr+wymyUsHTCfU
hE7Bopboi4lJDyxU62dn/DuEtpZlAy7CPoh1NzbJVwqZifb2MUVVT6Y/DhiDGvoXuuSRHpiYChCV
BW0zDl8Nq/V3Mxyq48gZ5noYWpKO8Ea5zRfz7NqJ/Op1lIwmRePBwIyp2U0aD3l0SvVxQipqkKtJ
sIXGo6A7PL31mqC60e7jYn6gaFH9anpgU85GnSPobDJFJd/BGq3JvmL6DTMXZ/k43+VWq3+f1WTp
64LoPCFc4BU7RUXPFS2njPEvqqYDoc2E87KHNgczN2M/dJT2II2bfujJoXZGlRLYB5WOFWTiyAkl
OmgHK3z2oyyE7O5xA/KqjBgoceIgYvkcpLaWX3Esirjsh23F8oLOpGcaSzWEz8P/Ze/MlttGtiz6
RejAlBheOYLUSIsa7BeEbMuY58T49b2gqu62KYYYvs/9cG/E7a5SEkAikXnO3muT4bL2lYozRqEL
fBMT+cp8456cyh9vFEikxJZDspJjZam3sSKibi3nYM+stVmW+iY2lsCUOZ2Ade7e4okQ99gasX1q
ybTRgpqs5YRM1SBTKHIHpq190Roh1xb22ZJ6F8I4mKmWuJFhNx95XVmMy1CUDRCajq1DqljqttSM
esfenj8NF1HB8sMBnfYsEjub3Kt7Ff/dNyslTSaq2f4tzLC8FzU+PK3Ld1jxYyQ2Rb3Tk4YPaWP4
eyMUFAVQB98Ax6RGMHdq3sfrSlNZjyhHdr5FkjjnhG6rEjv78v6PgNjFMGJx7H8PdbeFmDx8t+Vr
kwHSWQ61TpXAMfq7fmLbo3DYpNcz5daDm3AzEQwLANGy2rwXimE400YZCmfVJtSN0ywqoUNFoQv6
jZ+YhX2yBw2Sb61MNM9FJLmAKOYvso5MqPLIwxNRqr1krcpTzxOV39wP9a4W+XCfDOx3J4ht3pS0
081QjqMEqcx1mXCAjqXg2Fd1YUmK7BhXW7ZqnO3bNrXrVZf4fQK7kKoIxUsWA1hu9NfRghdmJ6pd
4qtZxvxXJ+XaLYLyleJftFWTmIqiM125dd0AUUtdIqr5duAKyoOp2EgwDyZhTFK9FQhCrop4okM2
CYpX/pTs3+edQozzpot5AsaEIQcmznQIJRFaQPTmvIw2LP1fCs1jiiIcsw5pO9+TtKXLpvE/eVbD
bWETDwyXw13OaNobPdfyLb4NifmDjGgb3sfdlPbOqigIrbJMZoA059A0t5v/YBpbDwHBf0B9iN5A
ykw93y6d1UBu1wt5yxPkcLPe2fn8/y0kd0uzBiasZtjjTccfWiPwcgU8SEV9CYH8wiyT4Mejhnkf
KmyviefF0v1eeII46P+aiOa46uLY3RoTfxRITPFKKTHHFE221qPU0WG7Wu/vO7JHX/1QHWCWhLw6
SsgrTMgMvcle+nu/1IrXxG4QhVWDYuBz7VIV1UDqa184HHCFORLRmUwYJOyA0S5s3TzSrzm31M/S
nW9vBv1w3xbcpq4p9C99InEqzi+s3iThT2Iuylc4CQxNjkq3h43o7yQlVyg2jtK8ToAAApWKnKz4
99waUiWL7/dWNN0y1ODplrL8kauOu3Rp5m2brvb3quTpSOnzsg+8gX47ulQscncr606ug8IiYYsS
+E2ZkR1e92hZl5M1aVcpzt273LD8vUgNfrnk5CNWOcvhVjUExQ/aos4Kyo677LE8XItSUFLArQHP
2EHct+jdllliT+r3QI3JigdnD4olLN2tXdTCXxWcTlEAsj66JncK95NynDgQ/LL9kgt25TwHaxXM
KdRLf4/IjDQNB8eRp9its4KEx7HPscLuzbE4JwPj1IaXBiTmt6Fz5tBoNuQ1pdQyWIdsK/gywmW4
1pouJ2ZTtsdI7Z2fZWf6v4iiQT0swK0AX+fLZEZ9tRmFPQZAP5kBnVv5X2NrjpdvMOv5K5vguW5F
NGUx/lN+/n+hw0WhA5GPv1XPPwgdbsgqevtDvO6+/xv/ihwsWHCGBaTR0GeOnHDpH/xrCLI1jPN8
PxCiazb7Vir+/+MHgkgnHAr9tqvyydBVpBb/ahxM5A9i9hfRRnZpCCB/+Av1+mlTgW4CB2b+Dr0o
1OvWST9oJLjeAEuOgsBHybUW4w2M4d/uxplu28chEHkIaEI0cxDbaydD0EKaN4fu5HW+AfvDWcCy
JIKcW/q/noH/YJT5V/zWE619dxhEyCh2/q1RvhXDmxQXJAOXLuSkt2xHhcnRnSHa6WCrhzFaVdP3
z69i7mf83u8AuOASgIR3jP2eSqfnz6sgMllCINFrT8pK29p9CLI1sA3/NtXViWgbHWx/Swx2AW9q
8/nQpw3Jf4ZGmKC6PCptnvO/30DyVAcNjEjtoS8cOXEK0vViBY4Nacoz7Cxg+zKGUD4+H3a+aR+u
GKQEhg8uF63Pn8MajWsVhJNB6anidE9yyCMZpZMXWNOwcO14/NtnON9gF3MdPWZMeMbJDQ7qStXY
/TNcI8URhAwRjT7SUt9WL3avzl0Z8cMmrWwHF8bpDSUb759naU1t/6MZtQEBrN/+HOQwLBT4BXRH
2N1azqS+ksw3eZJwiMXnd/e0N/n+UF0HuqlJqpZjnfTPEtuQE5X/mip8YB4E6t+bMnCqC6N8eDG4
qTxCTeNaWeZOtTQmHajWzLTaI28Yyjh+Z2qJ4wDQOy4vPL9zF2SyTXBMQxgsKCeveTKQiTUiWfeI
zEGF3hffLKf49vc37fcxTt5zUDa6VXXMEUqmwEHqrelkl/rb88M/nfbMP+wOTEUBB+XPaU9CqNPX
uiSVi83BTdCq+l7HeQkKpI9eQkVhSuadCvPAQJNucLanXT9ceGwaTqgPPwMBvcmLp/MZmp/fnz+j
SRXAHV1Ve0LJ6x8FWpN+ze5DX3OInjzhQy7BishWLW05DzRquxkaY1hblFe249D126is6yc9nAwN
ulcTr2ppH+DedWLFwbe/dmsrohRRqytDDh1ERd9/QHDLUc/O2vg4znV7O7bjq8bq6OUVVCadEuaD
08As0TqvhRuJDyIENYgYZpUodnhDwswI9aItFlZUF1QvWs4eampfqVibaEbbOaUVMYY3aqVYbBZT
7qpKFyZUBIiAIGt5DwfAePhr2usWVtkjTKJ0FZYhKG+7+mHpmY2wIYMdrpD/2tgThkO9uTYTXT4O
+WgeeqyvW4UC+bogJYkzlZos0lYzN8RoILYdSu3GoZy4JkdgIDFq6L4YtuSPsPu8tqd4XBeTo480
VxrtxgdX4xVUIpdB0YYHP+76H64EyNBNBnx5yx9YgTtsSEo0vfW55b+EJbKxFWEY0yNKCGHAR9De
6pr0+SU9e/lLqUygq0OcyifijMitGSxpHjpcNBDjucFIxm4KaoKk7coZ0TIKCw+CL0HFUVTFeAC8
xhe5XS75fQn1YWkjd46V2zgw32TDGtWPsv0ZT8OjOelvLmy6r4MueOdbJXqRyQA0f6TLtKhDvmF5
b77Nx293EfbV5MUVtqIYJcFAjQLyZavy97KB3xEPdrLPXNE8RfNXB5q6fZU5LQtW1vtrQ9Q4sZA/
H/oUKn+Q8164dVlvsHCoW7wzBNYKywqWLgD7tQOsjFN/6gR7QYfQo3LDAPpkLasqlltAtokXi7h7
SIqpfSBRkH8YFDsTA4LCIQ0Qk0M3T/ZoaIAXKEW77pCp3Dkut5OUIs1fZTSOVjobtVvZk7qzi+kJ
b4itxWo6QH7wl23N0QvvTYASIFIf4rxNhgVoDHGnp1q8DYNA3Wpm7X/3bRY6Zoni3+q9S0MrCemf
z8YKuIl0Fe7GkPSDkW/FElSfuR/LurquFA5mGhnsO8strXufpMstPgDj3tay4Lo3Bcz3isMYRg3U
7qJTafVS7dxVNXnHbTukwxJ3tv9dInfANNYXcmEorbIt6D3/IuXY+UUtXS4bGBFXta0RlOyqhM62
lQmXBmIi8Ajp0nxy5/vhqwkOimn4Sdgyd7LphnQdBggjtEYbvQz40zUUNPNIoWJa+6MDqMJQhLZ1
7LzeClxIL47ud/h+RHhQs0r1ukhPrZXZDtQQ7KijK0RL5YeWNHJfESVxC1ixf62J2LrJ28C9wxlk
HKk40MDGPaWsgSSLq14PxnuDCMRNUNbOPTy1/HUMRX+ox3G4H+JQ3g5k7FxrA2f3pnLFVVJS8tEq
0S3BEFkPJZ6VlUSJBvyFtsBSqDoDVNq8eKU6hLp6Uu2c3Gg/sRe5ZYkVYqMCg2Gv/jIjS2aLMC1C
8J1d/FNMVuPBCGzWBFk1W6YGSglIVgCPymYrix7QTVNGDZjhEOeFalZXaW9hkAmLKjxOHC+DBZkp
/E3hh9YqdrHNo1+Y9vza4KgTnrkfk7G6olE5LlPhR9Uytkgwx1AQuzuH48kGg4KF/CBwd4L8uY2k
cLEGTorRMUyijAsgv2BJS4KamqvKNVyUevdPCSusnHGD3l9Z237r47gjCWEJ6ZH7MBTs0nRKMvd5
Wlff+0pKlrEuOaSFSXctJrpNsgp8gyM5EZdi2x5ojO4Nn/200ZG4Xb0XaPoiSp0FtE4qaUmhfccP
h7ohpVDwq3GR44wNABMUilTX5nqOnlviAX8dJcwB/QVOG3suuSGfBiEp152TcPZlDr/jpJyVqQVz
G3geEqEBZVxKvt2yHXUKBUY6V/ET2TyT0tesOGjzj5q1oawjjGs377VDvQn0L7SgOGebYfHURVm2
lW6bbyn/+eto0lS2yWq27Ct6JuowVxaK9hX7sdw5tuUkeK6I4nD8RJ131gmLZ93dunS4KI2FQlnX
mhsRgYxhSlMIcFjQmh88Ukax+zhUPnc4fTrSJ5wu28eNRuHBJrqknRty7Bjzkh+sDtbkEfVhPWiY
A1/eZSGROZeB37XjonRyjhIWlZKpbBk2oiK7HyanWWg11TOsFsoR2iv6UWXg0TsG1IXCpubapkb4
8738lMylsay2xJWvFWjALRIvMDriHiK00Nly9K13RqkkT72LqzLPK4qelaWsBZAkGq6UMYP3YvX8
sWtc2q3kmw/3vUVp2dCo0xQuvd+QAva9Acf3VcsqAMclExz7TrKfmNFLFKNyTbM6f4v5hu8QmTTH
JrGmJyZScE+edXAn49YF8EvP2DJRqkd1mW+d2rBeJKdfuWgJNoJingfjP2Um3VeGeymT6TApavfW
5b7ymM0I1EnKWFuRbv7vc0rk4P8aVX7sYBr9RjVL7Zbiq3IM/IRFhjyUPWlo4A3EEH3N28Y5uEUH
Oxkv77PRjuZzVyvmcyzK8ZYvlbUJq1BZjWQmrShk0rCAzX0zBUr9BRhlvtZrCBQw3obb97suBTKg
onGcO33GGeV5wYevia+IhtJgS4NjyAFkLgsm4maAsXNl07Bd5y4RT9kojXUJcIvatAoSHGPluG8p
2t35jhbs0BfR432fy6SEIylUTId9hWNeTQBmbu0m99f0TANoNLgIFxSZkju1irMdlFvrxfUxg0qf
3S3YIT6GAOF5/BPuiKQpphsNTxyuTtcg6makgCgmba6Boq9KxuGWRWHc6UTr3dn1NJFjIoDZIK8Z
n6ByC4jtUx+vp3ZsqPCTE526hFC2iR3fgRnCUWVQaTfbjIZFT560Zvc0MepyuKvshk83MFO5tauC
OugwZXayghfiAyPVILfybep2bo0mYuGbDd12SfbOMrfz4tgie920LDjsgeg+X4EXkHcVPQp6LFaH
BYNq8djDtawQrG3wFpC8Q1yUcmxUlXIebkd2zKZBymNHy0ENGl5NKciAmd6F4E5HvA1WLkqeWp4+
qfR11llJGdxwI+37u/LKzFDTmH2vfgcXRbWWtGFjoZizQBGJyjpCik5LHXFhndj23urNce3IsQbW
RXIPxrQOVV7mWjivZIdscJEDGT6oFr1XvHEphWqf/3E0yUKTcILD7rqVSrz0+UfvYwO3HAy7yvca
8GnbSDWmHbY3Yg1J3Ziv6M4OB31JpTW81aZIb5ZtlD3oQ1KvEcrk66kMla0UBcGjhhj1b2M+OkSZ
5dWD0c0JKEmkXNGev28hCSxgHoU465Q3p4Knopn5i9HSd09BCV9zGckqVQtWThE09cZx6n5dUPPd
+j5Nati+8gqlYY0WtVLtNTvEkK44kW8yHO91Cp/LpLGyH3au/KDBcDeAYNnoQ5/N+7ZqhysR1vsU
HfsinJa1oxDvnEMqk0q3RP2erwJEQzTdnRclx2IDjaVACtBU/srpARwnBt1N1ZEIekQJV9EuuV4c
sCa7KkocrNjoEUqiS/IwWCbA1tZWlCIjL4yuhccSh9+CthNeAroGGnpLpA/hfMVDiQlnwg2L+nKR
6eFVGFvlfZ4n5QuZ4PmCr3qGJ7Gk89/ZyFE1NHmr1CmTXduNE3FrbrIF9tZ6SgjkYEXMi3lvOvV0
HwdW/VCSj7RGbmQjNhhqQpEny1oPNomtfk3KWgqScNNVCfU/NY32EA9GunmSmIZ6yq5InDFoIqXC
rVd9ERg9/eh2SJKrJv/O9l77Oli5c6O5rVSXtU48ZVfF8Hj0ou3v/WksdnKkpRUrYbORDvorPctA
1CbYfXFH1jzFFa7P72ZoVv2yC6fxztRkfMiFLDYt/quvVs3+Cj5BqN+Ojiu/Akqw96T85M/+aKv+
ospb40mdv5CWlpX015zQG/K8vQojx7wJs0Y+4+kX3iCrfp+KoLsi7y35Ic0YXVOo8XCLVvr3nV1m
P7PGVpedpZmvdG4LDL3wGPYaNJnrWlL8sjAn0VnpcpOzbgPSZlSk+WjkdrZGTKTRNMNNe1so41vS
2c6LXtg5CqKJEIYgneY83HgZd9kIniGc6NuGpPEtWthsK2usWcniNPYIJiAIwrJVHi9f2/3IqQLN
ujEB+XGI8iinFQbWo5LSBM8lSHhW+QVVYnLiXZrkiVY+10ZswAymiYRExa4w0rMz3haulR2LJCuu
5ZTqu7pGLsJ+PkOMhS84KZ2WdIKmVzKP45KlvI0SwPyir8VOay3nSSqgKTl3OltOMf1CVyL/kdaL
vOajmN6zVYxfB80oHuMqqV7KliiLbangn11EfhUlsA1mUBpwQ9LuFJkfTOKA8uV7QySpLbCsbd3H
+05v34LeQTBALfl6cJ38ymBn+yMvAaKNPpkDlpLcTkUHFaExlHQr0TcuaUEX10kHBR+tdilvkQwF
tzGboUVspnFD9KuoUBdaiGHrWP/C+/9TAqxftHzT3EWL4xdphiSYr2ja+wTn1srEyfQ01I3Bhwsg
k5Zn/qEpjeK7oZTfzLjpvyHBfJhaxKMbmybPSqGEs42riZW9VAxo/zN73rWBpCBGrb8INSWK1AdL
bYWtupm6DvY+Mx6/eWFuQ8BX5E7AulwQlgXvCDScByYx+E6/C2w2K+FCGAqQj2Cwjxx1+J4gh/42
Z3qtysB9NgdiEdWSxC3+io5Dp5IPZmT+tFOnvuuoJ2Oh84nRTVDacd/G+MaFg7/talKo3MJxtkBO
BqjqLjfF8O1nuwvNY9QRrBu3ES9s7WIRz9lTjSHRIgLOuTRC/Z4zyBMLcnI3lJO1r9CzkpQirXWZ
5v5r4SbTMqULRwKDEd9aUFExN5PDutAJ8/Lg0lTLoOvzLzlkDna4yiHLMrmTzpgd/Eix7u1KDSCt
WPotSazGLy0g2LGI+3JdtxGxW4SK3uViCK9TkYgHs0RHiWx68pX2a5yD5QiTZpux3K4JsQF9IAf1
4Put5aU9FoZCJsV2xCv/IFlxFy0hsWvX7dRtnbbHoAVyONiqtTeCYtzKvv4WurntxQRSLumJDlD0
bcUjWay7Zitn73sThVgTVAn73yL/1cq4i1apLL8bOA2+No6Eg08mW5h8L9Q4Vq+0svWvnN6PV1RL
eiZbox9bXRnGJdFYwr2NUkJslkVeEW9n1EStbqp8mDiahTVanrFOj3nmgnoXo7sNo9k6RAnriOb6
bRhQNKswsRC/GPVenfoftuDUIFI9IzpXcEiiqomKhV59FrkaQBDNU1DB7Xn/xYudWU8Z8r2l6ReB
x64wXVHu+NHoEbIRdZyztvm+jn3vtYP1anMEGYhzELV6YA9lUTmjTKS0jvbDdNP+yiyEsbYqg0JK
ktd3ga95nav4v0LLEPew5fRDM7i/qsFUngJevUddt+twJZqC0Gv0gv6qcbSZRyyKreoOLZgXYsJB
yMG4xAFxwRX1sQqKW9gWFtZhWgP6qWnQAupBxphDUdmkftcpFOOismBOVlvO49mFxsC5ajnuRI0u
DzQr69RRZ5Nxzj7JplpeUC1XMWUsoswe1mlQpqvPK9nnhsLbCi5V6EB/Tu0zamMRpzlQmO9DJzgO
scknI+60G1WSQ/P5UOfaR5qORxgDr8uIJ0VzshTVkZi32svrvL1OUjlnMtK+8Zm8iyoYsm3RMbk+
H/Tc9emaoRnU4aBfnQ5KyhXwQMi//zQeSBjkK11TsuNMeqmTcuoZnDspvNA0qWyaHOaHTgqL/1SW
Su0Rf0GEbeqTxKdUTrxLdCqaEEKr+/K9xZNO4U2b0uL5/FLPNT50A/o6tve5IXxSqR8DswzVJGg8
J6M5wKZrxu71j58P8vFFMDAlU9U0TNXlNHEyiClK5IOFW3mBBk1YQlZa9lpSETcRo/wp3fzC/Px4
UYwHM57oPYEX+7QbV7HTcUZMP16Wk1JoWuMBOJJ94e3+OEkMeujA4ai2zBlv+p89DjfQJDDctPIi
Cba2Kcm8xlNwbceUFz+/fWdG4iKIOgT0ga/pdB1xmyiaxtEpPJqdqJaU5gqs+rGs46fPxznzmDTb
1FUMc/OC9Y7C/63XTTR2Yri1XXhTpK7r9FVxUmIn81lwtf98pI8EOQdc3W9DnTQQOTZas3MDq1Dn
UkvLTfJfevsfhDaWrC6fHkfBEgm6z69XlSmdlQp786vFLnItJ+JLYhoyW73hZJuRkQpF2UTwJZy4
hMIGrT/ow+nGT9makd9uIBalgMtWR65THab73u7S4bYvWopKI77dJSdfgE1WNF24UKiqpw05XipK
7SovgIZ35aQhl6aTYrh5yz1tQvnsEmp0q3XOF0I5o9dsau19m5IWiqDqa43XfWODd6eNZO0sfEGR
oFmiVWWCmPgxI9d8KS2yRIqMvBLnZvI562VFUq0bROKLKiKUyK9jAx1mX6DR6nR7r8RKuxzMwvRo
N/UrKfHoMU684lRtXycmWoaYXO/lQAd35Qb9crKDYQVfnVx5J9BB4LhTo363Z2HX5zPg47qOmV+z
bQ2WojGjOP58e/D3VHK0qtyjPP1aDfKV5PQ701A2RlagHAXJ9fl4H98heBuCt1Wja40O4mQ8EY45
QPsx9+BTzTf2tteTXS/z3efDfFzOZ6wHCyovLHPx1AKOqyY06sHNPZoXh7KMampVzo8qeWTzc8NB
aNkK/VtQ59efD2ucH5eliDvK+3vqa3ZLvJ5lL3IvK8bpJRwgzjq1qRxosJLpxlmN3WIlMkT3SVet
UgiMbKpyIhAqvdsJuksi7pWdobZkc0kzX/oUJBfxWG75zrJzcuPvQoO61Q+UoPBdBStyhImhAA23
CjT/gYC7ZulMolog7zPJkZnQoMX8HvwN5Ru9Ru0+fic2DejMkC3xf88msQwbGa9tBPpPlSEuPYpz
T9yCsgLKhW6lMQOTfxeeRGojsjzpcg+X7MhneDH26jYBXHZhZn382Jjab+N8cNyXXZYWeDs9R8x4
oBCKIfzK9ecP+OPSPA8CnEFATJnRG39ejFrpZVHhTfTQWhA3NevyVGBqCZi5sBkvKKvODubowHD4
hKof9iRWXVIOTnlXlNCCmIk7AEvbhsojNXwZXbh95xYCi2+bBuIDh9ipyCMdR8OKOb17dVwfcP0C
KffH5yKt32TEXjm0LtxJ7dy8mPdaLqRscPinm5GpKVPub5p78ZBimZl0jSCiut/pfHBWhaGEsBUr
ZM2la3yJVD/0xoBmWgAT4sYJnGTjFub4aNOKpi3oB/gyP3/SZ38eCyJYVdA4qLb+fNIkfTQKWWCZ
11flm+EGT6HePaQG55f/YBzbAYIA7WOWavw5TkPOc4iBJfMQ9pf7MZWv+aj0q6Ktj58P9FF7xjvI
w0WRMv+XffIeGr1L55CanyfpVYYNpdU+P9SFgH6m3YEAP2ape/X5kOcm8G9DnlIG4skkh1aomQcc
dwub8M01U5oq1r4uLqUwG+fm70ybgtUCUwr2xZ/3Uc4Ev2mwM5YZffwmw/IXxndrid/LWWJuD5az
CB7yrZqvo2rucSnaXBGsKTbh33sGVR0++9UcKqfTKUNNQX87lPVDMLkwbnLyWKBKO5vB7p0nR7Bq
4tpsOKgrzQDfNUu9qdB/qb1OGxXR/1Cq3+KiveUIWK5B2r1FTtcTrWdEa9I49IeSYv8izHRxYTZ9
vOMGWi0NQSaiNA7V8136bevoZ12FvHBkmxMrzXWnucaOTdzgBQSyFxAFjN77/BF/nFWGAXGEVxjT
zwyR+nNALIZd15dZ4bmOBOIZFdm6gvV2bRml3PpOIK9DmhtHYKzBhcn18QU1OC+pM/yZJ/7hVF+T
7qaErZUDAxjHl84igKGio3qEOxO//fVFIqHicEE1kf+cHs5QHlDRGVu+6l1N3xF/Zk1DhFA/nKP1
zmoSongbJCzA2nXaYp8PfuY6EU6yiyFbgJt8OrFtwjgo7Oa51/hFtK36/BjM6BYnHusLk+fjSOZ8
5tDgcVDA+BDlTpW1CXhVUo/vw/M45v1Kd4aWTbFhbD+/po/TFD0h3xl0zpzvP2yTSqDIbdC1vDRa
S9SwRWvDiO/6XlgbSrs/Px/s3GUZXJjORhedxulKHkRpmZtpxWWJzPCgc+RsoOCoLpt0TtX7fLBz
VwahkXMo21yGPH0fUF+x85iXA8U8hobyjNv8ZzwYx6C3LogMz6x4+B1QnXNpHOFOt9KZEUZjriB1
gjKwNuhGuIUgIyjtJkC4mHNT/VKR5PyI4Pz4JM4v3elp0SxtcmAZsdK6feKWr8WoHY06qTDvWCno
a/3Cfvrco0NZOwdcwKhCT/Hn6iLYXAHTsBNPaVu+jZ1nmsldZKkXhjmzdVQFABo4hfCi9NOSXeeo
QxTxp71O0We+CxzScuCA+/nU+LhUmrxcKntHvk7WB+YOhteBbGst8WqDPQu1VCwi7S87tw5xJZGs
EC1HftqFVXJONzlRojIqCwd2NQFo6fRE4mcThr6Qcp0rwNL0qUuhOy8TXGMuOpgpRybSjODV2V+a
ZPxA+i5pLKv2Vg5VsEtRamx6qhzTKKov+GqABZUlZ/35lF/NnkKEp9ajq8NswuAvLvz6sw8Gjhcz
jvA/8/TBIPoJU3qHRJH2iB7i0Y33ykAn4fMHc3aWYZOgaEvSwIcKUmZWfEaCIvVyaQM8LTpPTbSj
Y8tLRYhzj4LAIg6/cKQQqZ/MZjs18rLKWYiG0kAq5oe7wVKHzedXc24FstgCcGqgJc29+3OUCQrh
ELRKgjwPg2pn85nCz49Frkm/Y7/7+6IYe3hcH3wyZuThaeEUlI0FpJlXdEz8n/O9qyPrkNX+8+dX
de7lmXMObBw27O5Op/HQJLk2Fbw8aSSc+2TUaGL74iftzGJTB8L50acA86jHNxc+VefWPPaV7J35
+H6sYdKcUEPD7BIvgDUucwVDZLAp46cynh54ES+Mdm7CU8XkwGciHf9w5INthEgbEolXBmWyzSxh
H3odyMLnN1M7N0e4ibbO58jAtXSyrrqtPrSCppbntL36FIVqsVEwEC382OhSut92/xhrTrFsC9nd
VWOe3IrUNrYhgb/rCU860o24XGkVyBjsliie2ja+VBHXzt55Gwk9byZo0tONT+03quizjK/NYNKI
k9WrJl3yZAynIanYeW4H7Ad2GdImzI3oKem7Zue7xbcQzdRkzTCFPjN32ETchTUqJZR7ruPzG3nm
PqIaYQtq2waooNMPYmrzG6KB7XafTz/LSZMbtUSu7KcoxMbXz8c6czu0dxW/mFsh7Lr/fK91YFIq
yTxs7X3tp4qjYJUJ9bUZOUHbBEziubbkhR3GmZdOo4wFRYLiKRd5Mk26Oh2HOii4vFi8hFEAXAtd
HJ3CeloYwBYeq7qvVuidOu/vrxUMpqthWWCDeLpSmgQaRbXTFN5cIcSyT4GsTg/0uwJAFcHTSITh
3+/bZu4mVX0yVVyWspO7a9HPb8yq8BQ1qJaj1qH7yQ156GEYeZlFXfzzKzzzzWE89lBzqi2bxZNb
m/m1GUYFt3boAnqDZt2v1KqoVgaa8/9kKBeYjWOZkAxPP6KlbUYyyzmiaW6R35OhAHzBltZV1Gra
heXr3Bw1eKFmW+HcSzuZox2i03yi0O81WXsE0vUmRHUkcqkmsLw6ODBq/vpwxALmqroOV5QK9ukL
qA10s/Vmyr1Jn1DR2v2Xuq1XJWX9CwOdWZjxzIEVNbCW4cqcn+dvB+tywnyv+hwB00A8B8Owdabq
eGFKGPyNP01D1OJ/G+NkTrhKnMSmyRhYZrQFQPZyD3FOfNFbCyZc2jfcRRWnc1+XwEPj4LHoa7D1
AjVEC5GdXl6L3jiP0FKYAxpTQ9PgLwE3iQxZ7yfTDA+6G4BpHzFc+xQXt1mD/JHT7bhEaO7vQuHg
QlQH2APaDCcEUq99mdwMOWOugccqsqbeqh3Za+/80Ds47OwOi5n1QszHXTjY4ZbstnGXwn+47Yww
u+mUuvOcxD1GRdIsufpkk9H6ISQZKa6H/Jess34q134bCuT4SX9dmEYEtDBuN5/f3nNz052duuyJ
OL+cWrLStGyaHMmwN5XTbpKTtpCq+Yx5/IpD1rOMxv7Cezc/rtPHOZsl6F3bnM5Ov19lrAVjxd3z
ogrmQFe2dbl5pxMYAXCdRTPLRP/6Eml5zG5jOOy86ieLmGuNDsgRI/WgNJrrsB6tmzzkkY5x0TzH
cJpJpAq/fz7mu4Pz5DJpnOvcVKqXfAtPdrUBecp0ZtPMs7LJXYZ9az2YodYtc2MUV2GRpk8w2GAf
mAio3lXDTgj+IWsngFgoe7ZKD87vwq3Xzpx68CmyTZwL2vaHj2UwiKkk5Zeq6uSjLjMCc4NGzNg0
ft1sYS4bC2YKYiYBBpGEJMJdmwQxtHkJRWycWednXzgGTZjZVOZOVkQVs6SVySjDtxyDUXmXGkcG
6Avkjrm44nHZOxkjEMT1AKUs5dSpKaSrLuCJdPe90aubcfTBTbzz5eWkvvAe5duwZ0phYkg26GzE
FpXs24g+kmp2tzatOFwj3zNXtZJLL7Qqez2Erb1ygiu9SIyHxMiHOyqa+EJImZ2eQ6d196lqf1WB
gl34kp+7fkpmeNDtuUN/utNkfx6njTS4/jQZHsCUIg+zhug50pTwwgt+bii0kGgNcKNTUZ+X8N+W
aKpU8Mjnij0Q0nBVVs5ssBnKZO+GafB8YdbPz+101s/HRYPPHR2C0/1Crlhp22cRfdMOGM+CGKoR
/8Vkalu/LDoYq6l2pRWqfy8Hvb/VdSU46FKBW2Kk5bbMwbm8/6D/xzdcwDeglHFY6f8XJXAG3wC+
6zX/+TvB4d9/6V+Cgy3mLIq5kqzy/WE3wUL+PwQH97842GLQo5Y3FwaYcv+XP0hJmJntmnNX83eC
g2H/F20WOs+czkybRoHxNwSH068IORcW52pCL1RkNB/kZLmKRzYLE8AHgSYmCOZmfk0BeHzMCGFC
eywuYRBOdzoMaMNi5ovFL/94BAX7GJKYZo3eMNAJVJUOu43VR9vfHsL9P2/Kp4x2LmmOnKBzwNL4
4eMoKe11lQgHb5T/zd557ciNbNv2i9igN6/J9JnlUuVfiJKjJyNog/z6M1i99z1SqSGh7/PBBjbU
rZaykiZixVpzjokBYTSVvMvrhigIzxYbXRuLldFSE5Odrl3a0VMPv/94MiA+vMDLvI0XFymUb3KP
PyoEQEZDu5m8bk8ETqHgnybztvAS3IlMVs7KTJqjQjjb7pAmQzEVQDIXCGXKEKmlLfsJjqcRr2po
e+gJiLAlCQuXgD+P+XYyc/5bDBllGVqFNg8rJfDrYe5rYdyggp2+I7rIL1bmA3LFIbBPbGyJkedK
iJuOfMbgN+0W+nO6ErExUSJJ1rYVJ7R5r0tl3OPSF9cNBMN73MeYnCzs26Pbije/LFMd6fUwfU9a
vtFAiPlj0RNA12aqOkcGLmLMMgQFj7VZnZNI57ycTuKFsBH+4KjS4NyC69nQwYouwQCUeD20Qq8P
XKqqJN9K589GLL7WzoS9DYzHa7GT4xi5n+oJOI6qkxsHsTR1XIDIDGMHkncvbe7qYiAyaVh001nn
wcNzUQbNlkrRaJTjmlyO5pj3prwDtxUdkeSonSuN4iCRGW0MqxseMzh6jzKb3U/cHaLL6Q5vKhNe
b+8q+WUiQj6MPSqPdKymB1AW9Qsxf9wZyXq7dxfHuzfCJbK6Kji7RCLupUym7yOWlQe94Y9MetM+
uWimz5GK7QM2GuO+hzH6lHVjdVZ1HZzLkgprTdyuna3sEkH9yu1nfZVTXW5aERXhWA3mBiJqfhFu
ggAdyjXO5Lr5Ykf8Y5yDDAhjrMrxHnYo+m+7l0SI8Tr7Wjft3LQvDrXPzZ08MRJslAF4ay00lyRd
kSsi8Ikh6oD/68Ee3WlGlF9iJHywVhN5TWiGA9I4Hr7lOmFKFd43im1dZ9Ew6tdUyeGR/sh8FciB
v8pKpp0gNXJlKL5xMGriOsqXl12Tzo0W60NoB3wX186CVRckZTig8C9XQ1IN3wg3mHbkDds3sc2d
iBCPrexKTOsS+l8Jn6jnuubQw7wicELipDJYuwoCGG6HKLq4eiS/0K2er6oxmR5MNtIdYFx8QY3M
t6BUu6965hr3hOSNa5JyQM1pXNs25j4SvsylXh7RogJJNxF1uZ2xHsSwHbkTtous2zZ4/omoEi9F
7EXHos1fRq3t4cA35U3sf4ebCD0r1Uo3QTtQmqQQO6/4f+US0tk/xibPJi6IPN2ZGJXWtl282pE3
gH71BFEKDg/lQrRSCTcKj2O3jaQtbgR855ugG52bfoqM+yptxUvvuPUrPhKeVg/HamNG9auFuPuU
YZH+pPyF36xlYLP8aqzfYshSyPysSUMkHeTr9y/nJ7wEbd1qFzWJqlurNJuvONa1TwKFwmWqOwOk
NUcKkL0Gxs8iK0N31NN9V5se1sBIpTuMi2Q7FK7ObSrz3lsY5PLZSPHeYeL1kHKblrzuXLyW5hOn
NSN3X4a6GrsvadPbLykmiTzeD9Zc2cgsZ63aILQb+6tJjpFzHGOrty/YJDHM2Wp6MPDphrXbJ9XK
cBSyQTm7W55DB+Ilp3jg0apjaeqr674G84xZJzjaWn7b6a12V+vFRXP6a7sU5RY7h3M3w7xbOR7o
3saJQQBH1/AuoYYjf9rH5pwcSjN/aOl0bkht6ze9PX1OfYDy9tB/zROzPGhV/IWEieSQzDSQKqMX
55qYuE3hDAoybtx9NbCAbeK0PalORlv4IwYG2jxYG1MDqsBzYqYecXptz/DTQeIOU9jg7HMz/6jl
Qq7TQlbzSgSRPDCog1uiKXCmOnLlMs2Ra5VF8T0WM+hx5FWgl1t7CsmrvkyVl27MUgtOGYb6K870
IyYSXlhcmMYpnSDX9IEfk5fCjTSNQT/oEJj3pYfXT3SWv6lHzQyhx/JaVgt1QEeoaGqlfhqdNNj3
sfHJKqNgi+6kPRtVYBUbk2v/pRXj6IYOx1KUi8SqRhw8umGPu44gDWOEtx+B02wBrVam3qPhDAwE
ZAEh3E7kyvUUtV+seux3sROz57GB+1vMXcMqIS19k1WuvNDPNXCZ5e2WMW9CVFyugY3z1atPIstq
tHJ1qtSi9i/y/AXjQO2FrnKnHax3MKG0wP012RGMowbbokK0aB4ZJtTZ3rG8AxIsU19PLCL4k3Nh
tivBe3VlF604gcXHim7q5oEhS7u2koS3qt3AxZOrCi3KChiwcxRuox7m0crCZrET07Xaj8XaGrQa
jq87v4lCdxAilfO9yESNQ7YN9mp2gkPZR9Ntmlvzeoh6ecxLYYeuWWDAcPNhVYwEJra2Zd95Leq7
OlrGFHGDOVEX/lZqA02ZJXFgdCxykAMre/bcGOeqPo2E304YpYJB25JZWyOULe8KQ2Mvh9dySFML
JjFSi3WsxcEj4AtjV6Q88a5VJwd/UET5jZF9VSOKgn09aheyIvxrQ87Tccn4Kgg5CEAPSLcpv9mx
vAZI5J0DBQkntMcRYm/BoJmpXpJfiXY2DoL2jCRZ2W1OxRxZL33mTfbKc0bkuSYh6qdkAsoeZkam
fxOYewpinStXrfVMHw6zlEEoSq3Z9UbhvIxFn5J3kKfZ2e7i9ktpZS4JAq090LIzKsI7X7Dn6JgY
8hZXW10xttJUlW+9xBk+15lRh10xLnWBkHe4YIo1+J6q3mCZT0/k9KLbxSyYeTx+ZXKAqNOcA9nW
NgpbZl7EvzopnkHCp8MsrZ2byYzS/ZxU4rMpQBuCiJ/y5d7A7VtKpCyz2IeWkInMaatzYJKF4Fei
++rDgBfISDlCb/W8ZcNB/Tt95xwNLXLSootAkMk7QHrG2Yt0Ea1jZ6EFJmkJY1s4NzOO8ItWC8HX
Ta1k25OHiOsPkWxYUuQl5Gkr8VmJnnZYwnQGHy67M7JoUl/fiy+ZmsY9/s32q4Cp469NJ+H7GeXS
TVLTZG4oQ91PigzHFjeslHjNBztfZ4lZHNA0VucCM/be1luiROqRxbjJ4mxVCqjX68Rp2dyDstYu
VRz0j6lpxTdxSaVROa64juf3nyKQzxZBs+kqknJZlMml+N6B81mlgUd5Ekhp3LIMVl8t4XIK1ogj
YtcmosWNWYhWZcOPs9jAd4mh9Y9JCpNyZUjNr0AkN9MuLt3ppA/EgCT9MK7jxaJVU2y9IEwpw3Za
yl94Yi9epwoIAXwFGjtMaks1fcdokO7UHNWkmqQBvNoRyMTkRDpZB8Iq8HEE8g/jERprvxwiMDX4
i0AB4MOiZ/655eD0GtqLCVyVwgcXkr8qso0sg2lbk/qwFikSmiCxvO+EFw17+CHxVjPMN8TxT2AK
LPTPbFOaM8brHgnV1dCY9ssg8Bins5WfdL20Xk2G8gqol6iGE3ZeH3Ktka/JwgR3Afd1V3IL93EA
d0Y3EvxzqqROKMrgzMYN9VdZ04lBw0iiIEKbermzJhyfyxA37icN0CQZNbHuYOS2bRK+W55tzDHU
G2NNil3PgwOYlFqJQwr1YJzzH81EKVarBjQHdr+lRlLVLO8qBDbcSxyHaxtUyTNZ6u3KJqL8kw1C
d2OqSFznzELOWQ+NeCC1BodgMjzGZGKhbnfM4rWxiNw5dsXsEWYajTEXKSVPQVNtpzZOnCd62Asr
KrCyWlmPexvGkdbaa75QZT7WEeyaVlq4pj13LuIDobTpOpqXfxFRSEVrHc+ZG0Ypk/mBAaZvnhDd
thgpLSVYBamlGj3JKlD/Cd84rgLioHn4wcEoSihPQQLRJoorjjE6fDkKwNa32ycdF3aI3dYJW4fM
lLAMINMq/L94+mzxecr6fNukXbrrB3Y1PR/nPWQkCrmkcvvHLi1evYa6nTwY8eKPhZWum2mJqViu
XbC4Oo/zzMXnZdcuWFytg8ELe5dbQ7qLGLxXIVHTxaEjpOBNEdryZk8Ge7JZmOaqUtxPq/ObW04A
/nmSOj72kcOWW1TtU0WozBPJrtZBV1392i01dZUERZgQTzGG9lwo4NzF2G+NOS4PQCmoFivPWrFn
eXel1fSPukESECjb+s1pGzDBNpWtMDi1rJtq5s3raqN9MjMO8lIW4hrKNa7UyFb1WxdV/tryOyrS
yLbxFtbOzDvSkgxg4AfnNzt9ll/qSnFVypnsHarylZPa8x5ptzxKIemGmGg8VypYlq6khG3jTB4H
79KUz2hW/LMxcryFmxScY0M0x3TyqrMbc+GQwU67SjedsPar4RF1LseqcUp3/nLyRjwrrsucc7mX
cjxBJzt/93lL503qz+Ild8vbQXniM9hujjm6ExPsaePsHxNE0zZ/aaUtBcvyUyt7iUDxmfQ1YY0U
9TxZI4GNy6uqOMmykeTjGui/eHWkgr7WlBnOZmSkm35IOZEuh4ZU6RycEmXLO71quDN1xhbwvgaK
Kq4wq8XmRC40RNql2OA8beHWpaHFtyu86TTHsG7UQFfj/THEMMgCHleAmFSvTVd2zEnTaid5937S
riweHzxARegC1CBWh9MHDI10X9hsZAXS23MfuXgGlmOZFmtcBvQzXkijh0u/NFDmFKBQLjiIj0ny
vfGJiJl53apQTTGbwLiQzPyYroEuVH6RglkVTO88WMhTDpIDyDGyB7YB5oNbHI96QZoS3whNlcnh
eeYVROdP6yMinosjtU5WTw8/n7RjjpE0TMZNBTorxJQIjSuHJsRGozc0HND50munEwPLRD7Plk2D
wulG+QXXJIlWejc9VFAAVpHZFAdtOdTiJGJZ4yQFUHw5IS9k+ZXfQrYKqznlbypNDtlyZomzDD7+
/dzsAe+5Ujk9s6pObPKAtG+6Pi9liqdx+4qSTUq2TML+fjRJotgKmyN5VRvRRTeK6ixqM19Lx/bP
ftfK59qgdwE1nl4GOovqPKL9uxlsKlygzB2Lu2a2X/EK1a8qbvx1o8vgPHqss/WYcAkTh2Q/HaQa
Due8N/AplRyhXcqiDjT1eXmeZbMswyhMW+LmCjpBQepRa+QNfzzo5HRKcXjcJ0u3cZTZsgtQGL8a
Po+EPfft117Cr06MKL7xyG3bGs3y/MBxAMxA/6dw+TrR0nV4Lyv8gM4U4Iv8Uo4Dp3fSfNYuDqX7
973B6Gi99X6c3Hgs+Zz3aV4NmmPfeLHmsFWMgX+WAVdYTrl5PzZgmoMS5JNLSt/B5hgSJm5m3AsX
VEvacyMDGnOHqdCrM8i96uyYFA/lcg8S6qWXlum02DZzTVE0GqxmxK08TiPlicjpi+h1Yd6TgMdi
yzr2DKhHvKB1hG7OYCd8b8UMHc0iH9rNMa6SEcg3jYyW1USElJf5dskL3MpawZXtKDJLXmws9hbd
p7rgpZj0oX4lR5zG4EivzkojSrSOgsXC/7k2aept2Ox5eN6XWeVxNTixE49W2/ETp6mJyB2zXOo4
kuKOqrHUbcNh+UF4VEvaPHJUHNqBi6mzvCUD71FOksuT7g6C2triWdP06KJG+hRmocr0UNmOPI6i
oHmzLJUoa81Nk1v5DVBDOIhuCgI0BnVmyYD9IeGoyjvZ0BVEPbeEwxhIQqXXf/OWyK+OH51gqpwX
Nw0o/oCui8+Qcyg5ZDsXh6ziJUtFmtzAO3sdBoerRi6kdTD9hFdlyLkGXaFThQ6jfKYqyexVr2Ck
rwAnBNQtvZNeg2NnkR3JYnis68gKg2mY1kPPDZ98hI65SSvz/R/fX8ypzNhiNKKSvjgje6pgUzlU
QARugfRN2zLJUlIhal7o1JbH2HNYZJjxxDeoX1H9z046Xwl3phIevQleZv69t+faJaCCg8N7g84j
gccG+HcZlypgUpJSmGyvfscBjm88knOYYbP37RfiNhL4BXTAOw6ym96BUr7KiTI5dlH3J+udsVSj
P86slpY3mmtU81ggAUMvo4YfBmR9bdUlJPJub6c0h0O4tc6N53bmJu4ghk02S1sSUHx3sa5uvRgp
f9Y64GEoDuKo4uxSWfLYWsN0qkYhn/vetm9g+akHloT5D8O8X8bKyw+7AHzRkaD4+8X7zYAv9wbN
avdaugSVteQsTIKzmG5kyY3WczChW0EhagwcikC8UVrRyliysuq3TNBafb/Zv58avI/sf76CFq5C
G8EcTimisz/U+zGwBzNIcWmXpUVeEDqYhWTQy/M8asOuafpkzel93kzMIil0eppsmeDueslykkNF
eMlGHipct6wGkVN/FWnh3fluDKKiA58ZaU0tV7Jz/qj4+/WkYoD/Xu6+h+boF41rYxI0FMdat481
Ux4jjDhL557qUWaygee3TCIs6a8H1sTXdmIXqcaKc2HfOf+ZvfzfqPJPo0oEbbxyvxlVpl8Q0b1V
P40q//5D/xlV+uZfDMsIzWUUiUoBUeT/G1UG+l82s5cAI84Sf2y7+Lv+S5v3/0JkxrCL8DS0fKiP
/5c2b/wFhxLpOyHiLAg+wOV/QZv/KNkEZQ+rwaaXwFCcjPeP036pCMWURWucKgqajkS2uEzVvnGW
swpRCLgY62SCUpTlhjY+pAqhPYfYRFCcBcJ5AwZamQadPWSoAGQzd8bjgnfDzk6xuQRw0lrIafRX
LXO5H6707a/zyGXt++HNJmiMHxgGBGd49AOsOj+vjX7bE4DYzM2Jw526GEmlhc5IcTQNns4GM0XF
HyQqlv9BQsBHYrdBVgy5w19yvj/oFbS0AKnY1/GJFPAzcSOw2ooBpeAOEVgsGSpJTe6NRqdfhApR
qrC3B8/eB24/RFsnhm51IOl5wT4OmIRAfEb9vDM7IIt+ldLTrytCZNAuG/eFaXTzzo6q+pS1i3kp
JotlWBl51Lgr2RBPGzqQt6lVxoprrbmDupCXSIfJmJ03KJR1S2iaz0cFSTTEm8aLsnI9OuA5MOtr
rR+63BEZll3b91uMkxMZoEwEG8Z2IJyswgHnyoxnQtiJc6qDr9j4dQ70MU6neMMhbow3xvKT64ld
MDBIYvPe4JhC2KbX8t1gO8kXLYHsGrsjP4YCfKyABpvixRxGYEQu6UvJjUpKfqJgcqzDRGanemgY
MeOblhp7hJklRosABgXoNTozTyPjcXLFs0lRmBy7puX5iwkNCjUTrs5lbioKP6sw1ZPwDUJoLbPj
yqUteACayLWqD41g3BoOwCdm+E90dlaFGPhd0cO93kBCZWCqZkkzQYMNlCyH8NZd1fAf6fXRA08X
qoPzRiZs9NhPbvA49KTkUeGSJbeWyOhxEvFX663kIhGFyl1w7a5rnxOmjGJvz0T1bLiOVh866ZKU
kpLjytTQYSv5NM01t3VYwBwnPIxFcpyXW+ItFyeA2sX9A3p1CqQ2GQwwOs0DTj6MVwkRsHear9O0
h6BBQCEdNp/je2pgISCUjGqe8RB0NxSz3roezGLDbCxeF0QzLr1hNd1TUnTXGqF3XlhmYBipmXqG
W1nnXE1T7D5qg2dcj4MobmFrxm/myDmBCFrbD1Oz8t6qOB+ehEXGG40HHtlkpBwZxqHzwyRDEB6W
sJvJ91OuQ1+IGK9HDYxBd2cSme2uncHjsQF/xeUd09Jtbghqc1B+ObFWYeLspWXA5rP9ZLbWGU8k
KYel4t6llrDH71M29eKFX5bZdyKw1SUtdQ5CLmqpsI55Rlrq8D5M6sC4Z87P7SlyQjlXWjRyb2nu
FCWjvlq8cGV4ucgD4qXMRT1G21YnY/SZbF11QRrBi6DNHhc4NYXp7nLq2ZPDNEusItU2+3jI6N1k
kaluQeXLfQ88T50tMNMxhNieTyENLJsxQbRasEGqwXUhCoTzdQ859ERajtnc5/OsaY+QzGd57sxG
a24nxZxgW0wWy+9cjlPwkNp6mV+iIaOJSctehtFgWYeZwKRhNU8l17JhjpwSLzVy/AyCmAsh6Nbu
o8JHN2GzqgBolEg9wvcHOVcaNw7ALe+xOywvRddwgFmpkdYdi3lt3qe9xhTcN/zEfVaF35s3WUT5
Q1PAyOsvnjUa14nrZ8QILrFZKy2PMwVFNW6y18ZoaAyuwIl2X63I7/KnhhXCgIcezU5zU5dV5for
FWtRsPEKmKsbM8f8u6KDmx1bSVItx4nGuM6IHVRPfh/J/JvjVaYpV/YkY4Co+mCaNyX7zyw5XdDb
O0SVSTIYviBX1w+Jac3NCg8lQHINOS5j9ZlzZhr71xUiuGdn6KMF1vrJQ9c9huQ79w8II7QNJWpC
fI9oQ6uPk4NVBBGaBwhrqzIdxpVhGRNQfa909kC53UUGm0ktfYoTu2+3tnDcKqORPZEqXBD3KYSv
P7YkY4ZWqb9q1UBMEoHJq3yqwJsmo/L3kA3jz0Ubed9UDNGIOKHqBpLXuR8bOW3yolF3RHPEr441
VJuSTWrN5MW6kAxXvRp2Um7NSo8jDGElFCvCsG6DGJysJ3I4p+DYi6tUxMWDmbXeKtDbbjtrHbkX
g0JfDH8VIuUoboZiLs8Og9hNT0fpjmVdvGZBn3wa7OJ29HSV7RoJZ09O4ND0rK52A0mAn+LWLR4w
b7TxtukqhjBsYERwypkcwiDfoukhqhwn7NJw8lj2Bqu+Z9MRz5VTimSdzW219VO9fkpQLnFpwaGR
SOP0Veji2LgWLsO0OB1KaKBe+z1tSPoqOMzszcXbA4DevAZN6tnrhPBLgI4T5cC6bczhJNuy3vmF
nADyFFZ9WJip29gx7rKoFjsdleUavJt4pnEiRnapwT1UaAGGzVR6/bXs7OhTIBJ3p7VzDmsPfzpk
mNlH4um611rSyRML9rQH+zAdRs0I0CnnI7nUDahS2tyh7KeMvljr3g/pMH/V9SI7BX4wn5qqCf5E
F/twXKQ+QbaJfHlRaWFJ+lgSTWVsd0HT2Uc6Zuxh5MSwxfDYss5VaonEWjKRrFArB36taxkv6e9r
MnR8H2oybDX8z2A1JNXlo5xZ1qXlkyVAV6MTzT6vkDjoo8UuaGucT5g01ifCpZs/fOoH/RtfG1cy
ClK0dgDPMH39XAna0Zx4yegER0mv4gUJCiuT6EyKnN9/uw9y1ffP4UCGRY9y08S78/PnDAkKiTaI
o6OdLyWOpzdsGku721ERK9a//zAk7xz7qdDRLH44uBosIlpMFXr0izHY1EtbkqDKItTSPtj8/qN+
raTRKtIx5zCgo712PlTSkkBuAWgcwiJBkdfV0u5yYE8wLOnqU7vAEf715xkchAweE8BtzkevEDY1
1o2idI6zSqLHv/fACpZaGjpVSznUpsTW/OFy/vqM+A6RP3h4l2wV56OXoK5sqauCaVXfp9D3RhpW
yhj/5N39x09BNh1gFl3UmB9uWhGZYxWlrXskfRacYEoT0vP/aFP4p0/hQOnj9w/QuX58y9zOMqWj
8V0YmvtrN6VzS2P5/+MuEY1moSjltLPIS39+2nNZStp80EbMiDY54nbuyTAh7NxMUWdcd0IN8x+O
dL8uH6zpvMx8LdxIfOzPH0nkcTSNhWsftTpynw1aysdZHyhFejhBm4pOvrly25nF6/cP5K8vNhr0
wELJp2MK/OWBxAud6rOA5Z33vFxRzTLVuaQ/zhmzk99/1D98RR4OZPXU4HgvPq5VHkolPqo06fsu
ncbSqE9z2yF7s3lg8uUEp5an5vcf+k/fDzKPj1fJ+QeewsA0ykoImzsWLslCVWlbh0L3kx0HnT++
aB+dqqySAd0JTDu2F3j+r29a4je+zut8nJuWVnFmlA4OKE8vLmKYm+sagWSF/IMyWY3UdSO1Vns9
SBQxW5vhMIeL2nljQNZ+hXljUXXOVZHc+rkr/mTd/XXdY1xsgQpiNXdp0Czv2Q/d1Sp1xhQZCE94
CbgkTCOGC0vgZ0tiFjSMVRZQ1v/+Trxn6/3ctVhs19SVZGXR1fto0IwL+iURW8xR8zVqXeVbnB/I
H0Ot0hjsWESqLs97lhrXsi/kCw322VhbaaAusjVlARy4n5cweWZVHXPjZP37H/Cfrgkr5XsSFvfu
owVKl2iQicR0juXsU3TrTvZqxJp1hLxRpXTs9T+1cX55Nl1iDnkbaOXwiCK2+/kmSALkKfqBppOu
Ceeb2Xy2mmTFY6oEp/Hff7t/+jD6RvBLoDn8mgDnz2BnY0nmgsIQeJtVqCnRGHDKcXTBKen3H/bL
Ms03833adDpuA5azD2VJmWuGaCN9IjLD4WAZpx1PFi8ip8Tff5D5oVVsYhMld5W92+HLYRn98CAT
CpIqV3gjG3iTtLc6Z7g+1Py2g54HhKw9iWygE2LHjCeTMSnBowrPalayWLbBWqpLkub0CbSRw1LY
GozMZ69p9rrm0sqi62VtdcgrHM8l6cW79ySfrkK6Vv7bhfidS4AzlH0ND/nHSiQlokB4BGYfzRll
+gj98cSMPt3FOlGYv79ovzzofBTPgA1Lk5beL4ZlJiZmNygGlw0JegwDM74/dt5gA/SjPi3xMn/q
Hy671w+vPvRR1kOiJPl/ktl/uUvVXJJ30Dj20ZXK/oZFfTg2dhQ8vjdEXI88wrWcC3LclTL/sAGY
Hx8Rm0/GyuVafLKJlNNZnKw/rHV2EXWpjUfzaKAhLmdkf76LC3VipGSZuAgi/zMypdxeD3VrtNdB
XPMGWk2c7s1uQrEAlXq66H1JF3HOl36NBHdKXd83/Pp9/teUbpuhHzTSW48A04q/iXCtfUBgQkbj
kiimOydr50dMjWx3GpvBbuoa0juGZhLtirmpunVGRWusjXL6fjmNo2iVyiFefHBAJ6+gVOfNmiDz
8m6k23DduJ22U0Q73UK10eYdfP8cyWWHslf3EJwCw890sPae0xN2RnL9ucttdLlegTl4XWP15AA9
p0cUO0bION8heqs3EoneuZeEDtL71gdE3tacVTXvDKClGUGTURhfx4ZQo3Omoe4JAyWWZijyyuR2
mBS/9shvrw8u0RtYFxuCPfYQNziUVHLmd2fp/af4JNqbzktQLHWNFLxrSVU4WE2qFkltTlg7B/ep
UUF+AMKqLoLwlOQWzGcBYD+WQ3fXWi03xBSgXje1UYr8Us86+0XTd4bcQrZRlxys0zl23Tq/eMJo
vxJIxLdASOvM3yy36u2rRhpLK2qEE79CuMIf5Ks7bw7TJIAZRmAHm9zM7POwSEXpaKDohflErNzW
Fair1vRB6Fx1c0Ij3C8n19oMVsTf2LtJZHxGs1sdpMp67ZMiVmoOZT6zawV6ZdPCSQqrNW+qcXC6
i5ESSrHOeVySW46L6G+MyUPASRa2fRiGpiU4hoG8Fs6iQgDjmovreUYndKyIpndXpjem3tkeImM8
JEhWIvZVY0iv66agp+WLvp13CsOouSKfgy5jTFB7c29UTlOgInJ4wLDeArjX0oa94b0OoGfP04cc
h1ZD4tb0zZjYIdAjnFQBJidOQ30Pujm6RWynbv9uwTlFzw9jJZh+7Mx03tIoSaJN27ej2P/9Wrkm
awvhRdZh9HAUvVUgGgjzcEAzGcpI0j3dXnrzZmezjDeuw1Mk/UVbkBQO19Vsl565lbX95ynFQrNV
KX34v0czsInfIsdaConYprbza89+K41s6cQ2tOdXAkzDHmEcHfj37c9ze5qMCb0r7+wQJzavcj1V
2Zbxot6eSqwp864UGpOGYrK5sDZ2NmubBWac3rWV5AcxdHonJO2ZLeEBhlSvvfIsDWm15+T5xa/h
sVw5qsAClWWVvcTwpdM3X2OSscl8adp3kyHoAicTtTG4YWP0SvZjxgBJTQAVbfB1YDPNyXmDO8t7
ojDPCcJ1mg6R6KpIB4FOPYrmkt68VjjZsWhauvWgz0cDVUs1+3QEMjs6lrquaLXRIe98GmRzP2Tj
3zv+/81J/zgn5a35Yfv91dKZVtW3tu7efh6Uvv+p/w5KMW76i9CBcagFvecHT2fg/WXSAsFV+T4L
fZ+h/ndQGvyF45ERP7T55ejmsen+byz3Ar7HR0hPzAn4m//VoBSH48/7N/x1DsHQpjgwLIxR40Ol
aiF4KyH86qdK1+pE9igHXW2N8jHCYWMoscltCwnIZA2kYCpYDph0RGcRA1GgcSzntGLONLVXiGHs
oEbvnc1Pai5s+9EIqK7WY2t8RuMaP5QKdV4au87TgNDyCltKdztjH4+2aZ3BUalBUF/FI78ZDq4K
xE7LEhhlXVadvAzVUqmIzGw667M24lE4MY1SuIhcszsPGSaWByuPeu/ckgyGPrdwxx41X2ktAaLL
8NZsFbOxWl8hLNnOE9LzOW+ntdXoVph4Vv8CWmZk1tTjdrzKrRS9mWxAQ2xz7u0nXE2lG1pmVeeY
9aP0wUgmMg6YfxHulGa0V3HnooVENfHJtXvz0HpdsjNVRlZlMG1Il1zcmjKFg0Vbf5eZ6f2ElOnW
zZhg7vlPrCucA1GJOQ1BVgfwpVk1NtEWnaG9qdxWK1/PyhHtq8dGgYFmA14zUOGAOmlNn1A6m5lj
5sXQC+dqCJhHGV3vGYc+CCSn/jmIHufS9z4Jz4num24y/UMTdZa2zlrhFEjtbFZmopqy5wGtEMQO
0wtz2NJcAzGsJNklRzeoi1MnPK5lX5L6Q2UTMRuepvHU9V3sh1osko2XuvNFVrGd6ruIQMR9buDW
6Rq6RWY3AoAY52pN82hIyP+Q2dafomhv16X5LGYL9ezcavN9UHiFveri0Uv3tqb7xWPawGx5wJaG
fXrTs8cqbUMcSNC2O2Yjk94ekARWQN+zwkmNt7hF0MSdI+vLgXW9KVs7NBF4XpPwN26UHpGXFVTG
gd41ST2Ru8GTUoR5Xo9ZmDq4UOxalsj3gg5QApKe1UJtJ9XGMTFrkXKDo8OHTqd597nCreKYh7hv
rpwliWwe5xUJ7te2nCVwbwKzFLnGXl5tKyrTB01L7hSW7VXDx2zjWZGOO0wvhj4SiOml0TYapk90
01siVIFG43bIzrLU9INw7HzbRdI8BsAUVjnl7KbVwD2XtkqPNq2k7ejX+FCKaT7oklfTdAvzgXjH
16rzcYEZsbcijVQLbaJjtnXldd3/sHdeu5Ej65Z+lXkBNugNMJiLZPpUprxKqhtCUqlogi6CDLqn
ny9rm7O7zqD3HODcDDDAbmAXuksmkxnxm7W+dcRQXhyoyj4U1cRREcl7kmwm1stSAfxH1c/6LO7c
Vm/dpeX1MbCYVUYdp9KIjFWLAoq4uuzLQ4SGLB1jFdsHEOImWk1XYcvBM4/xQM/pDSk6IKox+O6Q
aD32uUEoZJNbK9YMSeyqwrrjpy9OhTcbisVj3x4QeOgv1H/zOiSYahvwYdsTa7cWARdknS4YpqU8
1KP3KJ3ygUDdm8VKqEu1eU3gfcp90qjMLjoG6fjQRcgJl8pe43DapDh0CGrK4nBwnzspd+E8nQus
cqj/9bRVbUm4Z8IyLU3cF99hbU8sUbe2qvKrdJHv2vVINCoxaI+5AQJaWlYc9cgZUUtxCObh2W1J
5CsqojlMYhVW4PHce2I4WW5NqmY5Oow8Wy3YFd4Pf0fd08VGFul9qMrPJQDfQJEfHYnTIwxAsTGD
lltcsqgvkOoBlOBTYd2nmbwfiJ0yQn6ppakvU+gW7+X1NBM6CdpVWHTGqW1t9yG3pX9s2j6LecMo
aQBZvwUyeyWrmnLGnn5mfWXt06CjRcllScDZFcPD4vKo59zZdBzr9z2BbCu8N9FBFMFD4qt71uDm
lmMiPDWFMQYxEZn9N84VvbaHIBlWrdMXl8LWQyx70e9M3qit2UjNRsvLHpxpis5qMlE3GP3aLYid
S21isSN9O0/VllQiQl+LNgAg2j10pJDwCl11bGaxxRbl8OM17nvm5lg5Mm4HSWKBsCDiFv1TWQt/
a1dL8jiK8dwaUsUTWW/PyFqePQwqq9IY3rslevVTvHn4YnmOdYs/ucQdaI9bZLiHxi92kV0kvIrS
vdhWKndjqD5rorI2nlq6vdnbTy08UB5gwSKhysrh5MnRvGSW86Cj9qbsshdfELZno8IzIYSvOGk3
vhF9d6OR1avrxeJ6lrZGeBd2zq7Li+lh4q0jTHUA/MUxGn4XSWq9ll7or5UT8FEzXDrWYDgH87Ah
Se9Id9xvvUHaJ4UFdCWHlkBenNVZLOYy3JWTXg5Z0+/7ltSzPBE7FKx5nEZGy6rS2HKZlfGSRMEq
HLEHrBpXu5+kNvZXobkRXubFdO+z6iqyDpQ8454z4nkcyPMtvOwDMKkbj7a+mXLJnTCWz5Y77Gv8
j9GwcLEWUbSxVf9I+vhF5kH1OUw1cOb5tQhEuRn4fRAONCIGWpSfhhk7iaqsrYtA0Y5TMm8vE5J3
/DGJbNeaLuzk5V66nQ1nXnU6dd6SRreExlvkFhosZ9tNKDiZhsqp71Jj6HA9KmwQqNbjFh8+IUhe
sbYsq93WutU3Nn4FVB42zYs2sZE5xnNmjNfrGRNU40crI/Quo0kSAWKN+tZM22Fau3PpYpOcl0I/
1IURHqJOLMdpcJ7dyWw/IEwR85hUaCO2ZAUj+3ZKC+SY6zY4Srhn7c3QR5+VMdxZWZDHvTv2D51X
3421YdBAkk42Z/pWQKXplKO25F81RyzL38IOXPmUk0tsIH5hcDmsbXxO3zle3f1ozcl7sVhqgw6K
dFzwrpuiGbKdj0R6FZLeGFfC5Zfthrcohdlfm6FxJhVNvLSYxFdAx8OfPhTGtWaNv/Iyp3xvwmB+
DEYDIYkO3xzhtTG8geAFKXe+NhLfjO0gK54wfZjoKRieRgGkIMeZmvXkXj9EvGHFCqsognP233yu
+fFSOphNVfxolfiYTSN4iKJ6+OZ0A+mFOrsgrvbWM5h0tCqthWkph0xHU6zcVWuq8tQtS4MIX7vU
CHV6tuxy34tExJjHECzrqHlAHCGxgoWZvseXHe6XwJffjCXaE043PQ0d7CUykKM8jvCA3kAl+CFF
+MnpXG4lksU1PZx+zgvr5NdOtGsjNa89RF6bhD39GS+fv+7JSI4zz2b8YjSFjdICRBjwWXlTWB3B
mn0331TuGO3HxppwXMrPMoXvTA56jh+xHaxHDsgOwZh2SKL2+zErd26doquoXMHl1Rn1m2RzeMIp
421LasEXc1TOjDuoDBE1uLPzWGWO9cFAxf8gnRLf8XINc04yiZK8pGDQvOY2bF20Ttgh3Wo4Bnox
MCCY69qxbxMaFYfPba0gdeCxWldUHnEGgiTN4iqxmEueFBqJraiG9JFQTmZZZwqtuMKepKLl4Nvj
D9ZY/k6iQl9X7Ms2hM9fxSkkWS6TF624JHe8a0evcIl/pZNdl01T4EDS34fe7WN7aTVZpolDZGST
rFQiuf9EA3ukxkKQtP0KnVu5dxAarDJVDMfaHInddS5FVjjIhHy1K1s/POVZhYywZ98kggiZWbYt
B2IQwVW5O9P60GVGwYQegmSg5JmpU7Uqpb1ODNdZ49eBXOepVTgUCbKCud4EElR2zXNX4dZdsViz
4sao2zh3hzX6IslxguEAAeWAuQ+/+CKy72MEX54Cf2uGvMT47Z6nBj8wWHOUQXl1Gv18XsMvRUQ3
URqibUPtnAYtd2LZHJrGfYgQl+zwpH6WtX5GVQPwwl/u+4o+xe49VP3oIDEG9+vWnYlNbD11NtQ0
YBMx7BeWboQhllX1PPUkPzLL5KqbDZflFNGoToM2JGOhurKLhslatTxXskURhU4rzpsk/yGUtSaW
nlhqxJubqfRXswkGz5/C5DmwyhuZafei3KiPtax/Uvxi2ci6jVUsTZwZwuYtHZA6dhk0OV09K7cg
kdDV6Va6dbRxSSeh6A691WwU5RkIxzVxRVRbOEfy4ofJh9kpcmMIN9plo5ju5YwUMup8K57LgKrH
aqNbsy0u9TTri202cdUQ3rp06jozMeeLDa3BAG4MY7VxMOgPSEOiYLxh6/ujod/Atf5mh8t72vq7
wOr0DW3uzIshUNYshyQUwwZV2q7MfhqhhOLrd+aN1RXtXgp1R3oSYICM4zGTYYx2wNy2Le0tYjpn
BwNmZzeexbSqOOEd4AItzKMpwmd8ExDd8uV9CvRnotOPphE8P41zr/tz0CTPzbAQED7V6XfDwLip
cQRhTVni1Alulih8DdtmraKo2QkuxxUYDGAoGH5IKDStG9dt74uR6szoCjPuNYHPK4Ft9iKSZqQ8
M+7waA/hSlTTwpVQJPy63AQSUUybbecQXq3iCf4+q+zLwZxPDuc4rzLH7tRqdCEv4NCq3sqmIHIp
z60K2K5NnsnUOCUFXqOCNbyb+n5EVgmhfJIAWH2xK3IjVXFrY1qNG8HS1x4tZHoMP2lyWvk86rBk
0JkNB6pqcYiIzd65Ue1u23lJT6Op/S1Rfk+zwoVPIMZtFOrirs4N66eXd/q0ZLl/BC2h9nY5i6MG
ZrD1Rlc9ufVMIIay3+nhi7OoXRr81LxdlnTAadSkNw4Tu1ijYD8zMoY5sEDLdBr80AXRrtsBcs22
Z6uxVph7E6dG81U77jpFN7iqCCsljrm/xl4CQUFRB2AGULrfFs7Gzsrk1kcmDEtu/oDwEa0qO0C0
W/KKUdSeaw0LVxXzAfokssVxuCC/o6zoMoSoIvoO+SpfyzBA91lliHJbr6YMUst6FHz5LhoZJ9Jk
EWfK41qBZLBxA8Nvi9mhFNsMMsmBuvEQVDVK7bIatlcW3YbTnGjeyqs3JWbogvgsmqnwQReGu6MV
ZuLiTMXbICKCVhPXFGeuam6hkW7hMnfRiRSRcNVC/lzbSeARg17FBiPvVWPZ8hTMnYnftsz3nSCX
WCnyxlESmqdeyP7YNc5PuYBhQQW1uvYW9pJfLE73zYRj965QvI2NwFAaCRBKZTnGBqqyld/k/Vqg
5z6NbnGX24gbRVOdUz94acKo21FfS3J3ePy7adrWlrkjxW0g9dSjlyHB60ou4Esh3ET42H8tTYuS
sD/PzO9Xak6YcDtogokUZp9RxxXuudXYZ/x6+PNw5cVoizmVPTPZZ+QLbTBPehQt83HkkxrrK83A
1D1npGcpuCvDxxAUH3h9QDnLO5zK0yHvZntNC3niiH6B81gDBpk2tFo8yUz5437oxhWfBvNCvoS9
C6eRMcrCpcvMF9W29TAXxiEs9GYZfBEDLagjGp2l/iZdg7HJOI7h1mbGzNn5YM/pzG809BvxKxY+
HONU0Q72hgnvD0MmE4G1leTjMcN1Q/Jv/VH3TXRfpAZvZOjt5CizNYrD5RlFxR18fRA+rWVjuTW3
EPODlUu+MozKBtOPj18X1FhQPFVJ9hVa8tIt9kmE/rtj2UzF33ur2uk+/KkGfH9mmM8bsOhF3FXR
WhZ1bBVtsV7k8LPt4cGWhvieSSPbyOvov2uNWNgkYpdLyKxkKaJ0XdfMAjJroWwpEgJrijuVcUDH
nVb+hMzXDW7xK9pHg5q+RVZLTMA40JQPclb8R9zkCN7BRpit3NTdVKt11gfs9f1TC8AGl1/sFxO7
m0mUessUBwVOqYmKXqxAckPPUt+wUVY7F9ZMtMIioQ55KVmAcKr1K3aHyqsojWWGppeKvH8yXL/q
tlWI2nOrDDGq2GHF1px8eoSZ48PW+bZwI0vaK6zS4B9aZg64nM0bjQXmoxNTIHowaFHHxOJv6+b/
7nn97qu5vFdf3f+8fuFPigvOuaz/X3/+Y/e3P6dfzXX6/ac/bOo+7+d7/aXmh69Ol/xVvtDf/8v/
23/5P75+fZV/O4lnv/vXk/iuy/kfCXp/nsX/+nv/mMVjPzKRZJBU62E++pNpCfsRxnAeXrQV/yAr
8n//PnR3zD9wJSHsi2z0hH7ghf+VofvvG/PIu87a8TmBhEXV+jucWpt9mPVDlrI/rJezeQWOOKTt
5Su3jNiWm2mmPic9yM/WghL3Ly/L/8leFP6mEEDl6RFhYmEddJwI5dR1H/AvK3NG0dITkP0PVQGC
LUgx9uPa5nO5VIjtvB6rcy89kIJ4dbgELdzN7mq4Qvoa+tjnBdwQxTC2eSb2Ahr6KrJmlpoiQfrE
BBEi3GwgtGiFWmxINrleTkkezJrPZWtjTu/hvgWAK/gpOWDnjIjEyy+WGyQZtuSSbNOtypwIpw/y
kAdsIQFwJCy84TiyjLyCCH4h4wKUNcfGm3jd/BovOj8mLkyCKdt3AjaXLeJQ3LqAUQ4zYmUum8yl
nt+Xc5tq9WglizaOIRWeRX3Ku/RjSJ3U345RQGVtDkmabyqdToprLjO8t8yM5gbbESV/dmp6h8X/
aqSeHu+kHYANDtJwTC9LZGThtiEVIn0YU9NHXyIq6YLLrkxO8o6Z2drITIe4e/f6X6aQDYLXSYm2
3jE2RU0Dx4RArznj1EysDjuLNYaLE8aA0CwChFaVn5gBXqk6/aiWOb0dgrnZNJj6mU4Hs2xXzKrC
10VPvcGJPE4b1t2Avvxl3fOn6+Yft3Ehh0tAydrFwkydfYm+gh7AbtZjkgyvitCAMCp3laqudKSQ
NXK0bdUQFoSY+dx1VCTSle0dYeM2D0wbQPDReRMbc5TcD/48PXORilczg9wdlHUWO9hu4j4X3pdR
T8UDCh6imqNJruvIiLYZUAci2SPnDdARlx4b0nUeqPqQR3V/dJNyj9SlfMjKQtwPEzJ8FODkTtWj
hDs4+hQf9WGK5idYCMDyjSjqPrwrwKACSrKe6NAPIiU81Rz76oRer4OP6DKAXfKSahxygjSsbJdO
TfTpA+cqaUhVcTdg5XlPB65+CpDZvERzyOXUF5ZxBPvB35rN2rxXV4TQCFbuxbHLp8Jo7TcfD20a
Q8v5zG3fevFDPlTu6Lhbygn3kNJWMyCfoJg441eSdOH7wuRyE7VEn4M0TPt3xoubYmGdbWWjuxLt
eBrczLstRVdunWFxaNDSpNkrFuEHzD/+GWaZ9TbZOrxYQQ1CzR77Q1QIMA7uHNFhNN1Th7vv1hm9
Zi+cyjnBOpwuuGbYqaWtd9+2mXUBClO8yjor3nhHy900aeekm6Xc67puL4IEvc827f0kTlQaHHPl
LHfS6weaKsSduGOsYZW0YUBF07PoNgxG9gZMzXM4K+c+Wkwf2hofiX05qYTVQZjnx5rG91YzELkZ
lJN/Q8KBj9+ZR/PciiE/95mQT1ro8RG+dHvEoVVvDLigb0xTixc1+P2JfHPw0wzKC2Log8XeWlVW
3aGXTg7tMo27fjFTNEFRuFVy8H56g5I7BE3zt6kABMEg9FCLtoJZk5yxPUHc0Zm5Gn+tz+r0YEft
aSZunJGqQ2Hs6h+6HpEoCJJzTJR2q9qjW7OsDsd1XgdbOzOJ4Jt8+YE/XJ9MOebb0p3z2K/d8b5o
aHszEPf7RmnnHknw/KqbfPnEvTjc84IktxMqlG9sAKx4cMdqzeekXzfVVMCEc4td6xa+BNvQiGdy
ZEt0QRafFuMaoBqI9gc8rH63gKDqWBiYzmbyJxdqiurvQJHWNpPR+UoAHTKwIZ79c7EzVjgmXk0e
ZRopBh5PYFCGc5ZUdy1zyovd2Okr5OFyt3iR3EJwQv4AvME8+7kwz1EvoovB5u5+ngbNRUF6003T
WOUuKqfbUuoWJBgfVKTpqbteGDBXcTL2FM1IgI5tQ0uDESCPeTHqs5aMigKHo4ZpK75PBA+2dK1H
f2a5Fpu9kcSd9OdPfHcTvaoRqpyCtyj23dzJDzaVLPUKceQuQehMHNT3gpb9UHYeylLyC54sVXQP
adAHF3RfDNJgPyGKmoV87modMWoOlvNAYfreNpoVsWWND2XeME3k0xPc1OM4/wBpRMw8AiVvX9fe
eDTSatglnTVchl45RzhHV6+PlC+j53V3k0f/MUOW2zn5lN1zs7VvfqSbj7Cvg58zQiMWLX2HyTJK
fzD9KK5wDeZ4fUuOQahP89R568AyewaN/JxxZHR0CpYoxpXZlcN7WzEjw1WJpxV+goE+JHPlC7kQ
/aYJ8GWRDJknsecX4mfton0iW1J+C9Pa9zduk1YfTpqGu1pOyVlbSXgawtoAL7WoQxaFjMQFsJTZ
5n5jmteXl941o9sirLqzsOZ+o0lEIXTL6M9Jj8alcAWz8jKgkx1q/Y0YAlRLLXNlVofAZVedM+r7
Nu3Cm8WI5i/T0aVeRTrnuo54jU/l2BtPWeb5bzInyGgSLHeouck0vB7ahPwsS0JQsRk2kFhq50II
K2GLNWwNEZaztSoSL9wFPQM6nokxd2I7MvAAW8TvTE0Qvguk6Vszd94xnzRnI629x5BBOBKfybkZ
+8jlGJztO4RzZgxf4nx9AzHdONZu6XU8zHV+Be3aZx32xSG1G2elsrq5a1LbeQ7CfthMgcEIWTbe
zvALhpgogzfoEG2sYjnZjI3TYgM2u3v4ne5nn6myB0nZLms9DtGj5SFIqGVnb020TE9eUmQuvWrr
3olEwhexhym6L1NwnUhGm3g0nZswUSNve+WaqCgYz7r+dIx6O9ygNZNfmc7tHkIYY+ikl8GexVdL
xGA3x3Uyd3ftUrbkVrVyD4/P3k+QQGNYIkY8jku07BJLBd+oBeynyYmKGRcn2LiwMvRbBWl6m4j2
1ZNlsDGK6N6xYXHx+5k9dcdIZKnNkZeuir7IALco4+Aju8Bczcg24dKWy2feqkqyB07Go62ntddw
vRH7kfJourRThfDuEmrTrUVSzEkD7inYaqugWDvEFxYs+Vx9caBf0HSrF+D11S1+XLeNE1ZVO+67
eju4GmxiT1tm5Fawt2Hb3AZWMHErBPkbBZrPtLlgmC7nZK/bImGDLYC/BhYA34NXplbMk40psGnR
KCh3KjwsUQ3l69DhVqTVe/CVylbj4owH35zxMsKG4XOCSJmHIwoYqy4Z009h74TJsYLwhmJ6olKt
oaGZ4+NglumzKZry2bWpAV3ECm7MmkvetqKPTou4Rr2nXnIAooqGJQVCgM6i4QZjXJ0ccj0wKcJK
WRyLHnkHqzwr15SYUbOn70y7L6cqgi7Cg4mSHpkCNI2bZIBTgkJMHb2SzTFWeefMgHa+RJIhcCTy
NO5TOR2zelw2KYX/68KEvXD9p9QH2qft/IKvwOK3dI+VCKzv4NFtZiyk0coEKcUqqHC2LIN9mEkt
XA1j5qylBs7TOsu7ygDhBsZ92DJMjED/rEtM8YzR2Qw1fT3uTDIiYgE/e6JFOOWlVW1KUmV4W5wt
eHQ3pkvWa6ekuDHKHOBU7pw7z32zOhai09DDNhWiXAsRMoesSl6YamQPUTGaQJvVrlAL1kc25g67
v3CbpfV8ZOFxm82u/eIo7KpxODVVbPq12lr4rOLFmHDSC+2sl2am/3crDE/TuFrywnmbDXti6Ikg
oorCXZR4we3kZyJu/RqtJY/fu0GoMd795AkOgb9vjWQ+Mjw3z1lV5ushHd14CRXXXJflh7wNsF12
/RKjqvfi2dXjqm369FLjod9GophvPZNfrgjLTb70FX1Cq3oGkSg8/ro1/M9tqW8j+GBnCDeDpIxr
4/gvjWGWMLrIdZgfiqqjrTMmiNVqCTmlPXiIj65Z05FSS9Vc2YCQ/vqb/2ZhoCu9hqTY9tWX5fi/
+CT/+s1RkbGFWdr8YE0wypdCwYPKy+w2FJF4+Otv9ZuB4fqt4Dvyz7X7/c++wBwVlg+ggW/V2qBJ
+YzM+MHntPn66+/zK1LlX5Xx12+EEP8atgIQxf8d0iOaeUYFE6QH3TKzxkDkHnz9ixee93dSCWwa
Q5SxkZ/d6r0NUjrqcQE3Rh7jtblmp1dvfv1I/92ToXP+qZqu+dn/eRb0a77zH4Oi/7fmR/9Oydkx
6lG/D4+uf+kfw6PoDzPCOYhRlkeVx/fvyRyR9wcEK5A2PEn/HB255h8+WgIeaBhHPNPXr/OPUZL/
BxZbmybdIqIAK437Xxklcdn+Lt9kfnQ1wLHNxVPr/e7NVIRMSy1TqBqeyZayLEHd9isXYAMDXN8d
3sy0CoBgeM1DTuLw5aq4XMkQmERcR7rYWEFuPha9WOaNsidxm1HkiJVv4PKPArWbotw59rW2kKnl
rVx7Id4uns3IZYkAvGQ7Z152GsqxuTFTpKarxi5vWsYXd0HjhLvKjLJdEiTBzhVUknFaGYCqOE52
S56pA9JS/6y766h+6TIjdjTeCaCPIFHJbxi/Czi83FsgF2IHEu+uMK6bJ6jgD4103RHOyDgdtPkh
xNK8IysJz4twEuqzKey5gnEljEhJtyKZ/NsxmUL8DH5UmvGVJXtAN+HuhbKNz5HL9WfQ5tGtU9Th
oUkq9ZVOdiIhkLbWXZ61+krKUw9u547HQgQmBgZOZlI1CvurMBsUDh4MDNRqDnt40CKX1KzTU9cu
xiddrqLeaxsk+IusD3MuXweGHxC4rriNLByes7bvH6Oohz9JSof6uHJMXpkqC9p3j50lM4VCI4WK
sNCFNSZHrCor28yp1r1IBGx+LfUu8WhoBg/jN05athK6Lj/KvO/30ZL3W4su6HMxdXmTm+rWWFLv
KFTfHlWyLCfyIojJ8oJuG5AFYa8Ve+uMVk/bivczFa+oJhBk8SppvhpJ84yynPI0W0ESq6by+UWn
iCWNlegbK/eMfeGZ2W6SSfmEQzn7Jvqc+5HJnMMKmPiKTUWDZyEkwZ+G5uoafg29TSB5dPVZu9HS
Qd80HbGaLQhD2XK1+6eIPOOxqzOKB4eCCqrL+DNHYMaVP11NfHWJEaItsvouh8eyclkn36SqWdbw
XPXKVmF1bnujuLENx6KPq0Z0TUwS2HNQhaYvCeMDn64kdT/kNLotkxePvXHJJr0BM3INa8MzwdKQ
PV5YWxdoFNF9msxZPIbGBkw5wpB5WPvKu+RlNHzCpxUHUyE/GgtEn+uh0+RB1Nl0WhbUgngN+vo5
aorklfSH1Dii7JTFJqoD6wc6sk6vMnPUDwPcxGQzzMJ66xmXshSspb63dC2/K+w1cdSO1rtALMTK
c+7na0JNGe4hHY9kxIRUhLk9d9C0HWYBSQ9ncqUTy3lxBjM7SRhHHyyMTdh1WBHSOFCMe9q0Dr8X
gRmchTfNJpM1MvMWVG5ovxArXwmp5VCuaecaUhHq6h0zSfTM4PfDMMd27bfKOVvan7+8ViGR7iyr
qTdJmNSvRcqKKi4VoSu8WbV66wMkAit0z+0hTJqezI6Berdnfn1zBfiv2R3dM3+MGGPkfJ7Z4hCI
yS26CXE6xaxc6QyHa6qw2+ZrFwXlZhl7yHuNFRw9s4Mj5GRFyOvA8KTRmhMNKU0Qk5tg7gYosg/2
YHi7JjfFtDaiPnE3bqDMN1tkEWpqDtPBNlsCEuoqL+gv2/KQzqRTIKbCUUW2V/+gQtK6oalWxTeo
8pLYCQulJIdZog9JCusd8ubYfmdICzfCxbq4lyakBXyZc3frdsr4bLwAsWhnFQP952xwuCzAbhu6
K4WG1h2Iw83kd3+cxy9ZZuPb7NbW2aGBqjb92IUzYNhZJXGUOJJ6NkrEGgBohcBlJEXRNkY7tsz2
MRVdu6aUGhEKqhxukZBrvw6ObjsTq1PXTHwhuFOa5smhEBybjeXK3WRWTzTLetcpKu+cjQbaFwWl
BBLOXCN6HfwN+IHlxwKlptoMFpEMjaMZtTbZAIPKDIvbybTKQZ+IvffJ3HTV2ObfFiNlPz5TlAvz
NZwFnTJCHzYDPSjHuStuk4kRoR0V/q1VQAlarFI9+ATIPPhWkN5xLE6U42I5UEq/sOesHySO1Qdt
dYm9MvMieRkhhQCIRzS+qpmJHq8hAS9h7V83yaT8PYR5W9+Zeqru4LAxHEkrqKe5cDEIIsZFo4GE
Dn02xza3XTxVc37RdqQRswWSXrSrqksRmfy4vjC2VleyxO/w/vFRZ4G0slTn3wCh8m+Rd9tnz6sT
VABLnzy6ofIPRS7GJ3aBIT6xge2qsxjzbW2kutr1hmyw983JJQLP/4hiOTik/OKfCDuXwzgrbwfX
DjxzIpfvNMcTAcPSWPapVc6sG2ckOej+N7InfkSgHxrWOreWk90vwSHLmYdUY3EnSw04SNrObdIg
/OeQFRBCl+SqerXPamrSBqawSzZLqJu7FDbU7vp6Pqlmsm7g3TKZdo1gV4DqvRViGBBE2CPWjGjJ
fiQ9CK18Yru/UnICp+fBMj7OzDTvbaHGXTRH0WGwdPeikgZ6teUNez5P/oypoFEInAJ0qN0I7xUX
2myuMX9kqCGcSN6Pjlmx5CgcMmpY1ZFMkAPllaV7i1IhOS9BNB06LkbMYATdgXP9NJs8+rQ6x25W
pJfKVzKNsu/mmAhSbIx2h2fZgPk6cNTw+GVc0m7peDGBMsE2Hwpxh5J2/A6+dlyL3vLf7CYPb+25
5pOXXQ9NWCJ2vlvG0Vs2Stl281jP0SvkMOhNQxZmLZQeqa3YrEM7Y/w6Rm+5kYhHDLydvPMVC829
E8A9Wy2+L8heKCxp3tg+eiDEh1ZtSvBuUDCvfg9e+cZe5kcl0/VEwO68dTI/2LaRH8QZqKkkLtLx
frFsNPS9KrsKxq+RvXqt4+Xvts9HPAYSZnobNeKMQNZJUNXiny1ron3eNanITX3kkbUVquKhZj7w
LpPljbJ3+obsv/4shsl+ifCUPFkybY9g2J5kHcwb8KPVIZAdAdh6wG7ZTA9+ubxxAP4E7vpe9P5b
oEf9AS2HCsIlOGfVefotIGN27wdheSetcjO6lXHDm4OdUUHJrzGV/nQWb2Bg0krBkBs1J3QlnZd7
RT9+73ijmGOkoJlctQpR61Poa7WpyN69zxhiwaBqRq8y/tYg///u6d9u34MQiOdf8EKbun+vf3PB
/fo7f2+eWLv/gUHbR4d0hf/ggv9n/0SXROohiieIoBYMias/7T9ccKZp8q9AKCBLZSbxzy7Kdf9w
YOywErBpfXwISf+VLsp1fkMNmJBKfQLo8ZTAWwoZgfx59tGiTiJxa4ZOjcqPIsWoEIGBDfBiT/pi
3gfADWvkRilQ5iug70yanBGXCCp+dAn+C/a/lQ1n28zkRLqTRGnE4sD/XJSN+6jOQxcpbjvfNGgL
y2/54sqbplvMH4WTTmSEaDHplQnM7Rpcxom6yw2/ecahE9iHTkbDcEQKrMazYsa0yfAoUzahhsN9
5ZOTw6AjtnTSr9B73Zh6bvMVREjCgop6sdcoZL4PVPKc0hm6p2FioTUXofUFSAIJzK9I2ihk5LBh
d46wyvWz/Fzicj8wpg/2htLqMDRVgYAlr6f7QRo7u9D2urGj/83emSzHjWRZ+1Xaeg8ZHIADjkVv
AoiRwXkStYFRE+Z5xtP3B2ZWlkTVr+yyf1uLsrQyI4UgAnC/fu8533keyfXYR1rWIZsNy/VToY1/
niTLARJndPugAiNXMMxcBepCIHATQef3ZZYwpoLVINliC5odtGmblrZbgCJnwzfPXdaXnqOXEcsT
FPv2hqioxL4YhSO/cEeIGWjdJGgeFpsQZcB+rWZdOE04pdukISTRGomw2TeqikiamozxEl43OUXZ
qtjjXF7ssFfkg/BGK4o685Awo4EXgYmlGnrngvE5GLPFE1SvBiP0KO0TtngCeiGpHUWO1WRgakE2
vI3zliOlerOyO07lVwZ9ycE0xF3bQglFHKxNX6nqq+S7i0b8OxG6zGyujKKVubh3UFzvWPBX5gBu
d+djNcJ/Y2rnDmcinNKTjVmBG9WkAdHAWZ8cY5ST5rbJ0lsK62arx1SPQZSO1+2MWUKP44THEumo
P1dpCEFUiJNK0pLcKX3ZEfyT7lNyEUVcTXed3VsEk2iZ4ccuEw0vq7vwpBRluWeZ3G3PSFRwYM6N
5iwzZ3nMJ73Zsb62r6VRZV+MrhYmLcrWRulZr+NxFSgEzkQb4NBqXXFqTQwGlhlmdGQR1h+sov8U
JdbQeUtpyRuNOyg5hFXhp7Cx9IswsfIdNk9tP5gWNkEud4k4odqLRUy3BQFzq1KYqtISgYPISo39
JjX09GJ16CC0Q2BBlWsXx4EwjKu4CxIKoi6zzmAVlhNVGEq5RGds1LMzNSbuQx3LSZ+FV3ZEU8Lv
LfsMaAuu6ZQGn6gJ3B3s0oFTpWlt0zotTr1wqkdwD1fEp8nb9cm+Rqah+3QEsBTW4nJJOFCyaXee
MivJQBBdLHeg0r+XYtavS5mGH8MqBpRXW7AVhzQ7tBmStjm2w32SDOke0BYh63XVfjVGUBaV3bj3
oaWhCoHsewZG/rQY+nVhJhg2sWKc02WQ9EprTt1JOz7LmqyFTZJOI8Yc03gh449JdQ+Fle5ippt3
tmH1WwFh8bvmKMTzHXdjly5Jd+y77AswGxdHK8IEX+vn2t2kg23dV+Y4RXg+hvKLpebwAWl/qCP/
aeRntOrES2DE5N+otCOqAlCQ8IQ3dU/MwqhjYUknzJQqSRLyGQFDmEWoDpMkSn4kTEhtehtRaydD
wYPed/GFcKP+gSkZukHuz0M71bc81tg7jJl0SLpEMg3cgwahXtHer52TajS4ipDE1dfJLqIbN1Px
YQjK4iu9LdfPdEqfTYVR3t7OpUXymi5IL0ruurxRR3zNk5/ydN8LIrFy5lizwQDUDLyxQymp06eY
J4l30nHq+CoBdLRhRGx+KrNw3ORRj1V6FFbiA5qTL1KNrm+KarkraZx5HCfHZyTzdNDNpLw0sopO
x+BMX0gVw8FlmN33EBk2o4+arLgsasF+GOZHA6vi9SJoRw3EHd3MhSx3IsMtbSC7vQi0Ub9nWrWk
HkOwtN6VZRtu27LWX4FBNL419eUdyRhlh1krwtwMo2JjMdL5jhZXPxRD4byYnAg0f+HR2i4sOV7U
zYO9Iepi9IuSlV+NtD0cNdiXRr2EHm+kyZxKGI9QhqoLNcroVLpNRfGGHLeDt8WddaP5Wzw33b3E
v5Z4tRGQGKrPGaccgTshmIDTCiD5x6WZ594Dk/GNjFhzS8Pf5RRrlJcY/hJPM+vmDG13vM0cbcvo
272sB0PGG4yRUUAYhZZeRrqofUG/5FPWDqR1tFl16VQK4+woWqb7BJ7eWe5Eq1ChNyinIGaeHFjE
OBDAct0MVfqcM3l+DlXR3CDWDp6qNIgv+gn4Z4Te6lE01ryN9DLZz4g3t8Hc1UglCsCpFn8tY2UG
ed2xyJYBV6TTP1rkOc+b2GoLX2Os7dnSIllFj/SbGg2XuXXob5yKUaMDmqfjfCHpHaZe3JBooUrL
5D5240drQnUtByyhWCCZPeJqXE4iFvYXg39f88qgiG8g8I1oWXX3eV4kPkRrYaNXhDOvwURtvEOa
YZ8ddJIP5IQ2hFbBaEpxstKo8NU4nfu6bHYIoECQ/me08H+Spq7ko98Vx1ffxv86vOYVw7yGCdIf
etfj1//57zdm0l/zBedtZMCYCETED+MFx/ggkYsaCEVXWuFbJvg/ymP5AeKXQCcJS/NNvPrP8thY
afr8OOQJQUX77yV/vx+YIVHlH2LlJ2BOKXgVPxfHSNEnRIWkuAAJR8y3sHIbdvj0w035F8JUhiU/
YaTeLgK5Cnkqf+cvBMGuHLQKthxxFCkAnclpFyDEg+Ohu+q2v78UZ5dfLmVxWxxp6Y4uTU4cP84a
y5y1KAnN5TANMZDiLKaAMDA6iHX9zwCaHXIMVGT4SYsoKPSVv7/8L7cT+T0QSHoUQqA4fk8DwxCs
5Ggb6C+K8cHInWeFSOT3l3iv8VXrJSSHLZiFNoisd0yPptHmXg9EfZBifJik+UQxVno97FLK6pqn
9K+z3r/45sD7vb+hGAYYcXJEsxCvu/p6uvphcmyGNQoUSoADQkeSatJcVCRjafkplUF+yrDZW8FY
0zoO605nL8RgBKTNhV+dp03e+C1utI1jhAKeFVHkR/yHLjz7cnCxfzDRKjct1X6xMWoBzTinQdrQ
aDvijTE/G8m4D4e2Q+a05gI0nW48zYQ4rGrUPvfpXZhXUd2zLUep6ff6PD3NHBzO1FtjuDENp2FR
r938wUb78UwyW0m7HMliEBLRKTuyoWzJWXCw8A8C+w4RSpLaE+ZQs9Fp1TS4ZL0b+mU5ImO5xGwz
7Mw8/2452V0ZW184Z9x2zEg4aaj8VOnTpxBtH5dI7C1rM8QKeCl+Wi31Pq0larhC+LJNxm8Un/XR
IWKmmsGxxC7FvmWQ0jiWo3014axFEmYHJyM0nxzit09JFHceu81q7R5AYGnuwwRwy59FkqBLrsOH
zoZx0avU090hhABOH5pA7IGYtCzYJjCjLzmUeH2E6yWA7nohETCnWyqBbiZtdA5dRLoJgIS4dNyH
2gEkGinksYYCT1WRKwBBphKcZ4qpaexHq3C05ygdmmvSxPh3FPi3h1KkHJyauD/oJiltcdNAI4P6
Gl0Eed1clqTdkuJH9DbNMh6RvKZbWRIclYyFYArSG7shzvQnqySvdB44sGlRbPQvfayDt/D0WZxB
2YcPcUQ9VcSl2ASIpPyotlddcbxirLUmOJOr2NxWC3t/3rTnAPjKC+qi7sHCO3vApiIuxWTah7zg
WaBLFu/6rpj2RW6+RFS8nLpjPI6JY04Hq43dW53p3J78zeZyCbXyps9m32DYc4mkuKqZ0GT6rhmJ
jShtGYYbpKyEzU6S7D/X6i9QQhHHtkT2Tcz4LQhM4INB5wg0iCEixjSiKyufpyE8WXlQY9gZb4mJ
feQoyd4+JNrewph7gcwkhbY+UF329AHJABB7w6Q/SvM/O8wYH4+yauuLudRXRlcoy+t8Zt/giab3
QmZAqN+aQT2/toi51iCB4jyEiXbRhbaxNycX31CmyQK7GsQsZGmOX+s1VwtTEx+Pi9oXFzSk06CK
gFBqKnhRaVd4gQrdfRgE48VE9U9zsKd2QSK/bwedENaUDp1h6Ygsg37yiHilDrSz8bQYkTivXc5d
kBBGUeIepmwietB2olfGu8+uYFoddp1+FzOiOhiD+Ql2zVlTWXifljodeIc7jQ3z1FklCr4gbUja
AzQREPOG8Q5Mv70kl1pb46dkSumDhPsKOR/QC7zmeaOCcDgGdOS3QtNvsZ/uOrrih0RD5loyctsv
RGMhFbTrR+hjDh3rdtT8qm7KXY888LUdIOCXUWVv22lXV6H5IGXleoVIUbUXztDe9Fpl0pfV1THO
RxO7coT4aaAHE0X4zjbSqparIEs71MZBNT+WQmVnFqQFeYyLPsiQL03JiM9wlbYZKS496OTMfPXo
TE27j9gAmNdzbt+Ea9Jhloviqs3VMRuMxzRH42wEglkicjCrURwEaLz4QaqpyzBIvwXMchkrtFun
N6zXXic7NOnN4bqycHdtZMa7x5JgX8dzMp3B72ZHOzeaAy3a1C/HZfxYThDPqIZWGjsSwtnLbF4g
LKzT2gTRsmcBcJX6dLFuYRDaCLtouYksT9pNKTOToWvUbW30drwn9vQ1z2cGDXVBhUsofYoa8ElG
kgGSi1rUq5tsRVaRcw7cVm4zBUy2XxzrTIDpWDNRWIbrvFXaAS+OjcXO+eIIk8nO4PK914FM8N8p
5yFrJ7GHWJejgiAU3RlmEJGphVvRdqMD7obyopx6eZCMJ6/tWKSHSAvDT0puc6Jj9tkccfuHaHoU
rFw+LiK14yZlDyZZEp7UBWJorUuNe6u2tzYIyOcOv8qnabCjK5ug7+e2MH2CaOAqJVXTXPWi6rDg
Jzx5zEcPiCcaEu94yNg8vxdpa9AhaIjIDYP2yP44HofEZM2o0bvaF3jz6A76Rtb2f9QV/+mA/10H
HKoZVeJfVdEvJLi1yL/8NsVfyp8r/Ldf+6sJbq7SHyCl7krqpc7/ZxNcR12E7g132p95Wn81wU2H
X6KMdxXVGTEEFuXkP6RE4oNp4PBQSNkcyG2Axf9hwfuzbMO994cl71+UcfJdXaq7LpeXVHFS8lBT
G/9cxZGmmS1jWCTnBvPi/GrRoQPsazmdtdXxChSsziMb2XyIGebk2rE0IngEHueQ4gATVd8zNZq/
Nshz8ZvqlfSmZB6Wi6mwnW+8pY4fAxBvlvpQsK3QNNyk2Thb96ggF9UDYe+hsbRfM2w8bFEzrC+5
JTcmidxrPdY653Yo+wH4XGV3kKnuzQKAmWePQ6e/AEXM4nld4rGxNVGpF/kpZvLuTcphixnogZGS
Ei4ynaIzw7C6UveR4RC1mXhotHTechy5lKOIt3PcMmgjxVZhP8v057h2OhITi2pQBtHfeg4pLwY2
i9hAr79EWtvsnLqabwiOLlAczGPCr9qztnyqChTHl29P1X9ewL9/AW1OFb9/AV/KJn33+q2/9Ofr
54gPlKOG4oSCl/MPud6fGj7H/eCg1bNsJCNvkyZOjP88ZOvrS0FzkH1BkZPx1+uHyO//g8T4y/n3
TSyK/pYDA8fg90c2Mdj1oOtheRyAiMZeWoTy2kQucbVk47+ZgWBBQjchj+FqRDyDFfTdgX5odZRo
ShRHZ404WoYZJDoz9qeZO3DGzfZ3UOr3ymKuBxfaYPbHfI+67d3K0qw4wUrpXC9fE7tGvaI0AOlI
3MIEtL/oAgwT5qTEA8QU4+GH5+BfrGu/HE4lgywc20hAGCivi+RPh9Na09upbCm8lgbiT57lrDyZ
GEjAFgvIrWBxnwJD/7s/+ZcTOFflbpkWtHSetfWx+fFI3LUMQUbl4PPLxXSTUtF8JYUNqLS7YnjD
fxv8DbYDBja7C1fk0M9M9OcLJroGKKFtXOqSoLxwVtvhHHUMH5VJZFww2C+/v63vIxYt1t+35gL9
J24uQ9OfLzi3Ql/CYBoOfTnVKV38AOTxstAMXnFiMO5ntCdXKiNa0UG/docBr3gqKnjugBXTpaBx
2jp3oCiNftMMsgcZV0XtmQJ3+ghH7m+eAun88hwQNisM3n1aFS4v+7vPWyDWD5O86w/SIUqOKGXI
gxdtmKH/CcvVw1iHYjyJMpozNAqdJMy1COe7NT/sYOh4Pk8xG8MRU4F8Dc22sTfk1vAsIToC574o
cTVBJIpOg24QioYXVVzlgKJywF5r1kFvtLiptSaGXDAbRC1VchJXWuMQl9BjMLmotHm6Ayoy3QQx
telmaYZSflaDCQGRbXMatiqtjeSiMeV0Y7NK2H6soHkcwFdrz/AI3eCuboyGRy5IahNLRjtrtE6I
chPiG0/phDVHMEmZMAy5g3U7FfN4LvSIhADkmCMVsYWn420haGhP41kZYJdrWPZu3LRuFNFmdfXS
Jwbu7kY3j3/Av6dhqF4UOWU3OhLr3HPJIF9D2hJ3C4ZIvqqGGMs/WNX5EJBoF3XTnYbn9kF2vfLj
JYbJ7UqDg9HsTi922bGHM+9nIvqWUNdbDX8pXUAaP1kLbdwt4uAJig/M9J5JxGvWcx/fQNVBY4mH
nnSwu0XV7tNYkxlp07y8IyjX3db4X80dJm6g0e6kkU/RDsF098ezGtEPJEyPI0N/GacTZUhS0k2y
JH+sMQ9Vu29HMsQ8rZnT6OQ6QZwf11jMvNvYHML6bYeX5zkaRvdJVaynPlM1ImVyDAD2Bj2N9Vq2
a2B3WPHyM949u3PjPlWceTj9FjFPxpSCxbDoGUCrWEM+zaqcbpDDgQQfSC0n685oq5fpLV8vLIlU
oen0FtIIcfDYI0uoGKetf+touRmjHED3b/ffmjo0Tb2ytlHqOD4Hxqj16sLVr95+pgsQleYQ5Vk3
luig8bfeRk43+GPouru+bnmAGY2Tx0MAWHVo2yQILnC86hWMnbGH3jIpFwwfAymT+a+p9xCpmJpd
dTRdwKmoPDWme2QLOsOIgFHMsMsYwa7AvXVIDBdNP46ic4hZRRsOibxtgYPuZ71PRr8OIWTfVVUh
s01UcobeFFHfBWdjcWfclJDIhlmrSZNnIhvfjBhzxueW20+DAXb6vjWwM20WrFbQ/AYGKGQxMRAZ
JPe5fajMINpOq9A5KNx552KkrFf1Bi1M0EQqMa+kWpsHw3igRTTRCymnBxv77VuYCV+7Nl9ZMrUB
8UfiY6sbtU/3w97gLxVQvKLuboxqujQd3qtPnZUi0ojMdjThL8bTxeBow8FSWDE3vY76YaOXy5Vq
+vBr3bJs2nnsnIo4sq8qvXDJUlys+SyKMccwOmltyRw7ZOxaLd1Xl24X4VJaH8Y+D7eLY76bCuji
Q4uyxHGCJ7Nou8IXmvUImEZj7FS/FsKBzkm7zTrUCOuIYHXWVMRGX5Nz5hSUcST4PxvW5emObY5n
2SBfMT7YWsAuvRCdhGeJiDDRuU8rtTBZCQjwx+UwTHdvAVgrWuGqskT1MkM7yQBljq9TqcKnRNos
mKWRYpjXk+cE1fFCVDpxoIHeEsnkEPuoKleP8MYGhc82WtKcJc0yxjLc8meEO5L0lMTKtjAHW9pK
fMobTVuOS2T16mjmDd48j5QSZs2NQNFmG6b5GXSOtLdNkZ4ytwrOo1aFN9gXo2Oo3AcniuqnrGte
53xaV/9YPNHs6P0Ea/kV/RDWeVmJ+IQs0/jUawGNLNS4GNXd0bmnhZZyuhnGozR72IzmWIOEjYRz
YQVlo3ZuYRTXU29M/W7BcZZHqvLLqcUMN+RMXJFt1khqM0sOdIOD4orOqfU5EyY/X7FjNY8yco3g
s6vGmHCTugrK3QLqNwMPlvYY59pUO+Ms67l1OZyZhVn6x9lRiL+tAvNjZOpgnjsyuwToRXSAQfsC
BYtapOqkOpsj3s9UDHyttUsYaIwmlMXCysKGcNx2ZkKeqCttmt2nJqdz72uZ3X4FUeye5VsCTGov
PDR1z5PShrpaAVrro9SHaPXDqBRXHGJZS2vbYE1PUIA+DQafxu4i99yOfDUwrFzWwZx4IHhAa7BY
jNc93ETpGvc3maELZa+KSUk0Utb7ZmgOczRgJx9IR4Q9KW11ps2qeYkquXLCZoIzA8PeDcGyvEty
pCfkzOzjZcOFzWCxXpc5YcF/WwIdWm7NFqbE+uiPOqlM3VgowjKq0TqPfa/TkJKEkDad1n4tzJSd
Q5gNT4Sx1ET1ZuyPbSxZp/O3wIO5ZpK/MqocKobZFMQov30s8ZbIUEcJlUSgrZEfDlrbizojkYbW
9nTTDdS+OQqCrVgyLIoG/hCSJfsZwvOlgFZrenrjli8jJOvo2pBr9k2cV/yt47BwyaJhenFn1VWG
55ZTskUrOYvCOs1oEeqD43jhZJEUl7ZIR4DAzPek6MgXOxIsrHODNQLP7hRzLO+TNRxUhA8jZ2Tg
kzppndZiqpZ10RH3Wanpp6qPtO9dU7v7qB/dacNnpsqJNVJwjQm9MJmp9BG82u3Eg9mQubYJm4nu
ceNYhDSEU7ze0Rr+AQAuxuteXymo5TTku+I+WL/RBNHN69Kv0SxZy9eoiZpTQ2cseqMzIqlAFmZK
BvqT0GaLSR1bpTPe22as9feYfhDVePEYhZG6o2Pp2mxVlbtgBlVhPce7OYVaJx4TRbUc7qexw+Ur
JGnTeim3sW4BFgX5Hvsdadyb0Z6Nfa651CCOQQRYajXRlZl3gxeTBb3lf3TmUSuesmSpmGJE9V2p
WFnSIdI+Tpobn7SOacvQRmw9s8oPdN3BzmAb32X9+Na0tP1Cx+ytO+6FNbeBV+fmbahY0k2wUTuh
h6SfLCLH2TTVx3IgKiLsMnFXEHvLkIJFYpMM+N8Jkek2nZ2n30kXQX40lAGOnRLhdFcPpc8bOEK0
LL4XGJ4ghV+7kzUeea4pDPpav3a7Sr+WObrxQc89u53zA03PekttHNxPdo/InE3UT+oIirplXVt6
Z12CHilu+bbZl4spO7Hz5UwlUgQk0EM9ldvb0M0u+5T8ZZNbda1D4HkkG6Onh22YV+UAiMgj7ZwC
cqr3mZvR6B9uzFzcUfkVW0wM+nfUQvJkmjh/Y1h7Lvk3CPuJAVAHLVm+odHkC7F6XuEd4+Ux8vNe
z0oKbW1gEMgO3G5mgBCsINE6AGG/YjXskvKirw1c6ibgnMs2zXhI84jVJrYbnshlWAlwwYQu52ZO
xyT2Bspu//fHqPXU8aNHlCQthwOHpLEgaEG8P/bjmE5cdrzqUMm3oh95Jr7qgCfx99f55fTDhdYg
QIA1urI4uP18WiOsp+uTsoN/hLgbFxBsqocaA0q2sSaxYsvWo8vbcvj76/5y9F//QB19LSFNlsVJ
8efrciTPkD5N1WFKMvu100gEyNuJvObRiVi/yEme72w7WsFPw1rl/v7qv0z6ubprcCrmBedDvIX6
/TCYxktC90TY5QE0Mkw8XNfGg1pXXQzyrPZdiEhyo1cNx5K18jYsVPubt4/wn47d33bsEBL+8G39
2jJns43+y39N3+enmG+/+GfXzrU/0Emx1+9ujUMxBF/xn127N1H5+tXqZFu+k8bQTqdjR0Obd0qn
/cNj+WfT3JIf1pwTGuq68Yc3999pmlvOz4/YKuNY7fI0sAzahNZbv//HRg9tp6q1J8c4LxTT4bKP
23Du0AYY+iaf20uNs/a2yqkSNoMCvLXBfb+8aEZmMzmPxaEdKu0c8Nm3c63lu5DqgTnp0l6WYXHA
FNWfVD06PmQ4+6LsC+2eFC3EFUXIcDZWq9I5t+8HVU1sZTgKNz00/r2o6nKTr9u8jQqZmPZF7Aws
G/BWhsDEuePiGON3wL2GhzSOLm1q5pPh4nqM6uB2XOrrqS19ZEf6KlsXh7olc0FR5hIyZp+ExbSw
T12f4uJrj8TE75Oq9fKhSbzGLOZLEFE4b2GdTYNOixwMeZ212jZIErGb9WXZyxWtU4TGXitk8ezO
Q7JtqzT2iY3ZAoi6btLZ2rKaQ8MyOnOXObnyKgyFBzOnehI5UlHulOV3hXIPc9vHd8RDlH4uxHKo
UsP1xnJe5aXVcECNfN3Mro42Il3YyOBMYuWyN5ZemUj8pOmHMeLaMe8nKHdZe0pj5zISnLk4ZNy5
ej5uO+zLbt4fUJUzq4fzs5mRY6CRDnVYovpeQ9rsgSN9goc1ewOC4y1Kz87vUJH62dyHXiM1m2ql
/5y3CFGmCSUI0LOLiorNM1GYl4sDriSrdiRpFD72aIDddLg2tbQPLkEMHYN7T6UG4o4l0J5mMy43
HLUlsk9EsGYPHdWwwIBrQJ6ORhklD5gql2Mr1ODjX8LhNgmJaVeb/XbSLbhrIHqkovDpbeTmCO63
rkg+EQ1hXdSQZYnGgyctzdrv8f6BsQ/3LNEOA0Ys4FlGiHxSP5St/aSm5ZwYo7MJkQnvtCLWt7QF
o71T5a8LIZtJ3Vn7pAwazugjOB/Gv6facL9ZIIv8bnClzzOxDl839sgjoZrwFk8sY/QQg49B6g7A
pc4blFg8q810sDnySBNMfJqtRTALbi8mLf28zNa0nThWbZOY+ZQswtxbFmi2aNthXRdJ7TthRdbZ
gvTZAn7mcXyp/VQ0H7W2QyTkTAF+yBbeKPF5e4bt1rYEnrizk7zZBWby2CB4u6RXlu9M9Tl0W52o
Taf2ZGVrD2SvYRokFs7ynSyO7/KB5JOitXVU2NG8x1bePOgF2GHGEundwnzCb9vlssWntUObP3Ky
juzdkqJWknADtsWEvbkzNB0jc7Ns9SXNt9hgI7zgIIWwKyBCcBL7KAyMn3GohoNhhDDMBuOi1fTe
15jLPYLt4S4qIOsGGWieHbojMHvYO7osiSKSif6I/R1wnyZs3tx62XVR5Xhuj/8CaXFxnxK0AIun
10+ia0e5cdmlScrU0oj4J1Jdpo5AJDjH6dbkfL/jo/ZnB7EVP6idC06ne+iQV5qVfo4ZcpPKtkKg
ayfEwT5ovrNwP6ullQcHrh+OGv37FESkBI9ktJKhSB/S7u7hyh7hPNknhQlxNY/d2bQ2t6NultCO
J5LqiFX2LVpciIjcL+jX72JMF4HobzJIWBudvNn9HGvfcmuZd1mD6r5zzvHIz7dOsaesx3eIf3Tn
kNXqcfao/HmtFcmDUnii49e6ROQdquW+Rd5ycNbmSJYyUhxV33kUWvPWiEv88oC0PD20m8vZcHZ9
bry69XrSgBaD76+V94ERhV7uuNsemLTOq4bQu/42tBkHigW3p2wSRCAZZg0MFOkuyYxhC6KJqrVL
Kx9FgTpwir8uM+OTbbfnJLSI7ZHTkxpbhOm4ULxsNm1ICHHx4LrDcwYgyqfV/g0fMKrnAGnYGGYP
hugvHKtrriplnOIS9Zksy+wyw0hNf+4mi2i3BGakPGBE35uGyIDYhbAjl77cW1aPWUTOybYeu+w8
A58n2qhRyPlQ42eo81oz+gQm0X2YLRh3WSEuFhsBw2DM9a5T2eBPiisWy/JQU8ffEBhDagKbEO2C
aZOOaEAAw2W7ppdyo+fyvkKpQtuxji/muj2GDTAyrFEaBx94zwxUdD/Ka/slS6ePY9D3B2eG+94b
QMzDLNr1Rjfup2LSdiR9SM/JB/e6y+hShw6hCZa1fnDiYWrOWh1dXrIP7krA9lsmULupjmmHI5c7
ikh77l1Y1zU2HhMzB2th3x/VsBDzF8cNoeGBfWD9jU/EDqBE1FjlAAKgowM4wBnYwMu1mHIXOqMJ
yrnCTWxVYh86yfM4xBJBmnqYu/aipcNOGEz43dQq55QVWbDTnGzZWJUtdrJ0YHtZuX5SFceDkuAH
GoBlsMPNDbRTzYtZfKYrU3SPFq4XxG4Ea5L3eZigykLHwjOsyvGJc1BO7EpCZzYhFZanL1cEQjQu
+ConMtL1JaPBI1vzUBslWCnPqQh1fDT7sTARmM1z04LQkG3J6p0ijavGOCVZLZB3ppU7dvNSkvGy
FKfGHFrH9ZJyPfxsiiTjmAxip2qWpvnPQPz/RkTGCMIY9f89EL8GBvfTMPyPX/izrFb6BylW1yUb
ilz9mMzJ/yyrlfVBCbTJyMdN4sPfZCr/GIaLD64jDZsC2rH5z2rj/IcWRX0wEaEQxGnSu3DWmfI7
7cnvtCji/TTcAVGskDCvM3eGdu+Hi8GohTCBpTxyHq4C30iWFABsFZwkTAQPt0777CKc3VFBLTvA
tsFJZbSj2ZinR1kwabHspH3GlNU+h5yo/0bB/f5Qy6czOF1IPqBB+vBK9/mx5nd71ZDG6lrHZLDK
VwnC+AazR7GGnK2Nzjib9zAmqCaqEnbyD9/ivxhnmwY3+eeWwWpSJYSRUxFCect8N9DGqUn8SR/X
ECaCj3kdkHEw9rF7mbpNaft2JZ0zYu2CuMLZdi4myyWtMGniT9NSLF+dvq0Hv1pm8xRmhAGldp/t
u6zp0y3dOPvWoYqaPYiq8hiMeXcWlVntqJVJ3SExhqF9zjrNaCG/joyZIRBsURzuqoZ9gTfT8ft+
yRFQ0hysNybDTDLnbeMFUSKCSJrtm6VVTKfpfW+bMuvvIkIHduVsFbAjO1Olu5AedATOIko8M7b0
Zw0pI4NP56EHTpl51lKzBzt2VRBMMoW03rSRPmJpDodZywMv1RZzk4BtRA3kjAMRjQHFRxUBIc6N
af5YALGUGw05/FmOCUVfM3fPiggExMh6NuoblJgrhJbMrYMy03lHQo8NBMmIPc0yUFxi3qjv3F5L
bplVxMJPwhr9UanbZC47ekNW3eRux95s4t2AogFTEK8SKgMVTkj2apu5rhV1D6Ivo23ROWN/XFnL
APCNorub4p4yT5gjDsDYFvoOuUSgNkXQpZQT0q6ERtr5siaTNDqFSRgbI3hqt98wRCGnpiLq4UAd
aGhgO204qVJ+dJJZwUqwi5u0aCZQF7XRAHWM2FrWaM1NqE9ih3q72TXdKG/mzND2i6GYQ0XGsCM1
dwfnY/B5U12yf5z8bmEeyqiv7JPTkqjEV7JzXhkZVgdCA5etm1XdYY4B7+w6owtp6CcG4Fm2/IlC
ntPrHsCUwMWmYFYqwXQqMYi+GyM2IbJ1o2/WqA/XgvwkuYkLJ/9m0DBep9iERiOQJ+MRZXRNCNew
SHNjOySf+bx790y2GNkRCNHTzSZJ0x7vCRSLp2pTO0U5eAH65tBLpgD1vqq69GuRREGsNl2T7A29
HL+CssjXODdIPtGGKOZBv8Ro3MSvSM4zYsKKwTKu2xYi+9IvJhAmMxk+rkN19zzjXnslIRJaaOD2
U8NbUWvdlyLok8xv3K5Gb9yxa287cj20bYm8/pIhcTGjJ/tf9s5ky20jzcKv0i8AHwyBaQvOZJJJ
5qSUNjiplIV5CkwBPH1/kK1uS3bZVfuqjevITjFJAoF/uPe7bmds+kGbk8fJAhi3R9bO2FwLS4bd
VSmLiNRr1safiI1DF4cye6GmTnYp0eRn+n4G/cWjoCvvZDwm9bqhNn5rK6K4DeiMXOpKrw4TK6IH
nNPLYQhtm9iDpLxP5x4abk82PDZhn1eTy3ub4tB+BApljJvGbkNq4UG0H7rESQX+74HfnsZn3jcV
gaykNNcfWdKzkhhMeO2+PZDPGI/cyJsWuorGalP1n/WUSpL8LGmD0Q5HRn21WVdvss1p/2otn9m9
cpQzBeBzEljLNx1jefYQWjegqTDnl7y1NNCn2WiR2bpTIQEeYJ2EMKY3u++lXh89Anr4R8bSmiEG
Hm8q5KAy5nF4LSOVJy1Eart8Ay/GKJykmfZUydm5NK3Bb4zRpNK2I97TNBCarImlNvP7qYxZShNR
QuwRfB5165PIvBdVxY2VUKbfSzvH11pGTmWvCTQdDohvEWyjuo6LuwJlBwQBfgOu3aIWhxId1kAq
qCRyhIIw7NdlK91PEHNHsgETCesrjwigwlXiTHrQx5COmMa448cKY+oldiZ0xZ6TVkHo6YDETUCC
2dhWn1uje7bU6BwG30/tHQvZ8dY7uZWvtYxY650XexDoDS+BPG5WTH6EnYZbA4TjObaGEF6ZNpV3
MfX8k5n1yqEU7O134BsQuwdCLbbViKnerLR5lbMhuRNII05hPMQkWcySAKqGzk41Xm3j8ZDGyQIH
cPBNc3ahroTaU8ZzZuYt+9Na+ORekShQuCaSkxa5fV+ZMHmmzi2nXTla0LQQwqUS2w62U5IiBagb
Dvy2sNoP/53L/lt+xUWB94eS409z2fssf4ur4u2n4nH5oe8zWfELBA3OCxPhMcWIz5z3/2ayi8bZ
cdhpmN8Uyfyr34vHb0JmlgAuhYtJvfe9cLRAJdrgC5n6msvP/UeFI1LlH6sjQycSGxyjT/1qGnA+
f6qOJMOXUjlGcxSdptYW2X5dPHR4sjrvZlMHVAfbjzTIMsiOERhLguKf484mqJmSlwW14gCYkcQU
fhLuNOIj5BM++PyElSVJrx2I2E8s2tyP9uyUx5iG9dSNqbn2l4VuA3+hOGKEQZmf+Tijh7S8S+tG
qz6WcV1x5vc1ufMT/d84D6tojk2CR4dR+h8HVsXeHn5IxJ65mZzXYVS9d53IBseqlcRM2SqE2Bbq
ZchbEbj4t2Eh/PTfYD+VrLJoWy9gxbsO9l4XbbW80ImlR/ISK4iKiWeNFxjhaBW3WCTm+lIh1+J4
V5xCK24/suT32IgsyRIWLznmvRKlODgHjNy+acNMQFxw8UzIPiNDUD5PyMNT0Y8kjtq+zgx4GFxs
HHFo6O/jmLeAhLM4sampMnxliKtLOlayKHuy60Aa9iUSNchIhBMpENxs5WJvBvm+Boct5lXmDBHp
ezKqzdjNyFcjiyD9MofT1NrZqgPYbYMrw2HHRlYM0c7MVCgvbtFpB51ww6sOuiKA9kxKB9a9IG3j
8hBr2rCL7NpkuEUBHVgtQcUDqpqbkZNO6/j19AaoA89b3uerKZvidQK2aDsgYrqDMWDtqlYU5PZ1
/S4rB5D1TVkhJh3yZSKgICCROFgUZbW2nDi6t02fPNI4V2tHRNladNQrqRNVe8Jnw5ssxuJDWGod
pMGQGK6ZVeV9njrPJGBFNyyV7XWMB/fGJHn4GBeeIq4Am5+sY3Xjeqi201AlPBlVeM3NagIzUGvm
CrkCpY5rhmtSp9yL72fhSwwfca9iR7vXFMnKINwI3Rhcad2FTpjvtFRLZmaTzNxf6iWuzw1z57lx
jPIRggkJtyRARWrF7sJSq6SQrlpVE3bHkpkowMSOUE/Yet1hpEDfjXkWvSBds07+DKAhMGp7fBK+
wRbCq9ElMtuW+VdjFBTCljvDaYyqstxkZjUHE94IEmRAlcnRfkoxmbVpLyzoGcq9M1gaQxZPUEYE
oeyH+z6KzBP4qmrP2hHRWUoybNDnrbxRsZcvkhCo3RC69ecRYZ7RAEhEl+Yd+aaLzVQTgTm1NbjQ
KVe30GnjI/Fx8ikyrPm1t+aClMJRme9pJfWTNpc8ypvGco9jrvytSOtfcaaGewS5zQZUyMw36KaP
fub1r+Rc5B8mCqwP1tglCz7Iyz40mCdA33CHOVond4jlzI3vjt02qZ3TWEFaKTwGpiBJAMH5pX0c
FSFwMIkzqDv8rAYHj0nLbOOGoA3Qk2sZpgqjXU2tCbzL4ipGQhgDZ82DhHX+mhTfaVONPUi6EBwI
n0sHwCJfMoR1NinteKx0v1zTSJsvgj39fafJ52SWj2mtuV+UDQ6JOeWgZ4E9Wq69MuuZnYJMxalA
nXjH2p+c77QN124SHXzRuudplAgTqr59nGGArG2pV+9Or5MoN87VlRnh/LlZOKuBoRG07BdjDe4l
Es9RTBSy0xA0uOTpkHA2+9GZPWD/sSOHrASzAYi7IOQxY7lD/S6PfVJHbwwbk19z4odX7dDcmT2x
7rYzqnU89NarSWW/tzTXJK1rHKc7Uy0hLJlD/9YxWOeOE7F+MRqGg5LqCqGZ7lW3LG2XsODO8Dff
NKVDm5R458IEEVIMOE/tzUW7Wo2i9VhLjNbj0IXe52ws2KL3SY8+xwMKtMFeOj0ILfTAu5T2W2/L
6uQ7IZKYqTM456CHqGtklEi1aPcw8Y1w/F0yJ54mQ2svbuTTvUY9HEnDsvF9tQkm0IIKN6hhVd9p
QN4usOMyLlGbWB1dvRNjWz4YjLMPkRa2K/7SaBWlWMNsNC+7rhHqTutoYdn5ee+ikvbXShNfkrox
7wzciIBCGpp2RFibRsIPIuI9OwN88c6+lWV3cDAoBdP5PUbjGDSLsEIo9Vzp8hGIHHspQ8ZEC9BB
JCxBtgmjpZ2ezP6tMWS10RwTCIlox3YfaaT8ZkNESF4SMjSXBu4am/1QZOtb7vf3lJ3NQ2OiUYkp
FJ8i1+AEiWV9HFN2IBJZRH62K5y+dlsO56rUoz0AYALTncLpdjgdqhtXboGUxh+vyVTJL41iJUIY
hZFT9gjvJXJCceQ3xKILfGZV2WwVGenbxbUINRJ3zak6GGVH5AiTpPXU6smdJoG/OGVZ7bpe9WvR
q+4jIBYkXl4F6d7NPnWt8TltyFmeeTzeke4e9YHTjvFVeJjey7YCYVzE5mqyVPvVsIZs0xtT/5hC
jNkwNEYFETH5QAzqofbRwkcmr+2F4U+3G31WcFMLZQg7rmWQC+Qjo8UHTh66jLXD2J8gr8Yruxw/
S13kn0DX9tto9LIvBUqtDakTfK+e9yn28l8lYRQHZLfuSnczbLA2/w94vR9MuAn2oBD0g57mYj0k
RPyh0DPuAPqk737qAcfMY23X2YSEiDbMb2mXk3hCuNe27tLmgOaaCGYc/XuLvJStq6i8NDY5u8yM
h1NSVOhocsXqsDM0ba1Pc7dSdTVsLLct3zt7TFb87k+4qolKnmJnPw4WCjX7PAskxyVaIjQavrmt
DPu90etbDwQ5KFnr0S3OO45oDYqZ9mokoJLjmPl9As06cHJ4P5leXdxa3lwdnWDbQGssAK3BYFlm
Bg8elswjKWjRtgSYFjRIBgInKU0YtwiR5zzahiI/W4WmPfgtcUK50/t7woeiNTFMNy0rr5NM4m1X
kCA+kxa8cvLp5g+9sc6SLN8hkK3W3VyXaxFV7BviHovpYKF+01zrXiPQM+Bsd5/Qjid7cg8rvHTG
r+QpaBv2LEWQFOBwzaS2eZBlRNGWVn8bUUi8J8XUIFjk8iMlZe+oobw5GiQlvwPCNdgLc9Kv+4Mq
sIOkSAWCKJm9Y0GYX57Yn6BLP/+3l/r3ein7711p93DCq/LHTurbj/zeSS3wQ/w6cNEJBrFQkdCt
fO+kTIHyxULAZKMhQciC8OT7GN75xcRVwM+5uqv/lln4Xd3ChJ4RBz5RJsMu6hf/PxnDM7r/sZtC
srJI0xh06yYzT7YFP066s7afs7H3k2uaMaTxCblcIPMyypx7P6yFuAmnke0OcAPRGWHos2qg4E4c
4gAhCKoL0gLOcBd22iKqzjrrgZOIAuCDzRY401cO/I+gHspsz+xDH69d3uhfCr0eGW9yOCTeShqx
xwneG1UEgZwtlTfsKl9EmyJu0mORlsZXC6UxFIK28T5ri4ZMOV50dDPRBFUVzbQXsDggc4W7aAYH
bgGAh1ubMBNkq9X3NDiSE4ZUHGkzphDas6trnz0iPRD0Qv4gC96FD0ecFDnN6Z3KRHJwuck+jcuo
itE4YhJZOvGDhEkM8qpS0xUeSOiv4dAWcmPVvGMm4nPHVKzJ6zXKduDb9IhQbpfYldH5nGBjfW7Z
k6cX21TamqBL9z7hRB8Bwyn27rkzcQijUset4Csf3LDeJdOja3co+/kmptdw4jjQqNnI81Jh9Ihs
KfQD9Az0XBO//iFxwvg0j0q9IqLkEe0IpR+i0ho2Pm7ccqUbKTA8t6N1YaVs1R8mSXUZwfKionCH
4qi1pY6TwoYyxrZ09sjmGN2eheiCyiaxjkGOq2K4PSmjHfktQvYjg/gGtIXkylqZDFjV2s9jtU70
npxjnZIIzmb81ZUILuIoyfZtIvrtGFnO2m6SHlBk7N6amUk/zo8sWptTR53mIFaaKhbTetEYN832
R8J5ClTVwmW9LqXtfBmheK7RMPUXpgQzsqapKmLWohMj521TavUdALt0Outlr7v1Eaf/6NUcv2Xr
sWlNC5amjIHL+iqyhpHBTDytCHQrmaKSPhWxQ9AXLerwMEPHEzBT9TwQc4YgP7pgjWrd+jbiu5qN
wX1Eok2Ejqspv35BvO7CjKlABk4xRWEgdWYxKyRBbrt2CO+peB6FEsF7DVq0aACHr9LczVye4hOQ
3MHGywRXQ1ECal5yN5TEUTphOb6ZxZKMm7UjSjI04dNBRUQzIGgxS0IRc0eP9xO6gmqPaC43go4c
L/CXEEu6PTFK7raMkuSaKEyRFF9DzPRUhgV3dui5IWakiaRmmS4Ajzqsh+FunhNSmExNQP6I+TbX
9bDwNPVSk3OQ0rNEVzw/SbuSPMTcs5oLxg+tre9k5vYIx6xo4ooT2rBKXYrzXHMTwuSqfNgOYZjT
5Ri6I9dF7o2vZtJSeyH3gIGit5hLunS+sYJ512a/5J4ClapWaOsm+9JVVsveoYmLbhv1U/WqCHoQ
gTf18dNMdYaMIaxlueMP8RfgaScegZNoeoQApKqDaSM3WDHuN51drsfmCIAntA5WVcuvwNue7R5d
upXY7fw4ZOZQ78csNir8dpNae7XG7LNt9fMMdvImypH7MRR+WmzSiNPM7tEsZ1OT7mZlecdUA3wO
kU1T6k4ZIzsxqy3nNa+U7TwvbDe5EYWU4nxX1Tai+1qbs7BuGlmUAIb6OF87fmqeKqf0N5aXav5G
S2r0EiJWxlM9A/bUrdzke85ElH6WjZu+pXqnPVsyHz5S2w6SBZwQ3GtCDWtE1NamMOhOD0j3xCq3
sABsgGJG8sR/IHq6Nib1AbvheooCx5tRC4tWs7HET8K1a7ROU84GCj0ZnEi0TwQ0ODLC4cVKYK81
EsVO2BUj4I3KLnpB8V734BtLIiKMCYbRMM4fBJcwPK5WMfH1S93cO97o3hybNVvUhdO6M2OQSMBU
9U05d+YGJA3BINBG1EMZtuKSFyYuUiYUhXEeZVWd5w4Fys5rKuu16dRrpNTgB52TYFQwEoYumLv0
DocFVMr+XJAUfZkno31Aj57SV/P8im6GwmaBGknk0zztC4sIQZu6E2JOeGxIA/EuwsuM7X/rqX+r
nnLBYvzdbPohrr78+j+HNn8rv/xQVf32g79XVTj9jWX67KBfcMzfmHm/V1ULBAAbKxKr7wiA7zWV
CaDawB3u/D+C7/9rKkOAaFlUEgyu/wNZA6j4H+spQTmHB1KgHUQ5jAj5J+VAg5lDFj65HBrVDfdM
XDE2otfaYEIrNolpv47FMJzJEgAE09eveWQvA00WdVVPTFkxx9m6ZghJl1GUiNz0FxwwEZOBvEm3
FZfjemZkfZCGy66cKLZtOhFb5rXupc6HLDCVcU1x57z5VnF2RnobbdyRORmuO2kTNjOyHCeuwQsY
cX/t9T65IFpjeevWKIvLqgl0jch2ZbN2TvT5VPn61QGwH/hyfFvuw8DOkEQJcn8xWn1tSexdF5z0
G7fyLq6ldmPi1isSRr76GTGLxvAQKhsqfNJvhZmdgdReRTqdkGgx+U21gMrnbaq7al0RHWjTq+WD
8Q7h5rWZ2i1NZc7TJbY+hI3YJ9JzglHH51u1pC2UGmm4nfWaDfmbqyN/1qPxQZfZefkEugLjMUid
r2ldaqsWhfDWyolAtQr0vf2iDyNU8CmyxodllbCCrxcdZO6/87T3d0Ys9lEEfxrS02HOMU9rY8sH
o+ss1pKjGfcmMYU4RRkCjbV4ja3syAbyTTbpWzXbF+x4lD2OaDeCNzSK5GvVTVfBA3A7Wd0Wviob
OZEdkarCZ2OViMCK2Z5Z8UGZMTmKCLbISsWRvkkyv1thOKxOXZ0AxNKWzzIu3pgukBK6IE86dNCY
qdtNLfgPCGC8jq1+7cxx18fzyfDQyWqDfqpd0l3YfH+1wKhsbCM5Z5k6mXw5e6+ivE0T3mElppc5
7OjkOydHGGhp66zlhYYEEUDsi/lOktrKaPhFiiZkGKmeCt1eq6kcVyXpCuuwSt5KHNKb3FTvXjWf
BjNKVmksk0vWuK+J0j97jXXvA2qD64JSnKyn2e7lvlHD00zsapLUiKqltSfRKqbW9VAHdzCu0Jyc
nGqKN+PI94l4ycKhzZWg5o4RvVkQ3tvqL2VkvPsMZYNCkTrTwaRm9vXUyP5JqPxrQTW4AlYMnLxQ
T1ZIPmGWEMZKxQQj19FYTOKdX3373I3SYbIuXqumTLdQ6i+1LVymAPwc75OVCnrK0XJeE1dOdOdc
jpqhLjWDx09pqPkrqH7TmkHPcLMcLrtcRSETOMagE1KLPTXfQLiqPRzawvEOatCgXwEl2KC3K8gJ
qSeCQvPhSP/Trkwtt947o/00DdK5M7ysXqh+VYI2XrIRSNd+0VhrMtPHt9CtoIKxT0HQkoqmfMnK
8KVQbELWs2j9xVdF6xSHF2JZPjGJHla4dlFVOxM5Osm67ia5YZIYY0TD7INmV0lo4VWXIsJoLrkW
X0sC4jfUSS+VxoyuRce5GXr7Dc6AfC9LMA8lxf6GCPHAc6c0qGff2RYMOSjrq/BqdMDg2fmg6k3N
9woYZ9A2BaX7QJuoTGNruVRU/BaLG5rLsGHRtFZox3Chuf1OmVx0U+a+uppDWEszHsJBftVGeRJO
dvzDQ+cvNFg/dcWc4j5oTTpsbn02lj/bisgPFNjTM1YPNLHI75tuKckvid1Q/BnOPyi+ftbCLa/m
80CzbAGgyfvZIobrsC+dCchSxK2+BiJH1rAVgwPnQP/79/Wzro1XWrRlrB8QBjJc+KnbH11XWWlY
V3uzy96QamTkyE2nFCT2ykIEwWh0nPTfap1/iZ360T8DB3V5TQ/wDkI/GFfu8ln/waIVWaUfey2B
vlNnx2hLhye8yflKs8R+1IgEXd5vnqPcbjnd/v7tWn9S0i2v7S94GLydgEF+2hVj/hpn5FHlvoX4
uU4Zsl8n9GLLcXGiBsz2uq/ex1ahgxrJYEiHlvsW/n4gY6Ko6d6icj71EaZAFB173y+wIJNDYnrj
aXQ4vtl51yvWPkFTpefSkdvCHh5UEb3odkxGkxKXntkAIcWVvyOgr/4YMYldYUKb1n//Tv/iEiKd
CZ+UgWrMNn8e45h54mO4FziKzHYrKqyW/nwtZrYx//A6f/WJYoJii4wZikvpp0/UHw0GJ95yrfq5
OLRKXSfGshs95xAu6VjWrZedu8gobvkwXd1OL26otSGlz9HXZuBcXkqVNKOAMEx1ijSEcP7YP2m+
c7HksCMsj5QLrODMJeBkN8qkqrfNaVdEZr3AHIB467J9KDP1ovDLogJPxBGjVIGuu6tOoDa+hgne
lzLLv6UEVjulpV/Dan7xsNnOXcvDu7b28WTv47hMyCucl+5XnVD95yuzn6/uhBANdYuxBaXxSdr4
VFyDGuvvP8i/OGFQSiyMYCBNJpO3H++KmeFuIzSr3M+j8a2cUJxsbK6dQBut/d+/FhX2j3pS7gJb
5zmFGtv17cW198c7UJpT4hJTX+7tbHiAaHosqn86ML/dST/aXH0XnaxA/WGYf4YFgagg8FzXAcX5
Q71tE2WuRDiT82q+I4+fdh3Ss8wUe18zL2Poxxu3zI+sqz+Q8f7ZQ/SAiGqQ6OlTaz+kPMRjn9Op
noqzYURfZ2eEsR4yPyKFmfEDyn62bHN7lyfOBnPcs9fxxw7i9YOYsFzhOB8D3LIAc/2m3prSjAMi
psxdr2pcI2by1Wb3ipA3Ow8qg2LMsALpFQWqMVL9QjcuYWGsaB4fqtIk7NmaT//wnfzFHct34YPc
5hwG7m3++KWUZg1ydCrKvZHTKAxxkaySrqeC1zLeMxo74Ll2irvMuxQIQ1dhKwm3MIp7hiMvHmMp
Fm8lo7RwHul4jWrdx/rrmNbW2iOUOiDV4RL2Lg6e0L7EvpmysOUkqqsR2186vRBS8j63epC4yaOy
qA7JfwROrKldFusvE4VYUIdxvbNyMr3q8SGynUWEyvUpag6+1hlGxivEIhRh7u9Me37xazn8pv3/
l4+Ov7hJeGYs/zMsVjM/y7DHqMFWOQ7lfvTKNSWOCtyRX0fAoAnr6B++EeDcf75PPJ7CHGsGGLk/
3ZONsCaL7IxyL8223BgODkkvTI8hTyrf4PsBJ8gYeaJBGkyOqTSlAozys5NRAPZV6CDnBEuNDK9h
4jqz3lmW8uXkfW4z4471zX3u4yOLfap9VVbW2qrb9yKdH1Q+nQp3eRhzmUVW9haOS5VKtF86EwDf
g+VVlbmiXN0MKCe3HV/pt/aSuam1RoFDTOQCQWEFvErrcdjWYd8F+dzFBwUj41sTFJYKI0mXkVLQ
j09JRyPpZVEPBpZWz57HJ9lFBGcIYjasAZ2gcW20BEM+1ZrBPC8pswkJCd6zgj8BNsYFWfcDqaOy
3Sy3UavsS+WOTw6DHIAPmcb9BO8ob6iW9DA9QxDz1izq2o3U7NcmtbnFurC58231DrZtPfZ8wPhI
zolFz+IrSnGRi9c0Hh5GiGgrq7LJhWVGPaBKLpplRcEN3HX5kaZ4V4Q8WZJo4MLk7nDG7oyS8VPc
juUxM+zLQGyMZcpptTRGqFjIuwPle/Ko7PNOvJoy+afnsfMXtze1jo0wasH+WT+n9uLWShtT2MW+
dad3jIcPCIEv1Bd8eDa39VJ/fWu1q843tp1Ppfftni/jbjuN7Rg0KT8GI4JkupLUULy43iAtF+xI
1KxIEyg3vuqnfW60Gg1ahu8vQn4MQzd6b7TcP9cSpvMMsWfDytDHr5dT5bvkEmmcMWk3vQwW5ZYu
rXqF3KRfqajLGEFTWUc0hjwPYwsbIeL3ZUTaP3UDJyhWXQIxaUn9Pj8Pff8gbDALVe6oDfJW8uDH
+QTv5glxNrQ1Q5uZg0/vTjvXW1l3Dy7dAWZk5zLwEKHJ7J8sWGhLNd+535+v/3Xl/4Mr3wJmyrX4
r21DT7+W5a9t++uvfxyv/f5T371Dxi8O5mNmZTjf+ct+H635+i+EGeCFN7EPUdF7nJ/fpZ/OL4zV
CI4QJh0MDApO8t+Ha5b4xV98Rj79lP0fx2EL908FKNJPZ0l2pwiFaPtzAepOEsbIaJcHbcgQd+8G
sqPTYUNozmgGLOqxzBuwOMa7zpymVdGiODJaQszcKHT3TSESbsAQSRu6S+PSNsJ5UpmebZxEL9dR
5ADIHyWj8shRrwUoFtQZlm29+VFpHMxah6/v2yMcsUhQj7hf+rLuDoPVRjucC9EaA32zMtjl405G
QzgB/AyI3hDgvHzVbu0YPXleegB7UnYXAjXeWynb4tCraN7qibPtWyw2ekdHPKRJdG9IACjllORP
aGzQBw2tAAzDlrd6jY2+2Zn4Co7AyLnXIc44n9nl1HGgCqaFjMmj6Fxhf3nO0s67UzxLHvpRmusy
d29IGPyzniI+8Qoo1xBQ0EhZGVkBbj8gbqDVDlNd7qRL4zYmMKgYGNyqukK7h5Nl6xAQG8zgeu9L
1z9GZba2K5VdAcNDhQlJY2JC5W3wH1VBT+zBo1zis8ZG6Ct9FoKQUdUe+nbW9qE2G0eRxdqRMqhG
J9iwnmJbgTRQr86NE7vxpvG0JayPNoFYM7ExUQbfRWFh7zBaFnAPyPSkFpxv9WC2Z5cIzoDZ3ZOj
CvU+Zb2zaUdUdaGbtbc5C/mLJiffOkAt18jrEHIlqfu5D9WqLqdPJJC2OyxR6b4foBcAtgpfBi+p
tmkaOl/YC2YTRaKZniOblXIOYiFeKdUVG6/A/5rEnrdvHSm3sLBIZtCX+B8sZrg1O4BZk/Q/e7Ic
v0bj5G/nxTK+asKi3HDfsGjn3Md2m9bPyEjSZzaA05tGt0dfNdv6WatIVvC0xR3K+jwOEj+uNzVI
+wAHJ0kNc+YdQ90p7y1jqM5AUZ5j5INdQJ/d7Ml5zW6qarSjxz743kQ3chJNgnurzgWrkMTQCnff
a2ChtxKMAlF4vcjQO/VqPLJO2aalyWZlVtLaxqL2ViYhobhsK7PYT72XEifrE/xJ8aSTMmdidLfQ
P5twhCJEntROgTLn4opFY+/bSAVi8q3P0jHfqrxxw7vGylV8QsP1wSF8+KFAWIR9yNAObdKL0Nzl
WOLZkA7+WPrvgPIaxunhNN/Pg2qvbW96xTtNezjfET+H5Ljrn20ksVeJS032GwzdTyJseYrK3tiQ
TOwfx8o18RmFLVEONWvVh1ppRQo5aRqifS3cTD6b+SiIjbb1jA3sGsR1Ba+vtb1WQzWQEtDGQcnn
Xgz1vA2dlOYflVeof5xj7NMrHafvhYBywl902zMbuWntybiVyu/DL2nIYM9GQBdwwhGeJTQa6L56
5Mq1UUJDoqC2BnWZrdSwIIv0zk8/EwU3aXuvHLD72FU+klru9UTa/QaJDFXMzm0ktQRYH/zSDAcn
V4qOTwaLc6cPQdmM6oohTXyZhNVlO4a/7Ddpdt1yPRCvRjFloO/YlHbGSyKNkuzulW48WYgqChh0
OWWrPtbJjrOP/V2XscYNcAWxk4SQnyJRTfyyugfvZlYObNgmtroTBHBbX1dk/0CDVW4EaLx07qHi
q60tiKHW9XwgtdvmM145Rjg9wUI2TxLQuAwyxKTIQgt/ZJxpOefSF80hS3zue2WHaxu9X0fHbrm7
3jDjHbEL3q4iVe5amvndjJjaDaRhV3cqXuJHMMtjdOlEjHPOc5e9JfLIdV/2rFBxMB49V+5sjQhx
7lW8z0bkJBsZVZa2BfKtP7p5nW4cswVKYY22FjhaWTLqJ4nNG1wqGKcZPmK7MafAtPwTUn8ryBuJ
TkyJiOa3m9tgnnsAF0U7T+/N1HzmGSUvC+13O7rLIhiDkxeYeqM/RrMRbgGses8AZ9qbYBnJw6HM
CQJw2/uq86CKaZN+HCCKvc+mYzPUMtatyxaDozPcF/xVr5lrJOsWJu7HAR1sBaXSrPep3aiTO7vz
mYbUC6JGsW0ap/RTjBPkSLIgBqZIbTutFKwm9DlddVaMvicdyEdMp3C+MuJJAY36uzYv6+fZrbrD
5Az9zpAl1BdA7ChFDJAEc8vmf8yJonSFT8ErlemdEosj3keItK7ByAT0d+pR+cIOTCOJgwhMxpXt
MzwDtmAbkfrRzuENYHtgy0Nun4g5GmfxalkNJLTB9us3mO3d2XBn49eBdc3W7lhzk0Bq7J22sT6Q
wldvTL+K1jVxKlsQqjV8yC6/ZPrYvPTch+dedvKKCcW/Y2paruYYPH4Wq2TXWPFwyUjkWAF+d/Yk
wX1qPJHcTUgHP4QkBF7C0PD5S1qHSqCYkf16MFyqwtIvrUKfsEq486926qqdbzryjaEZiBonAw8z
dzemnYq8pMJzDoXf+mheln0NQZ6fRxycQa0KHUBEpR9iPfpAd+OsjBKRNAh6SJLaZLFKzKSHmxX+
XBnqG4GR4mwniY49q4UcydMfZB2hNWvBQouG0+ieged3HsAXmIqBAPjpI+GEkascf9UwQl3NZGEl
C7WHsUmxTHIDPXOMiL9NJzPP8rip5dCtyXKy30zlUVOIOMX/qaecBBKDG6uswZli99GSqQe+DuIr
AbpPrUNi7e1b0frf+v4f63tW1X9f36u39sfa/ttPfLd2Wb/YOrcYQj3ne9rE7/U99fsvKBRNlxoZ
pDEF/h/re9Bu/CvTYbeOwQz63O/1vWn/4kEjp1cgO+43SNd/sEBHMLUMvv4wSWT0Ygt2+rh6+IUs
XuvHwRgaFm0gEwpqMLq9D4Mm3IDH9LunzPwyGxqGDA06lGKG+eCO3rmFB/zqDGnzWFfAs3TZHnvk
cMGSZ3cWVa8dptBywt1QpfGVskN7A42HmNCp9GYvvJBFIxVa1F7Je50sDtskozTQytxwD0Qae+aF
zadePbc5tl343tlcWTvgT//L3plsN45kW/aLEAt9MyUJdqL6zuUTLLnLhcbQGDoDDF9fG8qMqojI
92Jl1jhn7uEhkQQBs2v3nrOPlNcYXsyAgAmkLSSw4gcbKneTJKJw9wtJnAHA86nr2ucyrAeMMEFd
ldYZrI1vM7RMoiEOMtPt91np2vI8uDxo6FBqEXJomDm8RMA/SVU+B43Gw6HTnsJpYWyGTtBN5vDA
E0pkL8k1HllLgh5v8USJYIwr61eodgdQuXkv6iT8SP2COmyx+7lv4zU+QzH07tdtjWZIIXcDb6E/
CJpMV6HpLCvrKGLLLCw8bBN6mH6vMJCreGkYpuzCpjgSBg2rus5J9yprZzgWxhyC7Qm9N6089FhO
mh3zPn9McVbzZY3FdWvXzRGS1EvR4LMq8NRtrCqCTjalWNXbKs1e8zmnJNAIMUG7Xjdud5Vhd3rt
06oGRNTfOdWMdLFWEZyY1P85zMkEhXZ6W9AjbuEDMc90TuksXmYFKE1D4SHs2P2RAsKJnUSMj8SQ
9FTTRnWghn+h+95svIC0JwDPmObs+sDZ80Et+Ytf2p9NmQ9XS99Qi4n0hrIuwNo2vDVVf65UUx/F
gBsbJeAO6Zu96TVOHylNa98xhM/SqiG4WLxI08h3Y2c0sajUL6Tn/nXlL8ndFOErQ6VlUGiv7VQ4
YkKP4uAq19rMJBrZBRJJpTCdpVhKtu6EHTcZy+46HCY7DpgknnAN5mSxLd4GLiYnzlUei0lFHSpE
hD9CUNfnmSTWWLae8ZBK7WLQS39hk29uPYMU1yGfH9ERlgdTUqDXucyPtcDxRdiav8GqTpVTe+QT
oV8+sS5k+66zo31aee7Wy4zooPzpF3HH1WnIUHAkrB0bOoo5qWBz/qPh0Au+t64IpsbRAGatpwx0
SNKqSZvzFgM8malK8rf6fBPa85Pl1eaG2OsXo0xOsL2gwfe0Gr3BePXI1N44Yi7OWYuIxUDr8Ong
uvlODNS2sOjECmp1drIW1tmoTXGB0DVe+f7AEw+mp8UluhjIMHwmewqMJpHUQWhivC/UQlY6M3Ki
oMzxQVtqCh5LV8g7sINEvLcJ2gXJkHhPNyyME478PUFWY8Gexg4/mNaSHogutumqph1SOWfg1bix
sIzRxP05li1M30SpO6bJFmo0bos0UsgzScvTH61kUY3TwNVnvOk1U9lJT/h5uLVIvtO+OW9J8eBM
ANV1+LTalvSodErk3p/HMfvURR/xrE0Q+aHdtXK6oavdv/VU1sreZG4GOUVV5lVWRxXKHPSvWWvY
B2jkfDJBY08X/iHIGlaJmR5yY6b4Ehz0xWRqrdTM1olxdZUH2LD5xg6XbzPEmReyZ+ebsjAIahOv
9pKbQN7JH6/a4TwYrXtTmLbYdSVBBrWRfyR92O1yW+YvVVdgLIJekl/TilXYDqEs7BZYf3dwf58x
iAkMDpETXaRbNmcrwtMbOOqisIM9ILgyHoXbB+82EOZdKgiO5GTQFch5Mh5jvHzE2zf1vNelNq99
xNJQ/YYeXeEwoEvNGpQKOSQSw9Q0NXhqmdr692R/O/ukhUtstCVQO/BRWGjzONf9cbIQiBLVh+Oi
DZdww+C4vsfB/laP9KJdVUU/mRPcBxRB06YXAEqccPjm69XXYZpGbDvqhLgzxFhrOfA0LDkwh4S8
XRiDcaUhdOzD1UlSm8SxkAUAtgAeMIYUi/Ug1Dc5Jp/bxTDVtc4jVOp6BEFeYymZe3C6KrC/Mgng
9kXuTIFmE3pQFONGWt2BWAhGac5wHY2sWozfNHqiiDsRbvwJwShR4xNaeOIwHsYQFJsIGxE3qw2H
zxYhx5kPBtHgp85UyRZQB00sP6p+6tXSY67M33G1+VCWtwQGrt4f5v79E/Zp2Ichg4IWmuWOKIdT
ZETYnQ35ObfBM8T7Jl6Y9u7NXkKa0xFxCy6KkqyewXkhyzkbov1QYrkuh2TE+1kCU5m8lo5CUN8y
ezQx+vHF1qYu9tNqZ1pWY5OxWpxaCYAG63QO8pv2GuJbTecJCpZdCda71v++rFapmiqf48vw3W6E
uPJkAgVSEzyXOEAapC6sC/cAWRCr52oS4hPOQrSf5fI9lfxW8eXOQoecXCeNldiwb1j6RZT+gKE5
wRzkLJEIO9lmq8GLQFDF5g7TEbUskAfvU0btL3fIy33pUTCo2X2tYH8QfdjDpg/5VUuHlVliQPvs
RpdhTo++zmURxSqB24zsvOI+sht5Mr98aAJd24Q9bawSc8diCjISqNdrqEnNcwfnMc99/MnpzOBu
Rjw3+nn5w169b9XqghsBi+4LFegtHqV6z+CkujCCg4apF3erHP2jzxLNqMsPNlPEe5gyIWIzasMX
shCWO+HgPWA3jZi2Z8E411wwydtXgyjeeOzFcL1i1gkS9fhZx9SP8IVOfjlPWwYUKQL6crrzhqR4
g3X4CF942uIFvXHtpj8SZ5ECUssKiWAk4UJneeY+R54g8ctDm6+xWrhL4tucqIKUb1pNGEtXj2Pu
K/hFaWN/ePVcezvN97zaA5tbZS0o4Zc5OAazF36fRG++gS/5WchkuF1MxyhipTJ1LOTggMj2FZT2
Yq5ZWeWg8HZptGEqopHoedwRZvXQhpH3gF6mN7esmgYlhi3trQfG8rPvnJATdF+kfKfIcJqNDjr/
IKXl8cjUKBWOXR8t4xZPqb9DHv2Ivm/cIpe4kM9cfOsh3/6o0/ZcTlmC36KBLtimzgcIOO+xJkLp
J3ZgAwYmriKxMfJxPskv720usmLczZ6ef5qrS1d++XVX527C4nkNrrw8RLV/B9vgKoFmEsABt5v5
yLCm4Hb2VfCRpAGJIHYfAAv38legrO61NebeDkN7GXsYR5giywXuTRtUcTM4zUPnuF2+1VyKm1nY
IXOlpMFmPsgRI10XAuCkUYfzefVAp1ZX7JMAb/Taoool74v+iG8cCton1YGJb/7KaiZe2eLGb+U0
m4/0r5OjWQT5yfQmKt6k9c9tregJ5+hHwNYhdH1JbcigV8rQ9PWWrDsjNOCByEzYJjIvozM9OLXN
qtkSm9mtJQTy1CThDTv5gOHg1QyX8cNjeHoM+ya6aopiuHXTrHtuHK8TPH9NMeyc1t+JysP2TnXF
xLsbyEvg+NBPGMtZYbeckwgiXiLpMCcvpVZxXvA8XEWhW9EjXn33UxIu/rdUrJ58FZJcj3PIjXgQ
O5z7uiOJO3aF69MZEtmbCiZIsU0wPpZLrenxZLVxXdZz/kb7u94zHSD9tlrm8oRDnxCIsEjDjesS
9LnpV/yAmczJPU0ZQIEVyyvK5EeYX5Ac63b8Ua8gAyMLkDgOS3rVfaEOvqgHQ6WqJ+aRiCbMwD5M
Kx6hWEEJuqIX2qRtuZXGUvYbr5PefloBC4RbdN3OW5KKZlEuYlVY46Wql3Hj2kV9JCsnvbNJZNEP
YVB0ze2cZrO3i9LZbH2B/Yi0lfyjklmkV2jMaNskBVJu5mtwoAjayX1shn+ECuL6oFfXH4soI610
+oogLGfX2AI9tGLAF3W3c/qMdRSZ2Uzp5DvHIfO9V3KMkSKSgCiDYyd4Fn9EfpjsTFpm6SVXKm8B
IJpdgbwrnfDqjKDlhREwVsoIeL6owZDHEbDYw9wOnAUgQB0WDxOZGjTM26mTp457cjcOTn6RBVHP
iT0GnxUujJ9mLQgD6fJuAAxayadeREn+hlodoxXcp2tsDKsyalm8HSKW8FcTyvToj9jTAOJmxral
Lf6yFJMZ5z6rcxz1QER7upHvJoX11UTLd1NyPm4CaR4afu15sdvhXspcfstmt3qYJss7LzKftjbW
p52XWfDGrKxy4lQgUiA1mOqgXdlLApNPhxHoxnVb2vi8x+eeKjIe5jnagi8q4pS9juIc/sBsd0M8
lsHJkLXaNRzcH4Y0j/adMO13D1vJkfhvuSGdt92UDQbcIG+yQ546atc1azJJXvl8vX02/Sgj0B0w
Am6dOYs+MBveKt4JKnPT3krb1sfWKgH6jmN6QdYaEkeBbDLmvmn3Mpq9uCVtFfnpsiKEixylcFJl
oMrYxhMAwt97avpNEwXV0cgTB+8yO0k9+RCEwQr2W8M0NF5jx9k3iUsXKwqM28FZ9IOcsuM4i/J6
FmMNr6h2Oipwo4zJg81+Sem710mS5yy0bXpMGuhtomfhH2Wx1SWRvyDt8LUjYmbTmfQ9nfjoRs0p
vKU694/Cz4nDxoi0MfumOeemdReGUJz6vp9Jc18pCEFdwEiAEkth14Y3AqfNlt6giK0ycTdFGTlv
X51ukHLkhFR5Vr0Zsn+DZcGUhYa4SwiZuWmk+jBnNtYQVf9JV4DGLA6eaxN1GBGjpCsNxaH7EKQA
Bpfy3YucLFZ8Wxu7nr8R7XeVpeTNLS1UtfJbX6j1fhvNJiY5G3jb7Dixj7t0gw6RpPK8ZwIBuGRT
pUTyUjNb5nYNBy7jNTFkTPETXkAO1NwtfXCwTBFs7Y7eapmm4o7+g2nuRncew1gBWbzpB+rtwmSc
1K7tnzns5Slq2zIG/rUc0yI0f001R7RiKNSRmM9xNxmtjYUdQqmQ3c8hm4dzUMH+MkMRnOlr7bJM
y1MofVJJ0Fudod4pZoNZuk/z9gfnNUoxXSMKcZeiOtWjVGKbog19hQcBIVBN145TJS+UUk+50bbb
AOrwVeY7DIbnhcKxyWArLi3wndHodrUav0dWix1CO5ussF9qgyWvUJizpE/qGqll4SuurmpDXxuz
pxkqxhqJ97Q0grylRdhXtc4uuVG/DTLowaFnj52PK5aVdD9pqqM6lfDxGpvsNcKaHVW7Hz1giZ2Z
onqVRvUygwL9lLIyFmC5IR4suh4U37McsTD61UOoBwxdTVqQaybD5LsyR0Ewj1IIyiM9PbSgORrG
nUlC22mYpr3Xo7Oj+K8szjgzHIDRiR5qFixkY47H/KcAzTKC+84Ggyehin1TAKCvKSWXPJ056iQ7
vioZXAukQLfKp39NtomxcgAFBHffhgMTqxB9SzyambzBDBSe+AP/JOrw007tB7doWDzCnLg2aYqz
9thcQSv+TIRkNC4MkcYkmsAPCkiY8cr5vOSB4FG3Xjq2JFhnkHlGe+0FyjpFmg/+PLD8NRJroMpb
HbTI2txt2tssCf7ckROGP/IYqPY7xOgzMlj68bk0TyI1rpOop9YpiVKBc3GWFkSqyRFBHAi/PEuP
9h/wgX5LsjNQcU5x28RtL12q7ome+mDqzB2faA9RT33fugAFaMwEp9qF0hIYQ3bg7EIDcamM28l2
X/Gq9ldDYkCO7nw0rKVDJLgp0zhvKosgDg5nnTf2J3J4TToXQ0Mj3/uQ6C7vR8OkDZdAZMga/V2k
Fp2zQTt7Rp4YkgbnR+Ip63EKPYF8GeQLeudm+uX1gXpk7YOe4HvQD812PHctzSg8xegdDPe67EKD
Pkue23FnCnGM/PraHUqsrIvjYgDIp2iMA3TBwaYwM3GG9Li1CK7Zi1zL995qmrdVcAyq3ViWn2Al
GMhbWhjvDWbg28AsjWPBhtcBFQrmYyiK7oIB3N6iOimyHZDGc0duWOxUWv+gzuLRSiHUw+0Pb5vJ
SXAKZuNPI/c/0w7S0CbKjP7c0oa+X2Y3YRgbTPVW5ubE3N0b72w7c5ebbg7xKExB1RzoglYoJAbm
KfBr/L3V5Faw80U+76Sdw2rMFy2h/aCScs3EuLEQb6qtx2ZwzBP1pFPvmQrBe2yTFLdnq4cjz4GO
/a63OFyFL1MIfhmKqf2YmqXc9plzG1p98l7NGF6KKgm3EAaQFJQc0o2rCQOmc2EA12/aQWVX1BDD
vAdP3uCqyv3x7NasPxt/MGVxSBN0kzSJ8NxO9MKoaSrf2tQcbijvpkaCzvab7qWTbnvVtmEIC6ch
WwN9LT0+LQusK6wL5DbOkXMz5Z75hBXb8ndhOy6vI6rfDY9xQtOIBjVDvJpMDGeUsOJXYBCD8AnK
SVvnsEak7HZsWDg0yQ6jYtKIXC17INCoG9ZKiFXmrRJ+8N3tspBHeyyGowxx/sPmbilaQxcsSGqU
CgW9Mz96oxxoPplC4sbR5JJhwIleSmI4P7wM9NCuTpN03tFT0w9aoPPdOjxo8dKuQJmg5+A922zR
lKCV3ClHfk6U1zEjgnttUNYvmFzPUvjDzpMj4O88ae/nVNmvRUEFDp2SBXvpPOuubxss4mWrwofe
69hPWcuauxLe16uB8+3swDEYNxXTtetOG8MrOZDmjVlN+mBL5K8cXnvnHmVB8BAx4ycBykqiK8PI
7B+6zMV56EP1aNurEnO2R57SpmZZ3VReCMck7DMYZl6PhoO0JHaskWkuMUwdItMbOvwrPCDqnBKP
h629/eBPHt90VeDV7dJiN4v+bkl75oOM6GxIBiQgmkuQngs0ENu6zPRniWv2LbF6CrXFZ3xIp6ND
UByRNZoWefs6+l6znwx23bRx2cy4pXYcdvLYTPviIA2SyQgGq666ZA5OajKHmDgVcZFWTfQZQ2rz
0qCrfYZUOwDjnIlwyozJ3fodGSQOqKt7KVp5g547PFbQ+OJeLfKAyc3dOlJwlxgdas8Q+8E3urcG
m9gkn0zqu0vXtNN+HKj+aWcGdGmM7EFnhdqGUYqPmVnGNpV9dT0O0U9DWShDrAp+V+YNO0Mv1jU6
dnI1C9TfeeucmswK7zALEh+pPYXWNkB3DV0N6hunjpGKcUu/uTv3wHqvQfCIS+hHP+pwtmKV4Kkp
Qv2e6grvtAvAIgkL2opWUtEr6/QL5LlkHwDCiKXNANvgRj9kisQV1Wn7JPqGnk0jam3TaFt2mTNb
O4RBwWbwUBEb5tK95ej7txwVliNQB6TwgdWPd2HQ0Ae2orLc1Z6tyofZy1AlZWw2hScaQT9LiYsR
tLvJY3xDj9Wi0miyvSXQOEfkVXpi4b+byX3vzPp2Gmr6wEq8RL39zUlZrBFMxDmq5R2dkveoRjIC
ejHfTcSy7XqjNHckHTZ72xLucXIJDUsLklsBspI876Eihc6XpsstpC/UEkX7Kvu2uPPTEVWYjae8
HQ4K6vF3Y2YMYgMAckyQyeZChTyjTj5IxUY9h+N7FRXt/TS299BGS70xm5Ct3VoPgllp3CJK1NvE
tLNTi+f8gqXrwzWC8foLnNCx/uN0W9APuzj+hskbmVrPFyXljCe0/S+U9N+i2SNjWdEz/7ss9Xl4
z/40tf7HD/xzag308zfTM/FWm7BEbWfNdv59am25v5k+bjaAEV8cHUbTf7B8QzG18Cr933G1E6zB
UaZD3tSKIv0P/d5fmPo/DKtJWsNghmXgH5Nq/Oh/HlY35BtSR0F7jhgrLjQyJqn1HjY1OqzKdU5i
hh5IDzaVV4xl+g9L6/wwI7y7023dHTuIeaitCQIuxjGKq9yaHzKtvTtW2R7lX1POkIhxIE7myFmn
qnw3mR6MQM81R5dIYYV/plKKKjoTFXgWPwWJzmmyTIzbqGJGcW66gk4jej2rCT8dGeh8PE4Y5mZ1
SoMRSMIpgeZV4KcNW/UoFRf50aiRx8XSzWw3TouJVBWupUtFIijKTF6WbV4yI0wrG6lKSvQKuvDK
rbCXl/lNUlUZbTwWsu1U+8lTXdmwOQB3HPlQmGHxr/+YsLs8hYVLgQDTokCaCNpjpku5gD/ZZ00y
vkcWzK2urxBs5tSmqNTJWokapUtCbOYlsOtzAV/HI3AGghGs5GkyVXtlUyTX1ppGM99kqVDGicQZ
msNCGKl+NLQ1LvTKU1Gskxbp2cHBhr8zAuAym6E9ksOYWKt8hgG6mB9AjOXdtYQzg2iXLdfGpHT6
r5Dl30FB4EizkX787yvCyy/SZuvhT4vCP37mn4sCqAfk4dg7Wfa/sirQo/9zUQgcAMYu8CzftfxV
js4r/b4oeL/xH3BI2P9P4P47B8L+DUwXJlV2H9TseLr/ExbEX1x3LEioxqKAd4iKflXN/HlpCC0Y
UXkT4rAP6bBVWRZusFM4mz9ck//Bqbz6Lf+wAIGzsDB++qx8OKS4Euu//8Fdm4zQ5B2Ep8exqAG/
KzOipQUU53s9qPmu8gNA9kQqdLtmIT7j7197/b7+5cWhkWJh47IFXOw/v3jml+XskL16TN2oEVQw
PVnms8XrIpt9oORs3lPWJihVNRNXhI/5r9kYwMH6ne/sys6CCUsm8GHgoL91WqMluxbFYB8W66mn
JNUHN7iMe4qEa5TxyUPll9Pu/+NDkDsYWatXhxvpL1fQ7FwJ63hh7LmwiswuuQaVUbknjoT6uXVI
+UgsEVCVkZpKJNQs3zjKhujd05XYlUczHCR7vmvo29IaWvID+RYLSGEBNB1fD0PeyXqq8hFjD1Ab
FERVnR/+/jOwnf3L90Crk0QV9Cy0yv9iJu1dZxx1MEVHhjPTrjMRI8L/0YegKT7//pXW/eyvtxub
sIPeywu9f3Ff0Bvo11FndFROauLobvny/LA9d4PT3pse1q2/f72/PERft3dECoqLwGQdUa934B9u
b9si5x36Kq+X5t09Kwoy2pFAhr9/lf/h+uEnwfdHGyykuvjL9Ys6lgsU1SHGvyk/oG/6lE6UH0Uf
Pv39C60Sur9eP8+2TBamdV34l0WhSFHeTdyDR/zF5WkJejvOIu4ZrfnidAW8ia6838O1G8QDUqrw
Iksko25hJQ+I5vFXeV5732mf+ARfeT1d4RxxtwJrfEzX+BxiufQh5958VinQ762zmC7a62Jauo2b
8iKzdO2YaJ782Nt+/zr5S378+w/phOv1+tNdgkQNd60X2AGnnMijJPvjt7bGN4Af6ebjBNOUJnCD
1iSFVkvzWuwb0dNGcprPueyMVcUNak0HxbGs1iwxVBJ7mrYkmIkctctQYyuDM/Zqwf278SLtfg+m
qnploB931mQ/WvAvEJ9OJVMLjmNPtimifUb8BWz2bH7O0hrDS5rrA/h0q1Dpd5YzcfQHz7tNRxtP
Yd5QgSF3ozpJOAEj+z4CNyMT28urmArIOvROEz51iVecCoNOYm21GdSRNPmZsfHgMBKYjiWSLVla
U7tRS+BeqpBAcpWAf5XK5jCLZ3brjz5z+cGCDy6gub8MIPlKDHsbWn3GLWJm/aGBnzOQyAamMoNz
8BKXs3zhZzZwZOnvOHO6917mmE9y7KtXEjHFp7SyBu2hGWF2iroMnvHUrIVjnc3fAkJ5dkFld0cv
ispToYv5srSRf+sTmL0bwryONk6VT7c08dsfNPa9d7PtYzh2xTZLxC+DOeI1SkgDvGlOFE/QnalA
ede+1eLUiVZ0SX3TJDKBO1TTzEk7+sUGwXv0nS7r9dw1ZSG3DkZ64BLAma3KefMyf9qAGYFNKKrq
Aq9NPxulGDipEi9zY41ruLxWmR2b7C80vybnAKMlPI3w0d47WN53BdcJIQulKOSi3nkS7h78PneE
KuH7tI7z3uDv3IvMNjDZzuS0rWe9Z1pTI+doOK8qIaSDGUt6nPS4zzLn3k6qMWZtU6ehRNagjXkI
N11mfyBlrgCiWPJed+V1nngZPCCF7yItwRcy2tqg9R63nUmzyIY5Z6Yuc5loTh9R210nqf89m7V5
zIbBfEisRcdF578yz0HIVNf0b/tiaxR+9DJ4Sbh3ug4FyjxOsPlFtGnUMm8r0yFTsWiNzaAQegb0
MVii4PRZ1Rcgt5mvDLILDgxc6q3GgcUAKNO8mTnZQ9N0t5lwmgYOYUvwIZtRsGMbIs8xDX2MxVOO
PjH17UPX98aVtzTNZTDQsXdoCN4L+iykovQBEUUaGwvO+ULeLkwLWaZ6q73S2nJPyHfKo+Xk5jFo
eFx8A9m6IEmUTv4Y29DZkYdkQF+GLNniaqh/dspNvxWEOH74Qa+/OaqbzhWNR+LUI1J0U+leOtMg
pQWPyRb8lTqNKFFvDc0Mbyw1cokNaoDeOtV5FCztzmr9Kq7MtCLbYZmfXWXWe2yS2ckUYIsRk7nb
QqOyjBzsqpbf1pecWRidQzqPHoyfS1GPpDByKmu/Rgk7vxn1wfDxVrW9KfZJofSnGrqpuTF1Wu4S
plKEh2v0ig1aN2ljd81Tdg5rIczJNkcZMyOyYz5xdw58QHZTBwvQzkx9tQxm/4oIyr21eVBvdE4r
fScSoJwI7hr1iyCvCYSmSSOHyKafGXPzPRE1wctXBFCNafHJMKkvGKdmQE4nqhNFyQfLzuT0FxFH
lJS4FjejRSjabPrioUzd9ltROGInzGXa5QZ1oeFJfSiF5ZwmtxX0yqPxpRn68tTSS/xYjMwk8NFl
7en4kK2k/PLLhlwkpNBHrR1542RLcg56nNR6ckiFINuZ1HiYf5isFJ+cUIrbNVp3542OHbfDAkgV
M8vtEkgmaAzD+Rk7KskrYqCwHTuHdyLGyDwoNfCRDGwHm4H8APCpDIhiJ8q8W4uFgQl0T+NnsBcE
IX65jYIxOVOreFAr/QhxZ9mdlc/9ajn0LqmB1UuuOtb1xm7PEAzxkVDb2Mwcq/ZAOIN3xWjfeNC8
QLYDokl5kaA22HmgNb9PicdUCl7M8GAGkj8hb33oTLvddUFmfUPtTKojUZ9MhJpDX9h0BKkXnStv
NmGysyhY3ejcgLpmGoEa91QJ29+qsiBxx0myuKkxNNLpQmI95IDVJi9Gkn3XJTX4V4aR6tBJpbMD
lz8QPzs3bLMLB+IWoqZmzoaWD4z8UHXmrnNIir1EaEIkK6vuEUmHtpvdoOqcq+W/B9Z/r4XlOX/P
LnzJuzSv8/c/n1i/fuj3E6v3m+36/B4sDqu/YgVa/PPEGpKSEwQuZiigAVTWa+jf7+bq6DcOpLgh
aFv5PtUjjojfzdWEpzuAldZ6MrRtLL7/yYk1sP7FXM3LM0DjV/Iu8HP85UAXKr9pGp1anFlRRYJ+
a+Azm5HHY6dbcnWdGLPRd12H3mp3SrNn1rp06xJJdpVn6XjjNESBswI4ey9IrCTuoAjdZZruV+fX
5VNTkztN7m54apPhKWEXXj1F7btJK7/Ld+hj0ue+M+oXe6BDJquJfUbZRvfhJXVzhQguurh69t5r
k4AbpjfIDBxJ1bdZTw8vg98Yv8QczM9seNX8C0d6FBTnHIjnDSOtuAO+QUpfcWUWQoYHXyX1E2wJ
6IAMlUZQTQNdMlbpxngyXA/rLGYwFUs0VZuAwnXTVyt1LbCd+cbqZvRvIgu/l6LEsNhzguWykHV1
BBWUEglkoXMQ/tqL43geJ+FE/ozVgqolvPWHWy31FRsGkX/h4u68zhXfugLmiGclLmUeS2KJIvWF
6Cy9umExcbr9ilqQlbxDkm0GZKRl7okunvHGss0WDonpOTP7DO82iP9Nu6g2eJF9rgbGezP02KVb
0K3NRWK2+yRakUxUk4N92+bO0u4NoOZPHQa395G+H6PDciJiM3XDC6dO62lmhMpVZrFLmQ5G1lMk
aNVstM3RNs0HNtNSrrK4wSk5jXTNgLXecdB6BEPPkNKRNRKAkNMjE6sMLSnhBm0t9hNy4ysLrfja
KuSPpVXwvSaoIvwN2BP+P51V/IznwH27yJqztx0tVbX1BuQXBWDWfPuF7B2Uy4GozHBO7tLZi14Q
NBNDB2EkeqGgxDPfharB1Yyr9gn/OB+jGhUYkKAZlwPxRDCAyYh6l3PZ9gd3CBmzdXO/XEWo7vic
lcUhIbVo5RbuwgcK1ouCotAtrgaxlNkZvTFvYMJpmTLlhmMCXTqRb2TRkJqRJorMCg9yAWGKMyim
HZMZ375JVDkl+34A8HkapMqZhqAy/CgKcDwkHPB3FnN+bUY1Wx5KJIntlhAC1auNj2KJwOxwDRGc
/fXDh/QWSGGzBVewm9aY0qWl+eP6tDJmqm3FQJMOENMVY+sakg+RjLZ5F+aKlOb1Ff1gFPNeGT5b
cYnRftOqlbVeTGnyMiFhCreO62EjcidbLQcKVffdpA4PtzhGmyvf7ORbC4pbbZDTd0ccwZ57nxZ0
tYWzErZzJwf+kvij42xbG9LjJnVKPpam8rtkKCNfmaRp4+XrXYZ0idNjqV3cJDApeLOe9LnLDGyq
N1FHKDmZHj0W0t5f4wbx1rTL4wCwj+NluX6lNgp8rkmxSlIHHa35LH1zpbuGv0c6x8rMFLAHttVw
+BaNwQ3BQTI/BFPJChUUbXd0K9PS+7yV5Se6PO7IwjfWe8padaWpZ4TVoUF3DNjZquZxm0kxb+dA
DNNuiChPephVD/gm5ztVaPkG23BEYteMVsh9WhNEGbmRvAwhJxLpESPq2UaL8ssGazlWNepn3UFK
880guSoiHb3wZaI1dCi2HqBLDsum7Hr5xty8Z3RY2POj4i4+FGg19wuYW1xpqUftPvQ/CwNgJuId
HosyKufH0Ec5HNgdN7bdgVHepFyAi0+fgE+HWt7BZQYnfTtMXensvKhGssIlY/4wc9THFxEFP1tZ
0BKz6iZ0YkYSkKPtXhBamBbuyanX66shTb50QcAKMuIr5gWr6RYVohuT5mVzmhxgeIF0ZABe0YI7
OfMav1WGWbYFvpfe18zvHkoF/5rIThIJyRjI7GeGksEe5qP+5QaVc06g0B4LFVofpRd8Id7mYE8i
WnFpEcb8ctp5eoJSqU+ywokEHh07Q248g57tXjjb9/+HvTNZjhtJt/SrXOs9yuCYsehNTIxgBClO
okRtYExRwjw5RsfT9+dQ5e0UK1vquuuyMsvKQSQiAIcP/3/Od3YV2DKETWHARlYgKIbNX1wEh1n+
3VwdzKBU+yo2l2+A4XPeAGLPzoE7+SQnZj6OKuhx9gspTshxyJhtkYj7goMqHFqaBe7OnSa9g5x7
Nn5ptPgXN25vpSfLb5CDEme/BBxZN7Nq1TXt7+CWItSDKA1r3lOqtOWWLIROXAr6tO09p9/kRH2X
ainueYwr4w5HYHMDPBKvmTFEd9UomU2Uj5fLaIYHOux0aSdInX3Y4VPCAGNfmpwe6Meosetnkm/l
I5SDu8Qd2wdlYeqf4k5wShX+Y+XTWyUlqQ8+tDDMjhDkONXEifk5tqb57ETB0xJb3qehU9ZVTZ4U
7vmpqkPej4YwVdTM+sWfjnMT0hdqrLuui3H/oPB19wgezctUL4gOo7Y373Hn1GhJoX4XmRQgnGw5
I17sAVyQ2IuuOYmS6UuEJ7rYom11s4NZYhc5ktpXkKQqnGLPJrveBrPZP1kYKF9SC7EVS6Ftfhgy
B/EFx8nT6JEWjUAh+zKzvJ/JgBtue8v8olUxNw3VadQo09x4hOVF/aXzQLKPFCUfFZyzs5ozcZ8L
r/8+kiP2RYVx3b5ikS/Ge8ICophzxJKf4iJHRtTKz5ZaovskEdj6wINhnhK0lHthb4uOLY3vEXLV
2cYHKXtv31kQlDEIlN+Anc2XdkmRZ7gKBWPajy8wR6JdDDj9LmxC9wO1AdKK8iqB+GRiXryFC5Hf
mBH2yl2CZOeeLF135zvDtOd2wcxwvPkamUP1hQo0xr26+RgNjXmdm/K5Z0ncI0h0NWzlRVjxKZuy
7mIo1/k8TfT3eeeURN/VCfg6ZFp0MUc4m+LDzeBLoCKUfHLfgtVnCo7Xft3MJCYkvcM3DDjfJQ4Z
pXGD65zFz7j1HIaKmSaXcgogkBbiU4TMZBMXHpoXi0M6JSStOkOuIGhEMhcCe0lmjnWxHeKC4BwL
1xFhCGRGiFvzBpG4fR/EjncXIMV/rKWDWFxWMFQJou63+TIfDL8nR0qio8SL8NEzWxQOEoWCsOdm
i1bJJfy4LB+x8EEgzNh+HCzyHqDOFuDxG+3PREEC0wDNZXIHV9g+5DhZnkwpx7PqbB1fzQ+OhP7d
MAONx3QmuGvXl+G93ZvjVVMNCf9oOc3ZLpf2IXHBxGxV1U37oa5gHiRTLa4HMnHvMetwkIu8E/gJ
gsVyKrhmVwCVg6b/nAwJBRPir+k5EXsYz2P8ccRNhIxpxpzSdva115TzcTYxnDhhEsC38XgOZB9P
YDxKaKBo7AcApSpPyFzHvJhvm9ltDwiUWB0LoHQb7BzFVYNr6RlFNVQxsuceo6z2D93cRhkFFjEd
g6xLd+RAgSnBOmUSB/uQ4IvrNjJLnN2CSfkMRtqhQJOo4TxLB22QZc32gZ+Zb3wMvMHWZ755y9rB
+06pcwJy7bnLMQn74mvj++0xlGG0L/TWqik7uQEjSu0IsVW9pULs7RHcNqinR4xeQzDcTI2wdpEq
iDgbyT3Pfd8651k53i5d0NgfWd/AkVbgdMdtGc7lXdan9rbL3foBv1nsPaA7J6/JNUJtXMrYFlST
80cuLDM+IGFErzqa7AXBIOQfYhbZeCzmCyLObo9bN5xxaAWIY9gG3FhF0zDzKjv+jJoYZ8ViU7wl
H+IlJtrmYYmmrKEUnhzafFAXt3Pd27ZKWkmhrDXIQXERitVFf55Fq66CKp3vhNt3T8lUopRrz02w
zLs2tNoPJameXwnqplbSt/JajG50JePgmY3adKAksxt96dxTssI95455nh/IdAeGTRwqzO00XIjO
mhyJQp1eATq30vKWh8E2mz/mvCwIHwutAuc6ZvWNDU4HYBBgnRwPMwZAzdsxQsg7BuV9IDxN6g5/
ILahIK0qCD3yB6+nNJjcTtEMwDWx/YcasE+zIn6qFfdjV+ZrP4XNzeyykYMu3g6nfEJfBxha5YTB
ZwlaOOh55qe05O/ktJGI/u9q9EEHl+68BNWKV+fTkmAydmwZxP5dbDXtHavfqS9ZQaff9DTe971A
+Wt4GXmzdJQd532TMMa1qKyYfa0vpXOabE6ibppYT4vyu7dQit929N63pAhpsUUAq9X2TVgs7rvG
V5GMCpVGVx8rWE0XHNYEcTMxv+ZGD3DHqoevSWE6zm08BoN9kvRTI8LGiTosbzBSFcx8vNh7ap2O
/FDKUdyWhrc019KCWTImfbgf85oNoLNUEdu20kOEHJt2yIHe6ZdHyzMiYOBzLo/pMLDNxM/yWrvj
1D92xCh0gHSFmJAzexAcviycJ3INyObAFkeuzV4/5ixCqCONT9+mYVqo7o0hU30PlrF6tEmT07HS
2rFAM7N5MUvyBi8xZyNDz50mByyKffeL0Q3dISQ7u7sK4loeFX9QktDdCO9KJgLuYCeC+mU9C5de
K25/3ch633yk8eh6DpUaHO4mxRndzPtL8zFnh0y3Ab20S9WXk2YKTIHCasFx7dcX0r/or/2y9UKh
B/aC2odtvR9dgeQE1xZcCMsIj7gJMIvRkuH58O45r10acLaO65lDCMSd37Xx//XqNHQDqHogPFDf
anbfX79mgyjGR16OJTFrrCdvAg2atqli/1jIY01cMmkGvc8hwJhKjm2//uoCkca77x4AFDFBoAvf
BoTz7iZPmWtEBCIRmitwKxHMEAOyIk/MeqqyjmMz4ge+/OgoQhAw4dJgkdWgHWyxX6A7mMWPFu1/
wDK/A8sgr+fZ/L/1OJ9euwSGYf9z3B3Tov6xP3V6xN0xSboU7TVzWito/ixwCuLudGFRVz2Z7P5U
46DrMy0CfJlfedUIYPnv2qbj/sN1OOUQ52ChnxFc5t8Ay/w8n9IBYHiLUCDUgypj8Zr9PMjJhWsH
phMs/2NRLlvW1+GeZO3eI0C27b785cbc/Xhz/ws3y12dVn33v//Xz2/UejGQxZqvHzrgsN9P3rE7
O4XPPvg+MTj6V05tPal+DJ8h+OqXSU954GGc13DM5PF/cGmbUnEQeCD337/MqZGLuccBeA9wkkuH
REHvRzVBe2L7J55sBMnASkxJya2LFmokv778z+uk/ua+5VCiDkImFCoz7+YSy07jiiaUfV8QMcsW
zWCPsjX7gaUnrfXlZl3u+fU1rZ+nkH9elKHioPX0mEXerZVVU0VD3ITWvWtVTBuw104WlJX2gNor
fG56VBROanPxQQwsJUk/9G8etdGrwvC4Dy39tauGqt187AwZR/tlYdL1AospDzeMKc5jE2G+TZea
OkcHcxLDCdQb+zdaF62K+L+rwI+vsRbeaQ+AdXTeqVCCKbCH2U+seyqWjJUBvv5c6Jpc0DHLEdxS
n+ec9tyv7x7Ng3+9KiByGgi8GPz/zy8GhUQ/m10p7jMxiicclKDP/Cr5bmYzRgixzA+u04hbGAuU
hVVCFfrX1//XF9Nno4NXDdYh4+b9uzKGYUV45CwIOPXmh1S/MFixyE8ef7uev1tr1jtsCxZbChZc
8F/CCyLl95VpDuLeQbb1QJucGjRhuJS2I9vu3kh+dF5H09Nvp0mVufEnXhYDghvpmLhw//0vbkPL
hTbuu5BM3o1ayzHqsDUjGuz0CtutQyp7fcENY46btMp/J3H6u5dECx55L/mfz8by5+csmsxMDXu0
7mWHiwNDIXXitXI7+GZ9Bs5C4W6kRtq2KaM8LBa2jCMyhi1QDAOYfrbUZ8Mb54eY+m5M7q4VXHoa
9nvR06tJkpGuaaUy3jKMKVBDQ0IDi8Ovb9mau/LuFfEtnh9iLZdUzlV49JcdWVbE0RAAdrqPoNO2
h4Xd+HEdN3NfNi9Sks9BoCDznuIGlpie9gTjsnXrVNgeCRNg+5DmDtqcZVrwR4rI7N4Cac4Pv/6c
fzML+qi72E+xb+SY8u5NNvDpjORQi3uXnAfK9LpALhoK5MKMxFOL8PE3O1W9gv70FnvUetakFbSt
4NveX7HsYyszc9XdT1T2zrRH3FdiRPVfbErbg2nPd9L2KHhHacTO3hyzBP4iCJbHdNC8T7tS/Ztd
Iw3ITGYA0+AlSG3aP44eE+stIvmQxQtQY3jpRp9iurCDi2GkwKGwrhCsRwPn17fxxw77r8+bxZpD
By1J4VgIG9/3I5cgD322ovE9wZHomxq1yF3mG9kHiLF46Cp4HRP5kiNsBsulfQ9Fs4ySQ0jUaLYh
jsI2t4oK5NbKrHGP3MM/jGsgJhI7MpQrEePIBbpKcQnsGSUQM5mMjxhm435n+nUtKYjqjE26ppRx
TMvkzcg6AjhZAnQWpwYaOUFT3Q86pTPoyuyCFqS+HTNqwXDSJEEFxDGRXK38/IOoVfHVzDuxgyyG
g4sa4dLw+cbkTQFK9657lVS7tGf9vqbnWtqoCbLmrl0DRHHFE0fj6FxR108CdGa+bzTPQ1Vk086O
fP8xJMEBsUZGdC/lNIoh6NVjsjpDL6SIhwol+AMyPH7jquz6/LhAoYRDNwyOPFmtSjmvczq5WPHA
drsZo2sTZd+jmkY6mT4le3lPMAkZqZnbVy7YFQvIdZnETXPnx2WBKT10kmgXZDgf4mRg2c0ZIz5V
EtIka1h2LWT4eM/WINz7oqdNRF/TfQVgxTahCpht2ALqdm/DKtClih/jaF0ku8hGC0x+EE3Nmfqc
f8HDnQ+szAJHVkNjekCbcY0albBXVIXtBfkaEbCxWvNgm3QOTqjXktuRLLWvCOI8+h0ocShEZnJH
Sl58Ky1HHiT5WLg5OKua5vJZdEF6bYHn2BEniA+vr2uOf7QG/dCKDlgb6i9QO93P4GHdTes1yRsD
Zf4WD1Gm28ZxtTMHHg8qur6iONO44PD9ccvAWtVchDHMAKXgeG7I13pzWlzyM86H5slwgzQ/j1VA
N+W6qgiMePJHIk5DYDgk2Pm70i8DIql6Qjm1ZdRxw8ji/wU6KyIViC42CDZLFfCwkoAHETafjYTC
Nx83z/BD0Wkog4Nh6s3P4s4P0HG405WOmDNjpLHM9obz2gYT3R34PI2iZBUVH2ej44mpiL4uBlu6
YKMf6paZ7p6lilFJZq5gMXUq1OhbtOLNSwhHGtcGkqhiQ3nV2JqmDHZTODG8qpjOPVBXpuzUgQTk
07zcLspzXiM6JoSZm+xX+4LeGeo/8sWiJXymjNi9dVR8TpQ2mXgc5iHfKTHNSHLSKF4mtCLL0ubX
q1Y3eDlx1Ge2ddHz4BHglKuyPudVbj21hDPxh+qCuko/Mj8znVHMLJywjHdC9PybeNECMQjB4vZH
JxEFDr3FwOXmSIuVetMXNn+CIkR2i2OUKYZzdXCJ2zK8hH49P/wzaXYVW+k5kj1ccInQ153X5mJU
B91bG+pbufaku27gb9dPS2uD9hmiITTlbDutzeCm6q5d9yJ5gVH+A006GqwxRZ2BOgxxCuwMlW7F
gzgK96toYEg5bthFZhHGgDg96WetL9a7R2Vx7wWS0xToIjZZlEZj9wZEcqavyN+hG6c4QwsbeUE+
uq8Io8M9JqjurSlYbdswbl+yvGT3O6edelg3CkveVuoavoP3as3s77Ou4NG2fJjZCrI32gC0xlIU
0ScQ5HhfE15pr44A5QL8qy8MI54dJXc273XLwtNR6+kiPpGZmWzC67oNkUbkzQsERFZzlaMJ2UdW
yC69W+iA0yUEaNV2kk8OqZIdFHo4RSvFkJSY1g0OPAMaUgvt9R+HH1uvySoLEXcSFuQAzII9Rr51
AzHgZnIVPenSdV4TH0n2FcsOHxBFJVWtwKimbI8pNvqDSDwuXq2vkEAfTPccDxPbIFYewpSn+8CZ
urci7HhGTRSwueMfQ3iOcl85LnNbrY8qOV6oK6EQFDAN2CePJ31bdbZ/4uvUZ8BS3gNsKHBmRlLw
aeniySNtRXELf5J9OaDSWxMYFHQyAiXlHqLXfOfQ+R5umik2ElyzRBKSZkMS7wZVNg1bCl58mIiQ
6k0PF4W/iiB8nsfUf8pylMv7vjXTK9j3jJG1IpWUE/d0xjfMEUBPAoRrzQ8qJUx7W0DkvhBebp9a
IsjOjacvX07IBVZVQdGL5iXD3n+mYyaPbPfbYxvZPNXU6oiFZiHnPkxsQcMqjZ6NRM13s4q9V7BR
vK/kihHVkIKL3MUub7yUHZ9kHYkOHTnQNylTgCvYo+9/CEmcuI27u3COrOkU1PoBZS2Bhwerjtpj
KSl/pgCf8KBzHO0IfuzZFFkBjMGNBT79UZlUOu0sQ95Bh58kmoxjiDMHAqkQZWeyF7AZb5jnQ0TK
aagFFQ2795bO4d36DVmJ2CN3EFfRwaCPXA+8y2Q0LwvV5acRQfpTytRtbiaOtE+olcUTfnseS693
aQsx9sWPHeO6bKrFZEQ1hYFCJVhVHG5DnIuFojobLJTJw8BJRt81xIJziKBXFMsOaTwvvce3yNPI
eW1gEtlkdFK1pkHJa7UogKO+vdgHKGwoEtwuZjpKc14ui3Q6Mhk76QIrYcgD1Mf295CkkWfvJ8LN
jyp1UfO4hMC4D7OcgB/QM0EaY0jTff2nYiVFeFPN1H/p0DqnvK0hoBLmMRWwUz1+Gn+A1T6iUZ3Y
sUfowLckj4rbNFvnvtnKjKs6FkzybEVifSSHJUEwRMmYWPQN+DEX6YP7mFnMC3pilbHPirOOXXz/
LGtz38jj7KfqD5xG0f06Ph3IKlcZhYCrsWqd/MYfAoZIYJJC6rj5eJ3ECqz2jwEBQSv43viAiLaU
0OXRyMjiLjReH9WqeFpHhTfnutRtRYL+JsYe0VbiNnN1tSHvjLTe0kQSpFq6q5ppIRfJby2KEGR7
oe9J9Rf6UVYFGEHarTPx3xQbIbnj7CluhcNXYMiJJ2Tz9bQTRcyb5UctKwxKNHhFDYNmyGpmezsV
H7BkLPec1BnUpiEQYCHikMd1BnTynnJqHfncbNghevkGdE+aCIQrikEsQDBzY1sRAD/2TAp1LMfo
0Br0VvcVLi1i1waCevZ2q7guPNn5oVQOR4KGo9pzOKNRiV3c37g5Rjz/k+X0xg6L5wzFib3Q8jiK
IJ2P/TBWyQeh4z1OFdPorTRHPoUb9Fr/lGLa35kiWuRT7w5sQmIjD59NHTtQEenA9/XD6c4B2/I4
BHP5wbLdr4kRGdscjsrRLVpQlZKZfcrj7HsMoXDj69hQG/Juvh1rmxd4RlMHCZ4VSaVAcHpKniE7
FOU955niPqcND7R2YTpfGUNmH8wqUOMmbmv63ONcntKmyW5spxNiy6pZnjjZz0etViF2rmkqyJB4
W8K5YL/gWTOTIZvMaCM7C2bhPHe9ed3qyf8a6hiFSHTH7KkGh1xaqwDxb9QWVRiqbMO2LRDWPMaZ
xeORZcNf21Bwk2x3me+oABL7bE/yiEGBeakd2eOUekvXJsH8kMc9Ozxc8ttBW4zXg3JOh+E82SGv
api0tDJMycdDlUKxCajktEPIwyed18UkSpi3Fzet8281e0xWF+QHe0Q/9gmdTPQckYwWw/fRk51J
qCsRnhkSadkzp9XejGqJehrtMtSClzSM6Zk1obhdtXnC6Ls3a4EkDeOO5hPDyT5UnsX6Cb2E0VrG
zFYLlMOnkStv13kzzHImR2Sz9n51TiMfYFJvojC4lBKwG6J8ylfT7DQvOYjJTd0z70kEabd9weBJ
IzBPRu0ePM3CJooBmt2Ws11ytGAifHNGz+zAgQ68cb3OWHHzNrwYP3YYbX0etCquBDzknHwf+eWJ
A9vc62wvGqQghq8Qzw+HwrGgsOL2xEeTL+IJ0jAlOzdkVqLOwy3xM4NlA54lJ4m1X+XR5XtKqFgD
r0Ss1wDrupVLzGL0Y8vsmuV3j74zXFzo/wcMM36w91RvHbhy8kS6yfyRAN/lkoBj+ojEId91vCHM
zpx2lgPKSg018kogasppjDtpgHEByRNWwd6W9ny0ELJ9HRrbfcvCYfkGgGsEfD13bLcnesHsqywq
F515EWzKrgqKK581tl3ifIkAyrQEJLf7tsY44SLguiX9O9jFmZd+Kps+fvTY48/boSRlJe9c80oF
rroN7Sb6mBhI2utW8Zvcyky7LXSrML5bKoMTKw22SSAdNcH7ynD0Xtaywn86PL/r8NBYoFPxiw7P
t67/r79Vsf/4yT9V7D42ac/zqO+vLAYtVf9TxW6RHEZ2AF2Ptddi/aXTYxIuYAq8nATK2zQnqHf+
qWL3/4Hp2tOuSNreFgWJf6fT4wU/F8OQ1tse0AfHJcIMIDUt+59LnbFyUHFmcUK+tj+c66BiK1NZ
TXe2FbhMUmPY+AIsEw/0y9H2xuRbgJ7fFVrgkicSEGxEdOZB9qF8pJYAAs0u2DaS4QRsGcSMvWpm
EL21h2FV0sxaVEM7xZeHIRsirSdx0N0QiFa4Gyd3IbmHGIBcLdFpIw72QQ6lXyoozXEZxB9F1YWc
YlwZbUMv+xxO07NYtT/EFqmPSz9SqqWHfkhHw9z1Wi0Ua90QrTokRLNWE7GgIyxajKh9cIlHuvAj
otlJMgiuiEW4T6Mm63bJnE1HiVLuZplUtZm1fmnRSqZMa5rw4dkHRKfJHaE+RHiHi/7mSG27Pd2U
dJdqdRRp2eidkkmVj3ECCBcxfIMIhv/sm2irWJ8+1gjQdIjOeBM4Cvcz0hyjNetdjNos3kBW7h9z
1KN3EJTt+2gVctWrqKtWg6amBsayIyUpJEN8JOyLaX3jofQD3MkttDtEbE5N0ohlkIQSzTYIqrw5
UpakGoC+TAzJB+hsxJRYynSKnT/innTcCThkES8O5jZ2NXSPvZ7w5qXfRGV/JFaq/+h0GK42TbqI
vTFaEhqkQgAnu8rlebjDZQmsY49MLtV6uUEr53BtPUcVOTzhJD+qXDnbUJnVFwmS9FokiIFKFSQY
XBVkod7dFVkcP3ROZZO35NfFTZCVpKqvQr6wKBN/05S1hym180ArG5Ems44vkYyse0W69N6Nvfmi
luZbv8oFK7V4+6hNmTPR7F3PrCsy8+wtIdzzBcsw9QyBcHCo0FEIu/9MEhv8yt7PT8kqV5xW6eK8
yhgJiuu+mFM7fIdWSyOmbNyzRhU85h4Br4ZbDeiVutbb9mPJLZuaUt6gHf/CajvcGo0F63wyvzlV
+YV41rrbwpttT6PWXRZagQmxQ3S7UqrgBcvI8LQYQ635gAXyFIzCcNy1mNNchZ2RV1cFKTfT9AUx
f23uhOJotu+MtsPlqtWhxH9Ze9cnco3j52jej1pHmmtFadNSSd7OQoG8RXA6ueJl6cIXUw6YHyk7
St+EkxJ6KdUaB0eivALpiCJRy1gxXz7FUfPN5HigwGAidpVa9uoW7Ks+EI9B0QqR8DZLPOsYM+c8
8BvwhQCaJUQwPQdeOJ1mInrYNxOVwKIXd5N1063C2yCaZYzJrXkpV2Gu1BpdaXaHTKt2R63flVrJ
q1ZNr1b3Dsh8UdElp3yV/loLEWfHIRJliOpNZWdEiFm+Tzt8FZvZrN2bzrWjvW8DnuTEK/Zt00On
8uEAisYLPjmyVO6mX86V6RvHuO+SqzxgeQegbRzciO1taKrpUDkZpa+5yD/POC52ZdZO5yD1qeoR
86FboGx2AKlucpm590ldQlb2wER60Fy2wYjTNGtLXHY5PKga1dDVSNb0dhRlfDON7sQdyJaF7ofp
nlwcFjeodY3nKUa2WhDqnce7sugaioVxzUbZsMtD1pw9NX8mqczb1WygT/MSLXuXP3UuXLO+EYXd
0m5yjFkSRddalMYHOm2nnHofM5Vs723YZ0+QDAgX89iZJC5Q461qFkW+HPjrbVjkOfEhIcy22Z/O
mLDgM8gRV0+QsdsfknlD41MeqOatsRy3xRKr71RRgORRgD8kbuwUUG2bAUNO95VIgXbn+QnyyMSr
xK7GC3oC8lVQworkJS2GLywsBH71xXislnbiLQUau2z6Zpqwkpdp/9WqWG32vuN3F6eMwsMYi8eY
1sjRNohyoDLabGUVZFeFb5QbVHjHDjrrRrDA7iuSYoiJMsajJSvzZCpMllGYJydvcua9bgCfvR6f
KNqM4NA1sLAGX4TnufJTCnXFQ+SRhuF3sX/FZh0MM+EX3wdqT5peHqB1b5h7JzEWlM2tlnKPKDkT
xoQAmDpsT9Rbo54tHe7hqJukidkOmhi88oIcYLWQYOtaqbiGGREdpqE9z2XZ7uGxd2+Ix4k5KZuJ
9kCBJ8LG8LwMTnKSS/hHgED3FLuSamk87Id8+gOw0rA3qZjtIdh+rIVMToHs4iP0IZs46uB2BJaA
u96+tUsLrPIwuvew8cqDNLrbWGUPg9kZ91OS3c3c1+toJqBRmsUt3PPlMHt5yNKYxi5+2rHzDu6C
pNLJCQBFTTn0HNFn9dHJqcdNA/f1oR3S2LumsEjBTXVmXO+xKAm5ASsEYpmajiIo0ZlqZe7BDS/m
PolCDsMQP0Pj89QRaLBLcUksmuKnXRt5RXr3nIuiIGEUlZ06kpjx6PrSy3bLuLCV6Qi+o51BuQtI
Ac4OK6PSRhIYrgJFWIO7MYel/WDVlpHsmkwun2wSBT6VtTlf+8DqzkNbdVetMogpHEt/JlkMOiLt
nnxi6i8q7gECwaPCjE+fixkzyA3vVcEW52wxZNdYEAZ7AzkJbOwyECavo11sG/MqR/ODAp791lqD
cdXBUrvrVNAepqAVWNtB/G3Kiuk1p+ZFvJ9C2kC6WfzsqIgknUxzIBuKJjhxbLCZcnHGnbnAY5tw
zUwbVjcMtjW0lrNsBujOvSWhZNFGGzBAs3KZB7djbdsEKiGRsvPBGy85B23VCaJZl6AbBwiyyJKL
JDdgUbQeG78I0i2tAif8IFzD67d1v7TpIXepONdBSLsxsQeg73FrkquSJWI3Z2Z2HySyfaB4PHW0
11S6rRFFEhoRcYJFZXFcRDKjys7n0dyYSvroGclh/VQQdL6LulBcyiwoNUF5Vp8XO3UOYP2vbDIv
2k1KbixdoWqi+0ftbtvVBIvEKciBjZF2AE5no7x1lD7EsgMCxF4S13tyUsf8FEWJRhqaUbKNB3I4
DkT+VFiK8t7cprLvPzN5L3ubm3TGwvcHhEfQ+T5HzA1PFPFtkWvILEni0LP7IVMbObjWtu/RjW4d
Lyk/VG2HrN/LE5JH3OSmcafmEE5lf5kG3z15SdCQJWEH7n1XyCEn8bIqrhwdjBny0K6DoUOgXVSO
epujIPkSsuf+aCnPP0cOoZA6e9O/dCZbs10Uizi8KU3X3lrK/9yXdvdJ4b7G4e46ZB9iC7dm1zxJ
Wqhy22WZ92I3Dq1gNN8oVhFbsJZY4U0BKOKbZUQ4YNpUvDKfptfpZAhKCI73eSRAWBFsW/rRwWjT
BCSGSRhKjKUaVE9vP6DbtveuN1Wbmv7tnuZaeIWGfNi7kJGpqYzTLV7r6aEDnktw14Qc3AXYW+dN
8qraaW43Vl07B5HWyMwa0aCotcZ+W+qsFzvq273hJd7BGk3/DeHSfEGStNwG7dI8NhOakS3zeUZq
kSBapTKLz7EwixgnRRZe49GNrrHkmNdmE6FzYryezTb27u2ln7aT2dQni8Lx3lg0Qd53mr2qfMHe
3/T2rhvhOcPekzM1l9Vh8hr3KiuM6jSbmCqasJieapxfdAnlvm/a7EMa063OtKg+0/J6JomReHoc
FrUPlLsbmflsjWhLtDQ/1yJ9ter1cy3dr7WIP1/l/FAu90VJ7Fqsxf7Jqvv3VwuANgOMfT29eatD
oNFmgXH1DUzaQvCf8///F3HNWwUUvzj/p93XGn5C9ZOD/cdP/fPsH3j/WGViHPwB0gYgx/777B9a
/6Cg5SGpcwg3waPMf/pT5Ql0EV2zEyAJcSz85YiP/nn2d6x/cET30TMgf9ayQeffOvu/k8Fo1pAL
2sPBdQ8R/D2OEWFikhOs5P1oNskSFJkr4CwuSlH17CWtz78USP5G6alLCX8VqOgLUgxB56l1N554
p6rK+daN1ZTu2XatYCdGICCLVq95RcAwZ+X5jdDn59IG8i19PcfjfiGvBCHwTlkUZh5HGuSyZ79O
vNdMtxbXZlXn4mb+9Vd7L2LlUjxqJIEuiDdMCO++miT+Ix5y4Zxz3YNPSe04Eq9KadLDCX3bg8F+
9vOMeqVu1P760n/zLRlJSIhBjSGjfV/AmVpmDtOQzrmzkKVVAR6fDcdQCty0z36HGBPv5aN8UUYg
+Sxs4pFzvBcZzXVBnWhOnfNUI+alBUxHglwRk2bY2PsstBUynOSaNHjanUrSJKcGWtO2nIsUWQMb
9t8IWv/161MLCzwPIRdcB1wBP9evMpHQ544j5xxMHKq3qzHZRE579T+8Fn5OhNcMYQbOuwEVU/qB
8qycs91N6Akco3vjbD0/DLqt9uunqgfMz+8KKEZEca7rmwyt90rPlG4c5efBOY9R8v2H0dlCsPfr
i/zdvWMSgrzIxZil3o1ahG2O31uFc17AJp+zYKSZGXicQAS9t9+pnYW+O++/ko2l18Lmwi0M3j2p
ILLFuBjCPmdWSnNtFVCCdKH7trqzgzanI+opXlItOFVJTz7lGNm/sY/8zQjGnc20Z+pXVTcZfh4w
kYVRJfJy5zwHvXVt5xWVu1a3RhqjY4TS+Cz3eW7Rq1PLgJJ5fXlx1adXzCC/U6D/3RNwHBv7un7S
aOB//jB5EXpzSRLYuYPv8bD2qVa4A53McP/vP2wcRgEKWpYW6/2ImpuAFrvf2ufU5faGK9XCKDRx
N9B2/19f7OepnukbXF9o+qHDysJR+f3FGkIui7ZtjGtw3nQIDYN6TmUjdFlWkz9wseA3Y1n8PAXr
SwIk9DX1hdEMnlB/pL/IXZt8gYso/PDa5Ch+Be2BRl8nO7i0k4FWugO1y36ebiAHHlQFMeyAEvXg
2Tcq2nk4h9vjojHD6wzyQ+qhFtQUmygxIGWkWpbx65sEfeanVwLHh+czmzIQsXQAuvHePX64u5kz
c4C77gqzBNYNq6pOPeMQiy4fNrVZKjTFNAtljRc/a5S3F/yye4m4YnXo03nG6MrcG7lx/7aA5nyb
rZyh+6OrbaFhTHZ0hlBhuII2L0nt6IDWpmfhgW0wM35MaiWNj6VdYgW2AFpYWfvSa9UqdmH7Wmbc
wA22fXVH6C5aImwr4TNJjwbguzBqxVF0Lr+aXFhoXGWYkNdSSIKDNjEeeu+qqFquoQUqXpegzWp1
ZK8zOqDOqFbCPklqRkjj0EJFs9cvVwYtN+961eZ2fVyiw5OiSq45nfZvqEjbF7+hQXFdCm27ooJ7
Z1i9AbEDv1P6RaiQR+YvtseBbUIf8txC/3qp+tx7zYkBpzlATfpViRCB3Gqi8kaEWyUyqa/NElnH
sfXbB+n1JRZ92t5+GjvjxurC0SV7gnRBCgAIDAwaA2c0DWh+I2QK9uzMDwVy4WflWOnVKpBfpeNr
hxqgF/cnhHnwgLF/ebZGpGVNqOUAK/xazLJ7y8vY0qhH3IZLF2F+D5QkMb1R/CmSDuxTGFX8llK3
3Zee++ZQmcEuoldUUmqCA0kBhU2H5v+wd2ZNamNJFP4rjn6H0L5MRE/EALW4Vi/l9vJCyAWWBEIS
WpDg1893BXSXoKra3ZeYUUyMul/sKgvpkjczb+bJc4JsJka9kJpY27ZoVAeWATKRGrh9FYjEpMHo
N+A7BSqMD3PQtDU0Az1gQw1Aahki7zmiamp6NqIdoJhms5TyRwLN0RBWPdu6alrJPfAtqD8aKyDi
Wi0GQCC5nKPgVBAXrQT1PCzYX/tni42j3gU9gK+jtbkAkgGgD+QClBDEG2jraJirsY4tr2j5/pYz
n88IYwFtLIXN+l2qOsSigmq80CslLsNzadLfT3WY1jY2RcahGgLhXiVL07NA0zKyE2duxOFPzT76
+ka73KBjZo803zK+xatV/OAgJ3KLBkU0olKeqAMwAarD0VPJrsIogew7ElDCPKprqHY2SCAp+dgC
nbMJq4FigYsd2OZsfedA9oucSIDuyWLuukOKUpTUaWcxtL5ZP8yh0GVyPUhTCASEVjw2iYIQh/b3
QEZQ55iNywWAgaz44Rib5C1VovLOtUy0syBQgD28nOOZhhuB6uKUymR1wcDHF/gos/w8N9fWI8ze
yNzBEXwD1Dnzz8UgR4VIcsrMPvxyyHiXyZ1LmwL9rk0efPMFAtdOCqrnHKYvwCGOr9V1YS8vnLyy
vqYgbDjMI+AJNXpypRsLqBbqyth8YxR5zllY2wxzSprZyGHUZwihXvxtRneqQLUJyPdcyewLkYxS
wanBPI/EiMHZkhxwsAJ9db5wYD/AMYEChBTxQ0n16i3jLOnbWRbk52uzXE8RfKmQLA9776GhWXwJ
5ytjGFFeGKRxOAebhvwx5QPPLgz2B0C30VhDJaJcZer5gmP8LHN64M8ALNP2HMPjOM8QeaLIDP4U
igPR8jAHGbVdPxHffFrdkOk6l/DkrM1RHK6g2kSgDKBw5I5H8CNQK2WMeojoWTDaJGtaN4uk/ITM
CcIwqzg/L+lXgRRTHiMkD7+4UagNQletz/MesmllxHO442Lxnqi0QY0c935jGctqkPoK36jNFMIN
+IP4HSNf6TvG6zDqnkVG5jWwwZ42Y0vkAtp5lqQFEsFWLWAkdBHB0OFti4mfKTikZOOqD2tlg8kq
BUjWzC6ZOXFKij5nUAuiylkkSwUMOVDczRDof4JECYDZBvFir5lbLWi9gMUoTQQWkZWDPSyLxN3U
OkXpvJnDY1KCxEyQ7/dqzlE5YquLkUXj9GGVGmz9MjBRiK8N5sIa8GmaYrai5iHax2B1vmrJ0ief
C0rGYyAYTAR3b54uvlEndNIf63RlCGhxQdEDGqyzeGZUU2ZSlj66QD3zM3h+FHYDN7+EcJQacVz7
IR0zdRZ8z1eFNwNWdWYaoe8Px9Ck5F8QlCl7H8NNCpO+owWUuUHLDC0kYs6CqloiwW5tztdOnH5i
kgGZJdc2qk/0lBcfgCj+0CLkm2GzvYdoFeCKFdnRUHOz8syAnGXiF4E/2YRh9dEvbb45dvzsbAku
ywWKaCMltArC+XqwjHL7yjKBgozqCmGYYc6cOCW0kirYZeHWyrWxTNa3y5zimbWpw94gW6B+PLD4
Fmb03ECZQl9Vx2e1WiCpl2XGPSxX0f0SVpcPi9BZDrNEpY2yQmCPQqz+PXGt1XVhpZTlzLEWIpnu
6OGQHj1aRuWmgjpoGeEu3LGJFpljXDGu8H2M5szHqvDnzNGVym1GKf/bvLLm/jCD5oJYCcHHAAyb
f+cCmrnN6HVd9dzKRcV25eeeFlbpNVPr7lkMucG1aik95i6KfJFBGrkOIR+KS+RjVE0bD0ID8QQk
fmP9wUJQ8nIV6xuUXIPxjbIuN++LAOFXd+VXX8uoWNKzyHMjvKrDujaHTsKMDSQaiDzfWTUAtws3
KHO0jOPezczeJJ8QHkBQtDeHDEpUepU5uCinuquI8D/U1TK/LdN0dQH31/qaQekFCoRuMKb7qHK8
CHBuFwhcqyGQ8hSwtb+yV+99bUVVOZ6NYYnMcXlf53Whg0KIzJs61HCjoADcYrhMV3E10lAmHtOI
TbTbwl6jMc8EleqcOZFt4BBVlN81qxyfu70lknIp+C7DWEKzGVkwX5V2+CFHH/NTqa7z3xxovM5W
NeIYiMSAioRGHo0sYG/o3M9s+HkrGymw8SaYMKBDHCoUeNbHvRWiigZL9W614ZwSR4ArYK8Zh/fM
h9WflKzq3ZphQaco1Jf6udPTM9g30tg8X+a2iZSwFrr5RYnt/gCoVH9OHb14rMyxPamswgrPFYDe
+RDwK6jLWRLZ2WDsgNvbiPL/KAuYZrq0i/SHGaBbms8YKxhswry40qsaPaokiZegKcLlemAwgjac
E53vexG4cE2xxgWypuTs/maNyDPDO3YwMEs45a7nJQrUPcNefQnAqzNW429m9+DCbGUwppN7H6PU
U4BUqXsMDut8a9AmqGhoplVUl7/VUIgi+djk6//HQv0pFooq2ZOjzcgrvDdbGtA7bzH99ZfPzAcx
7d6uhDb/ZlcJRQgFSRoO/xZjs5QaBJ5ph4JSVZUfCcw2zNYQeHBC3hdCTcQnFA34k0EVD7YFTnz7
QqjSp6ZnM/DmML7NeVb7K4XQdq2FUqRiUmuBzEHVDKbrdXFIf3JyHJeVGprjZXVXLiZ+HqGD9P3J
ajxT+GSxnlQ+jj/g4Gia1Xq0SGs+wJnhOGHYLl0vXN2FLiDtyesf1Zys/6iy8FkUVqiuAGc2XCgB
DisKa6imI5M0GWaTiLM3qSk8gIqFqL2jzZfmt3xW+84jqjFOwVxXquW9Ddw2JvMJV0wALv3FhMku
x/YB1xiB4toX48wXYMS4nIYkvOHipsyMHJIvhUjzNsrd2ThDnQa2Zng5kvHDelmcU+Axr3Lap+9m
oHFCDhDjZVwM6duAgtUz+Hi1ldWjH1itdBe+q2ixDOYfIezxVwzf0Yezyc8Shx5nCKYS8ulSu8o4
rH1aM+N9HY2XpS0opaPqfIHn0xfXdmHORiZaXneOOjerb5ByW9C8+QtoDel8DuEuQZLH6Nnp5npW
oGf4sYLy0IjP9JU/dpk9gzi5qMcXNgfXfFsa/p/xGrsXEZv6rOmMvC+n2frDNCfO5nsSCfHThsDh
Ifl7v/T6jXbe5Bk/hKPYepq3k19/Yb+jhCMKi62+TPNgzVO/ep/IK8KinOCvDKXPwB/UREJmK0qQ
NNj+PSB/o68iEqPAN4yD4Wo+6skSvbQIr7/fdjVf/53Wsz8mZVyIbwEQf6vDhIf6ubc/uMMfL6+7
fZNltAVZUnPp7TVwYRmBY8ASRcnm2n7gf34NvAlBZUSikIWPxTN2oPDgcnagO2BpqX/TZdsuBZ/S
NgdwuA6CPSiy/ZcM4U8XgWAlvQh833TIdCiexUWYbS+C1kc2yTGBCXdyEYSZSi+CTavWYNdj9s1F
CD9cBGaEKNhiIqx393aD+ZN+4dCgnjgGo68RwSHdf8EQVLevgdZU6LV1dBFEgV1yN4DXpwBtM9W5
NQRM69AQ6L2rguCuo4ugScdHdB9pPWqQvjCwLS66wK1FwBJgYLORhRO9da6OLoXQkZO0B2xeBACU
NLdLcRQiNEi5CJc08Lq6CPL24PQZYKHjb+5SgsMQgT3YXLQwO5ssYMKSluD0dfw/VD28Y2s3aKST
toZrpOW52y2dDBHKNnY91v/wp8nvGf1fSZxF7sjR0kDucbvvDw1BU/umyUAT47Zd3Q3SIcJQ+xwX
+cZF1iSuo1yBQEoHmlyhq8mCwiNL7wYI4Zhf2+VLIgQcbQp4/cgbwedwddYetrmMzKaw4GoEgWUy
N7C9DpZCeEfmJpBJ7WyI2AZwmUXAMwCpARh2dKTm+MDgH621ru4GUzo2iIIC1U3wlPA8ievIJWh9
F6+pkkd01C9q8gdJC1UmC8AqAMjmOigsEBMYeLUMkKZdtQRV2hJ0ZJFdDQ5kzknPLoIKUyu+AhRW
t/2ikNuSDBEC/gzODFa/7aY4DBGqKL+4QKYFFLCTGdMui5Hzi4xV4xBEs0JcWFg7TuokC5DPwtzX
0UUQwmeSlmD2GSMRWePW5o8WgQgpalDAEru6CLvgJWMJVl8X4uvK7pTw3CLABsBYgLld8O7VmHT5
tNHui6kDCCp3lYVnYoTmUuQGZ77fLp30DGJ4QXJTYA8UnnlXBIWb68AzsCksfkbY7OqmEDS8kovg
9E2ILCgv7wpJvGrbPaqMvIj/cB8799lFe0AAUnYpGO7RTcZIGPxp3vTQPziUqIkSiiKauuLqbBIl
f8JW+owIMcCzcxKi09O2Cvoy/BjF+65uDUM6aHKmoJwGYH/fp+P7bi8CBoOtMNi0XfDuxYud45IJ
mgI3AmcXgzBbH3lYcCKHZICNwhyyG+Lq6vFq10CUWQreFNp+Rxyw9q96aA+KAU2O0tlm5a6BKLMI
SGZY8NRx1n5hEZQ+4wp0L9Su9iR2u1VmEbAEIR1BZrBdhCP3qNHJE/UGp7MxQr7gRCYJXTx2sKtA
HnoGTUPumRlFoGVNaO6ee9yVh2Uswe6D3UKtxdqVoo8WgUiKlAvesdPpEyg/6fRJJIpMRrvqrgR3
VIcknhpoiXPK7Ko9yJ8pRIwwwTbtm9eH6TRnCiYeHdR2uuoefxbf9AqOgVK0xagLjboX3KPS54cM
DRMrxdXVnOEIdPuXgW706zTUDcF07MLlUaQAfMswM7uiqzmkmM+VPGPqlGRJnMARv5BDcrKCCEEM
QXfUMwhIsuQiUJdWiZbUpg+OESqEkpwygPztUuyOroEmnzI4fTyfMIVtn/74WMluABcJ6HxrKJ31
kdLmIHrYKI5xdNz3bw+sguxJCKKZJNMdtQdduuKCd3RhP6WHvWvcHkZLgB3UGATjRVcbt2ImQtIx
mJwVGIznRbfR8qhBQa2Fsj2Qjq5uB6GDKLkIet9lCoQZ/O0aHNbemFihg2ErlGI7uwjSGbROvw6m
IvA9LxSk6d8a8GYAnO9qsmDIxwgXsLOmgQnf+YTDcCma2KIO092MSRBGSW4HpiDANJIS7EpNh2kj
2wE6d6Z/Orsb5A2hwcBCw7jfDUfBgSKL0CCGCqijEVLwE0kbgiAao4byMrTJYnQPYcbdqburSyEf
IogAlJkBeb5UalGhdMMeGLrr6iLIt+sov9qoCyv7IsuRdwQNTX2BHndnQ8S2YyRTdHP6DItaVGBf
wjk1Zy0hhr71xN2rPApFZ0nPYNOBUwD1oVPQXEfdKc5SgltQt7ef1b1FOEHLVukD40JOdJ8sEHUO
WzKgpcmXBOyDq6uRYoc4kdkUlOMdcgLyouZNjzJozlKU5FQVXcSOukdT+lTNPCH4RzIChVu1DYHz
NjTkKsOlXX37rcOWMQFSZ9r2YIBfmqZkOADpagRP/oIJ/ITf+H1KeRiE0aSZTw6n+XNjzC/9wn4y
9/jnT6aPxeht6xfFuPL2s7cjyuLP/2zVpZs5wSc/3M8NNp+z++e7Fzz+6NZn7d9q/5eX4TTzssdg
3fxgvXvMLR3DvyLvu7fwDien939+Zsr6STT4kxvn84P7iiTzjzf89ZfW+//sfTPk4OP2jZt5Kvkb
z7049/L9IzZD5PA87P/895di6EXhjySLw9ZTm5ycT3DvJEoyb5Ls7ySeGoQoG1R2PYZJHE8fi/Cx
LPY3a27e9Ehlbz6aRl7lZdOnd3Y4Re7//PcXez8E/ib58QYyinLxvb3stPROYIXnrHo4aX2fqqoI
jJvsylxMk8xvP7JICMgOZe98yYqH4f4+jXnrDZm07I3fTrygZYAq0Qu3LX1fNGfjJGzvSEqPJInS
t44noXfgRej6nOD7e5tUbbMAZsMxQvaBr499E4niCfbLNU9WPs7X+0ds7ALA3Ak2yU1ShvnRMtNV
OoFt3Hph3PIezA2dIrzcevByefHk6XIwoHeKr/DWy3PvEbKxaVG0bJpZKAEBlDWR2/AxCH2vTQHC
nNkJYsFtSCzIk6Jl2RoZ3Ak2zG2Y5+L/NG35Jo0h6hPdPSmzw1uf5MGTuDjwIYLA2JX/Ju+m3zNk
2turDd/ESW698tpxC0Yn0bKStb67afXm0lukeRC2wzr3F+Mqp7j/1TTLp+v9vYSnoh0ngKOnuPnt
tA4fW2GMm58ioouV+Zpk8/1j7p5bnO6knzvJiuDN0MsSImXbXJgePNkHjLz54d5nLu8EKcl9ELZX
3MBa5Jflfh6RkbRPNUyRuCdwsvfZ1D9kWYLsQP6Z303jOF9HK+/gmIB4gqiCyFrKhyCZTN+8zY9i
GzWpE3yRH5PyBUPUiRIn+Eq3H3BsiOL2J8gHH1j9aZ5PWykFHS0x6Sq79A/Tun2q1HnoE9z3U+EF
+6cTPgXiKYEXln3c36bZgsi2v1FzZ0LxCWLxswq4EN2fwP4+e8QdBMXbW1NnQuYEW/Pzn8n3viwS
9Hvh/LVSyefX5IFk7/0y3eard36u0vQ7ldVx/WlPWvfcP2sX18RvPEZTL/vnvwEAAP//</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cx:spPr>
        </cx:plotSurface>
        <cx:series layoutId="regionMap" uniqueId="{FF202769-65CF-4526-B0C8-9A5A2F02F37B}">
          <cx:tx>
            <cx:txData>
              <cx:f>_xlchart.v5.6</cx:f>
              <cx:v>Sum of Quantity</cx:v>
            </cx:txData>
          </cx:tx>
          <cx:dataId val="0"/>
          <cx:layoutPr>
            <cx:geography viewedRegionType="dataOnly" cultureLanguage="en-US" cultureRegion="US" attribution="Powered by Bing">
              <cx:geoCache provider="{E9337A44-BEBE-4D9F-B70C-5C5E7DAFC167}">
                <cx:binary>5H1pb9y40u5fCfL5yiOKFCkdnHmBI3W37XhL7CRnki9C2+5I1ELt669/H9mejFvdzsgXY1w0rhPA
cLdKKvFhFWtj8d933b/u4s26eNclsSr/ddf9/j6oquxfv/1W3gWbZF0eJfKuSMv0R3V0lya/pT9+
yLvNb/fFupXK/83QCfvtLlgX1aZ7/z//xt38TXqe3q0rmapP9aborzdlHVflL77b+9W79X0i1UKW
VSHvKuP398fxRql3blqrqn//bqMqWfWf+2zz+/vtK9+/+216w52Hv4vBX1Xfg5jaR6ahm8Q2+Pt3
car8p881YhhHxLaIoKbx5/Mu1wlIZnPywMf6/r7YlCXe5+H3lHyL+d/fu/95/zdvfjeOwDisPkb4
9/dflKw29+9uqnW1Kd+/k2X6MERF76bj6325eRiP37aB+Z9/Tz7ACE0+eYbddDj/7qudF/hPjHG7
X78BeOLI0pllWJzaDz9iF0NDGEzwCYSv4Gg/iNMbzIBxSnKAQLrreN1sinX5BlBakDZuEEMI/eEH
iG2Lo37ELd02KIOgPor/ozi+iqn9aO7eYgaeu0QHiOjFupBZWr6NbDKLGcK0jEdAyQRQYh/ZnAnL
EPqj8G7D+hrO9qO6c4cZoO7QHCCm/4kzqTZvIqLcpiYnJnsEzNpFVODHNAXbxnI+R/uRnNDPwHFC
cYAoumlcv4lc2kfGqEYB4wuK1jjSdYtym5nbKM7naD+KE/oZKE4oDhDFi01xB/PM/cfNVnFEdW5z
i1v7ZdHQj5hFbEEEe4AZ2vf5ojmfr/1YTuhnYDmhOEAs/5Os79PiDbC0jihMVN2woDanNo8QhmFT
3d4H4nyG9oM4oZ8B4oTiAEFcbOJ3lync1X8eR0aOhMkAGHmSyR1vhEH1MgpvZOKOvIqp/Vju3mIG
nLtEB4ioU1dvgeYYGCDwNvSXrB2DHJkm44QYE906m6H9SG6Tz0Bxm+AAEXRTRDRGF6Ss3sIRsY70
USIpFS8slQj0UGaZgsCgfb5Ivpav/XjuvcsMWPfSHSC63+rbt0DVPiKMmAjcvRQvgHhagluM021U
5/KzH80t6hkobl1/gOjdrNW7hdz46T+/XlLjSBBTmLax40iKI8KpRSxq7gsNvIqn/TDu3mIGlrtE
BwjoRareAkvryIDf/9Mdsae2D6I9hmFZkFZ7Wxzn8rMfxy3qGRBuXX+A6C3jd4u0gB/yBuJoHQnD
5qbxFEu3AdSON2LbBCsl3+eNvIq1/Wju3mIGpLtEB4jrCjmiN5FLfiQo4VgnyaMmnYIKuRSWiX9k
Eu2Zz9F+LCf0M4CcUBwgipebZv0meS4oT24Ii+pPMTuYNNuiSWDjImDH7ElyZD5H+1Gc0M9AcUJx
gCie1MltGt9X/7yKZTqEjRPGdpPNDBYPoTpymfssntewtB/InTvMgHKH5gDBvBmjA28RtIP/QQ0D
CcsnxTq1YREe4IYJrKciOZ+j/UhO6GfgOKE4QBRPk2xTyHX8z4vk6ITAATEZJY/pkKlqJeaRifXT
JIjQjj+TYM9rONuP584dZiC6Q3OImKr+LaxYjpIQAyU94ilJuWPwjIUGNueWNYn2nM7k5wUUn1PP
QfD59QeI3tmmeItqLPOIioeY66OwjdK2ZejAXB2DeVC9cDCfx+rm8rMfvS3qGehtXX+A6I2RjA/p
Oq/lW4AojmyEdZjBnio/pioVS6NhG1gZ7UdzdqJSX8ncfkT33WQGsPvIDhDfM9RmvkWRFj+C4KGg
jj3F5XaUq33E8R2Moql4zmVoP5rb7zMDx22CA0TwfB29RYrSOEJI1bRQGvBo7Uz0q4WCSkqRbGZ/
FYc817JzudqP4hb1BMTT893C163rDxLDsty8gYKFG4nUB7PsJ/2q7yhY1Eria2bxiRier+dy9BKC
W/QTDPcVL0+eeIgopuW7/yh/E2/eQqOyI900DGr9qVGnbiRBYJ1R1IeQxzzXZK08fx1zL6C65yZz
oN1DdgD4/prFR233uLFg68r/i30FOkUlJH3KT05k1H4wZCkK15/8lEnJ5KSu/2W29kM6Id96k8PY
NHCxvkel+Rs4/BxlxwY2dYinJW6yBBJUzukc9QCMwLp5vvjN52g/JhP6GRI2oThAFL+l8Vs4+dYR
F3DwUZwz8Q/hWuALQRBM3QZvLiP7oduingHc1vUHCNtYBv8GhguFZygYfEP9Kcc4Xe2w58qkBGaL
PQnOzGZoP37b5DMA3CY4RAQ36j69k2+SUxxLb5ClEGK/E4GqOdQ5Cg5HYmJ+XryGqReQ3LnFHDR3
iA4R0RSA/vPrIapWma3bcNr5Y+ZpZx+kfoRYDlKLBCbM1no4l6EXkNwin4PiFsFBIqiQi9r0/zyI
lGNBxJJI9f3WJgIyR9zkqIWb7oREQcxsnl7CcXKHWVBOaA4Qzct19hbmKfw9GxE2IPYYoZn4DeO2
ZOSIYflYkyLyufzsR3GLegaCW9cfIHqfYeBgB/k/L4pjjh9BUhg5T/oUa+BWCgMAjvAR7MDa1qev
YGk/htMbzIBxSnKASF4Va0Rn/nkgKUVmGNVuFn/y0KfGKkGw1MTWHD7NCc/naD+OE/oZME4oDhDF
j/H67k3qNKwjFJ2OOD5uodqNlaJ0ClEaohs/C+SeGznz+dqP5YR+BpYTioPEskbjkDeQSOwYp1yg
QvWp5mZHtepQrRZsWTopZvwYz+XoJRS36GehuEVxgCh+hRjUbxKBwzY4CzuM9Zc25Iy14jYkkuuT
KMArWNqP4/QGM4CckhwgktcSTTtKef82i6Rt6SalT/UauwUb2KiMlh5ICE+iqa9iaj+au7eYgecu
0QEierO+K9BTR1VvE1w1BRo9MHRbefjZ0bJjxGD8h0Kd8Wdixr6Ot/3I7rnHDGj3UB0ktuqds4Fz
8hbYojrORFUq8h8/rZ1t5wTY6oaOGuVJIflYGDOfq5dQ3bnHLFR3qA4W1UKti/u3CcqigBxrKrbM
0f1xA3grBvxO2MLbXucjsK9h7Ffg7txnNsA7lAcK8gru6J0s79I/h/mfaFInsG9A1wVqVl8QW+MI
xXbEtOgedH9yNMcifxnc3dvMxHaX8EChPa9l+e7qVpbZW6hmE1axwbGLB0iPP3vy0hxWFvoN7MH4
lay9jPK+G83EeR/pgSJ9gW6Kb4GxQFMedAiBf/qCaYXgrmEhu8Z2jCr1bjZTL6O7fYuZuG4THSai
aCzhrIvb9Rv5s1C+Y9L65T2W3LYoQ8j3EfY/l4bHBoZYgV/H3ov47rnNPIz3EB4szm78NijDkUUZ
HnoxPa3B03AwUmxYnwk2YU6CT4/4zmbrV+hu32Q2tttkh4tsUQ9zbJhXdgBGQZhghOl/JsB3gEVD
PLQu0BHp3ye47kyufonr83vMh/U51QGi+rlGj8PkTVpVotDIgruDPSYvGlPUMgixjElRw2t42o/o
zh1m4LlDc4Bo3gTrN+nfhIQqymjRDubPStqdzsDY1ID9DBas54l8zuZoP5KTN5qB44TiEFGUm+JN
jCS0U+M6ZM56DBru5uH0I3wJM8ravylsNl8vYLlNPwfLbYoDxPJzDVPoLYL+2AZGdRRKP7Wl3HFV
HxI4ozFk7mjXuRztR3HyRjNQnFAcIIo3soxkn9b/vOUzNqykCBoZf7bPR2BhOxpsHHE0fDZRDz/R
rK/gaT+SO281A8sdmkNEM43Xb1KUOzbgQpXDWAP48LMTPoIVy2wo153I/myOXkBym34OjtsUB4mi
SpP1Py+R1Dpi1OYoAHypjvOhZx5nCCNNJBJt3eZx9BKKW/SzUNyiOEQUq7WSZbyu36JWRWALpo7D
Y/iTPO5Yrag70setfWJS5ICjXF7B1Qto7t5jDqK7VAeI6udNsJ4nCa+LE8APQQ8Yju2aL4T5xspc
BPnQEvhxX+4khDufr/2YTuhn4Dmh+H+B5cunCv08lGmxrtbLh+Ocnh0s9OtvHwYIB01NSJ92J+xP
uD0W9Z3e//4ehdUUPgYE8udJUeONtvY2PPRU/lPDbhNt4Ob+/h7nQ42Fg3wM7OpjIygO57PdPH2F
tVYQBAvxD1s8x/6mCj3Hg9/fj5MIPWsRB0Y0CRFjDpOrTOvxKzScNtA3w7bRSJNia43Nfh6o9TGN
ez9VPwfl6e93qk4+plJV5UiN6ZY9Xjfya+om9ucgKG2BO4FAyMhfdre+HhsxYAz+T5N1pan8gF6V
HdPdoWtO257lCxJS6hQ8X6XUqJ2i6v8rjIEuSp/dFdQ6r+w+Wpi6l6zCzmPHVRGcVW2qO0pXF1qo
F441ZPWiK5vLruDlgtkFDqRK69veVt8C6S/7JL6OWHis+uqDQY3rPMtCJ8z72rEzo3QKYpyrJDId
XxNfyshO3dhOqpOh9b4Mafhf0w+Ek6ZD5/IuuTJ9ekVavrTz9IOI89PIHOjp0HiFW0eG5TZBd+xH
w9Kwsh8sC67r1jc/KN87zvri1pK9Y5fD165MUicyEsOhRhQ5nCVqQTPP1bu0dkUWfG1J/T3qGuYG
UXBi1KlyslIUThLQwqmaSrkyo5dRkn+II0adtih+5E1AnE5LK3eIrSuZFJnb+vlVaDbZhy6polUt
PX8hkjRyoqDwXVv3vcuSp/oisOuBOzkbflhGE102TNwNEoObeUnwyfB63QnKYhNUun0RpvGpaWuG
4xlZfxyo0roqZZcshWiBWh0wp/Ar342SrnVCXwVOExJ+LJvOd3jRmCesE/4n3afkeMhC38l9GTuJ
or5D2zZ1ZEL9pd7H4QmlXbzUpDSOwyAeXDowh/LOxBRI05PE88iCdL1+HLNSrpieeSvW0nhZJJVx
XKU0WSoanhOVnw1VeBUpclr1/rCQifXDG0LuhCJhS62UdNHXfbgknuiPo9qPl3oYWBgI0i9FkdvH
Vch9J+yK+tg2ysZJ/CJb6JLIa9UK67jOzGCJesHwRNc9b9E0MXVKSrVPMbKpTjLgTfOOc0dyna8s
X6vcsG8tp0/9bKklNXGiKJIfzLJsj30j+Nwb5ce61tUy0KzeSasM3QDL0pEBN50+t9mHzC6p45Ne
Ov0wDpE01Pe2NMMvKpDEKQNbnfS18hyj81Mn9hS5Mq3Ad4Js8ByJcXdoodUnViukE7SsrReilvdR
IoWjh8JbNn6inehVuKrNeOl5ynbahGdOYqvCoYwmjsXC2tHC1loUWRK7vAn5p4F0n8KuvuZtEi1L
IyTSjY34MsL2nhMzyn9UaritSBOsqozUTmzHxYUkHXVpxxdxkfNT3rfeOddEc2x5il0bWv1V2mml
LfSq7rzjwOgIcWSd3bXgSgxa5HhBGDulFeTHmuw/E60lqy7wuas39geVGHzZtj1x7KY+xUk2vZOJ
YXCr2F9KpbQPGtNPJKVfmjKs3NIPPid5+EGE6mMrSlfTxEVpfveEcVanvPmjj+JNy6vzjmmaowoS
Lqy2bs/rUqgT265CRxYycvxIPzfwtCALzpqG/cgjy3DJEF/orU6cxhZfB0sxR4aD5VRlcl+K0ne8
JDlNw/4TErLntSkTNw0aulCJlR5HkjRO1wTmouvTzmmkEE6By1VpZK4oqbnqe0BI8uSq1vybuPO+
62n9LWNQD5aeNQsRFWeyJesu4nxZRtR3mzL1V6Qmx0RSJ49YsWzC0nDEQBInLpuL0mr/W8PfXgiN
fbQ7YTlpItSpZZq4stJDp47ixs2q9KwO9ZPYapTbMG8V6ml+Je2qd8I41B2tsxdVh46yHo8cs5EL
LzD4t8irE3OZqu5CGdVdysSpqs0/Yi8xT2VCnLAYbjvSFE6ddid46XgVGHrtJGRYxFxcBiG0jJ1q
jlG0bmRrqdOk5ETL+Unf5ovQkKGjyfYTVqTz2Cip68n4trLsE6HoJfGzY43lx34bLICp28UEf5vr
wJLSLWX9o5TiY5y31bJJ+9MqYcGyFrGrseiTl3ga1oLajWl/FlTxp8TWFkQGn+PIXwZcnYg6Vos6
kZ9jWbm1wQtHeaVwkn448SxyLmPX0svOKW3DpYa+8WrVO1jHtP64tIzS+iiTKHZ9rq51WRTL54cl
bi26dykWDekHTwdZ/vzzfz6nCf4/nJ7414fjOZh//XW8ScdEbzm9aLSNfl711wmMoy3y8zjGiYXz
eJjmC+bPL798lW00ZjBfto3+DMPsmkcPmc+/zCMYHYRQExtoDLQGf2YeYWcNsXX0kcahDCjWf2Ye
jWdPwQDS4TtZHLs2YNQ8mUewnGAa4UROZHV0G+XE4jXmEY7xnJpHDNvoxpa644mCYAXm4HPziHh1
WUcFTz92hS5WqmGtwzLWOANrTwJR1E7T951TQ7dc4SX0Mz1OiHK4FNFpbOnpHzLxygucWIi5R2l+
E9acnZhdXV62kZfdZ5WXHIu4kedBLHrxsJq4ma21FBKndR9LrKBXeRiyb5rOqxXxDNNysdrGi0F5
6jLyM/ve0oLrvovNK58Q7YPhB+3xYPHkS2X15re4EcVNa5j1RVUG4jSqVZo7otaiFTH79Cut9coJ
aGlsUrOO/zD1WJ34ZmkvVOaV6wYtoJaBbkmsvnZ7LMK2OKuDJvvUhmoZ17Ja+dLPFk1LWHMVaIo1
dyl0ODsjyhv6blWlUX1MhqrWNsy3w+AyYHGdO7lXquJKBJlyhE+64CYIbc2BKi9zZ6joINpLC5qF
O7rPgo6t0ri1hHLiJmu1hWn4sTzjmtJ6LENxfxs2Rp4sjdZe2bnXfeNtTNe9JswU+o+rlY/l+kNf
8/4G9umwpmjhGTnKkPqZ30aBI31iH3tZ499iJklXV8Ow9spg2HDZ/VFo+QonwX7QRFouEsIbtzWL
7ETLWp84FqlhpPSWduaTqj+P0i5bmJUddU6XpFrsyNaXqzKpaObkTZI5WZT/lwkZn8Y2+UKjPDjJ
tLx3Ar1tHNMqqhMelvzGCrLktNIq+0um5/yys3N9kRiprTtGZaafvVKHBmli+1YTrfaBxpVwMpjA
oUW0RVE13XGjaWW3bOM8rxadJ7MfQkvL0z7z1DUnVnlq6gP/7g9ELAZbhF86LwrPRcjCi1LLw2+w
vFK3HUR/XkZD+m2oO+0Mk9d3qVDtVegX3h/WkLRfVFjES6wQ8kaTXfYxaOLCVTYV8UIx1pROWTKC
Nc0OqmXZmeXCL/pWuL4y+YnRGBubNw6L6QfRtfRTzwvLd/SUk02WZsMql3oJL6DkTtVapvP/iS7e
8sqfq1R02fuVFp50+PnLvX2ge3JS+VjbgM0ZUL+oPUKNw08nlQi02kApIapZIBrQgH8pYUHQJI49
Oq7EwFLwpIHRisqmCDLjDAAD+hsxytdoYLqtgMcnIk5io+m1Me42QO5vWwHHJCwUaSNzYxGvqu2l
kbFMi10YVnL4app1Fq2ZVpjlSuV92bNFZXRm0Lla6um3viqY0tzU6CLxwQ7Mvl7AZlH5SWsncXkR
m0kGNZJGnZndmlEVdulC4zwOqeujfQzZiC7t6+s46ES8tiwz8+5oQiGWPpd5NqpoWYIVlplFchUQ
vWrVwo/NIsqctDWT5JyIPgfLfpKQ/sxIqAp/aGUD7eA+g3SPF4+tFs98eMYRJTCYjY37CBZg1HXM
iOeLlCCJrAMeWBuvTVWYn8B2itlJDEksxMlQ+pVs3UFmsfwR6540vNWvH0/GRfCvGAKej3QCdjMz
JN+BFJjZfv4QUquEUyXvQxLRSLpw+UwaOFiooVRWRdf6RbUoggr63NGYNmSw7xntS9jlbOAt/VBx
uK4RXPqcFuQSnQlzfPdrJsc4xjMehU5RlwVjAfup0aMC03Kbxy6QmhEUVLvnWtHoxsKHPyjyVWyx
iiJuUVScf48Q0ahOf/3cCTbjc1GnieP5TGwdRXHC5LlZ3aci1ah17yPmAaXW6Flc/hEwz1C+04ay
llfKw1nrWIeDFPEj59ePR6Bo8toCXRxx+DXa/lsGZGj7tX3Y/ZreBfReE7HIqWu2OjfXECStOk0H
KeJLqZGUXGBF6uubqNT1IYDvKmMMyms5sdDVnnETG4bQ2Ifp25wEIvDisNeLe8ZbiNyqJ3wg0cos
sPCzpbQ8xr8XNYYgd0r0sODfU71vCnvZIPSRtX+DCtTT9rCYBlofmjA6YdIZJp2gUnGph32kvDvP
HpRZHKd5lnj9UvOS0u6Pe6voMEV+/f5jH5TJM20c6/cgqBTq1JoMgG8PoWlnlXYbyELAt++qYBSI
pEsDHNdetyEbmCuTsjcyp8PRrBgIU+pBfZNkPOxdpZFC3dhJkBRqkZtpYVwnjVTl7a/ZHPXpczmB
Ka7DdGboZA4dTvlEl9StZxV6PnS3XVEVmAR6HenAR8dSbWpOV9BGu8mMKB+FBibV+Etmfv03+OwM
FlpzjdU8OLzUYpRBtW3PFis3yqpHNOxWxSaMPTeE9hpaWNt61Ztn1DOh90u/LqJ1EpoKGhUxkIKY
J5YWak3k5AG07aj5+wBUSg5xc8a6KEuTv1ErY7e3yXiNm40NRFCRjDPRMHyb0Y62KrPVQG9Lz+Ba
sgyrMovrj/lQyUy5bd7nYE4TSYPv0j5P0n5hRUOv3bRZ5p2WdhGHvpsMg96fJUGuKs9Rts49eLGm
rsXXPLH9IXFxGk8HlWhoYU/UB32wY9w1kl6b538jpmQ7IAxNBTsQAWe0Kxhz+lhVtl8IM1PljWqy
77ChzdB0M3homIqeV9t2gUCK0KDavf5Re8Y1w3f1gzrJiGfhq66tKOLGdUv/XobGJPTWaKMGAcYI
uhBhb9oou5NpEXVRmXhBmn3PCkhRvqRlZLELgwSIC9Cy7jEcttfEw9ck6BCWceqgaPPAhcJv+bWf
D552UiQsHL4i9FbyS0vy0UDoWJPENkKO5ghPWlIbU6hvhNlcZ0UYDV+HmEdt5OhxPC5aEqMPgFJl
B/iQIiIwfLWSrgN21Ax7/CoH3a+sRWaWtFxxUY/YRZ0vYWDkD4+3EX/sW8dKuxC3SGE8gHOpqdE2
qDIzidZdyVWereymIM0No+lQnRdF5BVOHCeFkbia7yXdic+wuH5TlvLY10ZvCCaZsHzYGU2uUpgo
v9YNU62J0Rf6mC8YD6JFB7bJ1KBer+AvZfF3BKrKwnc69PfKSqdNxzA0rfMWiuLXT5xqozEngV3B
D04+1u7pE8tCL4M2oe03OtTjZGxrNqo/oxQRFm/e5Cb/7oV0wCRsjboq/QsBxYJ5+ms2RnN2a97h
NFacrIO1AkcGGAxW8rZQDLSpc83mydeEKfh0TpXWprZJ8yCHNgqiUpFlAd9JfmxKy4fGyQIz9Ze+
VRlN6qAao40bpzL8/Cz2LH7T0SJGTLls4VNeV5amSzc3hy49wyTSAyfUGTw3h3mIm0DYAx3zMG0C
WBenXhhVo+Q3zKRXSDeJrHdoVNCuOf71G0/1GjYI4oAEpKvG84Q4hU+w/cYR9wLV5qX40tRKhxFr
FoUBI7YZxnmLiA5jJwFpO0zbLrIpfvnVg2Wr8Wyc0rQOW8O78To+Tmkjl0NSnMjMoKOKzIdSJ6sc
Hn0pjwezjyB1XpuMNjXprQTSKUgOMfr1K40Hrj4HEc1zUfwJ14SjKTIlKAXdfqWcqgTZI2V8saqA
QraqzB8ZqDRaj6L7IMfI2fbgzQu6UcShK0eVUmQ5FhotIDDjSWeOH6V5VEbr2A4FO5FtPI5D3rcp
v/TyDldJBFVwm95PeLmKNFHQVWYVDS3dHusFXvdvXm1iZY59gXE4qYFsI7bZI7k8ebWqi4iI67T/
Qv1m1FQVYvnN9RAjb3RX6VZkKKev0nz4Kgw1ro+JlhIA0vEk9vvlkHBS+SubanX7BVZqgeFoRUgx
+2gzQJsoqdmYYqyNEbFyyhpq80QaWQu1VsEiwQNl5en4Cz4WwVAkPsNQVJUIkGUx4zqESAS2EeKv
x/EZVWG0/vUgTGR0PMIT1pVACGwMG+6YuqQdGO95rn1uEpFCOzyat0ZgdU3kwrMMfPV3amGyHI2P
ZIjqYSc0osYIRk6WIz1MYbVmnfhc1gQzpOqrChMKaz/Gh4UZS82l12ppVzockWsMeNx4CiYLlB5G
qS26uPooeGl54cqrmAVlAIFsrguU32EFSDQIftUpLFRPsPl5qzCUXWwpyAqkaITDj7oRCC2UBL/s
PrSbaz1NUnBiIqM1fI14Nfqpvx5t7OOfihN6yaGxEQ43QgB216OCOVhqvt71n4Og57HnVHVEM9dr
dS+85MbAin6ZBwXPLMfG4eVh4BRFLvMPelzTznQyWDvaWYEkF7tAXlNQN2/Tzr/TZayftF7N+CIS
CgdwsTAeiusk5UmxbgcSt1esIXo3LKxQ2Wbm5rAfy3rVtqbVXBZ54HWpwxM9IedULwhCmaqwiRt2
6GLiOWln5UPoBKopWOf6XdRAGJqhaPsYuVoTgbAVoss1u+Fx1TMf+V9St/VxZrcB8WC/eX51WgUC
lpkrhrgdBri1mIrZaRf1Xu3kZRbyFXJMPl2YidYNn1ueGvJrzWLfW1BWGcTt4Z+mvcP9CnFWWxpt
5Ppm7J8Ig1aLPNXb4cyzla4fk5YExsrXkFvTl1mUJuxLbzZ+pH2xU73rPndVR6sLrayUdo0VQ9T3
ZsF58WUQja9SJ0tTEpSf7G6Io2NPIrqxGlJmIc9tR0jqB64ohjK3bkkSWuo+MLK06RaYKn2+seuq
bXU3ituShCeVp3LTWsAPMGN+7CVaxC8Redei6LjhyNbHwSawFK0wyh2hVsEuBpo2mNIDKcos+ISm
IBXXl0qxLBOnte3JID5XZhfl/jJs/KptzlvT86VceSxpa/PaUwbNT3nIAt9aYa5wGjlZM+hY1uPS
kq2NVBDjCHAGXjGE/Wnrl1ogj1uZYLVBVqplULBNJpHXSjXk0cpTTI5W89yWwmwhl3UGq8t2qp5a
Hb+KcZQFflWPHyLHHeM7HV0t8LghLVl+O9S5bTQfQl5kvnFCOuQlhduHZlSL406FJIkdkzXjuqib
yH415z41saisO6/nuu2GZmCb/lXfZm0mPoYeUrbxSkRUMzIE5Hvbaq54SE1pO7ltjzEJUVRmEH0V
vudpwxljcYmR0vocKvsCWjsPzDONeoWIz4nMJYk/hmEbWt6yDaEI/GUqCQXvUFkjS32jxbqx1P2g
l/lCz6KwsBaq0jVT/WH4hsLzkjC27S+1b+W5W8D1xsgaVi2xgriEB+NNwD9MFifP7dGmZ0GJt3ez
gCjKV2HQjiOGWHSEX2kZVNqNSsSo8llT+ZZw7bZKMQEGBXvjuLKLBNdlj68aVOaA4ctDgR+sJaWH
p8UBgZOpiBzhIRkLDPO/JO7GcVbMDhFL0mqtABSaiqyAbfIcDk2+KqSEpeW2FulF7korMGsNCLI6
r79WocIhNxgvLRjS46AeGOkurFCMLEsgnQ03HDMLT0BpA8lvPSQPMAy80EbkzV7DZyhBGYemaQgu
xRJr5S14aFSJxyJp8wBdUSDLc4uAW4DPzC5L+U1kMs+mLmttBICQ/g4IxuJp9nhDaeOWItTGl/Oq
/mEwasyawn2ycW1zMMe/aGlGFxTpSe3maai1x8v/HOTH6xApMKILYWQJGCBKC5rbSPJMFsdS0R4v
nRtDh2f5BvWlfgMH3E9tZIcfgEqHpsJUg+ddF/6pInbvmQ6JgqbnV3ZSIzp/0xhJjEuMDDG2wkWY
w2tsJ9JRztE6fmIa+DAWvp7f2o8jmGaQIOi1x3cKDAkfzc1SxVuC6ghr9M71R2gfpwf3ohjjw5kE
xdIU8fjyHe8DzFOfFONjAhZwfNinuS6CL4MmWV19wJvScXgfJ9JQ9zW4xEuOdyGyKEGHNvwUs6us
gpH1xwHVhnbAH2lMkQlfarqpovB0QJ6yy4591PiBupV1Cpm2Q3+MfJQt8JWNMPJbwn2F6VOasFjx
8kUDY/eqRCx7vKHRjL9Y41v4FSt9FIdkMEf+Vc2RpPtSx36MFJHyLdw3yCnx6UlU9oJUZ/Rxrsiw
tCtx/DTkdtgUYKeTNMJNsAKkeHiYyQjrfEPygetfYLmFVrPIcq1SSGaVvoeHm2GQwmWq4gyxzRgB
A4RsAFNQn4rUH8W5xvqKzyJkyUJrFcFY7PoP1C7jLj2pWKonCaqvWJw0/0vdly3HjaNdPhEnuC+X
QzIzpZSU1mKrLN0gvBIgSALEQgJ8+jm03N121UTVdMTc/HVRirAyxQ34lrN8rImGauY6qiKLz1Mz
a/xA0ZgNl3GGSuXixxW4XRauEaCiGVj+cFm4IQAFVtXj6BHtxPKcT8ShCyB+29f+WiGU90eXzDEi
TKnoYMvDMCLFjgcXTKQCZ1UhVbmXMHc94k03CMH51U84uTcDVdDI0AH97hefakhpr2RPcTtOyY89
M4tywA3TBIzr9pzQUqzmw5ysdM2vzNulu6rTuEWJdBvHFfEOMp5DvoURopxR6X77Iif3VQO8al/i
b/hpqfmKOxDZeL9eA3UUfigscHx+ZkAfg5oNG3DlKo059DuALHw+3iUyUvhE7qO9h10yq7Gu3kCW
LcoGRY52mhWJrzsyb/gb2xv0RtCWAzWcs5QDoiQRR+s7juidJshpAExkNyPP9/1k0pUBhO94aRAq
k5x45DztEWn6I3q9/eZZluxQQWxLDiy+H6YOX1d+wFW+rCjPSHBeiVaKXaqk30FKYZHu7gpOktw8
pICxPDk40geeHvNVZoNuAV1EeVoXAIHy1xSKMrTkSIYVHv4WpBuuKp/GPW2MGdmXm4oVhi22b3ey
NwJIdMJClizndctGUjzwza7Bk0IxDVRhk3OVvyLeYn0Fq9xwB3pYdfdlJKcAwR/t5Y5SDQz1Kirr
ahSrfM0rT+foc+qGfLjk+Sw9hGmx0Cb4vrIIysUDMloyZLUegH8HTTlEhXoGIrly8z7s5r7rGpL5
hLrHtUBtM3+tFrbM8YsmJaCJk+J2GasmiDfNn7fUxqmoLbKDQ7MfRQI1ZYH32tvIYpWPPbQnC/4R
2qq6WMFMufbnlbw9y1n2AIgbqD79flk/ws0wLHv8q3y3RxNU//vmZXrcPzH9QO9JH+//lkVhgE/4
zu8fJAnQifGAzn3nNthAJLZyh2qRXDbjI3nosVH3XVmN+29+LlnUlIhE0J7uv3qD4PdwGnSNcl4l
RR3FKizvLS06aAPXcAJgn/qNVPH1Ok/7Lu+CbYcDNXgi/EhRlpnreQuxvtMQ/MMFuOV+5pyBaXz9
eaBMVUhpM5ZK8PTWsU2QZhW87idp0wf+FrD4G9A4w+CJ1RAM8w5CapWrNG3HbpwFqemc2+DJskzi
ms0KFm85s7jbyziaOhyjgCAQp2V/bLhAcOSRmmR23+Qy3mnGdlrdviYLssWc1RnV0zgeIG/Dbjy+
3RDgwHvQ4yW8UgjvOgr6GxonQ1H+A/D1p4YeWA7iA1ZwjOCWR3+BlamB0xV4dfxEhchx1kXXOeyG
VSDMzkG676BhAfACRSeb93P/h+7u995uP3y+czWY+J7hJRl/xlmVdSJYdQGo6i009sCAcRboA7CT
/v5QfwLQsZv2aeQ4FiAr/D/f2/pfBMhryeeSoJT81xoJuROimSVJ03cQZeyru8rp/lAt6/GERapS
PLKfwfHvz+V3CCELQ6yf3Y4IQTQcF6A0fz8XsiQx4Nu+e8IoAIQxlkV7Pa51WSSHTaB0/qf7/NcD
Yp4sgIMcb+kCuLiPDvj14iH8DaNhDMnj7CYkio4j418XniPM/dzZf3+B0Q7b/Yfe2a8Q2C1E3xGm
CEWgo/50QDf0aTeZIX/8GTFWuu2gvc8Tn2VHl+pyOfaSbOrBronv29FOezxPFEJDoLcU+egfzuj3
lY4z2mcIVkheRZXhjYF/psV8FQZr4ZP5cXjbVCvqOuxxZzlBXGclBJfzkabWY2dWCZIDSouA7ifS
y2S2W7PM6OyP2ZiILKwdQotvEOpnfBz7g0QX5hP0k836xmdBaL6H2b+/iD8/Rjy4NMRr18GYRJgW
8GeWFXl3NrELlgvVfI9M0MjgCUoo6+2DD0qb4rV2/1bS3b89r19l+/+342UhHuT+Xw63ye/LpnCo
RuCStpefac91dO7rUCCyihozPrv/ClrL4FIoI4y2wMaATSn9SzhIVgIkemH95S0toUjen0bBB+yL
Sc97wvj7C9yBs1+W6T6GGXgmdiD0KJiC/mc8c/WbY2rLOISjgeJZU4xjkbzmChvmn7bgXw+FR1eC
9ipTdPrFn0PdSOLR2y7vrt5KkSUDOoJ1BFUZfvz9Vf2UYvxyYcAKcagKAhmMtd2Hhv8JqA1D8DIF
o/qktjik+hBnblcj2DCFqeC73iZw6A1UdMBWq3okG7rF2mSdicYbZGtIcLpGcAnk5zZOgT2E9yPJ
uk5cedQGmbgQxziU+A2JQTm96Hke0QapPk6n+TAOdotNE4ow12NbqgxQ223iIpHk99Ubn8dzNCPJ
OzKN0ezueEeXCpIZu+QsAibSQ6pxhUajYGM7BL3Eo/hZoBQBvkZr/lZWoEIvkSzyH2HsrdXga4jQ
vdIxxt5Da7iXAesSByhoBYaqDJcptvgASqzcFpdED3sxF7zVNhLkKHZ7KMtoYzXXBmLketKqmlib
y2KACv5fkMeMtEnrn4XMjwoKzNqK+7vN5Z7Ei3kBsoTegufxQZYChxw5uorlHIKtYF0zuFGjnwKe
P/TDhwRlb5Vccm+qVF73eRjsYIBeFHBW/9aHVavXydxSbkfArkBgCrAMdU9NKUgTWNGt4VjPCdRD
8X01V7JYD92Ml6PO7zNfLZt4D75hZ7RQA4ZxfhFGg0R4zyTQZphDCrw9tzpSNUdR34zQ76nvHq2n
Ls9Z7tb4NcqcN+UFsBmRD1NV9Tw+9JMOQnTCCBzONLAbgUs/TMLj2barizfl6zAAMrE0KM1g+258
6sl6yytt9FaDjl4ZuumqVOBFGQ31KQ0Hs37Ow5F7CLdTFNxTDTn6qD5OQF4CCylkvlNuP2PRDD68
y29LGBnQcEx0yGOLKvpHnQXge68T/WT2pPO2NIYf1eBUDBwtm6qgiJH1osIcYnSlO1HgNGDJieuV
B0v1HkFclE9yqoLhOLKsy2radetT5lnWt56t5MTSJbliYbJdj8otV0AyxGOhcujNq4xeCmaGEJjx
ot4TLOqrtMuErrH76OdeyeFjFzLRuioi6EWHxJzQ7AJSiqfsppThq+DYjtMq89t8ZbItUkrxdMNA
HfvCpYdeMPtu6wcTHlCVm0Ppw2TAis3HL1TapzhK5Y1Kg+5mXLQ5ZBoQNLQv3dUibAXXz1o+wGo0
g9eX7CvTM2kHKrvap9PUZqSaz+UWj0dPJrDAk8xS/OnST03aT8VxxZ+8hp6dflawLJ2geyBf54oP
J+6iYat91WdHCoPAk0yBzdcDIBpdB4noPqxuKz8NwZShlbfj+7WM2SGMTXiGvpqyWgRBcpsCpjsq
o6dvGtaUB4CHDHolk1RfI1A96GciGT0ucU/ZUfopOEQQvj7qJQXggFDQau/sOdHKw4cwrlAwFxWh
5Ue2xJW/hgLBftFx2kcHYaVBm8NG6usFivFvpcmKsQ1IoM5jBTlCm0amf3BLwtEnjeIm0yaaG1JS
8Snstbx1RRre6DzaVyjJdg61W9YzDEPuLiz4cg30OzgzntC4LRH9vkbrmkz1tpURRdssg5dVzuu3
OQhcE7No+6R1L2IoCiTkg9umsXLpIIcaiillW7mt3J1z282Qr0aSXXxUIBCjpWoWuJ+SM0Y4DvKs
3KyOsbTxTTaMrgbS+5yt/ktoCbmkEbbPoq1pAS2GrO7cuBQtlNnJIS3MdJE0VS9eOtRkIejtTsP5
AQ0EbwrWZbIObJJ+AjMt6iQeppMAUFDH4WgeXDTxB0294Q03pvswUz9/VE7C3zY76xoSqd1vh/MD
41oCc8PGc3RrUleu91Ws6dBM29J/6ke51SB5xudJsLmWcokeKpAI1zJWZWNVSM4pm9JPuszdbQ+8
fwHtkFoclJia2GBGR2q727wMBKuHiFefVICipi1Rn/V11uv5Pl9zfkSgz/OmYltxZSJB76HTgbZj
pepDLCZ5WqyLTr1c8k8qIR9WFHAftnncytMsU5hd5rH75nFDTtQU1h5QBkLtraqM1CqdwdjyztQh
XZbrvOLyNKMOjequ0NWHajLV58TJ5H2viPi8bMv2zWKBt0sh4rsUwoJTiEzRzm42T6gvgzpbp+U2
UJq/bqGYTskQESizACdfqA9T5DKHiBT2rAQelPH8qgAx00g99SeeWfUB2q4E57/E5yickmOfJ/oF
uNx8X01UXUV+qJ7GUW03ne7ngysQctEGj+wypaE5K5uu95Mm6r0qy/RLwhcEh3j2yyX1IzYPMK13
UWLsjVPFes1WlwjgNuV0IvmYtmiPobAE7FFdb4Eit4RQ9bDFJf1QAjp5mbfSvEfC766w2Yq7LQoM
NEw5Ow4VyW7BcEdJY8ZqaMvNTwnWu5qOWxeIew4I/r5zQs4NlCHhUa39/CKNTWGqyrbtVlWpvYFQ
CcasYBTvu2SrRsTs0R2SgpdXETi/ZpFb+q5cugTIvAq+BiSGBu3WZ+nGqsaPDrUuzHGAtMtbniVL
YQ6hUHwwMLBJcrsGsrsHyjJcgtRPz4NRn/CdDkAvi571iAqmt0UPLX0P+WUmI3auhIxfbUDs2gx0
De8g9bEfWLwsMwxuQ5I2FY2Km5QIVR6rcJyq80hL2YLHTbd6Ad/dltU2FnW/mQo2xARWDBGA77/x
wQwrY5uHq1G3c7WA6ImcitbrKYU9LIFx7aGYKibhW1VUHGgl1WPfsWU8gPL19GZkXLA2UFMGESJ8
HsGpWLTeHn05KUtPe+kRttXs8DpNjrsm1o6fOXpyNTRRgcqlyUZLljugJb1uEht179diE74R4ZDf
Qq4Hn+YaoUS8MWjEzXPG0P0pxBElTZajcOomyIquFpMX5yx24dS/3xJP4qX2bg4re44R7MLrMgUj
cJoHP6mWLjqzT1XQ8R4KnG6oVK0C0g0cvq3KPbEEqpk6hvHjQfgo2E4rGs2+CYs5Dm/XqndTEyvg
+HfFgHDaQiC3tQLI1rmPDWvyqOBnE3in+3eDD/JqS3D7p9CNLXCake8qLRln4ztj0r40rc/7fIgB
sGuB/VCC3mxs5OPxkEZ2oLecgp2FvRUwb7MZN091AoPYE/RZPb+aWJqJQwei8I4zwKRt75i7Sro0
KltYIGgBSKxX0TXvlAQdabPC1/EK9js3sbkEGWx6zdiTVNdFyhNAccDsniMZqK9LhdIkUdLHJyFI
lBy6hcY2blDC0UA04OYhRVvrguaPPkhFgcLMlh6WNURSgw+IECYL9gVBaC7zA5WDrLNujlx14CPe
B00PMnYiy+6iYMntB5C5I7nq5zL91C3L67bR7kNH5WtXyayHcXUdn1ZoOw6kJOoUInmECBK5Av1V
bDeDh1lUJcweF6qqRs5ykzVe4RjCdzpm45OahrxVKve1LVmK+LqY8YvpyHYsxAAar3PkDgxjGTaR
0zAEbkg2cDBqmjwVEBCpli3AerAesGBq6OHWr5GQ/EHOMC4fdFF0txoDTJ7srE13sK5byDVQ466o
g9FV16Po5zae5uHIZ5I9TTyMDpWh4oaTLLiLuUtvYgnSUnQa5HWFtqiNY7J8mmxhT5uL46EOCyTh
NqyWWR9klIsL9IOruZZqJfCBr6FrZt71TZrrRdZVBNthIyCItNc6x8UdPEDup40o9pWA955PPfi1
VmFTrvXmubogyyP5s5wPLetRX+AUyCOyDjtamPwbO8FJ3sNz9ArkzR0h2qlOIqzGYyGL/n73zTfL
mNOP4TR+gIMTgCoat2MRk/5FrLERdZYI8ZKERJ1tnBBXE+X6smEAR89ExrjoLgTCzdzSoNlN3vVo
S87LGrEvnCbFKydd9JFHyXq7gLltMzmL6wSQ8TPA95jvMc3JOunD+S4nJEHdiuC4L8L0S8r3ZthP
cOfWmYv1Z7GUATsMOQMRCjBZ5NdTNjHRaMWcAde0wWY2F2sfNcmAOFLnAeuzu0Hq+DOl1PA6HnAO
8KkWtGw4/m4D+AtrgnqZXY+5jYvWUAg5FWot3p1HKcwfEl0bbbjE0LFXJN5V1VVQrstVYHjeGtkH
V2zO4g+7buAYbQu3NfOBfJdlrv9sl1IiPaDzPApLoIYSJEtuQd2pG+khKoFNHiXNrdNWfuaxcTCk
AmZcarYM7osxHnsFmxJ9mpVAMb8uYK2WGozccpj6JTkDpO4gmWJuQzEP2eg3jO9ZyHEsqLlJPfq3
OkA5YtqBzEF2COYRmt9wW7Jno4fhpZCLa7hOdDuEwRxe7FpET2DXygqqINRwdW5WOpxWFFVnRL9p
PbiZ0h6lXIXSEyqOQFwSukZBY8muxPNjmMmDkgscBlCkYBE1KR1pn/Ll2C05qJSRNz1HkaYOexu7
NMTPLEZNncC493HSduLvYhGtcL0tmnCEtCoXm2xUBFO+PwVh3E/pu9wmpKx5NLPk0wDZaAAXclC6
nhxBmHEX3nEqclE16LZdKmu70VFjmAISbuZbCv6qHDBfA1net9PiychvfEniJGy0RQMm74cF6FBS
O8i8K3tUVs7sY9fxVHTtiq0CGgVunARu+MXNAu7IDrXadG2pDcbvetZuyQ4U+qdxOmQzuLYnEsbg
Xk4SQikztcqnQdjf91ZyPIcULjlmYay24ABg91a4/G9jUBUh7qPuJ99WkrrsYwaWiT69gbWB3AkH
M1Q7NBpHxMkbzHXeqXvoBXYeBPtwK752KQldfoKuesN+myNdsRcrVxrQeioBdAXobEm/5kgRCMfm
2VIACpiwgYLSXcK+Cn3a2E7bmZ82sFt4Wkh5veg/J6WdlrHNBmP9dAMrZxxsNRNQWegGopdkJE+J
ySTLDzmEqiw5h9bOXkCHxAxqHPQO3XyUsuwRjwMjWg4V0l0MMRdKd1khYvqKoYgq0xMzxei9BAq7
AEllDSRVdljTQze5lA0HuUJxUwE7mER5u6H0Kw8kGHICFmwhlbR1lGJewqHwW5KewPuNz7K0w4cA
6hpT7+bGsk4t9s4BapPxazhxVFlQv1PFDyLXFW0XBZ2Kq7d4Bvm45db/UNmfK9Yt9xnUsVfAgdmt
CEnS8Di3d33k/XiQyQix1lKBCJbB8NRXbi2uZ5RwRZ1M0qe1m1Y+nZQJoWJ0pVwnmHMW/lVuIcFY
A5WOpM6RR20LU6p/1CxYHQqEYDigAkWHSHqZZSeVp2ZsyVi6z8FGnJd11K1z9FhyxrN2xZSDLwqv
21C17he0BtMWLOhGVB/RA8oJpa8szfjytQvcjrigoo6nZuO0O8KntZDgiMEUJcQ58VxNDQlTIQ6p
D/VVpEUBd++QRropSNyJBoAiy9ChFl5fxjIPbRuHmTUfIX2AbKJW+/SQBpqOeUGBFMXQFQHcunTo
vMc6nVGH3zkQbq5eE14cCp4P56DTAlJ2m8FcAW2dHCHdiL3VbTllFSipwNATfAt4MIXrgjqBtu5q
lsPcNxaA2ecNggWsDVI92CAUuM5NHvNIunuPh42RMKSsDj20Fd8CiJcAHvayuw0QhvUrmsuVPhT9
qPaqK4nZFSqY/KzSImOfESITf0qWtH8Ua0LuIJPsvnYqwp0v181BrkYskJFtY66WLFw/lC6z96sa
KC4BNjawwxi6gmhajDAr8Kx6jAAfFm3Vi/U6AmjB2hXamD/WBO7jJuM6vZrSvoc8UWVPM+nE0cRT
+DFXGlMtCugQqRo2KPT15mtYjvwFnsqYtbHVC0xdwwSBfMWWarnucgzBgVR8gxy0I6vD6VbDLo1A
N9zIqfDxEQwReNYwgbGw7ZZkQegN4HdgtZEF5IVJp2cUBZPXd4mV9raLo6Vsw6yTxRFCCPl+dYWB
6thMuEqoAYrXVFGYa0cU4O/mYK94dZmWU42aGmNLck4qyFH4zGiLhN5DeQW45H4bgQDUWy5lfuAL
BHZtEo7ssM0O3+kyyOkgGxnh+07k91XT6RAT7ZrVZP6lQLRYbpyZMJhlmJfyUWfKWBwuy2Y0BAwo
ENzMd8lA4puSDryATIj4sVYRqW6CgMaf/cD42QVS30Or1zfQgMWf4IqxE3iGovINy3SvmmJNmW/t
6ntdD6o05GApKwfEX5UMN30U++xo8jV7DgiV7gLkimOaUSpGXw9yjF5YBcVDPUKIcRFQmISHYs08
moIqhqthJmE2Hsaop+955jDnAnkTVR3q85Ymai73+5a/W5MVMHQSC3IphzH5OENl0dWLHV4SzBL6
qIwQNcU7fh4LKCohlOoWLPlBvXTBGnaorVzQBKg87jC8e2w0cJfXqbPBteqxqVvMMSneGWvE2WQz
vB6q4LfABYqrgITlMxBjDInppi7/LDGU6YDBTfpxUT6+5lqYuOmXct2rtXCEdGYCxFNoXV7phE45
XN8BCqeRVe40ZfEyPMIty1oFcKtVWOppMyeZPaB8iW4mLyi0gWv0kRLvPlbERLXUNoR1MuOHsRzI
d8iKwxaj7s2HEuX+KUpJ9FlAgf4xxFcyOPBx4yD5/wjPTXnnQPKf5GKw60r7CQJlcy9t6EldGhFG
2AfbfdUFHBVNlI4n5AM1oc3QSVsWEKfg27frHKs/eoAdbenQqMwYerXVjkbiOSiH9KmnSTo2KVD9
aymnCFQYlJY8Sb54C/RfHbgEHqQ+I0HxcWnBgcPF9BEdrRjlo0q1SLN3pqczorzGG3agTVIz/M8Q
CTjfjzO4BhCO4l3qIaXxpzWGVyNuExE6Q69DS8d+u4aQ25sPhLk1+5JNqeBXvShHkzYkVSGG6JRL
lq4KwYtDzQJOC/qIvoowkKiF8C7aUDaWoWeN4rkK3bX1DihmnccuO6bptJav+TQZBJVZ8sENiGMZ
DbMWdR50Cm3g866DoCWFxgpyZJTxUFV5eKGxaSBjTzG1aKFSfAvnwBe6BaEJod5By9VzCsaSdRxq
IdmRXUSONTiDBun6bgvnhyUpDVoYlrhcqWdRrmTpWxCxJfo+WIaY6y99L7QVrV7zMo8OoUwwzOGz
5dsS+Rp/RTLfrCJFSVZvkiIyXBH4mfuqAWK9X0mad2E1nGjnlmL+A2N0tjirGSk5fgctfJG7m8Bo
NMw3vddkyBsXVmWxHP+BnvvdIALyDwZqvFgHNSZY6RzCh99p1SlEz9E7WX0Je7hIfrLecc4z0E8q
GTuoPVcM2xmbcExVXNSFGmBEqgfwKLoxyeSKD/0Pouvvz+t3thenhRfP5rCrVuBfoQLfPfi/igRY
5mFN6ljxlQu5Ey3jm/Bj5NWAhRgI0GX/QFT+zsnvR4SNG3dj9w6D8t1HDPx6RICGpQnhl/g2vh1x
eVPVJNmkQM3rgqYWIrgldAEsH6wHWfn2KH7O+fvJcL8Nqvt1ts2vo27+X2bm3LEvSmjx3fx5aM5v
f+h/2mSd/UXSv6yQv0wd/N8D5gR9BYX/n2kOURhCkL5/7Ze5gxiegPEJkCbAQltgUf0ydxB1DnQ3
8MugltjNbj/nDiZ4IQLG/0L6ksJEFEKR8u+xDvgVAjkWIFZigbc6xvF/M9Yhin5fYqjK9xGGOd5i
BMY9hgZk34u/yH5K180V9L/2HboxeS6hML1Tk7spp2FuAJU/5whpc28AzAGd2L5RoefgwXoPCGtj
TRm54aHaR8gY7h8wWOAskHVhKdOYxLV5MFIc4CkblhTjeuix4wuFSM2ETQddEYx3GFPTAASa0KLD
rfvkO/lSUY+ZMXmR1QX6/x5dlk7Piwu2cyYnR0njAcqd7cBbH8NGagL1vYPxt4G/npx8JGyNnrbC
kLNueZZVWd7EwIHuSrQaGPP1JG1C5aEcfXiUUcnQ0gQY77VUUysSzFUcBhbXcV7tya+64YUyh7mL
mgzY4hEy8kuZ0QWUmKiOMLe6Gt40d0TptV6pVV8iravGTPOLWrtbH62Y2ePbWMd3YdrdrBsSrunR
hTF0+eB8SpgotT1MeMIoQwOD4T6m+47JEfmrR8lOjnOGItOGwdaUVEdXlbKPlCdPZR8CB5MwBJgH
hll+VxnK1mmmOSSpXk9PuUHrW1NL9sa8wFDIJFoXwEUk+46ZYyAkMLz8BGSBt9s43aNyu+SpPE8D
vcwhqkETHIVez8GYt2Lrjhq1KkTTDUi8r+sUPzJTvfzYM/+/Q8z/tOCRhRHyw7/FRH8JHnefvn5T
f4kdb9/6V+zAYH7IZDHd5U1+uFvA/x078JoNxAEYKMN/jTP9T+xA3sDChsIaYi5Iuv4TO/L/tYPE
cF+iHEBCyar/JnbATIrY8IuIJszQpEA5G8PLCe0glIq/x44gjGDDNlH3juzYqR/HGsUBJkR5dUnM
8IfkAaYimardmD8X6C9OwJDvBmGv8Nq8b2mwQAxWZQ1NVt0guNw4UZF6q/q7iS5hGwXBw8QYwAtR
sroch+ewAspJWFUdUia/RFb2rSntxUCLs0TLSz6M36OeH7J4H0HYUciOhzZY1u5ZxTa8mgi/6SDQ
QJueLS1OWxytZRfBghHzvuIXOxS7XBydt05S3a5Bnh5hJf++rPobtMk5YI8wP5Sil82o2BN0qw+u
mz5t4foMT9AAcWQHyDtj24EHGXQhQdZabFI4bMCi60J8LrP+Cy3UZcQ8tVqtuEQLAhOVX3QfDEnb
A/WBs+MG4oXl1EMV1GoW32d9fw+K0tXwQxl4aoxrBiSaE/YsApFevxANimmILBQ5tByOG5yfgC/7
98vi7xmwvjoJzS4FHorbdayeYNtvMQbnQU8rxBJDinq12m7oUJ2pcTdS0BBNHdV1atAoRyCnofyQ
dV5idOZutT4GTJdtRcMN42AFxj1iXtnBmqJHQDfJGe8ugHGPu68BxrGdwa9EGOUVdq2Gt+2UrGVw
kF1ym8/R9ZyW8ujBvUOXB5McnU0Fl24Ijekw7r4yloPOneiDyIOTUAFmWhZH0A6vPpTbSXcYuzlI
Oh55V7BWyvRYTGq+Tsnir2BrOBqMGMDs1alAJw1ipKIjeDlM+hyCdDwMk3MtKvrXAfRsDhrpjnHp
MVI3QbQu2bFnk2uBCh8YiTADccr1OY7nR04K2hYxzHm9y7AgbZFdIJBMrlTsx6az2xfw8MnemVW1
DSAK6eE1ABIsiivWx0u7+fIOpGSFnin/BlBYHOCHvEwrZtYmQM3bLO0dwAY2HGXnyyYK8qeJJq9L
wfsf00gAGRTDldFuwIDO9SnwRF8T6r+gaJ0wkpTkNe8moBB2wTKuinsSTq6e9wFEwZi9VH38OeTi
VATOHCBKu4PkS+I+l9CHY1zSRmfMBE49Hn4xF+2kq/wh9JtJz9GGd1IsNRYvOzgFjCBZvw2e/uE6
7PmYlxgJjOmsgLswSSYxyX2xji+wVuuWlJi+SjRgB+SlZ9flpsnJqmCc2YfMVbwVwviGc/EH9F/r
CfPiDhqoKQA/pmo4VPIbNS//h73zWJLb2Nbuq/wvAAZMwg0vUChf7f0ko8luwnuPp78LlHgupSP9
EZprJonRLZJdQO78zNq4Fw4K+2wWD0spr2mxnhGl2w3g3+9xV9/rRnQodOc0OOotTNsTNttOT/Mj
qu5FJbnulTM4XXB3ghSSuINuNmw0vu+WdvjJMdIRHbw+lHaoB1bKb9wN9+0oTqqifrc6e9um8/pq
EkEp8/lYKvO7TsXKq7XORPXvRpyNwTrGS7dljppk7yd21z0XYT2UwFcrsfiR0pT3Bif9UzlN4+sE
HxgfQcVABlTrmCSNS/O4okrCm7WH5Bw6UuVvMrR0eUnMON3lbtptKGs+a5GwAkwfPhr4uoHk87Ln
ZjtQN1wyf+RzF5jVBAOxUV970e+XlJSJJq19ZAG6hYBFnTcOC88t5a2zLNdT0YNEhngCwiK/yaww
few13nA5SrWHq68HfZh8Dxv7lrpTuVdGAKtxW+0z8K+gmO07w+0+8nl4Iu+4bHmKIdU2T4vbRySx
kBBEfOrTmUx/pb7jdQ9euaLrxvyOPi1wjU62+zpTYj5r8nomdOfjsKSEXJLJK8JRSw8F5S1eXMW7
DXQhAH+N3mTF5zhNvurOyNsANo6tr7yxylscc0dQneeQND6KaPqgTudiKDd5undMcHjLDsLTThkc
8IxmvB3m5DsRxeOCNC0LA+ZrFgdaLjRiOMUQZEONWpOP9/liTNRbefuBmg23hUGLep47koWks7oS
1XFGIzEGVfNx30ZGx/oOh80F4mufZVXflO0KlRhHKFyO8lBH+pWINMyCUNlixLa+axf0wssbgjZX
iiULXGbrmfLYN5yIaDdO2WmkGoK10p1ktTybyF5dFV/PJgQdvbOOFfkRr0+qbeyqh6p13lTDiXeG
Woa+BVvA6+lfF0YMcIphvJizjWba97aLDKfp4tMa3GY7LrxskRZOSa7EJApTonVQIyl1HEXnhH4f
R3AFGvvgWjbvZwNA87B4qRLfQ6t9r3v7oNf8N+CLgCeeUoMfterUAQypjtfNsM218DNx3b05lodS
4Vdl5XzvhuSjarUTkuju33mSWyUBfYr/fz9P+u/Z+8BE2f75OvrbF/4cKXX1i7ouROD2SKfUWomt
v4yU7lozQVO0CJyuiNWfI6XzhQYKnhmtOm0tZfBLRJx/YPDtL5SIiPP9H7LwJ+/2D+oC+P/f//3X
PD0T6n+NlMBMgR7B0hPks+115PzlOrq2MIdscMprVaWLjwyGGKU4qD7jqbcH1Kteb89Tr5d8xhdj
5079TQGwyyft+7WhU7ZplZZXVGQGrtHMfkjOxcOIJoAS4WYlyqhvyAQrnl1bC72vKb+pQ/c5Mhcs
fzrDCFrLyZHGuTHF3ildyOpKtOMN8ywZgXziyxeCu9zVePHu+6w7hnlSe6kwj4sTM0cK+2Lp4pFQ
IGp77Ny6o51uiia+7dTmXTdF4Ttm+DTkhAbHOAp9pKoBisxysQr7GQho62uG8eJm5bM1DSc31c6j
nT0oZn7pnBHjd4wei0bClNZyBtrxZC/iriiSrRYqr3oMSaEOt51a2wQAqnNlly+6Y+FJ56AWTKCk
E9M5H4r3LnNar5hwPRRCXLHFmMhFPsP6nCxvlvUcOE7RBwNDpCeT/LohsMxb2diXNIchS/VXgHR6
jxatBtuiI0BX38FwSLBptGLt4d0Y0vqmd9VD2s9bmuCMDWFxMwlrO0f5IdZzvE27vSFk/hjh5QTk
B1+sGNEgHk3yvJpIKevG5daIZyqNur3rmuW2mQjYalF2JEr7GS15jWJNziBqNL/JdOljcl8ng61f
ZdLeT054X/OyPVjYyeronKwZ84iyxja2YQGJOg7ibkmCzuiGXdM7L5EF1L6vCx2lM95pOdnVNC+/
UQEqN0k3487WGphCezOr7E3o5j1nf0IcJ/naNMYnt6RPFi+E+7AWcCnDwzSQCZhVImXJnIknw0zV
jTo7nDQyBllVH3PTOmSmdjH7aAt5FRJwFpMDmCbwYqE175y+Km2vMPuOhL5yG1fjh7ukI662iiqi
NvVuqdeUU1cfhVLrZKmrPfEAOqLkVLC0bWfD9XGvKyGJ1GZ6T13xEKvlZmjzQF0VGD66fI7c59IY
DJ8BfLivqdwHsUvAJrV7FB4Z0V1fei3A00o8w8zu3CHcMJoYnhEzeLnWWQ7Yb3naJJssTHguoN8E
TlJpW6MmsbvizbZcbuCExkt/mvXiVirRNyMcxS3I5TsgFVQ8LKPh6OLPEoG78JWlD1pRUo1Xl+uy
5ElJwDF5yDY30jbPUU5utVIT4REyO2SF9dZ12rEtb2NBuKFpnBvHyeUBAsXVJDNIdd14dPXyQ7Tk
teo5AfqSV/iqbbpRJiUlPcznYzRrnY+EGW6iRdkZs58sb3pofAzNOUkObTkGcVnPfi35GAy5fJ+X
ZfD0ub7IJdW8wlDupwp7UuO6N9fREym8z7TnkdEL6FNVZW4p/R5yBfwwjRRjM2TZA03N7+5QjsBP
+NxxPduJsggDMS2EVKql84awLs4KnsNFK/IHJWZAmIaZ2ZnbVmC7i9xMy7BGTWTph43KHWocLkOT
Olw2i4RIZnxPSUf3TBFqB+oEUSAkP/FJMham83JbyspCo+M4b/Nh8atZuTNq4tQq/ycvWmrpkWMb
fYQiybjUJZuy7mBN8fMaRHRMZ75Xb9S3uTBOWdneq1J9kCahfU0fjtIx9cBYKA95bdk0yXU1ac1L
6prtGFhtYSVkS5JT3w8oS92AF7mlMcC1JYnbVyy66Pee1r8ak0rj7O9ngv/Jqrj4/IuBgK/6ORCg
MZlk0CwLPA4n+Tpk/DIQqDbrbSjAMjLoK5rs/wYCF47rj6YdiyP/MBA4Xww6XGuh2nBd1Gvtn2hM
9Fz+ayDQdRvKpkUfVOjan8Hv3D/GBK5tdg364zWMuXMtffZVm81DxjvaS6yFs64PbDP31MHeLkZ4
duf6anRygs9jzmMX17nXh4rf2D0YH1PdqqVxP1J6CBybrTJDOJ/VTm4Ylysv1ronrO4KRSU7R2ad
EaWCFpW277lFlLnXBInDuPUrJQ/BBU2nyRk+0p7ygwN8Y4PSH1gz7po2F0tA1QoLOTenFePS+Tbx
KZ/QiAWXt5i3VIFu8MfNDWndUz+ZhjeH3YsBTWjTFvMH94AjsKeK0DvX2HAgNJ6HBmXopfcK271Z
XO15kAt7WFYIShQppAbsjn+1kthfiG9wNJGFs+XBCLvtbNPMrvES16zsE1nUS2cXp0pWp4g/E7dk
7ty5rt9BLNgMnAxBWugXqekPcs46tO4+511uoMURpgChzkQmUD5yA5NUOtWzY5KZsbgaI8WZQx2H
952eVG9qPT7NixhPndNeV0bX7ogLIozUzRuZ0kNccL2tRovUER6xGNH9ibLpXiSdSxTqTwZgC8rG
4zVSHBGItF82urmEweLGDpwPF1Wo7O8MJfowM0mSJA19jV7GqbTeu+m9cuetqKz3djbKHZfiHWtP
6OBVY14+uVpU3Ge0QtLPOFw+xim6W9DJAsLtnLkpYQ3nnb0mV5LP90HtCnU/dXp5rTfSvSaO1B5n
V/rCRb0fbegVDccCeMCYgrs7XxnU5hlkynzcZab9PBbjhqZedDGm8rNeBn3P5YzYTmNBXfnNL/z3
PadigP39e455iTIB+x3ZaP0Xbzu+9ufbji1g5EKZoSGXgjJ3fr3+6F8w29hdzfWDnty66uv/3nba
qrK7dOvpbHPV+fX6QyfXNLHQuDhZNu/If3D9gWH557cdTXqHx5qyD7+DH9ezX68/kI0WtxjM4Zpd
FDpeVwOI7AiXRxwLkImJn7BQAkWLKXJSzg58rk1iAoQZEzIxhQIDpUseprA7pc50jy18nqWWAMG0
kCRHZyFdsJDW657GfL6yc+NgIvUQAipR2XhAJ1pUVY+pz1sTUi+gHPYsjTJ0mdXJqXA9+m44ISr0
D1MoTme/ig09aFKFhRGO2PYJIWiRqSwPa6PXGXIlQA8xkw2fyXo31YOw+p6HHbPa5Fk1CPiBYewo
h9WD3xTymZUMm06nN9607caMKTv2xJpljV6i2d+AU8U+FdgXqya5BRTvQNLN72syOKT1XqxQ7By7
WiDfGduIEJ9HAGivW4O5GUpiNxNG5iyGhizx9JX45de8m67VMoLunHavMeaCn4t0R6/r4GC5UxgZ
GzLlrNZxwuojVAWLh7TipQLGyzDKViLZd5+W1Bey6/N7XJnyxMYi2yeZuhZrrEApHO1Ob+1mI0oZ
kZgSLEtrJ3c3julJM+uBUYc7Jxt+mg41a/AXYccMaXa5zWbit5lJFNOJmLhAVvNq1Iv2MqsOcLh8
aLZOSfFRZsrs0xKBadOmEYvBSm4QaiyDQm3jE9N+tnOgft3r5rA8jctAvkyFEEiinLKNlXNcjmn6
WjYUoVinZL1wN8jvQLPVN5GlxwdHaybqM5KJdc7KI+IWi1YUIZKzROKVAUTFc98sVD0W2AlfJydW
6LaaSo0mq96mpasFUTRWj+rMX/xO4g68KYkbfhcOtwTSbZRJQVwFKV7onBPUbVd7dFiNUvLrJwIw
F9Ba/K2PAYivc4uzqq4Wq1L3V81qusrVfrXVAdFztWSJ4bDPApdWrHZtnavIsauBi5MrJUN2upq7
xWrzonuheYtU25SrCUyqViWPvjrDenxPc3i1ijGNy9U+ZgHa8OTSeTpYZYa5vNrMioPh3OI8T6sF
naPeT6sp/a+Q9UPIMnnr/f3L/LcV4P/9Gl+/6udrXCMfASKECXRdcGGuoYWfQ+s6z9p4nC4rwuCz
/bKtyMD9FLAMVF7hKp3/dYXFTxXL/LIapSalfuwSbX3v/pPX+A9Wxq/GKP/jdX0HvwfmXxgKnEC/
vsZhosAXyEu4EGgJ3hT3byxeIVqbdqRKyRXOTfZsaggBvIcuceOMvOAwQZtiuIEtcKCWq8Az00PW
tdUoWjFTWnKZbaBSUCzvVTX9WBPSLNcYKL8pY847T7+UC4OuBCTn5211XUzq88iOGdITL9QTZs+J
XLGVP97OyrLN2N3GU0XiTOdNaYcK78UqeTKd4q2ay8ch4lGhBA9H1LKemro7FFPx3LnKsyzY/GXZ
bFmKL0ManbsyfmsJ13kxnlNjmN8yN3SCnD+YR4bU2ul6eey18pVHbA4EiGi+7Zz6dTbueTU9Atlv
AtiTBOsWcIeJQcxzZPkhI+ZHHfHudmjMtV32AHA19Z3QDMzUuStj96Nu3ZuY3j26DJaMuqoPcmRl
UTW8qGnxTXblq6z1a4pM34SwcOLShi4TA9u+tfObsHL34B88kYRvmd4NQZXRLKQDS5yvKr+NmntJ
lZk+8NxAkdaNH0K/u43rAQyUZp9Jsh5rIc9FyA6ouGq2czlu1WY8hijdoW7ezcvwPRbJp503D0Yc
7qSxvOQg5DfquleJH5KrNqZHBcz1dRUNUZ9q69Ya2kvkTt+zxC03UlFpJUmVfi/x2lzVnynJ3wlK
MBtG/gcR6t97jrfDHK9fbvb9Vhj9S84uw7aM8GxNa9t3Pevm+i7ZsU7ltRRJujagr/QIQgvR1sz/
4WSpQvGsJd2qNioPHbtdTZkLnC0Oc1/xU2N75OgTxNv0Yt2TtzhbpLp2J9uKQimrNpc8DTeA5WZq
ucsdqMDdWJjbvha1LxaqKWHK7ULtJpY1LS1CEd1Sz2Rvku/QDvLnlp9hrldhQPL0voTf58G62YZy
2Eq1vweLc4xH/AqbarVHGT9kt0sCmqBPv2HAvDgFFXjbqr6qlMG9AtoDYiXpeTXec1xRG1OivVoo
yUax08JX1XJnsSBTU+Peb2F17btoBN09OJ8IuWdnKmlOcwzhzXZ4wzOOMH4qm2Omx7I2j1Jv1ipG
xm3I6L7i9FYIcaAIxFItN1BPSfMXabHhMueGh0x3I2OTpuOz7qTNEDQK+zye+GuQ3bXeAe8KrNg0
tpbM1eKBxXlUP0RXLYbHLoI28jUnt2/ITcfWDa2g6Maop/AVKEPA4W3D9GR1yVXFgJZ0Vu87xNjJ
n7MKzQ2BGKo0GFxzulUz5ShDikGUmCnyez0IPo4qq60Pva1iGdfUxEhxgUfIN1yUfK5nt4Cupnqn
Job+Ai5EjS9k53veM+BAN5Nlf1PDvk/81JqbfGE8pHESSBRwlMNYt8MHtbOz9pXSBKTdCCJ8tKnV
3JIsdYkjcVGpnSiIU1Nf/cb++ffuo5P6/Pvj8kIR878Py/VrfjksEXZWIQdIiaob/NIvhyX3FpPZ
VUMAwvP59c5jc0FC/0Ek5jwV5AZ/HpYkEEkkrqSs36wi658clsaf+NUkEB1yRJaD32hjIOo2CtSv
hyU7GuK5N3vWORnFwrhpqVQ1ShaZChTacFi4tsheHzxFtyJ67x0DMnMwHbYAEBmb2zrW5V3g5AJc
8PSQ/0fIk03zi/JTLxLWPnUFRUNjGc2M90KX9OHz2JN+2LAcQhD+SW3FrQ70DDXk2YFw8y3sAW5Y
lIJDZkreIT1nn672sQ+FfN+BBvLaVQepOYQ90go/5KV2K3v1Aao98UkrC8o82bAh+K5YlRVNm9BY
EFvgKZyKWp41RJi5rRgNVl2mqvJdXx2yVa8hAamzGRcNJ13VnGziUY9XhadftZ5hWp5zxB+NhhrR
FgPyBLpQtSpEdJs4v3Ln2CAe6auKFPfDS7fqShoCUx6TUGerxg3nIY6MNVi+tepRcqg737AXbhWd
leFQoFvNJieTs8KKzX6mtI+6Rdz6QxHTCcMeQ7hhp3MutQ/wVyzMYecXIfd9vKplObJZsupnMQn1
3iQYk9TjmdWN6Gyr4rYgvbFrdluvWpxMpY8oztDSyOogIioHkyivEr28q+sROgnnC/JeNCU0wgiq
aHYdzIh/Yq5GIJ4DfTDVGwiCZpFQqOGHRxRuFB4HA1vyHqU/mgDSKdOtM9tEl6B0U/7TtmnWJGfS
LTstDJ977DOfqwqm+WzQ+bfCm8nmLS/czmf5wXFApCbQ0DyH5cwnMTVP80wrFI/EmlgmkUzaPi2S
u7AYzrzNYaXHPRbbEhPQgDtZCUXuWRcSQTB3b1SztAOnNj7LTKM6VpWAAoryytSKbgc2l3hB+mib
1tPqKQJyuFaiitW2boo3wYYDsJgJka38acTamfHuetV4VSvi/nZi7mAc3NOiOhA+AWou4eFEkJc5
XROiR6oenaqq0TaGu6j7aByfCwLu7IntMB3HJ020D6JN8S+bZVdEuGitCccekc/syFhIzt0CZ6a3
U+TI9dKEobeBcHEvk4WtKYkG7GMOD+HK0Km7+q63ltfUCd9qs42BF6GOgROqgYwLzRdq/zjEKtZD
SsOrtKKjopRH1XbfCxgIzHFYWZQ+4V9a27gRD1Wr7uDj3HCgA9yPjXtobM4GFDuW4qRc4RVcYrtS
fPadbac4e46FXewKbX5n2Jr26Rzu+6ERnhI5LqubOJzBE1Md64rXhP06/P3ELIUGvXOi4EmyTVPh
DS/NmevfFooWH1I9EwEjvkV3etxm7XytaeJzbbF5ZVNfVbbNZCCjY5OzaNvSps80du8SgShhsbjc
g5dN+m+Zv48DhgneNoiptQgMnswBSNJpO1JopS8JP4N/4aOjUjwjM03cbi1r0BM1adJE+zSc3q2o
K4KO7kkwWe6lN2tQA+IzBUK2KaeMFeNrWskktrQQX2qIMYVlvJ/ZH1n8yDcRdLLXxBNezAn7cCCz
pBCE7K07MeniEHYo5suamdL05KIRopoJU2H8nJDnbwGznPIsOUAbvpcRC6zXFBYZwjOD/rWlVA/V
mtMyZqLNFBask7umuJo1zwXtE7uchFdC1KtYM1/2SPorayWZZPJg45oMi4fxCfBVjxiCijWs+bEi
Tl9BpRo8jtM2XTNmuWOUvjvBXoKA9ayPn+OaR7PXZFoxC24l+SsYLrY5u/19NnZ6IIfyqUmYsI1W
edKF+RmFBLfmlBjLYpgHtS2/ubp4Wxr1O+RmCr2F9VABWfVGJMS10NvyiihqpAT7ZiBZGoIxJKE0
MsBkw5WppHf8UTdjH10vELW2pqgdPxwU5BDSltxDjU3kqIceHCA2nTMdxGje65V8YUpbdk0Wf+Zj
O3pSMLyxNaPYt+nwaBTl4lv0Gb1xaga3/VchXjsX3OjRAP5+Svqf/P2jbP57Tlq/6uectEZjGHeY
bISuOz9aRz/nJGRjBhNhsbrvT0UN54utuiAntd/k37UT9HNMcr7o7G4jGfO7ovzP9m/qfyaGIk6w
TsWGJKIJ2wGf+ccxqaxMDh9Cn9fAoh5SHFe9BTUt2tt04to2rqZsqBIE1cQ+mVdi6GrcytXC7aZe
eiqoJ1KArLcHfcyeCnJ/UWVT9xOdxQtKI6GyeuAu36uwyyjgjqUd3LDRkY+z+2a1lBd65d5aUAaO
UMJvIQmNpkh/cjLlxl5t6QyUoNd0Y30FOuOBUcy82CyuOSe63nk/+Lkh7PJAX93ulpKFsxrgVhTx
4mmKh6hwaGCsLrnatIca21w68EfaVGMaE/nngrXecKXxMt3cl5juyuq+y7q9LKsfD9X9K2s5Oa0Z
W/wG075oDol2Buj+MUQgq9hrEO5Bv8AtGHoIXKvzD+OVdGA2pRvg0VVQERAYF4zAqWs+eqIDWses
4ar8geDKH1riBYCjK0qdgbKce5IHk3DeTJII5RpJcGdi2y4phSZsbuI1tiAAXrDtRLumSrhGGvqA
zUH8SAy79bowbA/2GoFoyULoayjCJR0xkZJoC6c/yTU4EWuRttXXMEVrD8QqLMzOSpZdkK2hC5mO
4PlU56yTx6DPLTyziTawZ4jjtJhSa3ijNnLbd1oqO5YL7skC+hOEa9wj7FQ2w5MAoe2ewG6EyaUm
xza1H4S7vGtrcASuuddhjCWsvdqUOkHAymgixppqP6qD7lukTwyNP8tCHsU1ckYpqRXqTSW64t6R
BJGcpsUwLK8X0XyLSyKA+qDc8AF/d0tO3iYJi2OUai+cR5cmghGlOCLZxKPxScroc7Dnedt24FCg
cMi9PZlfcx5RFpSyN4V9Cim5gf4eoaw95Y56HJLkFSb5aaHD6ZtltCtH5VxDTPBaleAPgByNLbOS
4bFtr7pk4fEZHqJQfq0j29kX7PZDTcvvmR3pxur9c22wqrvuQiKk5ZHeTIZRauVbpy3QBsxHVs5E
x6ErSF4nyz3fczzXeDf+5EIH6KiZ+yw8jL0BCsdWc9cf3kS0hKWC1kaT4rktaVAPC5ZI2xbFsdUB
wk2KbQNfiSGot+T9qaiXoBBluC+iqLlJLNOFC1BvpmLWtk6fPzk6W3TCLtpOQ0KQQ0dtrIyqCFjx
SYoG/DxPe6cfGHLIBSVWtKEKcVAXTiVy1Qcg8dnO4vfi1ZZBa359Sp28vWmTDpmuLvaiq/eJAoOJ
tXdeknS0sTJF40kTnQ99ZIKJGNHYD9tNJ8DI2PyDIsybBMuobIdHbUpOZtMfS2O+ckVzP9hcW5Y2
30UKZAf4SPBDU+1qmKB+lT+KI9FNLvpbwP9PdE4vbb68tBLbJB2A7oAderJwKsSk7ue2feiAK3g1
W9E8tSxRTbLpnLZ1YKtNuc1np0XZnC4w7m9Tcq/BNGqBrVegs3p2cLX9d2HKNxBA16JMrpShusFe
wsUf2q9SmhgK6fKSQQAhFeQ4wGXytzbnUijJRHmdXj2UrFenHl8GLAGfvE66c/rErjVzHwurIJe4
BmCicjq6ayTmx8n1r9Cx1lv//gi/jz+bvypMrV/16xGuaoaGL2PqiGy/+ALrEc7xDcl4zZH8wd51
v+BtMW8bJhkGSlF8w59nuPuFbwL41sZTYDT4h/bu+lv7Y2GKtWi24HsxFuAnG3/iRfNeySOeUfWa
fnnsyZz8oaW9leGH6vJQyZhQQHEGtU1JcHT181jx3yk4X0PSvO7ZlEcP5466xRssOh+JY9rh+r0U
jQmAkTx+4Vwq6vIcFK9YHBXXmi6A4H/qTF7QYUuLQw/7R9SCByqEAPhdFQEYBZjIV/UqEyi+JnDM
OYG5UL8vhBO0ZHnRCRf6+dQdI7MI3Cmx/XSJ922P15AUywtg9v0YMeCKtGNSj16TvHhcnJI9LfUL
MhLyiql/V8biGe/wKdUIn5H22BLe2C72chO7KctB62pXuUlPG6xA2mYeAWhEil+Oh44zAh0eDbkQ
O7tWtk07kMDPnaea4r9XdbN9WHqmgFGKU6JmpZ+Myt4aOQjZNiP3vTLv6LsfAHSg61t3Y9XfEd9v
HjNzfs+qKgVR7hzDSH1Wc9CyrGvzK3W6oH2jzYe2EphJse8GJfGnvgfV0h4sXu6gKczjrH3w2n4L
Zf84OyYLnkRKfR9+RKqCjM5q45LZ4tMAKuUDunykhAHxRBWDrwgKSm1IOnQcLBb6zvukJe7pjAG7
1M99y99ZGGZiM85hYjWcLd3QXHVTB6lG2km560xsjxO+y+wtolK7Q+k4YdBB5SB71yXMP6Xa2DiZ
1KGCtmUh2Dt9hvGQdDTjNlYKts9jXS44IxggDUqCiDZhxM6pSriXvK9rqI7GN0CYBBGlAK0gQCRh
4/BPowpvoP1msRbOd9P6u2Naa14Y4i8rHaHPzgNgkvTOXqr5ZBv2FSQRx+d1yffgAo0U/5JNgjWp
0+gP00AZN6X+q1TxhuzlR1K13/V5+lw60MiDnT2FxH48PMALDu+Maa2fmgLaWTJ2YFnN4WZidxKK
RroXUfPqpGa3NehdBaZ0Xjn0GFWEhZ9hjx+to8NXybhmzTl1xIIOmw/RiS5iiIIAvmdThOGxmJIP
MRE8yPm8FASZ0uXEZXuXlBXoBfKTUTo9VlQPPasMd1lEuIqlFsx01rOs8mxn8l8cbXwOl/o2lhk8
Z6U9j+1rYZotB4dSnjjcl3jDt0KsJxeurPVAjBkP4godPijJpDT4icO+uGNdeXgACHFarOJqaaoj
Gt93oAksMSLDgIA2p823f8+V366G/99zhaVSffv+F1fDX88V7Qs0Wk6WFU2PyMst7z9XQx3r2FQ5
IbiT/ajj/yc25H4hHsYvcW8zHfUPsSHnyxpppP2/8vX/cWxo7V/88VzB1dYcoQEEEIwWzvrrv7Qm
JkI6Ke0hcZ0ulT0fFqvMja9DZHTyWqfbk+cX1nHre0di+Sl9dM9KReGlnBFk6xFWaInF3pjVadC7
ndi0Zq7u1TFNqCpC0OyH8l2bF3RfM35f6nba5EYEpqa1TkjWNalo8G21+0RZowuqvBWItW0MdBup
MXatFnC9BtXRSnkFK/kQRE2XbSKrO4FhdBF14+dBs25jo9jR4GVl1wSGjrpWTdRzUHOWvCTl7cJE
CMQOlb4FSJKVFuUnFuK4NSoSCwre2UZ3a1lU3PpctxgF9Rtd7bJLL5Zyy5uBTcUyKzewvL8bMnzv
E+KYuWIH3fxJs8HczLhXkPPDTZYXF8Sw56oIuTRQudgLls/4jUH5Iq2gUxsl2cdlXSamDdPJWOIk
0BtoxQ7bosrhpLnjTkOvaqtyB0gwaBrYl4k2+CToU78ZjM+O9UPpyOTrsv5rMc7FvOwXc+QUDCW1
fbsDPRk/wGVbof7VHms1mMrkIXOVDaLlbdWop0hBt88R4hszv+VF6fe5iDhI4qbYdYrmbB2rOmpm
/rVYAdKxLc/q4NKGi2GUZ7KwjthFza02qZV8S5qM7mMLgLy4VZZurna5VsCKUVP1BQyByw7PIf3G
rEWfESc81vtvhLu27FYIMQX45bgH1L3SzxKiTV4+AP6aoytRSCegXjNv8ZK/06XmrebMr5bqPnTL
dKsN2pvBS00tl9d4gD+zcvICOxQfsT4dATPNb1lUr9tsK9un38pc3gyeicuQmM2tdLO93TjKubfr
hznmjwU7gsXHoXMtJxRncpVM99SvI5iN0J9dRNNZ3S829fBSBGvGd2Bd2SavON0yR79KQ9fYsTLy
2MhlN1WaSWoXn18po29hWi80XOdl64zoHckc7nSlfY3Hcl/y2Pis/AYgNnMlttuFS98qn1rpYRrh
TZNBu5kl1CUg7lZlaOjtyaMpozDADIOohmHO00w4mIQxe7S5TJfHgoi8F+WV39cOTH0r/c4ix+sq
hy/eyrOVcd1L5+SKS/CpIoXGUeSeijGzPd0wBj/hrsR2M1ZXd8O4qyk5e6xY1iD8Z+/saHxd7JL1
E6vyGb4aqVHdL5xBqzY+rZrKo61E9xMKjuqOL3Uk4kMVQame6pMMneoky/bFmuSOvSv3imUdIsO5
Vtz2NlKtT6quVxCz9ymLPv3FIrVVaUW/GfTwbhjKXUqBNKR/2SQRtNzJLTyeHuuthZUf6Ul/J50h
8uKCVQLTeLLIVgT/Hm2/HW2ogH9/Zdp8Zv/vivTg51+cbnzhf25Nxhfyk1gY2u+Uml9ON/FFJ4fH
wfczzP/zdBP6F+hMnHwWkJrfbeXfb01C+8L9BQaFblkGgdp/hqhZs1K/ZqlAH1FKZPugs24oYhXX
H8+2TsLQzlhKeVOU015N47MdskZ6mH/7iAAg+uvqIXuX/vA/4k/C9W7VailAGq5u/rl6CF4fFGqU
jjemyRPchaojAnPpj3mcs35BDyknj7ay0bry2p37c51Wj7be9KuLA3YvJ3+UNlp6Ghrqv8QRVd+Y
u9hTTOjw+BwvY4uZlzsRL3mMIT9qs/vqf9k7ryXHkbPbvsp5AUzAm1sSBE2RLJY3N4hyDe9NAnj6
f2WNxvRIoxNzrwhJEYqZLnaRROZn9l6bF1zrdX6p1IRHwinBCjR647vKiDwWWABRle5VU0xrL4VJ
XGrd4rMX2xlGVgahPQbsNDCHYwXwu4xuyDGfFNc5QXr3gCYbz+C+Kwpt6w7T0S3o5rOiWOc+YWut
ikRKfbx9641nERYRckztgcccNHM0shWSh8gw9jcWWjFhDk/kkHyxXH+NivmlldY7Qne5oebkYrEZ
sp0iCbCE7GwPQm8HMXRttO1DRZpP4hLfnFPIqqAoS1rFYCzUGgUm1oG8mmoyZHFX55ifAq1fXrWi
kELY9Np00bjOZAIqteE3dvY6ONoDQSSnaioImtHmW6cZtgizd7jtoPwjXeUvakBG7EtzHesWhISa
hXTPTsbxXr0e1xte7qFB8NtBnoNoQP4BJRqfH6kAzvDDZRe4Um3rpIwDR2RZYEii0NCc+ayLYT3N
VDbETydBRtRvk8dpYBhiy+bnFEVhRNKgufWkIiAWNIKKDWSkbrxX1Nw7hkO30NRn31i6x8RmOBl1
dA5Gn991YthrVga92lA/1BwlWyTmxzxJrO1kLNc6cWSrLk7RGSztp5brn7rIKSDYOle5t2f9oFFN
iG2RWTdF5vroCeyjYyzl2s7LjyWt2TWhJSrs6p57PKXPcrIdyZJbx0HSZYSBS5Jvu+ErxsTTFPFG
m+LmrUyRYQWLS7LtGj0EAgZ1yjBuz2AZu51JyqCPBCnQXAHlqWmnQ57T4ugztI8Qr5lpfArV2yeW
FpCs09J1ISV7JDEAGQPOfnVZ0cFyPU9a4mepvjfwzmljdu6lsdJt3qhGb7VM+XI9PqaGG6bi23g/
6yPS9q5nvAqgXmTaHq4F8Ytkwros+X0FLRTABODH3ZhI/JN4sVOn20xRfYoSNVx39UQFjLfN7I51
is+l73ZC9M9LyG6DVIL1mKqXtK1Omc0ja5TZhTsRxYOyXxAYIOmO480yzUWQjsmnLVg9EvcMF3nQ
bokJ3E5V/5VRpzIpUFalXT+z22QHso/N9irrld1sO29Tqr4uFvJHJ5879JGv0BLhy5DAOxzqSvJJ
qJNKQnEDTI7oNQl3gSsJAXU36kbQasjykqUet4aT9oGqwUuIRvO1BFvQT5VAMdi2+Gjq7cC8CEHi
S1uhHExm87HvVYZDSmo291JpHrkmw5FKR67x/ztGf15TyVOU68KkkMNATsckTWN/bkU6Bg4medvz
RbDoXZnb8DDdVSeGDyvlrXyqN9mencMqvKKWIhBia+z/dMFdfr0X/uwgl1uwP26Lf708UY3GN5UI
fPvPL9+GgzUq9rBcRuetDvee2q+86VWpitU/fx1dBc6nQf0xae5+fh2v585K4EpftOQYT9BP8y8k
f2L41772b6+ln2+/X38f3k/uQE3VHPYiP78OGMnaGrRYvdiwN21MVPg8zaf//ruY/+kz+/Mv85cX
GWJV7XTsVZcx6B5ZrGzGnfqJyILN1Ynok2h1227whwX67uHs+vnqPJ6S4LHbhJub9CBWO3wSx97n
X/SrgP9uHv/730+Xb+ZfP1QJp2NuymzX+vYI/qm9JS9toSlRtYu1is7EHm3Uk/YUHVClos3y59Xh
RdtO63MTiJ1FsO0VbdoNSQkBlrj/iQx/XZ9LCf3fF5K3CWiJLvn8+vdCUv7B3wpJzfzFZLStE6hE
ufZn1CGCfduBMgiykLqVUvMPoaHJ1p1PFh4p4ys5fv9j+m78IrfxBB7aGo+zHLv8A1W+9/OjhG2L
WFMdECMhkTbdkP0XnWGsS2PVYCDQqxrm5UcF80wMt8tUu4KtLeLoa2/QjYzZRKjJCfywBADMNWdF
HWddu/gFr4eqgRNfTMreskrjNDCb9oXelVcFCLS72QBxQ9JGfUSUXBHIwQJZL0R2Z2qivWLRBDu8
n5wvLKRkFJnMDDRAXzEwir565SFk2k+2Wua3gsQsOKyZrgl/yUvrfRxt7YdiJAuGIhvpshcDzWIJ
SLnmsjqobXaCeorZW02LdRI72aUggeZeT734doC6Ht+pKZ4rDJgOEeV74K9chC2IU0oi6s5I5wUH
RIX6asTRwAp5Fm41v1mYa27alouenWurm3642KNKhHPNksAi8PZBSUmJXjVj5jjkw6G4hh9scDVa
49y8otox9uZYsIbg1vAdlojErxzcvm58rbRiXx2Jh7oa2Sm/sX+w8awSPEH7SX+6UpoRJ9iclIYB
1rFL9zO2A5bQEC8W8ODOTh8tpGhO+tEjTT7UNgr7k5ViVXAbNxlvl9QFwd1a5QLdgC+mOBGbRCja
9vtB+N82Tl5pf38ibPL/51ctopp/PxHkH/z9RPB+gVSKbIVsWQDxP/kttV80DnVs4jr5QbSefxwJ
YA/x4UBM1VmTfT/3vy/kJIlGx1NjIZOAVMJB8g+OBE6Tn24WqT3m51CrkMDL7crP/cv1GoWTpWgj
ohqzehRyqz6yXldohldO2rUXogTYvVM+P1tm3bPIyZtV7ygOa/JlwgE2loclmgcw91RtKkt9uBIO
XggXb6Sma8Fi9ugIpQqANglUrzlUmyb0iBaSaoEU2cAg9QPG5MaMiJwHD2kBdWYZ2AtyEQfZASVC
tGsRIvTJ9BQChVqNaX3XVjFyDiXxdpoafZTIGCZDvVKK4VypbBeYJWqIaFIeAAtVc40MIhfJdpa6
iAqBBEiSl7DXD71dd1cxEgp1jPIgash1YQOhruzJeifkFbqq1F60kzUHXjV92ZX9hY8q9Tup1OiQ
bHiT8VySDXeoh5z0O2Qd+hjfxFLnwV/zwyuL68xqVy5hYWsltqvqcWKEtqEY2WYanm0LgzYJO0FU
5TcA9hW2oMWXnWubSZq5q7zesnz6dFpxizUn2mHSdJkxWtEmE8vip4libwZluibMxAD5qD/Cqj6N
0kPOLhcLi+ZySkqHeYrVPB/F3rD710J60BvpRodqfr1Ifzq070fUtcK9EJcUHet+WgAMUiR7x1ip
fyxkQ7DBGdNNl7L5qib83eaST9siAfrTJKm3r5s5vjEy/UFLiAmoZ0bRZLqtligzXhbVWdXFyvOG
+8HOozNz3PqwqEXrbWIl29XkXRGkQvxBZdF2kANSQr1ZZWryKGk4qzAe3JWhQOAwIodBo11PvlWB
H0c4e4nSkHSMjqmkrd47CuonkaJcGhiV5PbBHEreYty34LSfaiv5dIziGCop4gutYR3ZQjJzlOHN
LDqYJ6bxouj5Kw03AIPI2QIErFB/pTtdhaXjVJ0/cSUqOrxBaQKay8xnH4x6KjvaoXPSBvBh7jwD
TSt/sIp1N+OAFNuGPLaus8hasUb90GzlmdU9GKDpNo/74zwq9yCWXnsKaMYGHoIO5aqZ2rNKwiDB
ulezKPi0Qv0xKpgDx214H07OVQ9/HFtWZAZGTSebuR7JteZL6IgHWyUPAJYeK1uFJttJ1PfO9G5F
m54jfFp6KHVnzngtNPMWybdMqExu2k7bQ3FeYxs8RCi+Bltc1Yr1Hs39oxxgRKV1HuHSx8myMxD8
1yoSnaybn63BdbcpkXordL86ph2K5qghTdKbK3KhphHLctI+t11xIIrolBn6HnjmI2hLl/eDoJTG
EMReWcmaL6y64qom4MR4JzPF25Hr3JL/4G7Z6hqbPOnJc+mrboMxvAiw3ewWExpTWhfpvnTq9dSh
CdIn5GqcuJxSWrXJzPFSca+v9KZXg2GcbyKVC1ZjkK7yFnAm3RizfUoH78Oy2W7Ujv2g2+bJMAkP
MYZZW41zjWlYHnFtvICGUO90rwyIi4KHVHcFhqzqgLEy3xVAhDQicFZR0eMt4Ps2LNGdpprvTsEu
I9LdE/DncBtFihIw0bvVHKMlqSzT1mDV3/XEyTZamaM5t+vNbBChUyS6KbcGQZYMP9p+Ce/SZoGF
2Wr3ZTKSScDq6KOOlbNdkf8EtBh6BXEh8XjdevGusNwfC03xpoeTtYprQrmKptbWSWcpbJ26pXgq
IsWJTouOObK34XFCB7iy3PbekyKfVsp9lqV6rQg/3NTmaIC4Xp7DEbmPg0rI7tFFLEN7IXnnHKMj
MtATkVv1Q5MCI+KQDvmib7KIhfTQWzfoiU6Dp+Bbl/KkFJ2Si15JVfB/t1LCZAmoXjCS7g3UTUmI
6R+1UyplT+QFM9RHCeVJRVQzPxaWuKlFeuH7wJuAdqpAQ7UQQYCgEOfkqJZbUGkDI43+rkR5pdnd
QUWJZarTQ6lj5kehZaPUqj2zxNvOUy1FXE5uM6iRwi7PxvuZSLFXqSII44wlPqfelejBWikMI+CQ
Y8eGAyJFY9hYQTF9C8nqdE+Eq7pXMoIWv8VmUnZWSgEaQRqJ70lRWiXlaZmKwwIqNfmfE4NDKWL7
X1X268CfCuXvq7Kg/er+kx1M5U/9XpIB6LEpfJjQs3/+Nnb9vstWf/HY3lB12ZikaZT+KMmcX/j/
rKu174H+d7X2m0bKglWPrhaJFDwLRhXmPynJnH/fZXs6Mkak1o5m0esbfxkgZUWueXCXHTLUu0PU
N2N56oU+2+u0GOu6Qr0xLFtXELJZxEU0PVaexKxXHpl+XAsxnoHurogbos26MiMOZ9gCD/CZzDGr
VEsdx3+OFMUjtwuQGg+qlWxmpWtAhFpnzZOU2lx5qeCUlkWGUazSspueOOg7Isx2HhKSkgSgdc6T
HKmJcs5CwsPof+Bdkn9ERnAfX0ByJvYlzmfnYpUu41eTfa+xsr8tnta33dN2FCMIOafEpvs2hDbf
5tCBixj6KJbR7Ns8CmMZl3KazlzB7Umk5kEM1q0VEdUWAg5Vl/z+25OL3/cDdDG21HiAawGYv+1T
zjPjPS5TMqcU82wPOkzBiVizxFobFIRExftKwREQSe6eWdekucyoibsS3q1mYrAIDZfJcQYJzbrL
XOCtBG35s5J86p5zXwzml2pivegK3hTL7W8wl3D3wb3bCX4+WrM6e52NiHtSJDt1YWrbyOF7kbv3
Ta7pQYVVFhxDr6ymVN/FuN3KcWz9QiR7IzYg1hcx/LvWWVDvZqQbpU3OwTEfjFq/CfWhWCOng+dg
6rsqY/SMyVasvXnS9/OosTYY1E+1grY8dAT3hFYI067bkiH7FpFUaXvOVWewxSchGFDI4t05YY5Q
K+6CKVQ+LQ+HPMkvAJLOUWvjNg5bv24Xe1eUkk4R1j/6ilmtjTMZ2HPxIXBtA8kon/lK40L0aE9t
Wfrz9boxsZGtyKE/91aqUDeGl9xjsYI5ZxXF2m1YK0yxuFFX6tRa69QaSRLj0o2t6nlI9XZVRT3h
q+a574aASIBkOxHIyz3SVJulhGs8ztdTYz1pXX/2+uQ+7cmkTdTusYji29gkVahWB3wstrLn0Ca4
NW5vZye8VwXI5GbgEdEgiRBXAG0gIc1Ja8MLZsPdnIcKhBXlo20UOnWzzrazxSW1aB644QGaSmR1
EFdU09fMeTmQUHKdztUcVKjh1vVQGgSkkA3cmOIIFvKTaIVDggEZ4UhystMa4IDqXBFGoG1Vj9DS
GSmJxgPgm1r61qq1CGavv/Za83lUoJLzqOO2mwt7HQ/Gj2IeQNDW1e2w1Ot+cJBQEJbgSNuMKQ00
fTY+6NJSo0hzTShLug6/DbmqC5ej82xJJw5bjf0ozTl5q+9pEw2fgcgxlgYeG9mvTJcxA9Gk1wku
Hxu3T4HrJ4r5bovYQXKIIygpvIsuLUK2NAuJWrCrkgaiBieRkJYiFW9RiMcIh/WHiueoEXgWk6in
n1D0LxNfEknu3rooisdCWpZ0vEsAhrVtgpupwtVkKdWMchOJATEYjjnZN0bq1g5aFpXpSNy8G+C7
K91inCONCdIVZkvG9wLsG+rLe2voL43rGTtP8sBrz7kskhDu9jF8yBb5no2+YgWj/gNtc7dXnf4u
Lvt87dZqvpvViohZSSAvQJHXtnnXFz3BFbGLon0Ihd8OLJVSUp6QuqvnEXzWhj3P10hmoV9aVJaS
fD5KBnomaeij5KJ7Q4NQRKVjE6b4YNkGnL3DWKuGwjonkq0+ds3EEhTruKE3t0IS2GcXUKkGlD2T
dHYYx6j54bUnFrFocxrXpwKY+wzUvZB090Jy3pFyYSg1+LbWbfphSxp8jWFxYwGIj0xjhhQPM74C
Hp9BNfVjx84D16Xx4zzEBpk2r61rBWWrbCMRbitJo48ll96CPoGCnJEYS0UvmCS/niYnvLFLvQ6c
Brg9kHtgRaBYJfeePhnHieOqmG2h4sfD8JlhtAhiSczXawNqag3zMiNNYBeX5fKwYOP1TTGDiJbc
fYXingRa7IMWUH7iJKWh2EWVYo1XBD0fQgD+SgJZwtXob8JsuWmB/Eexc+cqjn1cOjq9WCYBUP9f
6iG+L3VWkRlpqwGDt2Q1wChfp0b/YTegpAqZLjC5rLRnDdYTBgPMaXl86QkjwFWr+iRjE95JUAHq
siMWFR+FzGWUSQZG2qgIrWi3E2IOyJX6IAP5HaMfAwmQJkgdyUTICUeoDHfeQORhEbWQnKCq4lEb
srcqUy450QoZfpS1yt5FJjPCIjfrrxzxTlSoZtAbZDO0CSkNQ6KXvsjVl1omOIxEOYTeADEWb7Qv
mjZcVwQ+lC5StnRKo8cG7ziQyRebZmql8+g6xEW0Rf9iGdAo4v5cf+9HyVEOLd3baDJrwiN0YpDp
E5XModAJpFjUWvWVPDlp8J6woWRXeUslYnKnWjLPAurY1+R2O2cIj65MvMDbfkBz5eGbVVapVT4B
FDlP0pBuy7yMNkWFS4xwAwqbRORPBTS2mGgfbSYoZaPsiHf4Qg4QkOrVbzsH+kPNPxWAttVUPS7R
VZHSq8DgrrvszRvS97jj8B0xUaYQu4cEFKwlId4dNO+lw8Aq8d6JBH0jt72aJPo7gWoR6NDAoYZj
mracuySN+Jc5wEfo4UmbaytTAsU1iRancnulAtsnEzE/Ej5uQCFfJI58gEuOmnpFmOGTZvDDJbhc
hOlVxtRqSwjohxnhNcJOvK6BmapQWGQRoxlceOQAop/FVTy7xpld80Mrkel4f5O1AkW9TrwjaT/o
KmyksQpCNCzPGjoBjPMSwj7qUkgvihXdBeZ8iWpPJLSd2S+HRctIQgLddYl2j6k7Vy60d0Vi30uz
xRQbH0gw/BFLMHwk3OtZS7cVKRNM4nV3286lr01HF6Z8LOHy8K8IHoM3n6ZkU89YhEkOejcg0tsi
ench1Js6qHoSAmM+rOYNrxJBtrpISYhj3n3F43MfzYzV6N8etdqBfwtirGs3Linn+U6v8v3YZ8Qn
GPVNabcFjqEysSHQAnFQnuKxqlQm7WXXHlABiIK5lxjdMajyUZlvZj6dUrUSxTdD9snR4oiEQOns
UGHXImVT4WlT2u3iRTT0FZ54J0UDmuFsTkzwI0U2+Jhmn0NXWzalS/zCOEfaJke3ZrTlnTBtpI2G
+aNJ2ycsztaqoPBSwqQPQCHtY8d8q8vpMiUe0jUHwWOc9AUgA56QLDMBrYkR/yyDEa6TmbpQ5WLr
uNL4/ORnR20+eGgPvfjYtFAp89r0p945j33CZsY5SmjequzSNw2pe+eZRxKmqG6q+p27ZUb1mRNh
7T50SWIe+kH9WsKx3C4pyvN5dHfmOFyAfiM4jxH50UqsqGuED3P/sxXFzkCMvbYQJAZNZx/NJr/V
yVYoe/jcVlGJHefu0RMIJ8iiWKPSIzB25IlOdV4Qz906M/Nu1WkIObqFrJg63dY61a6nZa8EexL8
fJ2R/JBamIsnY2+1WIs8wlwVqGaMKPvrwgKIP7csUTUo5zPBNJF6tmBY5uV4NvVrm1EdycWkvivR
YVSrp0xE+z5OXnqnf6i9CuHAom7cdgui5Q6dxJq69zw3+mtSkx1FNHVAcN5+ASK1T4f8lb/gQyxb
e4dacBOTKXDFqfBqFtX4VCxjhP0rvZriDKD6mFbg2ZaTGGco07b2XI8qSobsRojyLatdTGzkBxez
95Jb1TEx4qdCMAP9X0P/a0NPf/v3Df02/yrL/7Bi4Q/91s/r2i/YLFCaf6fBfXfmv/fz+i8A0Ez+
g4QO6xOK9t+QluxlVBLmft+x8I9+6+fxPLk6yXL8D5oDmQPwD1YsGIv+umLB78Suhp9JJJUpf9xP
ghBCch19GlzvWi/wdXBsL/W2/dYbG0oZ6xuLOPLwlZllewOKEnVyIYXKC4plO/WObellXBfZe8ag
UcYsjXofBbMJE2FVG/kktdkLcDKj2Qyjd0Ob+oNUimSNPpjrUN8qjo7YKqFXAWkU1Vu35H6plZ2S
5O9WOxlrHDXHKBU3mS4VcX3r0+/twNTsVNrdlUHsbOJVCvOweYtK8axTASU6iEsRW3kwqPNu1ka4
U4r2nhbaasIAum9d57k2MSa14oPz8IRaPLc2Ib/bi4dntw9tvClW9dUCnMjYfqxSCJmchlVzvTAc
RSRUrvVRA6VRXY0ZbanoVWS/hkKMc+GUeyI++G3BffpdBQ+mG0/uohX0I50OA8Jssf4YqET0bWoM
UdBmBld3GzkYZ7Q3SFRX7KhGn0hV6shqeCmm8BVyJ1V/dT3NbDZIOraCogPiQsb9XgCGpDHsqALR
W/mqMAFfFG61rSUDk963WNueh6BqvimsbN+RQLBC0/s5Fxi1VORl3DMhyxU0SkY0v+E3wH6raT96
XTlo47CHAHlMGQ9SNlCYjbDLmbIM4ljB34XXSXc+2f1xyfKvQinFM58nfrbXpbBPJhxmSOoXgq4P
mGrvBLZV4F9Z2vnIkpr4qOjlwDWWZHit6jyvYqAjfeY15ymynH3euVBjrDHeJq6LSA0rg3fSkUAf
nKwat3idqz3vS61uTPxxW6DE3h3EmsFb57M2sQKpGAeM1mxuGd+bOVizKdpqZPWytytb/ejk+UC0
ke3usKmrz/87Dr+PQ/O/6lDu3soezm/+9h+NoH9SonAo6qrLTJJRItJmCfP906HInJJDEaUKfh0p
UPvtUARsBYnKYPRpOhpiAhbZvx2K9i/0yAa+UQAQtiQH/5ND0dR+VlzJvTOOIQ8FsWEhZwKv/vOh
6GiRluetBVIa7eIKUBGrIzHPm2kqi5U+RdpehFmQG/MeGSriDK+MXwrPkWdj4Hr9tsqrszM0+9RS
ODPCjWpSJ+apUx3zxKnI8mwfZ9V8dj3alW/rP1rOzThn93YbXqcqU3w2cmwBq9Qhxc4ALdUu8que
46mufAY4KkpQ9bzECQHNC/DWOMRKglyZiR3pvFAJvM2StqySIiZG2A+XkHEWIEzy5W1BqFxonqe5
hmmOiYQDorP8eIJJNY7qw4jj1EnnjdB7fONoPNe2CiwG6NSHze/Jac/PhTpbsLBiqaxOqEyRaH54
iedu5hCkzFAAIiDkZc/8K9yTTWEzq5k2FUfilh4mv7IsRRzDJGbZMRa4Xtr0AQo8tXvekxUSpdeV
0q8ZHbCEWOgp7eG+TRp7nWfNA/iw67rRBMZDcTSnpCHJgsj3sMbOUCo5yAtTbdZeO3NiN8OpJox6
nYEGCCBhyJPgYJU6AKfx1kvx84aU/atFaDvHaIgxy5LPUTNOUbmcFx2h8wCNlPSm9jnvlXU4kF2a
JSScxeyAa1X31hHcLGWZ+jXUgowoBeSmNbtAP9dtFJX2TRbiPCE+UUCvIHPaLNxAKNVHQ/D9Sle7
s26IjdmQoKcWx6JIrrV8uDKMBXqX2V01I9+ZcOguTcIyx814a9QRHK+Jq6fD/8iue9s0xgmsbhb0
XILrhlJwR8KLn9UKXg7lkk1Vd1pAJPDpJTjFXPuWrNmTV+ek282EjpuF6az1DFeMwR4NmXffbdKM
fXguwk0XdfeTN8XBmJanyAxf52ak3lXcbdQZtm/16qPZNK+pQSKdlnMbNL2NPzi6QUR81KbCX6Lp
DAb0s7VF7Rdjx3vY2Xt4hyAKbOvYD9118p1XW31n185Tnu1I+/a9rH7M4CJCXxivGPaYp3LI6kNK
tmmVqbe91X66NQgRsk9rMlAj8tprMlE9slFbMlIrslKTqjpMaXcuq/wyyjDVpouHbR4SsGqTtLrY
CnCRFOUuuWMyidXE03an28spalqoQnkigggbLzQHm9flDsnbrXCWbjM78U4sxqW1XjqFJPti8B5K
T1vlaXTVSvxk0Vt7ERurCOTksOi7cASMNVvDDYfdqhVAVHVEA3Da+PY14cXo+qNrIRvNSPiqhuTW
0Zx1OEd3S42wG5oIpQIxuyu9JYjQpLzYepGG1hh4a2Bk9jaPEqBeUFlWuh67cL6kJH/gm1PWiA1K
qH6rYikusKSeHbP8UbXqJ4iObE2Cy+NSRkdLy9BIN7RylvQrqW1IXndav7uDQkOVxadkcjkmVPVS
YFpkUNRo18LIv4zFmTbqIr6GTu6C7ekWy3K9N8rxVauKoDHxpyXOyc2bwOsKzFwTz4trduZ2AvBX
TghUMlEGtTtvmT/6at1evCS/UgmoXDo82VYTnknrS3woIjuYeN7BUawHdwgR6dPzGaTlaKqlbxnD
d/7SaLBhpnTaNIp+grVRXZzKuyVvdwd4K1mX+YiQAg62XrPTTComC5ZDbn1IOdVnHWbppHmLiYtf
93M/rew8BwNTkVv8kWDc73rjNuM94R5gjRGV+Yp8pgvU1UBl4MgRlplMLinXxkUka9amW9zaDiVp
zhyyVz4TfpzrZo1vWdEht6JznOJ+todkvDIVDdc+LeXO0qfbqST/rWC3wO5B80kX33kTc+7Bbckr
oisPFT9zjavYQwnBRuJV7RY8YAUe58lEemtOgRKTuZiEW3uZ23UU2wNxjsgtIIB8ZHhG1kpnbFuL
lc3YNCeQAy3fmvpusKYjKst0rRgN0cOc9Vl9FlWd72tNXEf9dKvO1QY1xBxYtnNVNd5O0RRxHy/z
EIhB/8q8YQJr4NywEko3S46k73/11Hc9JSuPv28vd0PxXuWf/b93mPLP/d5hosNlIyz9yraHApsO
7vdiCsUv0nSLXakh7cdUTP8qpjCBSV4W9mcDdTyGRqR3v/nDAG2pEvf5x575H3SYf5Xwma5uuJ7n
auSuw+36aynVD7NAm2SJy6AeIhIS5tuq2/7pTfkPpoJfTWY/K9BVtK4mCYcWEmJ+35/rNQ2dRppm
XX0xBFYssNFWh/kiNvTSuMRq29BPVfaU3SxVYrvnOI6dZzouPbtxVWteAyucdPD59bqbqn0TT0f4
ABvbSDZLorFg4es8z/kltBQ/r5T93PH9b6q7XsWHMsfaZmmc2ynpdgSHg3UspgB5sUZgbHNQatJR
3OydUM43JQz9oa73aZ4+o1VjPJrEPFzdxtXzvRN3ADSn9gezYi6bRPg5HeA2aUwqDGwgq94Su2bk
hBqc9AEaUmN0a36958hW96qHQ8bQ6gNZNF9558UImziS5uIrrCGBuUUN3UudXChNbYAX9xj2jvDd
UopbhAQxOOr71JUHSBIFy8LyftQiWMr6QzvRLelJ/5QVoAvjWXx0tnmYzbYMmrQmB3oSvtc4sPiS
0FqHVXvXJhwfjgn/KpqNUxEhu+w74yYnuZWZwfCspAahBlwdzEOKlav3P8D6sM1K9AqZdYWJ0Lxy
RGui6GmoR7Im3dkqyT7sYqL1lA7lJqmpt7URAIlJ4KZWVGyjWURXg3JrCQW5mA6MvPCoyd3sRWla
c6WLeu+RvHHOe6GR+JodQLYjY9YaKCRudIz6DyOtAo9ojaQQ+tqcGibeefkULqO5DhuXBV6kHVp3
aP1+dLaLY33UCUIuMbekHpofrrzg3DT54RZcTZHpLn7Te/foNX+YiVirTfKVNCxdUUnvYh31tkYw
RkWq66h371qaquvWZM2Oa3CfJxkb1rEPEleKPQ3MQGbXUyUqqgeMdLggUnoYo6FbUytj8Y1bqQW4
i6a+QWsdDesyRIpmtu1mZKKwyG7Xc9M7HfMx8i5GzN74lKlMQJPZ/pGm3iv3v4wmw75kTBmZYmGc
ncoi5/ZIk3rNufIQzc1daVo1HDDjOsodx4+rWPBlnV7HNOfbIxoy5QTvB/iMl8wOsbIxD6Fo/EJX
bwdjqz5kUc7cl7SzSSHPYYx69oHKj15xXxR3Rp8EZ8QxNFQe0zev2oGQoG96Y8729bcJSphtE+5q
3g0PN2Vzb0ViWTGn4Vvu5dlDhqdhby1TerENcd80Oj19/VUg1k2yOicwsP7U+oYymKUfci+2k5mA
b9Am6ZNp9n5ugwPp7MfS20zbOZ7TYwFiLlGU23ZIPTm5yRs47QWwgFG4YEKmym892LpdbtE+8P2N
jBqDmXEyYTMw2yL5yCGEimdT5uKdu8p5jl3rK1GnZsWxRqYzmNuCZmWM5yvGg2/KNFyJPiF0cHiJ
oCLLM+e2LbUNlL/bSjP2QlNu59nxbSV61DP7pXMtlDLqlSeiC66ky0yA0dL1AbCdNbCrT4bfOTP+
1M+6PtsUobLOwAc6XQsnjK0p+dZnB7N52wDUJwjOR3VCeIHH2iN1FXbfyvXct48F/J9NqHdfHQgz
vZmelO7LGvgmjrYTGGbqkGyAux3tbCgYCqbDTGoBTYrz6ETjRHfS6us0onm23Lqvz5lhPBeVSRrf
AgdsLCNCVFLOrVVWmTWQeWsxtv1ctZB0Kcxco3jMmi5oe/EsRP7YNcoLolzjRh2s5cKF1wRt3rw1
uraPW+NzCt3rZgFkRsCBXxZsBQHEaD6JAC6sXKplymDvnhZsPkVFfJdE0TvqDWUtsiG/ahm8M7zr
8b6V7O3NPv4/9s5jOW5k7bavcl8AHUiYBDAtlGU5elGaIEiJhPceT/8vUE01pZb6hMZXZ9aHQVaJ
LGR+Zu+1P2Yaf8U+uA3DPFo6unLRdvUDSQkTa1tYwN7sZyx4f4su5O4Bt8MZQKCYXNZtMZ2Vhjhh
GbECH0enX/kV/DSe8vqD59Tt0misdMvTbC/LpFkasuu2dN39hk1fDg4kHyH0qwHTMwAcfoMCgpWm
ue3J35kZpJcE4lzXRjAP+zdRNw/8FA94H5qcSYpbRpcPlRhufLOSO7zGD7nTE9/lT97pv69diocf
bF8qFk97vnE13ETqD0MSmbQFLu6yvcxhI0lxjuxbybs2mb5G/8sD930VMfvsmJwz2BFY3S1GRvMU
+53FrK5zEr5opC9tD5r9fTmuA+V/2Nj+10vMX3/3EvBVkqRvk/6y4MGEIrkIuk9GcfPfv7OfvojD
4N6iYhO0et+/SB2QXxQBa77Uq9syP0BIVrrdf7/Ev/8s/KrevcRswXz372jYiPvCGPpLw75Jy/WE
vYcqJLMeo/F/vNLsvvi+6vr+leZ38u6VYCybqSQT9LIEvS0ypD/aRZuyiFp1KakTf6en/dJrOb/x
H18OkoFJMrKug+yZ3867l2uIHp+qRvRMlB8EbZolb/1gP6Z/ZrdfPYRz6f3rXuP4SG32k0aDb/rW
aGh/8fTN+yK0pjg0+NK3RkOHwMsOiXkuQD4xnwVvU9s5cBI0BJE+GHksVWcM/Da1tf6a2wLwFKD9
2D3xpd9oNKBefPcBYWpLPhCpQhgc53fBD/z+AwJCEN6ZQiytngb3pQ6gMxlHJqJFiZ9tAgxayo1A
uGGO4OgH556DlmSalts8deRtZCOsz5tdGkUrLg2vXloWesRVOEdkJXNYVk5qlq9ArW360EdAlUTK
k5bkKToFVBLB3mKaOVClqWhpEiva1g36yxSa0ZWaQUnIW3nTxxDzbSSBWJVYR2X6sghgtJdDfjuO
yj23xJ2em+1C1SZCeSumVcqIq8G+QI6/RGP2uUKpasZZv/CxpBSRdklu/b3W1Rm52ZBkvCY+dgV8
h9bLXkaGxix7xBpGp7/UQKBTdg/nphKPZRLhUul07Ll58KXs02nZqB5l72CvfLVBo5LDtSVc2fIY
Vhnjrh8YMAa9vxetddZx/+B63k+t5aqCFOIuDSjKtW5fdcWHQHU+KoZF45EA98QQ0Zjc5CFBEVU0
3TVVv+5aUZyE16/SIn/RVLHsqvDaaYtuQdjsofDTnUjH+7hu90QovaiVSXSnMjKp1HUApWFH2IQS
N0TjxduyVihTA+miW9CWnqa2yLUC+6yNTAinsYzdrsFPhOXJbebtXh6hKk6BM67sOJ4I+MZzIFXr
czBCmNPFuGk8Nn6IfkEHaTtH6tu2rc5eUmWujljoGJRVWcAPkG26aUzK9QW6oJ3eVG5dm8dmgNKv
55rmBlm3Nghdi7mV42RAWNoOyygbHn2Zo0lFgQIggsZibiOCTtKrKo8qo28gVIhAGcrRLTjPYxzb
R5r3bmWryEu1NpA4xXQq4ay6CWCvnrQmzfdC85EEWDi/pqrdBsRQUM7CxU86a2mnqdjA5WsIxy7l
qQ3tjaUYO6Ws71XT3Kqtdt93DLb8oFaXTa2JEwLe6FBklMC+I4mIMznJvQ5tLAQ+w6VJ9DB8CvVU
DLp2ReNmbcO42zgwh8fev0hjmF9DqT3aujSXsF3DM+xOpL+msR5tlgYN43Axholr9tnTWOdrrQsf
chghoUOp6mPocqNkTM4GdMFwSP/HrOBfF7BqcNqYlBKAcZhK/HA7FvrAylZxxDlJ72LjC5yLPt29
Ozcvv95I7xkHP3kJZ0YcGCpnJDq4HzbqY+EPNW5ZaG/1UxtfjsVt5hxeX+KPq1X8535xlxbPVfiY
/OSaerdcnG3uM9wCX9OrqoJa8e2aEvIvgVvdomDV8UTM28y3a4ohmq5bLCUdvvHrSvLtmtL+kjha
bctArcH18nsOChwZP1xTM17W1FhUUjnPo7EfalmLIyQblHI8DnpBEruI2UUeCwvq0Is6TZnJOACm
N4+fjgJ72uaSjKqMkU5ElS2N+NrT0EXZ2Ka2legs0rGk9tknedHNHe8RxNENy6j0kqMjwAcotbVu
sqdg2FcfcylfgsKmK0yhmIqsDtfIXSG71UTbN7K3FigKzcOENmmnZEnDSApd8OgOEpdEFPnVqYCX
SMfjHNCqx3usSNmyLvpxDVSpWDQlp18CPsiFVsTyAqfIyejGC6KlDnbekFARJvE6VhxUVAhKbOY/
0DVh44zrwbGCpT7vWUvmEK6IScspB7q20m6h2RjKx4QOo5BDdmEF7a2QgUpDjiYO7V1BmNaonKpI
fu4zmtEyt8SGGNCXKYo+IbDDBmd0ImVlC2qvMKLxDl2phxA8YASuoyIIoufGn7SPjGbQ3BP0te5k
Ui6tOmFPx/0Iu87JnD1+QLGSvapcGMWgHsyQWJgQktHCr1p5qBh/24kf3TCtYwE03ioFyOzcAIyr
2vmVJREIQ1+ClQecgREKk8YpRutoqD2FwBgrBxG0bCnGKjA/doWPuUHVgQN7o2g2fvrKQpiqSlbn
gL9dp+F3OY6CuRKJF2JelkX8JFYsjgKPznbgIGioJcwdDF7tVtHaJNxpXTxdVF3mnEN8g+UiBwSM
q4Bfgnd20COiB4ydl0448UHDmiH8dLqBZiqG5Z/T63WaP5uhfl1ho474f8fH5vknnvz5G99V2ZxC
hiTl+BXUwZfeji9N+8vUBLN6y9Epw1UK4LfjyyLoAny2Lc1v3rC348vizJs5OCbkNEHX+Xue/B8O
L2psB6WYxslK5Aa12fc1dt32oKXl2BPNe1n5xmrEYfzul/KT65N/3/dtHpsMCzIQhySYStP4oc3j
FIr11mrbc21ExN7eKyrF8lUNg8q77LtTLVb//XoQC/7HK87v6F1jqQ12FSK3b89RARvKJud9NhCA
X8Lbk9dXfZXbF11jFicZoyqv5VpGYwknYPDMFYYLlFusoD+x4NR2cl6ijvM6VdSotXU7OJhsWqkl
kcmxe+2U+MVhF5uxk83n5axF6uOCk5WF7by61eclbjWvc9N5sWuw4a3nVa+J+W/tF2G+8cYhc8N5
JWzNy+FsUqsFwJIbpSewiP2x3XV7tkSM08PuoLBhpqik4iUGflGyfTZGtrmyv/I8AqQ9RSdwQ1yC
okV9LXeZ2obwXP093c6i1ZW7al5xd9mnjo039PBtN6/ABVaakJ24UdgXzA0HMJiEayoFi3MvGI95
a003VqNi7qZwr7ObvAzkVpaUdSIrt0AMlOZqYr4PRDOthvyc+Mahga50AlJtbhl3T8u01csn7sWD
lP0Rs8ihsMLdEPfHyvFOihqfxkl+EIlDQqKCXRhp0LrSws/Qfr8kSm6uetM4DoXBEoNs5Lg4NPQa
bTvuiBC7VKeSKXm5DIfx0I8kJNvMdZuJOGLf7Pd1p34oW22FgpHlPm4PUukABBK0cQrb7DKLG7AE
/SmeYuiowNGHgiFvTFNDD4f6pu5idWGQZ4Bt6K5sRmS/iuqvtbRod23bN0gQtPrKDsvxkJAdta5t
DUrvF0fpz0ZgX9dtJRYiwJYVBNVaFOmFl4SXaAlv+i5j5MWfhSiplY3DxUqbL1yFDF5kdKWRVum0
KfHHg1hi4Fxyy10xCcILxy5d9samr7q1anjLRkJoEOoyz/Mb5DmXqQdZvB/qjqV23F0PY3ANXmdX
EURjF/aDAbBtsMzqtlAV3UW39JLpmFA8Z4OvCf+1l3CBGdzX3bNKc5i1EuWiwDJjOTssMcCN2aJJ
hXWB51+iVjoaZrQtzXQzqOYqsTKy+7w9071tNWvNiZg1a+XkOM5S6xWElPJqtP1m4eGXW8AtW5eO
fm9UtavxhLjl3AZnZjJuY7IDd1WCnCBEOK+PykVcT7cUJsFiTJpTWOU3UacucQTwsfbg2ba2Nrsx
HiPLPub0wlgce5x2NQpYryav1/RQpL8eM39Kdo1b6NeX3jH/kn/+d70+f9PbhUckNPthDdUCz+cc
F/3uwmNLzS2g43mmW3w9uf/ZX9NkGY6FPg9GjUWR/ba+Blxjz1NiHRARoN3fmyrNLcG762i+hgw8
1zQLTGtVitIfurkyL42G7LTgsiQ+hL1r3KP5MK2zINIHIZyveMq0wuo4k+GZ/KvOsg4tHjSEJA2I
TDUVzU0vhe+89BiPKmwt3mMRp5G6Qp+fKHv+0bV3IYJoFCsffbF/yTMXptTuRsCzK1rU2QPclSnB
CFk7qObQr1psQ7tR4oZuG92xx0U1curiKQrLYGv1LcvkBO0h4BqrMrelX4FPzNiHLWTZJ9UZ6kFL
wIQ+9tbKJ1WBhBxbLtWpaZVnkzb8a8/956M/Sy1+/dHfZeNPSr35e7598s2/pMFnC7TRW4jrW6kn
SC6DxcZMVdUt5qnULP+UeoZELMbsTWcOjmj/20dfN4Hdo4H4OyHtt70BP8pgwUTyFM1zXd4FcL8f
Bvx6kBTC76zmlMYyWOd5Ei6HPGW/fTVqaPPYkToByLGVEXRqADaii/uVKRqNUamujRlZ4WOI3BPe
VzmewfeYWJLstp/zS8Ugy5aVXxLoG2GxcaYTMpIQXLXiRZ2GQtXJM6L/ZGtcUgw6Vba01KIz9oNp
9vXgCqWM6kdrairmig18mxrb1fCayCewUG+iunAY1qnBzh8qyoS+N+7KHC2oDYOjJPPPXBhxhNyh
7Ls92VHjGoN+drKSuL2GEN4/qeRCFFCSAv+pM6qBaElEmojRctbrOdo0hXkWxJwAI7lAumr3+ngl
LI0Qsjbvj3FGjLiIullkVrzkPPpzZJVWPdohsvikwYPmBjgZd4EZNbdaX+JZCzLzsz0lzqYLkh5V
AmUHosxNohj6tT2pZCTNbv2kVQcDLymKf7NpsIBLdTxVwKQIYYzqtVEIrFN1DUUJSQgpA1PXbEtP
ZRIsCkDEjhNon/Q5DzuYSJNcxFqrPcXsrfdtWfu7EXn+g27WOlklGo7SgmXqZKftuSXPm19ptiMA
WNyIOiScJgJAfTR6ihGTSLrTOOeM+6MZnsw5f9xxkmoVTY59mkq2l2lJkKszkiAQYDT4jFUtOUBV
qe/bNG/XtRNl8LpC7UhAUIJ9PqhjDOYMn8VQyitECsqaXre+1EO9WOIey/cYUFGHkvOOj5NQXFux
16U5Di+9ESRbu0j9iyEPDd5bZCnH0JMqpOga4DISSeQ0DS17OdrZpvBxuBvgqhaDWbFVmjTHu0gq
Rd4jtfgArks7aIpdnHn73lqJwQnTGSBKrir1TAIncF3I8zs/xLuIajlCAlCM10Fl98uu7gnEDdth
RUqyt65hivlfe6U/J+u82/n1ybp/rn62qnpfUwC0FJJiQloYRl+Pz7eTlRxJcOUkfzCZlbSanMdv
JyvH56tQTRAKwjk6L7jemmiDkxX4ikq9IV9pl7+zqrJ4Z98XFQ47czFXPewWBJ389x2nJQqfvcnU
nKzaAiUGggroVaAlS6s0nI3V2Y+15/frsjBBPiPRN5SLtLZbXPtWqEUfQw13/znwciwG2GwKYpzb
CE8ASKzWItyvqvrLrC9OBam7t9hxoQoR9W7BNZpoPkBjf9ITk0M8Iy6hUD3Oax+NAHkHyKXDpWZM
wbp5/bSW5lC1O8NTUghX4jU5Pg2ARxHACD4JZ6/eyjqs11qGzvQiTclmvPEnhlko17wICQ+g6o2j
+5iyoFhi60QhTvJjtFFiOui+9MSmi9kx9EM5bVQyGO+nLmiJbHZGOa30uh395ag507BKWrzFTEnn
aiszCgUUQjHJYzvWQb4stFzehFJWczgm7EuJq20jiiBubmI9geNGlEpyHggo1zalxX+PPsF9U284
CPlhXEXVYghyawf3RFe/jhf+PKKCuuM/HtEw8+t/1/3zN32rfgjgYZvMsyjkvDLmS++eUXLgcCVS
HVHFUNy/PaISDxD/s6hzmHW9dgRvj+hc/PDUWhpzf4sh/28ZI63vx1DU/QwN+Hn0EIzi2F7Pj/C7
oZDw9AYuumWegknRqzt4P4TPMKRJxTIg4QXEJH6+8Fjbsf5QIC7Fv9gnV3OXzLo7SYEgDE3oNpbq
4W+2ZV3u0ryalqPVge9rzZoHqqbwR0tPl4pfaIqvcohGBWQjUG+fBuw3aOL00yizcmnMGCQU9yBp
yuApt7DKaTMsiW0GLa6quAMcJVSgMZlhMchbGEuB8B64r6EuEX0KUCJ5pTHFCaHm6Yxo6syKrmUZ
8FOlm7djkx0NZZTbEaBgaIQeJL6kX6kNoQde1hVPWjR98js6+kamniuKbF0PiBvzlH4+UrZhiLxu
qLInVa8iahZPX2L/vwt95bN2LDLGQgY4Qt3i15NMaNQS71aU9lWaqytn7DbRdCUaedd39QdC9FYG
6A/n+Pr5+/MgzmX5rx/Eeep8kT+W7c/UHfO3vj2O3IssvliPSTjQbMD40rfHUYAXk1xTEMYsg67g
n+cRdQejb8zLwNb/jnR8ex5nux5P9usPe8VN/4a4gw/Cj1emzWyAR9HkUZzxsz9emXTSw2CM1XlU
OolmUGsFSKEMHudOtkF2Dg15hKwcnKRZbWhKzCsy2GAv++q17hnXcdU+5ypLj2EIdhEz0sCaYbLt
IWZZr3TTRZKJg52J5aTNGU/G8IQ97kDiA/rINj3B1F57vnWoA2VNQPOVjII7a8w+mJi/CC14tg0b
26yN6y3bxS2PFY08RSwkATu4r0ZI6IZ6RZbxqQWJ0DnqabA60PdyOEh72piVcJGU3JlonhX+Rauk
6p+csDl6DtauSv8EeWLTNc1F5kkQK6yijPLkBcHJyYc1/j+W98Wp1RCB5+WxGrQPHLvbQIiTgw1O
Id03EtEpV8SqayGdkFISqN1HTMOXQdAeCbRwu9ymBm5XeiJPlUYKgPNSV462SiOSNVgRXlDGP3rs
B1lrf2CMtlNqZ9mZNQHr00aJSLMuqNmL6masAX96Q3jGwruNUZmLSN6Zdbqdxvo6tZunTCPmxM5O
AK4PnUQFOSe4VOOW7oN82uIFn83JFBqGRWen+8a1BahiYSvFtrGybGEktFatpSzEWO5LL37Uc+Pa
KVCehVQvCdKUVmkOwHjwnnW7ipyN2lKuI2fYCdW7x4R5x+KR8gAHGqQulITo5ANPLV0rLY+hncyQ
kHK4SkZ8RlgFHq3OqTZFOWxsMP+uPxQf8MsEC5BqT+CTIJVWla+WqxqN57TyaruKtkDEg12TVxUZ
KdPEiR29Js6SMhyuHQHuoxvqHdQodZOXLdmCdnEd501xAUukc+syBoNHFXIczAkyE6gTYkIJ2QTA
grpFn6JrTWiAx5mHmgQfR2TOzJcAEbj4fFzIQZNLsJMFPYYU6cZWI/wCvYEJLTOXtRxvQmMsMXXC
IPZ04pmntincvEAa3Pv1nc3eeRXLFgxAgrLDHovlFL30RGItHGVeInqfcyLAUWyfJxixRhVj74t7
jFyo1BPveXbq2VHzQYGKHh2rtkG2MmJgKIs2Zkvtg+PKr7Q8ve9bjF1FB5bCo9p2p4C7ISqMJ59w
mIVaEXBW1CUEY8NhdjsrW4h+dBTGYJ0BjarrgnIZa/azX5DfMmp3lOzPvH+Sf3O1xqqhJ0u9QNoV
pPSKZgaBp4gxe3aQNvDxLcHknLsgvbDT/t4YxpfWUi8ix76AWRCCi2pXoR/ch9BB4QuVp9HryzWk
NDI2W0Ue88S74VKF3eLEM+p1NtkbaHx6kT30wNbBLoMJygEbY4ytllbgZ+soHnaekmwi+MgI2LuP
6PJp5JvhzIL/CbnO08CaFY4z3sfJkrBOOpPvTLY+EWULrdTWdpFMbMa1jZdrD00ZWrSpFpBqc8fA
uwaHGz6Mvs4PV4zPoVemS0ll67TNk4JnodYAtQ+euiwz7wMjhM4dHRLBSRYkFZYgo1bB89BUKKuq
4hZSc7pUSahfDZK/++B5D3qCotfD4cbnS18DSgKb4vQ8omE8unnOY1kx3+DtwX1TtQE/H/nSLd4y
oKKom9JyF4aT5L11FwVE5yHFTTxOLb4UdO2Begqa7j5T1YumtyEDK7C9Q2VEAq8SGB2oN73f7M0s
uBWjpeIqkMusIm/HNmC5yUE5wKwTQExj4r4xwYUp7LXEwuRyEwSkMFV97QckxQFB7WDsogTvgp3R
oHtIOgOvtK1s1IlY1DErQtg1ab4eWo2M9fGqmMellhiSqzCHEvynFnndgGvoqX5di5wei8d/9wTz
93wrQogtk/TmBmU8wlCiyf4pQpDhoOvB4c46+6v69K0psP9id8CYkvIE/clrS/9WhNh/kSft8BXU
NiohE78FBqDQ+LEKsQgYBXCPzpQ1GhKe77uCqqxTw+y06VzMdGWhNfAzcMnCCxnvRFSyALU/G5AF
l17RPqktEeaS9SETu31teslMGbtzunKJ6+xoTtjHzIbYFo99n+pD5wqT9ejZl2riA0Jm8r8qe3VD
Ht+x181DnuYb23e2QCdBBADusCWFdOXj/UK6cyNNxmhIQJ8Vme25Ehh1doZ/tCTUT4Xzj+gyczVq
kA1LbPipHu5UsyddS7PvrUK/rLXkbMKnXLRVBttF75L7WI4bb8AePJrOFf7mG58dGfIkmzzOCHp7
kqtsOYznPvej4zS1BXQIXgcc4mZSqvlg8V1Fim2qxBDkB1Et6SiCVeOEaoOPtrhoVT9eaQWLxFYj
OiIOSjdMzLVTJk+kES7n/mvBLbFpSwAkLovyzUC3srZUZtF9vK2yjPSoxuEcDJaVkYidNuZ7XQVk
KaDYeZiGXbtCjeTF1qGP89x1enlTilAiRKwaV8k6/hUQLMkOYffdt4RoTKyUzZptIngI1v26q2dZ
49aN96n27dtIsTlxWZobowddVcVtZgxIbmS6rM2oX0DaH2YA2TYPvHqBGkq9HW3OWmswd2kGGNHw
i2shku3APsANwG5C2KtLNw9rbyf7Tl0INWYkETnrMKvbFXyHEZ1BYixMP/5ciYz0rHJOK1Um7dop
qTcnM0agCfdNYZ60VBqhrrteRWAFSjMlKcvLqI4Vk5tE7d0eK+KuwDk0WDDTOwO4gdSsaNPk5CZs
CW/LvRu7twG/yOALkL9iZXuxc0EaSQg7vNpVpX9bq+y51EbbGgqBC7DEVxjrzVWHSc7ushyiX3Vk
+vySDxgBjanfq0P3UNSjtZBTeN9qYBZCAv7cziseutpW0Z5NhzYb4B+wR67s6Gpq7I5rxd80vXnM
ZpC9p9zj3OO26qdtpEGtkL5xtoDqc/SvzZApdm3gYuNC3kSWdkgkWG7VaYBoeedOje9gGMC1Nb2d
r5XmphuBnkWiDFdVlNfrMMgeHTU+Bj5ddOIT1Oo4xyxxto3Z5W5v4d/2wrtcGUvXV3yiOzX1ix4W
9x1xboqfsHpj0vfYVeYKT/THDuvQom/sow5qyBWjjK9wqX1qCkbVwvqCfGI/IiSZhLH3KZdgRpjn
AQTdMavSTaKC0IXxvteHyqWAVBcwNq+Bus/cifGTZt3GysoY7X0RUkt2ZIdBMiZ3sFBuw84iZCxO
kBZYiktu+MdCaa4j2XpupjDrN73clXqz1HtvmRKKqyhyO9X4gpA7lwjNa8etYirowDlajrOzuvjM
DtJt4e9VWl/vOwt6TpxOnxyJOZGEdhdwTmkycEuUyHebrjy0/bRzivAJvIG68AS44rR3FkUY3TSJ
+eRUFG3tQJGWlda9r0AzEKnHQ5xTi+pBs0pLzsKFM8c21Jk2pl/NSv/fd/+mSSP86xv38Bg//+vG
ff2ev29c2/qLvtrBgEHM0ytP7NuNa9tAepCLvZHL5h373zcu6aKYrefEM77PJEwKkdbfNy5fmj0d
TAPwHSIRQ231G33/fOG/n5TPP4OBBDet0HCBGa/arXdjuEkvY1KbnO5iGMiBoYhDz0numTVqp8pS
CDC24qE0rgouDbNwAz+fKMaj1KLlVNs0Kw4FnX9444dDNa0NVmGq54eXVVYbL01gKEvf8bL7TuNo
XbCTt0FzmAhDeSbQD7NGd+XIDf5na/PVYTQPSX/9WbwJHuvmJ/Xf/F3f6j+yaaG4C1ubBdyWpP76
NoTCYsQYySElCC8RK+l/Po2z4sNACMJM2HiVfPzzaVT/4nPD3+p1v/67UyhT/3EjjhrE4qcIxtIM
vZBCfl//IQ9R9QKnIDWaBbrVoPkSRn/fWZL7qlTOBbQBdEzhMU60AVUGh+Toc48SiUXjbz9DeDnC
4rxF45EQGFtSS+kop2t/WtBab+2kXcvGW6UEiPYgeFJqpzmVfclW9GNtAr8PmRbrA+jSAWKJFR3H
pn22omDVM9cgch2IkSiO5WB8Jpxp448OCP0a4LgSpu02Kqpt5Tj7OvLxMpnrCSwrs+1gIczuILX8
zkJf2WtB646VEW6CSXtMKnXNIfHAwMhcWx5o/aJMx00lEtLdmW0RB1JfMATr1rZX7IHGbR09WsVB
dON1jBYGKE2rrhiuMmH4i9ou1r2E+AvEWN0j+tHcye6npZKJDKyddXb05AuymmIzaibp4j61pzJ6
t8SHviQF/hk1A+4NYfQYG5i2CBSKV4ymEzdgTu/iyh6RT9srQt8uArMh1KRP7oAFsTsjEbVFhB1w
CS0y24Fsx3jOMpujk2m3JWQgEF9XiCqVVTsp42JMe9pC+0Uo2HPA1F0NAdwvw3Y+RpG4HutCIfIm
t4Cw6Kk7Sv12SsOPMXN6vNAAX210gXoIaFYQ5VSqLzXI0W00sbbXwnZcBbX00cPpV20TfAgi3r9P
ncCkEjC6JGu1lWj/i0w3VmnN0DKKmbYly96nnpqjAMZGwNMCIYidvF6MHmndeRY8sAW/HirK0dwu
UObpLVEuFs6yDHZhMzr4XCK+L9EbhN1pbGzYup/z3P5AQAh/95oSg037Qk2Lj6INDzjXDlXohDvE
5bZrSuY1hpZBkqmBjKaKjo28KTaenp+ywDmw3wfYByt1AcvxpEb5xzIq0e4n+AHasCLBhMDbnjfa
d5jdRNJtS6FeahoeeRO2K1FT+8pvd3VW3LVKt8nr7Bjk+RqNgMOUAMGEX3fOypD9bCpA+W+r3QOi
gue6Y3YbDRvyT0bMVeAnM5mf1ZF/FeEOOXpXN3a6GztO1o16UU6npjt6Srgeib/1h+wszOxS67wt
y9Cz0kpGmqwitAQDVotBC/nkBLgLAJyMkAwoaei5Ugm8BRIIfuX80CzlzrGllrpkMMtlqnYvQTyw
50h1a25seFTxAA3MLPrcZrQ5tLsc3QpUL8fZiMzcBaI0l5NnwPDR0KYu7MwZNooy+Ctz0EFkE5y1
dhQbdWuhQfkJmguo2RHjKONLazbGug3iL7nePZRT+3my+oiYHQwQvt5fji3gM1xIDHsaSfR1ohEA
ZLaZVu01P2n2c8DUcibV47ECmLDI0mZnZig213pbSPOOupnkpMCoxKY1GAT6pArjU7C4Rld2Sze3
sjPFGBZlR1++ZREwEkSmm1N4UjLo/zfOV+GbUyn6nhCcfN+bWRI8VGQidee4KbbEJggXLGWyYjNk
rElU9helOj2CwryuPXgVTTxcGEbWriulYgCryL3JAmyJ+MlYtIn8XOY5q/NGUtpHxkOsSNsNug6Z
C3iLCz3nwwxtGGEOmeX0pPmnwjMeg6jSlo0dYdKbyhfmoJCkAnKdjKzXFqoKPrpqKtDqRPmMBck7
oYOsplCO7KOuFK/dA9b8BM/rhZUgolmGVLUYVFBfJvwIfbgIxp2pgkp2rOIxjPNrGZJt1Ggs8YEW
WohO+htVi05e7RyUaPyYBNrLJGBl1L75EncpU7BwqUwX2jgQBW1WK8+vruMZOaiSHgQ3f0j2SWAd
1TghEHPIH3t/ggGiV0RpscQrwwmBn5aepBVPS5y6/kqFiQ6IUYNvb04ontvjpI7IwwfP5bdQbC1S
g+hB1Gajw192C6NYWk4IOAS+2CLzlFtI15Ppf9CqGmG8EXksNkgUsGOn58UZGTqxsyWegxnukNh0
F6Hv9jaa7nQo+pWV94fCbrSFbTPE9YV1DvvsCLkqdQdaM4fVYp3WW79tHqXTjyv8KTdjopSrKfWT
FcDRAghge+e1bb1s++wDW9KLSIl5j+300JZOsOapM/gMTPkCgoDiVmQ8145zxwG9VovkAJOBtA9f
38J3uSs7uuTQGlwaqjnn4bJj9O6Y+VPIRbcQlnoy1GaPS9lzO7iF7JBEBcyg2vlKx5XQEMChmYxV
sfDvHHMkH8wHeQEAYVObLEJDoz6ThIUf11pnWnOPk2oLH4J0mVbjA9gaA+koabdShV1CuPOsjcIu
17WAlS0l/slMUcRGIv/fNfxC3TpIzirR5wuCFS7ajGa6lDDQ6uEuydiZjjmXIEfWmmQBH06F2CeZ
I10EnewkeNL2vtAupaAZVWqWXk2mprtJS/BueUQPjjAT3cjSd4YRXgZthMci99dsniiCQwLrgNVs
p1TjkTDtS63qJnYMjIVlPnzOcv+DbpZnYmg+T4b+eZDquqjlQx77D7lfyGXDZMlLiwc1B5huVDc9
Cnc9UoAVkautJsFeq/pHP002raU9OxiSGPVcTcJiqNyogGbmQ1wx2cMA7f4zdH0dus4m1l+X3YfH
un7+mVzq3dj1VYIt0VtoDDdn1Ma7spuKfP6/qbxxK76XS4EQo+xGX0g9jlgDc9G3slt3sCNRvbOo
fSvWf6MJFOa/xq54l3D1s/hjqgYWlvf3XozB2nJQEFn05xFpg7UKOi9iQWDBmffHMACA7+2bKfZ1
7EhdF9+LVkBfRuUVNrtiCjk7O2alh69rumjQGhTbfZHlRCxm6M7/j70zWY4b2bLtr5TVHNfQOzCo
QQWibxjBTmwmMEqk0Dn6Hl//FqSbmRKllCzftO4kM82UFAgEwt3POXuvzUvcQ6OSReVPqyaoIiD3
Q7Udvqi2v25kY13Dzmq+KLv9cZrcpfwq+UauiiKptAN9YgP8Ig6fcvAbC/Flk0z1gA0TnC3wad/5
Il1M2FG/bK5MtkzrXmoEb64J29uh6mKXzwgm2hYsOdvBYBP/3BvOsA5iBKCrIIiBeRB+qm45ZgR7
xXfkxwhu9dINAAQtsLx3K0Uid+1SRkRuSGNaTRVYTChuPzKuJfBySmHsYH8PqXMDc2ON4We7V4BE
Zs7nOKPT2KRBuhIFf1YoGIfIf4FZz0p+CAMSKRzEtSRSgTzAHRos0Emi+BCcM3XQzYRDsYQvKlVR
mf/gHMLmrW6dygwXbITZi+bMys4pD/ZFpcgLNpmQ6abmMl3N3hIxWRtDGsEKcrW5qfMmWqk14atJ
AFPQtFp5SVS4V6VrYhPuyCIuy37l4PZZBI7xFoLQ3yJp4bXoWObSwCTyKw/EQrWVj7S/g609ydbT
XCbdYVV9Fr3vEwEwq+mhwdbLviJmUDa62OR5Wu9dkpqXuhLGECyJnAlyO9/PY86ojclQERYdWdGP
167rW5vezdNV3ZJBmvcpMSsVWoC+9UknmCp+Tcd4lFnC8a2M53kxpxEG6QD8Bb1D+oLo8CH3gBy1
y2tQW5yxgr65Fsw9F9OoleysIxgsNKcgbFV3WNVdTliSORSrQRPtvIGWK3/Iki0dWpBAfpxu/7Ns
fl02f6mbOeb1f/1vFrzJt/qHBhqNr79aFnN2OiYVuuX4VBCKfaObQcTvIu1nmmWwtMJp+LNlYZj/
gosIOclBDQZs2vpGaqp/UaGyrFoEtZGk/I/8mvNA6i9oDgMvNKszG9EQAt+mUN8NrGJH1E6fufFV
m64mS9Ax3pjlwzf7yeVH4MFXE8z7qzBgg+BCvDzkbp7Bt+tz6cM4tSYrvmryOJLL3FEzNAO0Pzzf
oEiPjRrexahrRxE4eL4IrfXk5B86kktu1CK8llApOCZHx15V26XK+MbTHNQRUotUTw3CXa+nu7aD
Rtu526LVjurUX1OKnsopPwyVcUZAu1djOthpB00+Vkt3LeblxW9J9Ih091UbYNbZScofUlgsgL9/
xrpIrwaUB0vWXJEtfH5+EPgJRzL/7H2vTOnG7wexbJQaTYSrMw9vJ3aNhPOUR976Bx+91EZIy3jW
UyIHFchFm0hNQnsVtmVBaQOA5AGHJRgwJyGMIHCJuNppBrkloE6cKxu9zLARpHSB0XdCFAxGYTgf
Jr20AUDqclMpKJk2Wt6DTPMKDqmi9ForbUafoSJwcafUlRN/f4HrCIbwzJHLlWzj5Ga0pPlfsQmg
Kq6EE20NaSb7FjW9c+F6tfFsjYGoD8zMupxt1LjJ8QoNl1CDdFvSOTq4lS32sAaDp3lk+9ChZQDp
MuIJb7LW3Dl4KCqPPh5TGYcdmaZEX7v39BQY0CDRXRHxR8ejGEJPtmT/lUEw7jrd6q7cthWrhmd+
JLGqfqnD4DCMVAjj4OgLt6TpAPRvhVQNuSOp0DeAI/exSqXo5pp7g8OAUUdMcJ4zUgLkBc7NITGX
Xa4hn44enJRuFh9dt7SpiFZwk/VZAsEhACXN3iYseiWacdo0jQTy4sJQqcNOn1279cY2um1vZiAO
B2yaAbRgdpj0FGXy1FV1tk6r6NrMrZ3DoXnp23KbR6QsB4Z6qd3+ttFEdw/4zvkMbXNRx8nS7gf7
cx61Syutl4lfaneq0q4DuyGmOU9WrpKuE6dexINDd8wuXuu6ecui6m2Mxw+oKpeV0e3dIV2zgEBw
mDbmoJ5Gp1sabrNFpX6cgEkGVfdRtdpTmSpr2WvsP2TNteMnwhXYtz75aqste1sa7OKEySZW92TZ
0Uc52ebKrpN633RUNko/HfVUR3Kln+yiXfZt8lTw8cE+lsvMESu/s9eEBG9bdXoa/HoVpKR4l2q5
MEjvI683U4HdEwmhjeHSEuLCPd5YRO1SQ0/BMqp8Urg6NTqFpk3ukK9fNzKrT33ZHAJ94GUmUk+W
1NIURrxlKUUqXyI1F4Q10j8i989BjkfX70GZaOpY4rbVg+usLI5YgLxOd49p212HbrSXyNd0H/BS
EAw0VRJtEQNw8tqK+W9QqVeJkjznifaMB28f1Qm0cGcft9o1FHi47RB5pDxZZuyVshwPkxCcxTgk
OATwlYnYtjTS3AqtSDgQxzv1eyefxl05ZdmeCMnXdASfrYRwnMeAVGWaOMmmdGmU1ZpyM41Kuf71
yvsTmAitcoSXzEbQRxr8+/uVNxw1ssFtSR5RmeirTrrjShAksEyRLB2b1OiXoiNPLw9TTk3Tm1aU
9XVZJuqdMzkSM/Fw01bxUR38ZeKKB3VoNri1P2eYwJdFAUaUAHPy5kd1nU+809KPyG2zaq/nQLow
af4shdNsCb36SBBo60Vx/UEHcLLqNFiKDLPzhcy8vgSsu9MK2qKNn220uNroZneRer6pU/E6yvQW
qu2+JRBuquW+bEnnKPKjU+suQ+CRjKMx2upDaHk1ShzbJywpRAwQsPsta7W+MceWVlJo79XQ5XuN
3QDCrUaLshru4widj2tjd9RH/WzSIgGbOOuhohmUNV2FdbzDPryxwG8uI1nu/AzVaAsRgJMbNTE5
rVZQHGVA9p7I9HMk+4Ns0y37GqDbgpZtPtbrPK7OSSxvGKXNfvlOLm2QS54xT0Kr6hIZdbdMJxqg
THXvzdGEKDJEjJ3FIep4mQZeUIf5VJKUc/bgBuM39jTtKU7HZWoQ1+2aW6YAJ1r5r7krjmqpdigX
lFdfs4mK0MuF3eIHS2Sq7ZRiXsuaYyTsR12Va1VF3kQ62tOY6poX12OCXS84G5OlLcn3maNlY2eL
V7v9kNOtPyDkrk6Sk+zu168qav73BxEmiSj3dZI6HIy737+oMWk72PNSYgCRdhjxvtLbxa+v8L1i
n78SF7BmQNQBJuc4dCS+v4Jhw85x3CC4kna8UOxz1EbbqLipegaClfQiGxR9vPr1NSlAv7uvH686
3/c3A8q2oJlpGopyUsfsFuwPchn+g13xkepuXISo8um1WQ+2b+y6lsjjbiBIR2b9nKEY5V5WTY+5
Io4QFVQPkPBaur320QlNQT85vreZoi+DZDwIaT7ZCFb3mjTslrcpyxlWiGzlFAp4uwLMqcjGcdcO
wviYZ3GzNqn1VlEUfZK8q6tStcMlK/BI/9NWPUrq29aU04b18L4NOn2XBrCyx+aVvNMtm9JdXVVr
u+5rul7x1gB1v4pVTiiyz7IN8j3VgwNiLqveooSKhhs9zIDxRB06wAANjQvYtu4+lzWN1bqIdpWp
gAcz74YpfjDVZG8hkaVe5rAW+QZWwiaid9lau2SKD9ghl9no60uUhxB0/YRVVn3oVCSdUZyenHDY
ZBVzJX/iDUax2gQppsICtlvqkAgRO8tK+qcCdP6sQtbyGbkXDLcYlzjAIZZoG4RFhoEccBLNRiki
lFxt/mIHiKfV9LrET4UTsKG5u+8sUuQ6y6BT6rAiatp9NobbwacZ21XtFfAHE+UqmVKV+eaUwOf8
CMy2ZW6CwjyKXn5tYf0tAvMLLf2vg/aPb9u7+WNvcsTQcYmf4mN2Ca6UNTLoD/1m2llb++iw9Xif
9H5h7bVT9twffv2uzxPWb77Cf1wcKR2qfh133PwF/OZVx1DlZIljKidUtYvsqHvFGk2udlAexFpd
qfdnxTs+dCt0Kd0L/5BX41Fd7KO1D1Jukf7mt/m+sPn6yxgqx0tIXpRRswzi219mpM+OsSgOr0L1
QtIY07CHqvta+v7t4/5+zfrxGjMb4Jsbnqq0VcKQOJG8fAuqrTte//qJ/vQeBHNuMffRaHF9//en
gz0palSyeSuX8gsvhTPn1xXq/7zwBbDeNw97+ULw1FvWRM149ZK+/c9/zzjTIq9/IjeYf+4PuQF9
T0MViFTQj/7b2PKn3ED9F5BZ4yvpFLzxX6W7+BeeMI3wqn/b7GlW/qE2BbXkkGBLpW0gFNCRL/yD
ticSFz7/v77teNB4BdnW4MWRZ0Jf9t07HldKootJD8+pOpn+KUS9+TxoKjMCC/FjcMmV3tpPbWk/
26HZ84IqWYleYFD6p2oS9Qc3NPNb142siQDhtidjMhPNQ220GoN85jArO0TIaUbKh0FHNjMEWEmk
DqpIH+yLgzm6DbRz28HZleM8bHrRQ4TULPZ27aQkBKsMS4kt0kc8Glpir4aOiAOl2rPSMqmtlYAT
N+mxgTq+JCX2hrKHk8PBfU7iRMA6cgT1cMrOGZroJjPhLKzW3ZlBRZZKD+89tW/MzrpJI1tbJgYn
RX+4mkhDWbodCNOsvC0M/Zk0JmOR+2BFsyxuSWKepg2AnNSjruW0aFrI4MSxc+pHPYU+Z2fyCMn9
wOi0ZYqvE+Vco50zK+braV8AUZqSm64s7ktzKk5GhUYUTo6GzA9tZ0UOArHYXb+oZI27DyWGN2SB
PGa0ACdRPGJSxcWhqcWyVau3qa5GvDQzsadut7KON6qbbrWkWRZCxOtRcT3TxHPu6PqaAGEAbDHP
AFds7wWdY22jjP8yu6FdZG7+IWPYK1wyK0zSBgr5SUvCOztnxNM0sXn00TdGhXIdFXMKoyVCz09z
fxHgcw9m210uzZvQtu/MChAd++KrnWeHibK/GB3KLpXk9ywTZHB3eQz3ajjgKPEatScbKc82MlKo
psyW6HatW7Rl9iG2ESXYdh+ttQHET9Hc4ojB59Tj2Q9VZ22Wortq54BsMdZOs6jMXZPY6QfK82FZ
Je311IE9JXToKgNaP4uSjWU8tvfVGH/0u579LGS+aJnqmqzIB3Thj8IPPB12rQSNtUANhkOgu1FG
bP/+dJZJtKojfe36F17WHO5ge5RucplGGw22m64zaPDraoiA77tJg3t4PDQ2r51mxcdcJ1RtjjUL
FedBEaEyx22geY2ZkyrVnBaQXFlFejbc6oAu7oJwlZlaR4s2EOaa1JxnghCXoaXfp43E95WLfdHZ
5zEiRD2zodi6lGBdCWfYr++cWHwkAv4E2uJN99O7uhE79EbHuEu0nUrMuddItybGnM+Bbu6rxDR0
Jj8Mx+kg22WR2Wdu3l40ffhYVtY88E7Puq9dOHYASEo+KorvObmrLkQI3T810svMBD9mBoTitMke
QputBmObvlBUJoWKbJmzzoG/PlI8nFDpC73xZNWM8lqr/UeAWiMYJ8qdkDLEdaajzJpTqyW0dcwn
9DwvqM6JmOaivX4dF9FS4t0KycytpbpB0bdFMZUQ+CxPLSf3RWY62XpMMgQlM4RDYxxphXvMKsYh
0qrsuiaHot4PnTYX2BmwKd2YwFaUdDxi5wFNn6StkWoAcqg20ZgwvKYEpqLKcpzgg6lfhtHcs69q
VyFfLI/P3DpnAoit1WGztxsxPExlFtxUKLEPsRlbm4ZHsOqlIreaQP4DlVMQ4IUFH8OJ3YTbRjGY
onDClcxYVG2txMS9fdmd/rNN6xR6fz+cvHrrXl5/tknzU39s0hhT6dfPoz+qp7mP/t1wEjTNbAc1
qSm/yAX/8IS4oBI5GAqOqsD2v+ytf+zSLn+fBdTJdVARQlP8R5v0bJn9fpMWwqSvjmqPcScCxHeF
LeVsYVh+NJ6j7GKMmEd1f+wXQ+PeDxNncXWkPHf17Aja5QY7HL5SqXhCmTTAz0yqxqjmm9q4mI7c
M/3jHDGH/ZHZ3Um27odpKu8hrX1uSYotFXsm7ognWaR4Imt7DqUEm6Cnx7w3eiT1nbtIJuOqVxEW
SEoTNAPJBzuwp7WR2xQ5fkm/FmQb4r/HRCLDHqePDBEzHBLuti/b+yRqLpVrXkUOZAbVJUAgGejo
DsEVcj5CyjsS1ZX6oDlxy77XrdMh554nhETGAlLrrnXCNWmfPjnC2ToLlQdC5z0XzwmjjitJP2Uy
6duyzZDikEFynMDMxWQ4ls6sHmEn1EyNDkd0rhPNZs5YjrcT6seo8+kmFbU3lQN7RozTTQHpwFde
iWmiWk/pRPPLBvC6GgDT7EUe4XPt0Vwqgz9PL5Gs9N1SmnP3jrwZp3cn6DjtrT0WOWIX60NVdqDC
g6gyb13RYiphgJlHCV15xHv3Wt8Tk8mOXNLcxEbGxDlm+SdCM4ixQ4SBNJewekDPdpBu7W6V1ONG
lcN26jt71dbzSCIAf6GanScmn5XW0u5NAd4rFeZbEVsnqdbuomum58lkaGvXvDih3943WfYcybfK
t/alSdimZda7sW0ZeQhiO+Nsm+uqsgqTAqCS6E6umpPnPhIRF6oPo0lWc0FiVGqNL6VmlfdmWt8E
qYkDpVv0Rb9rMesNcexvI8tHaRn52wyahheUxmFsaZy6SiF2ozICxUmdD0pXOQu7VNa9q2/UqHMW
88jB8fvd5KLWVPPCJmUk42xGeCcHqE2EHXsBwfiS6T6qMmCH8H3ogLUfJikfpKV/zg2eGQaERwi5
zAKSe9IVn4K0ugwhoSdD42yTbHqsq1kBlYdbEMjCk2a6yoZmn7aMQoASPHYIHFGzvTRjtCIe7ODG
0VKLiieksg2WWWrwRCXEXVbyDjvDfVhb3aJozZpfLTkkA+kYE3byRjyV7DF0zu1TVYgbPKkb1fAf
tFEZNuo4emnbPltOcAPwfy207Ayg9TwUqst3bNKPsdNxmrQzkpA7Yj2DdZK9JrP6saOBWPf+Jo96
deESs7zMrfESgUZ3VDqrZCknXLt+nGjgeb6tv6QEUSM7ShpPrU2aPYG+6Lrxzp4wtQy5RFlaiTsO
/wfaDU+TE56kO1wbhNXQbc2Ynriv/qywddHm2qKk5ZTyAvp3Ev3pCiTLmxUj8oo67Y7X+FE09LY1
P79qIvu6do1Xl+DAVaz0l9zvk0VaawRgBTrzED+zFtImsdVpKm1hJYOEMO3eJBzpFiEw4Z3f0YpJ
R41juO1+HPzmJZHlxdcqeiLC8pd1r/peOpYuthvrgBHUvEyGswHbH2bXflfGt0WmffJHg0l5Mt1P
eX4k9/ajlmn7VrbjFuaksmoSHbsoKue6COv1KDlJcJh7ywsxrVqOOxwsyXtKmxLjCeq+Beg12sAW
cVa+WR1RGSFR1vZRS2RQ2NxUAUkCam/s7Mm8GlrlkKfcZURSY9GE6sKaFJM+frCMw7T1HGH+xwbw
1Qag0yf5+y3/9JaBhIyyn7Dx5h/8c9fXmZBrBls0oH96xvzRn6W5SdgIO7drAWs3GZL/WZub81EB
nyeGFnuGwxicFf7Y9QHq0StS/x12+A/qcst+1wizOD6g/sejBxTDxTbzrtMsZBM4KHuUs6ZICIwU
Sqo5vfk9A9LEkjZkRXXNMIyU1lnoRjx5deNWKVJM0SkGwvM8EzdB4NKtdLURA3mtVQ8+zq3xk6VQ
KtmhP8e5El0ekzG/qHUQEcFs1sIQb25wzIArwnK9ATAzoK5X3HWl6Y9ZkaifglICRtWHYp2HAtF4
2zToFOdqIef/NcBLLdpEr57JRdZQRrLrTqT47PtM7OO4Msi7rXZWiLynbpVNq7cfSUbkEIwlZkFc
BaqfOYpCGU9jkLuLVFgraoLuyslUMmArbAUQOY0N4ctQaYg8ocFLG5U8ooUxkiTmUJsvdL8qVhNz
KST39SWuM0qksZFP7K7jraY9oKNEFqqA2y2DEB+7ex1PUAEMXTuNKMvZu6Mzeu9PNRG9Nqzmhdlg
n3U6C72pMzD+gfi+zyCfU1tGwy4Za3VVW6UxD/npPjiDmvPMGDTzsShnUgZHzJUuqoDc8JrIZJ+t
LYhc+XA9UaltMAol10OnnvMiDLduQk/Dp7YgXXqaojVVX4azzsjIwYvjHowtOdxY68UcJYfJc1k7
QoEBHILZgeFQ+LcWl910X3LrebGzXVZ1HfVLHu19W3FOkQnccNG4Pt5Nfjg7aWXrX2ttiFiYrLkw
s1+CiuFQX0ud5D/3KdGaYOU3xWc6CynG0OAo/ZBkxXg8S8ZvhDamn0OwBHTlm/OYmmxkHGc9s3IS
z80SJr+dvau6Uuzx7WleF4+3oEj5mNJ0Y4b8w60cTxus1gFr3AMSi1oQRRaq5hakQtX1unnqrELZ
j4bwNMK9jYv1JXyzol2v1ovBMjy9BgxYxLI5VqWrLgnUNs6omOx1VVrlwTap25Q83+SAyoifm9oN
4MnnObukUQeNKK6h3vdI6heyC/B7mr5zlZA+rqTuq67URztOr/MWmbBinOpCMFbSleJqVKJxp89E
MGwVW8UiA4ZkZnmnxr5PGu9bowyHSDJ/M8VxDHN3hYlmUw7jys6nNfd8dsbsaKXpM7nhB0uLjmno
BMi/LP+UOUjDU7swkN8Ht+E4BGSGwh+Ou21S8iE5IeV/HzGDioW/0BPnJWh7voF2dB66nAzGjPpb
aboU53DpabbccUJeOVX1knLC6hlO4+H4bIuIpSVd08hboyP21I6olEAn9If8lLCIdwIYptsPXq9x
AAobxjD9IO8dqZ7p09yTwQgWNnFz++yTmbT3nelzUWo38FZ2guA5I01XdjMYYCeHg6UkHsLJl9A2
NmBIVhxYCQJE+1sn2Y2T669uwnc4lcZb4443JmLzZVoWp7GcICKamDgMj/lh5JkMXRmUktutFsyK
009o1+76+X3UknhXteFlyodziipfxMHOH3LivnOs4FxeWup1mg1XYzl6OiP1zG+XisPZelI29Ie2
gplVWpAGWpNybM2jaHjfttN6EjaM0rpeEooVp/lzVqjQUNR8A4eUwV8bXPRGcuAJtgPO9TRXjhyn
ODpEL8yZiXwfvJKvCKpYz6+0JVlVnt9w4pZvud/eDOh0YkfdjipZNH32aJVMnCfgmCbXIPPH9PUz
w8jburHXdCqXVjDcmIM7n7b0pStljSQQs71Zea7v8gb6CrpBde246eeRtj8r3HokPrIOnaXtYHYB
YrIzNKSfU/Woag1dFefWtotHJ+Tk3o3XbfqajcVbqZKzh3JyIYxoTQDGuvbHZQKNPyS8MDDCa0xd
p7wzbugvYWJCA1+pHHRo7qnqVnG7rVMjkA/lbWzlx4ZahG7mQhBNuLCtYuUrmJXVds1X8ap2nbVm
1HvDH7lguQoKHtiQ1cu89MHxmPqnvs0f+avM9QDya6zNwuObRHhG2HsQYF/qrCZJSTmQqrGbFIEi
SoSLrkqAmbNJhAUlqRuOJCLZAhNW95C22XNTQhGg9IDFgBjUxAfTVNsM6706pHRjLbwzcffYV+pD
XsU3cI02PtnXkd/y7NxVkDVb0Vi8nQLIWXcN0/BQMPbvlPZWRmLrDP4Zks4uM9N952s4jRjZZS0B
kXK8ELqx4wu2KHrnOq7gIGjDU2Ej56iY7YGwvvcrDspVfc5q66YdaBA5Wn3bEiPUFTnjfbAmEMmP
pHzDBS3VRS+DUzUvVFP+OCYN4ndrUxQYq4nYiqnZ634+9GQHv8juq2Lca3p+UHQzPCs+4VGIm+Vt
jdjTm/RmXzEMnXrq/CZh44lfw8C+j5tU7HS0C3hOmicTZZQ+s3TyYJVE2qudYpdrysekCneqrp1Z
bxHVVgkpaPUBrw7fSykSb1K1p9Cqi7VrJHdp1QDIHZJNYmiXOAFGlWBQzOgwrNEXbv3E9npdSVfR
lHsdsj4R9AFGd32ZSKQSYXYZAnsT+8N+yMbXQkEGVscvTWWR1JoxBfRruYg7saKhsapCJfMUTghJ
03qpZJMY3GzbKc5rh9sQxOwm6MQam9uKMCrWnzoe0E1M6yHNDmMTHKrGusstqvQKp0hW05IFE6GE
vbLPdJJhVdLUTULHtBxvWnOamIrUVfEJbQeqFgzvvhxOnYnRK1XZ/r450l5+lES+m+x9OSHSc6Ix
ZcyD0vfTyaavqHOjTDmr6TaKk0We3Cjhv3uGfzue/L7zxMiTYyizWLK2KDYd1KTfjw8jJVVty9SU
8+B8rPpN3z4NhNYbyxSN9q9v52cH3m+v9K7Hlfv5qE0+V9JJzzbpkAp6N9Mutz/E7XOU278Zc//0
6fFtQkxK/9d5f2O6k7eOL/Pg0inPTXsog0+Z/PTP74jTModlLmPAlfv+2fm2GFR3LMILEc9xv2kB
HskQzU+wiUAl681X/MDfflQ/uSPcnhQt0GkY5NnvKoYuo6Uzqk10AZsJAAPRN+TV5Df39G5cPb8P
313knRSl9pXGsn0uEjNAa6pj7IZfS9b/79uYb/ObgTgNKtpeTGEvVXGyES0l+Z0vot9c5J2O54fb
ePfRFAncly6to8ugGAtEX250wfjKAvdkMc+rzzp2sF+/DD/7dMBFQyuwbNRD7+fwSYTJNIu16CLK
61INvIJAdv/zP78GXhkQRgbvAXli3z863zJwKHZVfKHHtkrtpcigi8j7X1/kZ4+OEDOXgbGGf9p9
d5G8D4WIInKwq+Ips48hlSLAK3KnbuP2YOI16P3rX19xfqf+GlF/WYNY4v664rsPC3kTckhtjC/q
gFCmfoDQ9JvFQPv+05n9Q5YmcBgBhII0gVri+ydX5yZGlkFLL/GR6M0dm+cp96yVdR3eWB6B8GsC
nte/vqvvL/njXb27JDj7dMCbEV86G/0T40Yd45+eb399lZ8/O2b7KjunZVvvPi170mzRIPK6+KXr
6drBcZrfPLv56b//dExtftvgVc3kqu8fXQGhVhtrJb4ISt/R0TltPkc48YM4/s29/OyJfXuldwsc
FXFeMcWML5r1FjrXln9bTr9Z3n5+CQtWsIufAnvZ9zcTETLjmFOQXLLsbCE8Gugm6639m63uZ18h
XrY/r/Luo0+qLmxo+iWXKPkkFXSeyqoy11bSeklzUZKNtH7zGf1wWwy2hMDXhm6E3C/zncgD3Lwo
UpHLS9Ntyuq5t1fldPMPX7R3l6CX9u2ynXUBDzSEWtHjENYUmNqx9ZvH9sO7/OUShsNawIGHPtv3
l4iHIVUkldallp+UCZhV9JsL/PAqcwEENxbfExpvyL6+vwBLp+i1OTaLc17aWkgldhFOhcx9+/Ks
/jOInZeXv+/KPmGepvn6RUG1e/2f//7ayZ1/5s+GrPYvtmbyRjQ4+C4+6G8asuCAGLOyVFOGc77R
/2zIGjig9PkDY96KMMqap6N/NWTZpEC6oNgFpEKw3D+Zw8IB5AX4a61DLDWjgkwD1gs7H8Ndfolv
X/IGnW+Gn2g4Fw1lNr7zpfCru0YHYxXrY7OctCy/Y/Ahz2Tmprc17pgt1LR223Ky9TQWlMDN/Ybc
HePKEKa6aiRpzqOI34wJjELDAeIQlt1Ht+2Lu3wk1zgp5XBBcEzeZZoJz239/M6sO0SkEFibDJxE
FGKFD0r23R7BgRYIJFX0rQmE8LVljZo0naDBSQmtI3aNTWFRwo7OXVC21XowY31pIw8/S2JwPdN2
nxXV7rdu73zIJj1CoNTnaMLGbN1MbuspSUYsCo/gHGmOvx7Uxt3CSLDOQa/TfUpRHvUFmD0ZGHio
solWTSAec1KyZgk4rus2PbbluElc5am3kGU0eeu55GgiDin2amuuEhGoK6KG90mlHLrc+cDTPOU5
gh/iSunz2m26yJLw2erMl8F2B5of+UOAA2p2pFPJByTOBdFtY1IDGlKxF0amCc8Ogm0ydeVWsdM3
I6B/OmT23ibPbdFMGYgBK47XjWIF69BnhpZZ0xMfNFkidnGbK/6VKcePzoS/yZcFd2K8+mN9gUXS
HSFYoDFucM6WvXOFq57WrD9dWTkfaVMMy3LsL0lqfNSN6mHqk0+KX1SLPAz3BDafmSYjbC7oaGlz
H1Pp9Z3F+RHRy4BbNHDP4IiY9acmLSn7mA+ps8qF4S8sLXwqgunaNE3gLzQ7lGHiZPTFVeDnA9y0
MnHOBr1s46Oq29a4E02drDBXHRQfybZXQcBYSquqF6Gw3hRyUECcmizb49r+Mjt2mRerndx3xLEt
BHxbmrXaEXE8svIZgOHPKMDAAgo4Qgd0SjCB9QwMrCyL1pxDBKkJTbDUCxR4IYDBCF7HKoc5qM7w
QTuZeMgzkFAZ4V8FM6Swn3GFKm+qAb9QziDDLjJ3w4w2xEaj3mUz7tCHe6jNAEQ0ST1h1EARdb/3
phmTaMBLHEd9G80AxcSy7iqIivqMVhQwFrEuXtF1JzYV3BgivBZBBERG2n9g/pqRueeMayxmcOPA
gL6bUY5+Yx3ViBLEnTGPKrzHSrbRXoMAyaRc25V5xKcEHFIaj7Xmn5U+WPcT9EjyaiA1zUBJN60I
V0QKHuBZcoBOhsAnHTKCcAG7uF8EijcawEwa94Poi12iCGcpI007Yygylj7a4BvEC+SGm3Q0qViv
ulLJ8QnaK31EYICqkfe8S8nuhYA0arSVSIZM9iW6R1SQur9Vy8ZEGpibmzHwXTLOy3pXlNkhCFWa
mUFr7EEFTfsy1pSNmZfqKi+La1txq/WUjEicgsdCSY2LHke0geMMUFBkuh5ygL1CbykYAn9lx8VT
Sbf1c52lSzfka3wt4vhtYqiC19w1murrPv2f/XPe1f5+/zy9VZ/eXn/cQeef+nMHZTppsU1a+LTm
pAr+6M+RpvYvEPI2AhRXcOr/f+ydyXLcSJp1X6Xt3yPNAce46E0gRpLB4DxtYCRFYZ5nPH0fZ5Yy
JbWy6s9e56LM0kqcIgJwuH/33nO/kzQl8WImSbDGKG8FOvt9KY39G88hSdOdlArHR4PG35A1jc+x
yg9PUGWhYuKinFEGxtif9nBSM9AS6jQ96QIe9Bk02Er48ZCb2iNhT2fk2IoB1u+BO13rTrruCeXi
kd9Ph4MIkl1RlKtISTid+4AqAsMqHu50aTYwQLMSQlXI/M7uihTDH+P2vA1OlFQnawuqwb4yYOjE
lF+U6XyatGzgvG+8BmwEfVL955XARmJPrMhB8zCRcK0sdJrenR4WMX6xMWxUsuQHyKXah5O1HcB9
USXqXWMW+DqUjULZ5zwFqT/YVGOX3gdhfkWxFn5WMRMonPSTWwbXYw5M1J5rscc0RY194+4HuyLE
n457zBnPZkXsbyxZL4dkyaCU1sOGw3iyr2ROPJWcLb7NwAZmGT31ad2tC6tKdyGF3KtFGQelshD2
n27CURkLo0+PYf3pNzSU9XBSJkTcOyD4lTGRLUJ2LpRZ0VG2RVsZGEtlZaR7wzrFyt4Y6hgdZxyP
QN+Mq0iZIAtlh7Rrsi2NskhGn25J1qFsZeCgDJSVEpI3XSQRDtZZGS27T89louyXgTJiulXD5DT3
ZiCrWLXr+Mx0QPkeQKxq6dbAGjLMTqq/6bU01z2luU6dJMcID0wfUC/e4XyJCtj1ZrhshZVfm4nX
jP40l7A+m/QjK/tHyPEXpRDhOnfGXdalqU/1Ev2u2rElGwu7HdRTld1AXjurjObZ0NKLZMRwVBv5
HbuEcdMp1HJVXxmhao6d+s6POie9spI5NjZSDjK5zK0oWY6wS6DKU02XVtSXSHMIUIWjQ58HWN4D
pvaTbbibfAnfl4ljSyDKkmE1CmOpLMEWPH/kUusd5bZZ4UdOfQAi7VpG06bX2WSqUoGpm0Ahw9iP
eQBDoEf6DggWd/aY4/Oxyr0W5vFK0GwyxXxloqzGSBUOA0jcSfSEZ5aX+u5iDjseycNaTOLSsWh0
ShsL4ltFTFcAJ7LjiY2ohfQbZwCZRG682JOeroK5vB0duga8mQpwnHUO8GHGPjGxYRwU3qp1nI88
CL9kJY577i6/S2aMMQwGeosS1XlATGbT6vftnG9KHdWUgb8Hdh6ZHHLfuhBNF64DKgcggiCojgSx
nDI9K9quvPvn/PWJm8Bn+u+eH2XRfRDs/sUT5PszGDhLWrwdGC8MjciY/PAEgRbB8Zvi8H/BeL5Z
YW2KXTwbtQxDjAqyfDuAfRYmeQzvVFSFicffMsI66gD44wHM4zxHUarL04gs8s9G2LyiGHHWXfsy
l8uwpVfMXJfCeXa46kunfzQ6+z5drgOF2Kv1jUH7T9+F94GqA8I8IKGPpVQUzEes8LQGyTG9z1WN
kK4KhWaahewOM8s8hoeKziERUi9Z9SU+myYA/MadTVn5C0zv6k1XpUUcB8ZNooqMFhqNxrix9+DU
zoqRKX8io8cc6ZOt4/OCPJpVbkMBS/06J+m1F8nXxtafpgHUIRL5sQPR5c9Riru8Ts77Hs+JlZfD
4yzcl7ir4vOi0oONPlpUqFbJfdpnL2J2loOZo3GDpcGmsuyX2ngZ2vzSKxqIkc4tvSJstDe1RwyS
/fJ9H8XPbqztR1E+to0WnjlGtfZa08+LgSJJ8tfZjN80vlQZjHpuuOnj6EuJy57OjBrr4XjpqbhB
GRsHs9xiHMKWh7Zu3KpUIxaCLn2ujahe8SfuFJCSZ6FyxCL8dhbgmDQxEDfNYFVabctDz8MUPEqE
PO3CzstxX3bOQLix34xlggXBvrAFD2CTMm9/yDIOmtmXBult3Rkta1sjdo29RL419FcQ0PciQUAX
tJDsogITQYzPJiv4fRnatwX71HOaN3oYYuLcTK3dZV0iGlJAgd2wh93ecQauvMucWnU7gb1TzsnF
GEYk0J01YLt81ZlYEjKBs7NQQYYQmwHASdqes5Ssdea0rR/HYL9jBz/sHHv4V/LlyuucV6wrAN7i
btu3OAAEj2CMV9ejY7e+oyM31PJ9NsABm3VyU+h5so745LRK3ltgeOqciksGle5FremHzC2PVTK9
DPn0ELXtGwFU+m/GOVgvtl2uSjr6AKvq+TpNugMU8nKN5/gRPma1WtiS+XGUXwetKQH3T3tqg8tt
E0pQnrM9rtLyII04AdqGMyQvz8uqOplNRJxJ7Cw9wxuByYIMMI6GTN4mS/ECOuW808djuRiQhLri
LGi7C5GX1HIDhshEdXAH9y2h89OLwp1tGmAuSf2ObXxb9do9ot5BFOVZT7C1tO1DKsITcZGXos3u
7ZSJRraMF6ZszmVfHvsh7TgJTtdZPuymAPIpNMxiGfeVVx50NT6dTVqIo7PQxBjSYFCuiNGPrbgS
kZlt+4VqgLB7Gp2IEnBz2cZNd6p6SJbz4pzRQ3RjxdV5Gg97M517XmHeU+FEml80x7BysHwM2MFA
zGMwu23L9jEs6nPMwsc+MtdRON8UIiPixE2fZtGW0eRjmDo7KywB0cbuYbaKnT2MEVdHd5QFHS3A
hNmyhAeMide5NpCiEjU1SM2B5qYnel0y3xVZRtF6fzNG1kUPyWsFKgK2+ZI/sX/aO/3gV8ycqEjU
KBsvjhQrvSyutxs1Ni7euM3i4blo+n1ria9LG/armE3LQtomFgghK2eBonljkHb0qRfNKIApLda+
ScozzaTttLGzcy/sL4gyHaau71YaqNkoik7mkJ0HIfkDLADHEbDoJvaKtyHuyAY32aUmvF1depcN
gAfiOtM2r4W+iS39gbqJiwnKi0y1Sz1Ibhf1EZKOfKv0ibsx3EhjPNdD7XESw0lSLSXSaR3ZTrmh
3erV0MhYx1WIBaiu1nXHZ9Ho1rbow3hXu5yhpTzOXt6h0Df7tEx2aVGNFBLpDwwUz2ra56OIg0Cr
XQ9k/XzDvHNCenji5S3JnNuFfcdFYdXVQYTBTZUXR60QwSqAlm8u1ote2TuKd1emJDWWdHBNxmYy
9qrbyTDCj3Qmb4/aJs5nZ74g12lsdb2ytiB0d05tNWAToorEI7MiOxT7Nu+f2jG+rYvlYu7Du6Bp
9yD0QyANzN0YHvCa78I5e+zqaDhM5lWaYrgQA150G6BXPu0sszyNXXgXi4VyJnvYa8Tsu8U9NK19
vWT6vgk93hr9pNVNsYqw9Qy9cUsznwscEoiw26j9tT5eV9I+thnP+w27PSPb9GMdP1h53LH42865
UeDAy91s2EY1Y5Mai2HsDtydC0BeZ17ZDS+Jvei+meadExbeFdk7FxvcUGwWLYaIMdA3hgeaXqU+
fxtgblJVlWx5wuA0ZJxLr6baLYacabp9EGm0Pys2bjmAY0+yibiDNn8tGuqsuItX6QzcQCa4w9mm
uhsLj/9Q0lolZlv1IGHV1iPauKC12gy58vCCw2Z1Kmq9e0p0hxijtTQaR7rRum7HgkI2d2EbPWam
S3UTWW/ObUvGFFe7wKR6xlz0ynDTrTklG8dYHvI6uAnrhhZjA4OtLHwjc/sNuYCnYGSEiUtl0+gt
yfR0AmhLvE123dtAjEVP3WczkMdhxDFJeA2OzLYLsIHL9g671Lx2neiVlfWBYsM9Ft+TsKaPIJHn
+cLb5NEixoVU0l1MDeRinTtxfoSGJX3bydcJuTetwmbU84imoh2XVxNQ3mKtM+iwjP1i6HPLoQrt
C2uK93oDsSetDrlHhL8UKaWp9DPZibz2xvy2A3k9lDNEkKK4K8AwwGFOz5mBHYTQjhD5fbZCO2Oq
D13gUbBK87VTn4dV98jUHDyoftZInrTSBTlUvQfJsknS8HoK2ClQSUHhWrRpyLRadfeRw3TWKBuh
FAYba3/ee9m7LQWMIgqgSxHfNJDDbYNoj5nMK5nb+2gSt61qhurgmPrws1azE5KsGbfBQFw3oMui
99ptl1AH0xtPCHl+lujTliI0X3LwZWtRr8As1azu6RPzcM61AIFHDu5eymi+DzPIJskDwL2ddJcr
MQDjSjv9bh45VSfVY6nbAlMjQ2NtiL8ETTn4U0KjXReRh7LEZRDKF0bi9gbRaGNCX028+ODFwtuG
ISCydPmoZuuyq3Re8YhT1Ta4WMJytODZOoRx5krfBLPtnkq9ZODHwDRz7XXUievM1C7o8lp8LZTb
tsXuG1gReeEW608028/WiKfWY6XBITVdTJOLsZG5OAVv15VmPxsGvdJVTAYGsxq0wn6btgNs+JZX
TQpr76mlp8Z+OZRetA8bJt/MFI4V59M01OBWQ3Smpb1eG1gj13WTf+VADyZxhnlO1vfrTB+oPtSq
AaHawTI8jA6+SLDxwKPUU9synyadG43yg3DdTMzI69m81NP4ktSrbyZmdHCipb2ocL4R/ZaPuMbD
s7EJrr02e8bNbO7V7Q45iwNnwdMcBVU+uxF54Mq81scpvvAk5TB6dQgrcWeE7GhKS2CnhFAuyrXI
04s6FOBgzYZccv6VyU3GWm5sQunepV15FnfJeTrY7DNH8IdG9zTr9Y03QS4uKucy0cPLnDB15pjz
eTElD3XmPZuTvMFdVJ5bMik2fWiXW6qanpfcO3igmGguj4tdQTbnXKv1banHJLILc9jD+cb6jpM+
8UMzF/J20hODY0TTaAxqs9k0Ej+VtrYx9DggEvbdie/q90nbfyGjXEEF69r//n8cxb47QJH1x4jr
0bij84wnwCB+kp6NWIjJMIr4lFQIm8WxXaaVZ97++1/yo0z27ZcAbIM3gR3SUae47yw8aQAuT2vb
GEz6QSuOAhKoZt514+/H+L90CnES/d+vxWGIaCrRT3yqdd/9mgAlkVOAYONufB3Le03+B4PdL36+
w6hSGPBgebt+fq9aCqJLMo3ZqRi50PZu8Prv36Zf/XzkZt4h3iiVG/nxbUKpCxZp1fnJ5dxhXVne
xb//+T856n7/rL97f376rKGg6RElkPHJzHcaoT2y6c7aJNf+kSXrv/2roEAS96QjAyHW+8k3QewS
WuJSpieR7HE7dmJVQTQ1fR7DWvX79P8vP3b1Z/85Qv68un74WNQl/t3HLvQ4Hxw7y04VRb8tOzqf
W4s1dR62f/9Fff/5//SiCifxMAn+/oskkVLIPtGW54h6FFf/4Vr7xX1JyAeXpSJXScNQlpHvXpS0
CqPkwVucWrkNstdh2ljB+79/Ob+63L77FT9fbguhxBKeWXEq3NckeDa1/8Pl7GEucUwPOxAKxI8v
IaEdpzNpsjglrIDSIf7/f1i8yFILW2kRxLSV7vH9m1RoBft7Wy9Pi/M6Opc9Zl/R/Ye16xc3DaQc
i0GwCRMFH8KPv8OLcpqk3SU/4R8nyQKEQbeuBzRbikrlf7iSf/G78BMYWPUc18FM99M7FgWukCit
xSlSZ+oNpK5o3kApL9lj3Xx++P9IZqoe8a8lM9VMvY4/wl/4TtQ3flPNdPs34cLqVsqZcLjG/px5
gt4ld6/uSstzfycDfJt5SswqMP8ZetLX9imN/TH2NH7D8CsVJhv7r4XV6++oZsw1uej+XPL4k/hh
dFzQFm9yc2Hk+vGijJMkAtbfySNrMF4TC9kn7PzettKzPIYoQ0p/WByUFmYfBmfmAoJqXwbrMCrC
C9knzmsaFb7s0NpF/ZI4ma5fEV3H8J4MBGtX7VB4p7zsIOXLPosPnK6NO+KJmnXQW0FBrOdp3SkP
ZHCWzrboNgaimn4bO6SNz5dwydp32oPt8djIqrGuKxKJAxCcDzK38bos4p4Io+n2sGkS6vS82o2H
m66eu4OZGYgMyxKldBuLuSebDqkWqScS50bv0dlS14nnF4xUN9FElKmpm27Tizk+t7oZIk2wVD1y
eOC99i01MfAiA3gFcJgWPy2i/ioyrFeW1RdOOe+JzayC1Sv3K9v6qLr8w4b2Sngxr80vDACZuHCm
q8PxUCzC2naUH2CVC0GdGyKO/TEFAel6oP5ARLmPuhYzPU3H4H2KOYC3sjAOkNqjC4BKqm+mcS6d
up8OS1XVO1MV/VFy0CHzYaGxXBqep4YhmTcERz7cam13LkmNNli7XX7u9h7206BxjrNlLYfUBDMM
YZg9qxftnLjOVw3FRFge3MQv254SWRCxlet9wO3Rdu6w7DMd0gPdLDu6hRndtHm6CoOGMkBzejLJ
u1CovECbBPwL75azTzf5XdSMl6mcSIVH0eR7mYLosFCS1a6MEz2a6S0sKHkDzbj4SITZ0HkUF4/J
QPQIoiOpoSH5HcD2z6qlACN/vWqdmleo4L+QafiuP5Ys5zcTmhuyD48r/VPN/yb0gwSHYWEZwElc
HmM2e4k/lyyEGNsijgC8Eog2//RNqZG/Sde2+R8/FtQ4D9e/IfT/asniKY0lmE24gVPc/ek5WtuA
+UdHBMitOt00S5Z6GOC4o7WpFueF00Lx19QdbybRGc3qz25Iu3jlJO9yABvKlTY68JmY9m5qKRJg
SjU4+iSmCdKwo/IB6heIVcLbbagG8hTQcrXTMV7J5pWi8Pij60XQbI3CgqcB0N4vmG0UTGy3UR8n
FJdnoF/9rDGHbd3gpzmbFZXbA8/dfoK607gC2p0ofvcEy1+D7giSALa3FQeMEsF9BxQSIeRza2oS
ZxPJUYYXM4j/CFB4xuytAhzO8JXe2vFal8tFBFgcr++FWWYHHeD4xPmO3ivKn5g4WdzIQ782WjO6
qEx7JyrtKgFZcFMF7nmnaOa24pqHnC0viraEiq2N6Wa2KaloaFEAS92fpq49aelEwJMh+GpmngXi
YNxEoWN7kBU6rcK9MDdfU9ndxpm4hbmdW5x5u+JKq9PlKM2UaW21DSs7eirhbDosSkEb5GSYYE7J
MvpKJWriGxWDF6PEYeT1wE5kfqvZ1ritXOY8Tk0ssaFptKgVR52kOlI2VfCUjq8NvYhOQwh2La6S
fiUtpjWTRofRyJQLsFcr5mYlPdazyqCdONaO+iK3g62jT/eVed964LfBdjDnytwtFcYxshpFPwz3
8T441bMV9FjVdI2hy6qAAee3M8Led7fi1f/HCZobTlnpqdxlL8qZ58dnMYDSUaRem1waIqq2MhuN
V5Cmrj/Cm/pXJuqf9U+y1f3r9U/t2lZAyLtfbdv4zm9rINQmjprstIihsBD+wG/QaUww1ebsj73Z
tzUQqRrigyEMErQ/itX2b2jYHE0sm4PY3921SefHgyp7QxzHbCrZVbIA0tv00/m77Xl4D6mrYbPI
KSMoD4Pq6ioym6mSkt5SZ95rSowD/nEtlDw3KKFuRLEblXQHAAjvE2IeN0viI8qXK0NJfbUS/WLU
vxEVsEQNrER9nHt54B5zL9h8NRsT5TBAQaR6epcrSTHs8LkokdFCbeSG8jlCtzQniGtPCZKjyzi6
SRro3M7XybSnbTJWt7mR3Ktamc2SLsTJNAgouVc/mT309liv1nmqjdskrJBjSm0LF7Ln3mt2Y6qx
U6FfbdX2+RlYghGfTVCiXzEm19bBZL5U2aDN18k4uMOWkPFI8r5UPg98X6IC0aQMIR7OEJYvb1sp
s8igbCOGMpDUs9wMylKSKm+JMpl4FF3mynbSi+RLhw8lUIYUMLnWSnaX2XBvtFDeQWZ5/uj1jG/x
sjjK1KLjbkmUzWXymAIzUgasWA7ndtC2Z7Uo3lCzk2ZNqRx1WBYuJtBuuWlc12mY8tBxKDyc0zsR
AWNyeh4cUyrWAJieCrN8oB2n5AkwlReiiGdfc7xN4bAnC6tDkZWXrd7ucsTVzHPOJit4cjwBISiV
86G0k21fmOKg98rixOtGR5gQjm1mliJbpM/f8+iGXXw2xKzDFW8fCeFAU2J6fuJMeZcpwSavHMw6
aDjmp5rTKWEHaxXj9uZT79FH97gY87Vo6UsUdktVn5KHmkrcqhh4oISjBYpCjZKkoXXVKEtW4hww
U+zSod9HSnoa0KA6Nz9NHo6LyYAGgEplwjFvRyT6BK+5mSePFnKWU0a7EXkrVzqXh+A1IXxhEb9o
EMKA4D7Fnb7XlUKWKK3MVqrZgnw2DSM6mlLUJqQ1W2lsfORU8PTJR4L8NjT8bdocWvix0OZsRDoa
3Hewx1+MBoCoUvG6PjsuyHq50vdmpfRJzbyN+/Gt0FoaMO+aXtd9uEbXIRJhhVRYVMsZBo0H4SUj
UWfsDIiK8ZzgQEdmhOn/kivdUXNsXA8okRJJMlLapK5USkzfr16glxsBWHuxF2hpwwlg5aOBwFm2
2rpE8KRT9k1WAkOHkkLD6DQijdbNeBEhlWZKMxXGvK2VihojmAbIqkleXPZKZyUS9zYo5ZWu7QtP
abESUTbL+DJE2lGptWOTH1zk20Elv5WeOyll11Eab/op9zKQnn3gwIjA0acgrNnhc4JEXFCIh8Ea
0Vhr9yjiz/ROAOQaNrgsdol0XzrE5rw3NbD0tH3rvd8hRzdh9TQrfdrIMa+MJqhoo79x9ZqENGqH
3zTyKUbeHslzZ0rvLl3zWiKAYym6NpQiPi/D0RrQyCfE8qBo3IPXVLRQObvYTR8TI73AJH/vAF9Y
ZYm4oVqZ5o/sGCHE09r0mObmLbVazormpncz51ZDuo+R8Cel5YezzjkReT8zwFkj93ORnJVK/48w
ArQBnfbKGdD3w1Nu1BBrUBkGzAMlJgLNgz8tcRXUo3aArL8X2A26pj7k2A9GkAwexV+T18F4XK47
5VNw8vooMS5MFZesm5MmwtIQYG1IIcuYtXXosDy0ZnUWYYHQZfQwYImwsEZgWs1WBGy3g4Umgnki
xUShKzfFgq0iMJoLLIBnRDO4wzBeRGV6Tt3Ay4QhwyN0QQEBeXtc3H6CacMc4m2BiQMn0XmMqePz
kfzP3kTNXv96b3KVvb5/NL84m/Fd3+1LBKqB9S+bnGBw/O1sZui/sesAJWmjW6hZ059nMzjRhLah
f5CpRXVQjXvfzmZwpXQdmUONCnFuc6L7G2cz+Vll9/04iXIUwjUuEQP2QSrH++MWdpjHwexMZzx1
04D+1tEfNMw3TjkMm8wLT7leJ+9s/4tVPMs72Um4hFILbhEpv2oRZc3E52j/1VCS3XoD3xXB30HZ
p4HlrQnJckyZA125L25MLsqdIPK0G5lzuDl9JVHlvPUyvrWH5TFimouI3oHTqUx/okBknzrVmaza
nJ8YJZwFiu2SGbf8rvXYcQc3Yx+tjX6mcYVxkh8s9rFLvXv0FYwxafglad2jiW4ozOkUhe2+dHiq
AmO5NiIhtqbLniShFmQyMJUo2sHKMahfhguhEHTMoehkr3sOmyYi71jxQAKTtfU6FcRi3d30uG43
Mg12dpoxEpY5B7rKvGs8hkizt+6l3PRVK1Ywc2OfzMth0RPT74rIxd6zPFjeF3jJ68aYjm2bnzlD
90TXTUxFLUAmU8asPzPoTHvocSpM88cg2DPqDs19GmgnET2EOgdQz9Vw7CBjI73Cr1z2ieGAq2Lc
ZALDLpuHUrPesBCe455Fo6emFWxS3eoHyk+uqQCmQdmyb1zeoYD9w0orm+2YZZeN6VEmK97SiXAO
4AIIfEJXtrnxPjfM5wSRinPf6GPtMLdVr5OWn5xzeLl3WoYXwl4EWS0yXmORnC8yuK+m5hKX13nY
UHbSZtmHqUUv06DdVRIbUDTddJ69Fbb21GvJe8YYfGWxxfKbCgrxonYiRlt/deb5VvRaTGLOO/Ix
XYyJgwBNMZL5FYPNJjB4OWO/bCunbNeGGd+WODHtxC1XInR2S+KwrS3KF1nYzxKEr1/M06vZ05/L
Rc6yHJIUGLryQh+yLwFXpNfQQWpSGkNX3llvz/vS7r4Mmkn+KZJ3Flb1kGMpEa/6ShcM1sgLT2vH
AwPYaHOy1iIYVrN00SW89CHpeJMW+KErKwL4ZebGTWdXG6/Kgf3kjbeBylKdBcBNLo2+fJjaZ7ph
JPfccw5shV4vOhhDTrtLZ96X9Rxdz2PjHQIqWDDotxPrO+Yc0Y8mcQk92cyqHjDWqq94PTsP60vd
YbWPgmTedHlaL/fDJ27UojwKEGgYpOZtEUjMipgKHmIzKTcmuFJi+AtbZZOEnMmTTSFN3YTxQuHt
5mqEdkqz5xr2SHaGLO9sclKGuGbkczlYCbwObrcs4pIuxs5eRROTQYQiVQ2/Dl1vunUr4KrE305T
tHxRcwGyTe6a6eFWgGllw8tZg2K0TUFT2RogFJK7czmZVEYCeV3YQcVAXyPXYk8HBha37iEGCwsH
bJ2Bic3iflspNCg7F+yLuEQ1kLImQ/DLDMhsatq3vLs6dUkUciUgQMHRqnbhRlIeHgbjW2ubD2Up
n3LhEGSAG5TQvr6q62VRlr4HK2LDCYM18nEuXY6KhVsoKm4aZReCsTP/r+FPKjJcd9YzzotqZdRk
u2X6dV7q+ypxHqo6PjJ0emta2DaCPnobLK/dl/RD15FkHzlia+lCzReB/iam5MYF68uHB983wRLf
pc59Pgwjd4jsfGt0ow2+jTXbOHPtWQTCEsiSZcfNNHPrOTAn28g4tCEQyjjqbiihgsiqn7GfPieE
cQFJELqO52BPHm2a7Ibco1U+Jz/iELEwc52pPOxLLVq6benVZCR7L4ZdLS4LhcocFDTTwPXD5vpV
m/MLxvj3msJr6tP8ring5kyaxW9GbJqtSfMviL61E9bvI7I0bkFR+fAw72OX2GtVvcd0pfjwx/K7
qSA4Wxj3oNZyP6j4NDIn2EKMpZg9YPRjjwcnrwL60fp9lfB0qLp3zxiZb+cZ1xoGO0ZKmQi1BqSR
TjsRw6Jiw6i0hWPVtd6LkcNEP/6zI2KsgtMfvemvd0S/T2ua4rX58kvipvrubzsj3fxNl2ruoog4
nxOWP3ZGCG0ukArbFMABFU77z52Rxb8wlvHYt9jAbb6Pp8nfKJxkHsfMhjEQCYO/szNCpv5JaMOw
wgumUZh5DeEH8dPOyKPvsILFGV1qKY3m1kAXrkuBwcEeoFoMjWR73dVdg41z1hzHhyJrQRce6za5
x9cPKJoYNzdHY5hriuPCiV4zRwzX+DrL+bVnaq/K9KZ6AQs3ZUNisFIwqZfTmmYpmM2po9fLgZF6
E7a7rtKy6NbtOpogrI4gUaGRzFghtyV3eclUwyR4ZvgZpY+3kQ5ehuhVEm0rOiGXkvH2npgPq7HV
Ow+FDplsxfF1eKjA9pKQsqpl9s2CaLivtXWB46hyr2Q6VDwm6+RZsyprjxTZUbA7ZMHJEXrorngS
xMelhcLt5wEF6r4b2wH5beNQhCL3c5n0mH2c/NKxi+EmZ06/aUCBmriei2Hfa4FFI0jtksrN8bJ5
nVcunN97e1o5bmw5fgIq7IYHDI1nS5fH+6xxlvfc0CQOa3NuC38WjAXosSCvXSkzbo9n3R1kt7Ma
PpCW9nlteMb/q+ubFFT5xkzAWhYbIEXsFDecmhZFFx8l5cp7L3T5srlqwp0juuW6bYbkhQ1ne+05
rbNNMltnaM44/g6B9dKThNgpQ+HdvCq0cKApuVUk7DAo+/oQGXofnNzYSJ5TdIW7yYMnzLBIlW6O
hYizvfjs49Rc1c1ZM8+aznIHEOeHPbrhh6cqPvF0B3i2I7o/Y1UD2moUguYalp3UjdunSOpVc6o1
+jzspfvdiPDPWU6ZXP565bqiRe+1/d9nOfVd31Ys1QwA6pfF5fPk9VNtuUkeitEczC0D/v8fKxaM
YIR6HFEmEaZ/qXPfznKUBhArxVPwx/z575zlHCU3/HCWY/hNzJa/gqWTSqCf5Ah69ooCcqJ+sjIy
p3vCgXRmkv8/JkHmm0t77UbLIxoOO5Eu2wEVeKRrsl3lERiBMtx5imgQszmCb4dMVzbX9lDuPFOc
91Sh2Pl0kLAIln7P5Pa5DEO2q+y/wpOeeOGxjFvXBy/grR0dH2HakiKx5+ULEHzsnz3EdkCqz44Z
UE4jNdrixu55KWFEQC9fS2u4Ap8uNzU1hvy7OF+GiWgM8zUT2YUtSPZQaIxV80Z8xFX7dVyMLy5N
auuyTyOqcafb3J3YfE00hMzaY7OYaE0LY0zXdsGDepeFPc/nmpneoEUqJCqZ1ilgK8u5nf9ov6IW
mXxh+94M+hoqorFOjJhwZmAa6zyi4nQp5btIn4CpRy0liC1JZYsKJFtBzwKna9Zs/mYTOwbQSObB
UmLxlPOICV923qsemyxB8UR6OSqGyPdUgzYQoxqyP6sxeaJqg0RJfcNn57bhUqSoerilMTS6b6t2
7jkcu2vSRjR2L1lzPZS0ePcVjC12RLxVJHtXbYPUF6ne71w1gOe1/VQuDUIofbgbU/WElyXsh04d
DibVIh6oPnFbNYsjhJjQS2kbZxDvM4oqzzzVRM7JID4Gqp2caXl7FkFI3E2quxzrLVy0WjWaa5EM
dnrafzVU23kd1b1fqwZ0nSr0gfa/FbhtKjpVT7peo8nFqjvdFPaHp9rU+3ocN0RqQPVTtZ6JvvWB
gGRXrgzTDUWvNLJroPY9Gpx2puprT4fW2rlR/ZFPdLlbSnStVb+7o5reeefY+Kr2d7dUA8iZRngU
AN4b1RJfGCjN8rM6Xlct8rnqk69mGHklZT6rVlXWd67WnI+qgT4c6aL3IgJ8MF6hpXR2tuHDM1dB
a32N8b6BKI7gnZpyh1qJsVWotvvEw8/RuK75JnJYkQwNIOWiAECqxdFcV+aw4Zina/yVhb1Oij57
454Lz5rEEPtxSYtuE4FCFZtJutPWG6wm+Zrl5bznEWVclxxVGRdTpNwFiyAOxVmoEdNdpulQPERG
UZ70UtJ79QN1T6EvFhAzpTeWmxYfhzW0z1pYP2ZlwcEO/8omyuH0DzkR5EQ4Od1JyQPcmqukbuMX
oBL04UZhRDDFhcdcYd9e+mvMxhRn0QHrwxWvD15vf0TZ8ILEvh1Dl5Gtp30dk45KoSJ+psjmjNTf
02SPDOJbzfazvFGLiHfkrTj0qfe15D7VlFbb5e4dvqyrWo/OKp3y8KIpLzFAvRu29zhk2rTWm+mq
W5gGu02zL5f2tl3+h73z2I0bbdP2qQxmzwZzAGb+RRVZSRUUrbAhZFlizplHP9crt7sl2S3/Hwaz
+3ZtqKWqYpHvE+7k3BAg63tyyySGjQ1C+Ski4zGa1poKYzrOGdNsDDwHEODaDi8DuSbbOMBEpku1
6syQ50cyKXDMybELKfBisSje2nCQRq1yJ/ZpPCkIselSGMaiFBNa9tNfY5ukDDNp402g9agq9E6D
Ne/oOxPDv4VuFs1CN7KvTkMkZyZ3OXz16rwYpCuzaYZ1nCTRLkCSQ8ICAXzJNNi8JWbVScLYl7HY
XPjFEFxksIVJvUCm1ImHZ5Z9FkbiRdvSCL3Yj5y1TNjlZRrUpWurYBWcMN26iU1WOcborEtdmbw5
ZuWEMXHKCWNN67GbYs9vIg25R6bTpcYm0h3jBbrC7Cb6vAVROZFgcUYLt8f3TAALsrrWBi31WHz7
qwTH9BWAl7xOfWyFdPTrG9UcDRFMyWSZzogrInWtaiKHLObdhhlPrTpgKJ/m2NFD5BC5RpxSMtFj
6yHnkxp1b2zCfgwWXayYaylGTh5nrOOqgJiyPEt1mufhzwTXf7c6wnjvn1udq8cnvL3x3voVpM5v
/tXuKOQe0E2IxEID18D3q2vbZKv94yf81g9Inf20xuBmU5xRcRpiq/2j3bH/kGmDCLOC4I6xF2kJ
/0K7Qy7Dx3bHouES7w4jMDhKHy3atLjP2ZyMA6iOLS/1LoKC0YexV8Yi6GZsCYBJGp5LQ+/vhzg7
KxseCRNwnf0KHD5/Ip/cz22FbATTwymIReCEr5YpR9IZU8Cj4asz4fHt82BWDYbtuNeXqX+ldZJ5
wGuHzIFeq3hc++rILOnFQfilxShiAORdRY69y1p1p9fKSzJOX4aQHa+enKoUcZqibpyIlbYTUxui
jCjZOAVPZrhMBWZMgqHD1hdM4Tm29JvBlB6SXnoeeuFz7U+QXAYycogA/FYJfC2RpWMrwxfCTgP0
PhnyRe+YX6cQfTvuo8oyZbnMCp7A6W4qvoRZcaGaAcbziLqtSadYd23vBTXpi4cg2mI0fwm+i4TU
f56FJjY/NxXUkxhpHHPWtPMY32YVhhOq/xTmxnVvYFwlxy9TIIJeUvXCJo8BHTUVrA+am0LC+Gfq
cEzu0jBdjW06LiqHs5Up7SoLWsMlQUHfNLYcL7U0RN+c42Y2F/q8zCJYYI0fOx7HYuMy4m6SkCCd
TNLWmIDElyiRVXckIWcRT6xllcjoXaPAl7+uhNSN/KhlghBoN0v1ZdGMEBGQQKwx1Nqyzo5Iu28j
1Iexsel8Z0q+5IFkBQe1mbPbuDFggKUQoLh8/bwcNdrZfozoVAz7pUEZNYbAuG2NBPF1e9S+bpJq
TK6/ZWlhSa6jpM4m0hV/ZaA7ZWjGM4lqhdBMOKiVwkstE65qNjh4TbDGBquDh0Q4rxnCg20QbmxS
iS+bikGbkw9bLcPKu/Y7RFU4YzHW3kgdx28nD5o3+nO+7oXnW6aDMFoNzPsGQ7gKjsSCXOTDiDj/
mjvAwvXAKpbw88fzXHjK2d1Q4v/Wf23g2p9ZidojAAyfS4VuYdYnGT2vcpTwqmnZLo9cekNhSdh2
m1r42akIg68qs0rJV7Dy60T43uGbFS57Hc86LPHa1mRD3jGkBpGxGU1W7J0vUZaRcWP4NiFcdcg8
1OpxmSWkIhgRqDi0fns1Rb65ayf5cfTLZRUOX8gyK0m+kCfSIktILLpD1zvq0pYxeHhI4gE6zVz5
bmS3+Xosi+QpgVS2SbuB5r2yd8kQjpt+BrmpW2cmSXpmbWAaTn0xaIq/D5F/Hex+OjaAbiQnoe0g
1osnM+vxxpPtEauBvDlI9kwuipKg7zbG2fv30vB1aaj/ph7lpOkuoTj/PH6L33xTjwyaXPiqQrb2
PqJHBTCF0cTC7ofV1Y96ZP3BIlEohZBxwNt/G9Fj/oH1rkG3LGj0ryjrv1KPhFnl+/EbAQfSAIiz
SNDEW+Hnb3Q7ji8V8DJtRMZjVKwUoUOuVU6odMxvo1oDxRJq5Ubl0EgT1tjozLeVoeAXJYPiZNmw
QwmqMY5jUtXK3SbAVh/s1uDoLeBE5R1kILq42Iq/Dn4NM0roqfucBz4VGmtLqK2lcnLOwyq7MYQa
uxo04mYQaKPKvAmCFpghukVMfJ1hQH2yBFGoEJShTpCH5FGJdhl8Ih+/Plz4nQs7AZUZO/UZJldH
GIg0XOeVszEhEsXlOK3kMcduf7ysFGpwgYt1KlXHPkdXqVdrQ27Aio1xn1n1FZgX1ohTcWgMC6i4
1dYJgj2A1uZp4pTnkQ56zyIMbKlFPrhadcXjvQJigQyKTpNs+Gjbp9aDooTWchiHYy8UqPaM4wli
1SVd6oZcBcUdEzDhtBaFb770A6ItDEnh0nRRf5ZGkJsyIzg6ZbRzbMAR5Jfe3Erf4jglaKaqmNGK
aD3MZLFWPrC11CcYISJEX3RwT7uUrWiAq5XWipoKsgPX5TIuLWrLNzzkXyz+XDe9AlkgaaHSPIaQ
t6hgkK90q4U7BBqiiSQk9EwLtrYU11TH9GNqNgSoXsKZL86rTDlUYzx6cqWUWCUIKJN7eD2r6rU+
Y4qS9I5rS8YN0iRnV/UxMDmV3az8I7NAv7T9ZIUg/Kwp2vPBL9yWUFTE26uCPaSrGNGtozf6Oh8h
PPtNFpIaUq3mCHFBNd2pRbbS8/5BHyZU4Vp/2WPkuFDm4ZlXHhlI0+feqpQTrQf5i8p0Ho8gbn4S
HhwWuvteq7/ijoMXKflQ2yjIzYdQyiyvsljSelPeQBCYsTYGsSO8pjwGvURyTVA0F2NTqGL4DAhC
1MqK1BLT/maX9rDrDQ1ZsrWqy3EjlqKTQZST5tf3jg47SJ9yPDpKXoLBvSS2pR6mZtkZXGI78BE6
hvONVhbELavTsNRK68quzLNWmZ7TsEpcJTEuiS8Kzsy59+aMJD0cZRQHCW9i4keGc/q3eC6dbVtY
30YLfBwpOCLDHqVhoTQXbVVwieuDT5qxa9VDuSss0h0iTAeqRPfwrRJpdjZEyHHiNwjjASIMplWs
+C9p6Z+n9dQBrLXyqQ+7Yml27Jr8OT2r1Fz2ZtmsNkE3A7L2dH35bohVltq+eh8zhC9M8M59qEvy
QRtq41mW/eS6kPVyk/b2JJGzETJu/bs6fYe0GGw+m5by/1ghwniKmqdfDUz88l8FSqXWoN9Dg2yZ
yis29RfXR/tDgeEDX4fqxTL4DdeHfHfVwVjR+fu3fgxMeDE6mmzY2FvhxihoQP9Cgfp5XCIzUAcW
I3RAQ8XMG39bnoxUlu3Yr+fT3N5Wts+Z9id08I9qXPEX/t4/Cxt7nb+BAREheQBmrwPbmwJIQ2WW
Y6kppwZz/ppMujRip0a6yubNFwCNjjS3/K1w/f0n+fl1PhRaEnhKHFUN9twceEq9H6xvn7+A+r6U
//wKH+jaAXtKtQNmOamjtej1G4s1FR2hI52crvcAAJZNf1/i5Rydt6SeK9EzaFsQnKvFRZtfBRBe
W5LGjMCziS0K9Isuvho4bEdMkT9/p0KO+Ok158Z6+61qkeTDwBDXQvPA4Vgw3nY9qzlFPw1QQkjW
hrn1YkkgAfynbUbLz9+AmOd/egMQyAxT5usHK/0AOuRoddpetqYT5YtkQsWp032CZJdtVqlXGObG
THTb2LZ39dgsjG64VCAYsG8rgmUvS/OyJuYW0lcnY4QSyLuB6aJep9mdmmm7wZeZ4FUpVm5GLYvX
WuLENpvLdpHHsVeb9bYEFcBYZqW0EwzkaR3Op96MvCyAnUEh6cx5XY/OeaaeY6Cw8jHbgVUVNNdN
YB+0NiUy0HR7xBrqgOWVYZCXy3IqLt2ErJ+SXavJxmquai6isuwwLbLkzBvKzVTdNTH1W6IQDvmZ
0uoXOFLGY7buUW/fZEa6KLVZ8wrnutVNF3NN5JWst4wo0NHdV7Yr22zfiiS9R4qzyDJkK47hNyJW
6zfSf4FYvfmG6HA5d948+PqHx2WIUKi0YzOf5LW28bfzvr3V1tgDnZqFsm83CCk923WW00pb7hDy
rQp3vJe2yapdy2vzEK3i79yIfzwm3mshfn64QPff3rJ6mnZWJm7ZItkWkOcHF/NpQpnl7wXrH1/n
V3fm2+Pow4FnR9mchjCoTxKGl9fjt0oE6i0psgDVnz8EyvtL/P0jvX0IPnIF+D5qzYnUU4iC4xyr
qg6mC9TnBrx5GZyG3320X52AKP4gKODTy1Tz4SvNAOMsK9XU0xA3jL1fe+n880/0qwPw7Qt8uHas
sIDpA1U9Nb0rwLtBWiJp+M0X9LsX+XDKOqNjzqSEqCenP5urXWteq+bD55/jVyXp7ef4cDxO1GoE
aIZ6Unm2xxSAzbx04qMTjv833dEheqqLpnhp/0tsqZ+KcqqjIGz/3/t/Nt//HTwX7mP7+O4f5PxB
xr/onuvp8rnpUn71+wMh/s//3x/+GbxwTXbff//n4zeGPTRCbR09tZQXFsO8wptQBm6+f26PvvC/
d/Xjr3/tR2OEChW5vApvR8bw7LX7+dEYKWDgsHnQmcIDkt8JVPU/ELpATAY+x/nudd7/0Rhp+JLq
Kh6jGvEfrz/6cRnOv7cPXMF/PCfe34ZCm8UKmTkaEjRGOMiB3p9HowyHo67z7jhPybKqO8oDQIad
/eZup9/7eBCzg1BhfGNbCn2bavn+hRTG9MqM9fIod4Zzk4QVcFgGejtvWGoYzL5t3unbpvHnKyQO
0G2w1bmNbSu4L4uY+hlMzpkC1w3ItzbG83DSLrWp6AvXnAIQwT6JG+2hHyvTZi6p+p5Jo9DdHu4/
NvtSymGRNtjvlWWhesWQYhpoSwFkItz387somdi/2XMtu03+ZKT6AIm4TE96J5fpUimTdFoVPgme
KbbLUtqgKrOiodBOcq8Yyb5P41PdJhCoS0TtoXNOPMczIX/f8ipY+Y18bRG5AENybUhmsYbXByGz
BNbV/ZWTecaYbf1pqlwtwYi5IRkznaqXELxuLnGHUsuXTuuvWJJTfPU6vrcS5mInSLqDZJX1sWoM
c5dGzqF08MWeZ5VDUZK0F528343uh9CwWiTDEFQh1KSSARolqr9zJC4SVY5q9y7kaXXd5tbNpEh3
Kc6lbhGHLC3aNlCtRafBwglQv3qqLcNQ0MWfaHH2S8z6ptZbWFumnYeXsCslr7OU2nNGGXV9Gk1c
RZW0iibpaleX6smNWU1USPx3oYSv4Ztn789b+21nrL4vDK/3MqALMAsrKEvjtn5/i+HUWgUByqkj
WqbHoV4oV/OVtWAgXWLCvfGVBZwzL1tbXu3lC2OnrzRP3fjL357sH2qvzqMOOoMVBsIGdmv2h/qB
VHroSBctjr4a7IDox2USELNZDrq6sK3E8are11a1atb0qLZ8CKza3yl8R5h9ZqSgTEcHD4iFrc4P
GNE5q4Zo0VXbliuCZR/Id6ed8kHc/Xm8rdISmLomyNVqYs0dBx/OaUhzBkXXA8Fdk+OzjJFXVzpT
D3Gem1kDy1XVtS4CLKHwCZYV7I8s36AicwuNjVOBJfowBHuV7cYiyVktsZWnTYsbl4f4OIzEp1QB
SYuNFtwEJDErWnboRltewOtaywk3muVU+goV4tXnX/H7Q+R1kYnBCPRGLPg1U/tY+p1ZHWCN+/VR
7mmIOQhgJ9eYVUDl8SB1Q0qoAo7rv070X91VoiN7M9iJ5em71/zwbUpjj6FIEjTHKtAQVtfIrIPC
nRtro2eko1W+vAhM5KpWhag0bVp8y/MJwzdQLFZVexJP7+SoqRbsk15glKxorA9qYV7I/vxkBNVD
hhkyXsxV+W/PCOX7yoLn7a9vUFT+P6v2EVz3v/9TsHD3XdT8x+lr1JS/Wlrw63/VZucPaGMGGUuq
TDKSGNp/1GYESprOIhvSkawJVtvfKC9e3hRt2+YHNpwMh9/6UZv1P2zWGbb8GjD26pLzoRZ/Vpt/
Os8o+zaWO7rK38PH4sN5VqtgONCAgxMugKzOyc/+XdYo+p+f7m5bA65mpwjX3X7tTt7OI5lSyE6Z
TuMRm94tRjHOasQlsV5Z2XgYNZgrKB6mZj0z4HqmVCJAVlrbuFLRIRRYtDjmwaotp4H46leHrpbs
apl1mlkdTFMiTFZH/B24cqkgmW7w2C/KQS5BMknExuZPXo9wgNc11qXeQMFf16FeeVRXhl2zhLLU
m+exlYv4zows8wKcNpICLPmDuoildZ5htXaV13P4kkHpXWnfjQJt6E6e891A0En5l6eUUPi9UBcu
g0hNUJKW1VhdtPA76ohg7VlSDLKDwjutVM7CMayhyUuwkHH81fpqjUR8P3SmsrBa6diF/Rcj0a4r
p7mqQReCvP9iGgTP2GZVLJJI31c1+0+92mOzi71FkODK3EWwnc2zQUkXtpzZiz4o1oCiMj7dyFqK
aVcb8n0Zx1gQpxbu3UV1qiMz3pCHsO9G+WtoJhPKAPRLOrlFCztVoB0VRCU7jjchlF60zF/sWjTq
xDgaa5iQ81k1lWe9L63HLNm0UhSsM5KOXGI7lsFcEtMUHTJsbDxfw7Y7CMv1PNdbv44uQ6NK13Fu
5C5h4dt6ZscToJrKm7EmRji7Kur2LNTgp0hEdT9NfdIspzoYlvApVmPJrQqW4ukg1pSDnIBcfzuW
1WHQMYpXiKvGStRegmSRnhTExpWhEzqkjTr+zHkOg8t3IB36OuY7U3uozF6CEIAZNDyCdZHKz7rZ
fcOsw14j3s7ONIckvEWYGNFFmdsZCls9MpYKenE6cWnnYM60Bl1/SqRwO5tQBRTrpsUZKA19c2FP
NaoOABRN2c+ZfdHn+coBeY5r3xPGlZk5JBsModc23Y5baVx4I7c2jdzfKnNLboURCMnTA1T3QyED
XkX1uGPTeD7zR3sFbbAdLmZdgakoPaqN8ixJ4xZsf6/50saxvoz+Q2HPO1xp7ZURB15tGTfVTJfS
j197zJ+61m4RrSd7Q53OaVWVpaYmsKMS5z4N1HsNeaRbD8re0fOA2KhTFW6mTA+X4Qwhy5irlRVK
1/bY3OhJ740Bg7kRBud6L4ImImgKWY9rOWsIUtLB43rlSymF17ad3Uglyd/5sLKC8kW1xl3lSLtx
lCF+xiYBSc46NdOOToZgjkJB2d7p7aU+xDs+35kRyw+QRKC9aixAcdwPVyqwzzHTx2QzSpl6Xwy2
ddfYRUQlnSb/Jmv95HL0rWYxjqkCVdMHfIra0K0k4facwoEiJbJbVKokuwOPxb4vjejY6TN+DWnd
+4AepSmeMGhzZJY4EDrsyre/ziaKoNAwv0iNanp9Yx59MtA9iL49pFOn4WbWRLhKl55NzAKQE4zL
VpZxXqmGyg360l4oSkz4GlyNkuY+Hgo0lGUTrBJHvzNNrN/N3q06VDfW2OQ7G+Pxg1/igjDO9EuJ
WXzVCf8kHWYKeeTwXNCNazko6ZviiaSaKdjHKIsWU+Jf4L36tRsdWrXYtWO1WviSfCVScDStfGi6
BCVDvOnj9gWo5ZQabPMCn4xrbUjv1bhbYQ7+UAB9dHajLnQFXyx/EBhdk8N+wy6g8Q13miJkXJYX
V+q3zGzHdYlNbpz39z0MVkNvccaPuoempUOp+ZqTYaX61q2SN1+MLr81lCJD6Bhfjem0z51h01aw
dqQhvg3CaRsNPKLjeOj9bB1krH3l1Lxs2/kE/+N+DI1jgfzT1vvbYa6XyoDPrEVsRa87HBYyNpk6
phBm8jBXIns4NtesDGHppkC8rR1tg2bE9UwjxDc2zCuscLiCKa4VQW5dV320azWzXRJhfk8lOKt8
1mpSlJ/jaN5uiji4NUinXyCC3xiZ5nHcQLgc8Z7n02ehtSf0YFMnwU5BqeaUPSBUsSzt5ATYvkFK
v2AihRulJo+SLbnGEG063PgXVec/ym2y41q70TzmC2COnd5NF00p8zb1ZhfL0qY2zAcf4Xo/Qb9p
+yufDAWG3XkFGatYZFF4jj73xZfRaE2o12U9Zt87RwfHSNeVX11neQstMS82fcAAaTvZtFcUDXa2
ig9+9GD6xZlca2gyGbJWeSYri0LXh3McX+g9CTTwEru+y+UwWEmyfZJhwrJ6rqqzRrECbM7GbAWg
/8RQmMGWCaS7oTS5X6DYeBNkx4WmR+m3EeKMq2pZaLrDpB4GYpRe3vRnv+iw368gRFPv6OQ0m3Qh
MON+yusGiFTIdPSlYxxjqP4lcb7qxvp/9xKi03oDzkzcxWYC+eYoV1hVWaeuPBHc/PlrfNi2/fkx
TDYqLHRMQxNzxJvXUFFjZ4MTBSd5oMpbIE0YUF9Lkvv5y4iFzPtxhDxQmlZQBEiIMADfv0xQxJNm
JX1w6vCyqGL0MZiwS9VNp58PhHCYDT70xndT1n9zRYVK5NNRguFi8Vh/ffzVkk/88ptBAo8lHX9K
5C7fRXt/DRLyH6alyrB28D/Skba9HSR4XNnAwekh5gKLzL8HCe0P1n7wMYXVJQI8JpP/zSCByIal
GyoclZ05trHv7xktVKShpTc4htnD3BzH8f7NZfnFEwxf6N1d+X2NqLNyweAO1wbD+jCqdGSpYOQ/
dkfyDDyVlRX41zH1oSnW7QuUCBdPJfz+dbiPipRvWXxu6ipmW4T7timWYgXbsdxC7Mq2LO7Clc72
TCJXZaE6+86AIteI/docpifldeWm9W2lnYJMrOJGDAMCLiLhqZBCV1oxzc1ikI3tKA6rAec57fX8
msRRpotDrVJTf5GIg05vVBu4lsMvFsegk+hPnTgY6RSDpc6a8kwRx2ag2CertCQv5URFlah5aCqh
XYjjNh7RKmviCFbEYUx80lnP6ZxwShuq6jri2B7EAZ5ykpPDObs1Z7vPGa9x1tuQ7zBcyB8kUQYU
6gFuUhhSUCAaYg9W+IW6QdleWSx1JGqJVkGVpLbkZbdrRbExqDpjYu9iUYYC4l2QeOwqy3r0lR6h
tAVN35GQlEePrShljZBuUNvSID5J1DoMpNwQZkVDDXSohVll7HVRHGu1P6Qk15lUzbqsNkT1WdQX
50ssCuucpOe1KLUNNbel9paVKjj88U4XFueiPKuiUGszBkOidIeiiHdU80mUdUMUeJ9KL4uSX1D7
O3qAgV6A7wJecM44h6JrN9IvOPQNeqEtiX85mvQTDX0Fc9ZlKBqNjo7D0vtDSAdSIDkKYOgS84EK
iB4l7XERUtMrrJLRq8bpLSzGLwpdjel3q4Iux54NPJ3qB1O0P1Aj15LW3Bd8ePxjxrWEhCuhY5os
ZFZ0UFoy7ssBDLarAuJvp5w/+tpwWUxIdGA8BSuMGe8DX6TdNW28krqO26Z6meje7Db2dLq5rpbv
Jbq7xiI9KaHf6+n7ZCP9Oos+UDSEIZ1hEtfJWhHNoi5Z1yHdY1V2tJFREC/kDHWFgs5VEs2mPVvG
gTY/30WRCWWmhDNDmxTTo3aiWSW0APWraGDneLiS6WiljtZWFU2uUWHryPB7OYoGuBOtcB/IyWI0
tYYRmkYZKwnfG+idg5YmOqKblkVb7YgGG7uP3gtfu+7+tQPPXrvxbJL8SXgMRcdRtOtVSVyEw6VY
aEkZLOvvbX0RunoIzyztJOKfZ6jNuRgECqj3mMN28hnetAs7nFTYBPVZ25I1rZfsGTo0LYom3A3V
qtkwR8ZeEHV7UwmwAkrKfK3MxtofZwcDBVVZdHpaegVsJSRhUXqykAnBQJSai7nnE/t++WTM05fa
1x6tpNpwvuFCq2RLR6FwT6m09xNVhlHEfiAxDbxh04IB2OgkHlXLT2+7JL8cevIWkSae9MhmSsHi
KdZdzVI6tyjzM6uyOBAV3rQ1XOSdFiwxaFxwRu3YCW+Q4XgxMYYl3QJquHVohAcClG4JdlhqnSAE
+CmEtQR3UNa+TdQucagzgdxlrCT1yPpaDpK6xK+lgWZXDdl1omTDqscvTIPBu9Qg/y7J+GJ+iKL6
MNvJUVPZvzjNhVLhe5c2TF0ZPpM40rkceVtV8TvCIOAWpFN/w8LnOlOzZZchGAKZ6EJvGtrM4czp
doNsFg+53mIaF0kvkNBkd+rw8OTlIBiXpn4qNFheyymxekaXsF/nejatOfphWVa8gtql13mGoTy8
CmfX4VC5S+MAnr2BUMrSbARSAA96YV0bFXjEgnwMcjLVBmmS7kMtT6pr05+ubVKq72Y/j4iLLpqV
0QUsaohbahnq1qVMDhoOIsUSg2VyYXqju6sjTDNHe4rmZRoNIVUpbDd6z/IhGVBR2FntTllxb/Y4
1A2RsFvzuqY4kTO3S6rpRkZl0UcgVEUZ3nSpem13lXM2TmO/LSRc8go/nZZlFw8o5+R7mO2ay3qj
uuvMkpSfAvFlEnKjW1EHCuRrdyqOWVe+aowru0PUHGPq7H1enn9qsHHqNBVaDSA4B2+lDxifmmUQ
s4I4P7YiAXact4Y5XAx1s/r8ZT4ShwTuwesIz3hL03jsPzYBrTVnCVbbxyxND42p3nAqkYOUPXBc
1othckQwT7rpx3KV2smmUUOsYIFE1PyMk2oPAwQH6+Qi9LtLkwBmLeyWHY5CrBafi85EBcojoM/2
0ZR/t+T/5RUiDN5SgD0EQPm+QTKyrohaJ8mPA75CwXQtxxk60N9wUT7YTX1HL14nHZsrRID5h++B
Mb6csqTrj2WA8lgy9S37E50dYEXd6HtcfKT+TirT4iJ3uAcdeTvYWHkUU8lBpckXc5ytQmnuLmBn
OVc5VakrenLG2Cric0kpV2NWVEVwjKRoN/oAeIPKc2NmDCSTIAWjGXlMWgBNHGPXM9oAv1FML0wj
KM+t9iRhKQB41ZHjXZnY5jrKsqgQdYaIZShFtDahucXW9hn95+NoIV81cC8ZrfQwQc5dWNYkbWRl
iA8YwmaLeQQBgR8VEeOHWZESBV/8Tsmuq4G9maMEeyMjGawxy3ZjKoNH5M4S1q8GAclKvFJWT4Zs
5e44QxxStHTvy48dkJJhbTkX720JdY41KJsp1u9TrQ5R0SLrLE22N6yJZp3WY+Qxw2Slg9IjZZu6
zQzMjsYdXKvHJFLDpyk11hBNM9dKQxAZuE9aU63IonIWnTpeZqaZooBSQKLn8ayymt8wgZRf3g+C
lM/twPbdEV7YbydGLJCLnJ+1R2D+R81pMncu+/RoEk2+4Dx9AIqHIdSES8UcXTt6ddpKD1wV9Kth
Ym3UoDm0kJQRhB+Mwr7DvSdcNZg7rrpO1rcwP4DzI5ahuIuSd1bo2Qbv9NIdFBAnu5boRziIyCnM
0XNXV0GGTIfcMJZ/Q0dUJX74eVmtzGyG1mE+OoJF0iuFRaCYemOqE70zu30I4S6ST4hUhpTgS2be
oTvfgkN+My1IM+XAMeCkGzMfr30n3lt9vawK7cpEHDqTW91N6pXR94ckDq+qyLjMLGRqU3tnJ9DP
6Rtlz6xICQsJf246NE22kClruKfKvkrlMKVHiXtiWTravaJJd0rYA6a1kM9CCyvDWRrZ6xeeotdr
GfNsJ+/xa7YWVCNXT1p5advDmYWN1qD0EMJSIdRqrzXhc2GP2wavEvSfTxVW2rllethyHZIud5M+
ORXhuLdyczVAMggt0iIj1HOqE10kJUtzgjO8AsNSM/XdrKShQRzBXMLD2EvOxVC1LxClfUjfQrqH
m1DbJUuzwdGNNANFMfdmo60jDQaeLVB/kp3ZHdKhQvDfS7hCJcpwW4CrE6Z5Th4c23sylxLpjH2+
Gw4Baun0nkXlqsIS3NnquqsoVM3UH0hbI6itzkq3k6qYZDRpHQ/22QyWazmYpAwKe/xG5tCdVQUG
BVrnwT7H4HsT5C2a8GqfC6lg26YSAW6CCphaOz0YzspXS12hOkeUrSwH4m/CEiFxw5SQmkieiDru
LJFzem4anpUM9DHHbFyZ8Cr0jW/1t6UsoVWWD6ZR12i69H0cDkTI+b5/1qm9tWxgsSwtdOProcfm
iL5hg+1m4xLwuql7uhCrQH1g4TTQ+7Xym9L2E6IPBvzmSX1lGb7d7YTOhLQ96Y4mdb9vDhk0jxEJ
gz+ckvqAh/lv6DK/wrnfvt6HSqqGJFfkGSdDUTwr1rd+vOydfR7cIRb8vGYLo/sP6yTQbRZK0H/Q
k2LF+P4MGhoQfRIVx+OsTHjoRsSZwbMXDm/FNixgZyZjf1aW+IgXiIgOdmUbCzMuELbFiBxhNPDN
KNILmtiLMddAtrTuixQVJ9KIr2CSLJh6lm2jXo0scd28DVZYuj3ksX4rhWl5GXRAE0YYtuvM6AR2
sKCx8CYs5QC6/HXeatYtm9WrkjRCNim7TsPoTFOJ2pi2RumchiQ4qynbFul8iZrzMEk4MtjLsVRu
s7ImutvfYl+Ile5oL1oje5zlyVimQ3Bf4XRMvJpPhAcsht9c1ffA7Z80hTcXVawK39wuCChyPCDt
8WiPD+H8dbJ/E5L0u7//oXDIUkqPHCTTMbKvytjBO+nmN7fF53fFK2r85gNAsUzkRA2mo6Geo+Nc
cJnkcFp+/iI/L0zFrWfbJi0pBDTzw603Wg3LZFJmj466VNundsjoSW6i0frNt/GaGfX3ylQspwwY
OYZCqcU6i870/dcxxRHSk7lUj7QxTxQ19zpd+S62bYtoebvIF7dbAu/2Xy+jZfhl9B7Zfn/liW42
2vbzD6yKPdvfb+T7ffHmsf4YbuX0kVMK4taxXfWuvMTm4qpbZxfhyvFEBMNKWXOdV8oS/HkReo5b
4tx0zJ8+fxfGr97F20f+wwY59ZvURoc3He/GreqhWFo559bi1Ojwo9a3xnJvutnaOYarcZNfGZtr
4nPW44ZzbzGvCywsXVZnruNK+26Tr5tTiL3hInC/FIvuKC+ntbF1tsXZsKlvstXV529dOKb9dAHf
vvUPHbSkNlFaSvDKjAX466p5LlflteLiT+j6buhGXr7KdsX6f9g7k+W2sbTbPhEq0B4AUwLsO5Hq
NUFIsoy+7/H0/4Kz0nY6XXbkvdOcVaStEk2Cp9nf3mvfvB+W7dZwuLBHO6Lmu+gESMHxMFgtPnnO
w69f1ReX/48f63ev6scmhDDMu8oUvKpgay8CZ9qka+8uIyXrgBZhYLughnyRrK1TuVFfENKWv/79
8+P791//7Xv0w2rDUiONdYGFQ57ypdn3+0mKT10r/zcD9T+tovOq8qvf88OqY0GY7LqJanTO1Iuu
f5eHTU/UHnCRTLNOsfr1v+rnH/XXf9WPl0mJ2ZdmlFF7CmDVjFQR+5f/v1/ww51PGyzw73TLn2Jj
r0bogLbp/vo3/OaD+bHWTEoLKzNJn57y4kTx0KpQnya4qL/+Jb97n35Y3GolqaPOjJrTMH8qUwJe
6Z/Xzf1loTZ/eMBaYDNtVqfjqe8GJxSnNCYfn/5mfPabp8v8YVUSni+NiHPsBoNwdJsYYtKcNcpp
TVKNUa+Seg1/89b99PMx6BFTmLPIFALxwH+3y1maqXlF2LQnPf1cRStKyxH51v8PH893v+OHL01C
T41UBvpwMiId/f6Spr9RFX76+X/3C35YEqc4HbQoL7uTzKLN9D/Wkt+8TV/2x1998ecN5bv3KQgZ
+ngJzzF3A8y0/q7bxEeuCCRmnGDJJHKR/uFd/J9LzRxM/+VaM/+rv/uV8A8hVakBe9QTwjDN3c7R
53cv+le8OttucUNFEn+wMJapQ971Ii2uzXLe1W+eyxttx60dhs5ybBabzAnWv3t5P93Ivz+6/Pjk
hFUv09zenJTzvJFLi3qd6NtMcRbxWncfs8WO2qH9Z4xb+qK6H/f9ov/N6kUN1a/foR8+906qRVDa
I2cJt3Mnd5wWqljY+8S92idxABLiPqsrb5Gh2K6qdbG2HOk3K/TvXsIXJN93H5I0tJKe9UVzkvb5
YnBRNqNPxopqon37MWywnB/MtbSWPvvPmjOs47PvRh+//nb9EO/686T9bZf44TmJOy3V64xHE07F
iorKRTif6raxc0df/HYLImAxnZp08SiT7EpXxdq8AZ7utstgS9H0S+L85vXMF7O/fVW+fRuNeU76
3VtiSTazIUIjp3Kpr8VawLRZ4S88hHtl8U5gfxU71rbYIOodBse8X5Ln4yNq1vHqNnTnQ8J/Dwf/
ju51dqFfjO7z5DX7ifl3/qk/Z/Y4fDmMI6eYCL5YT/gsv87s1f+QEWYD0BmWY+Xnj/5Ealg0WtrK
DMXFHMzOwffuT/MviCdAHHh1Na69sxXgn8zs8SD/5Vni2jKnCLiUy8zVaar+MbOsW2lU6a06nq3G
r27MaEyvlA2ZT3miq7uxj+PnUWnMldV08hFogcfu3wVgDrrpwbT75jaQ8wRTpxLuBc0DS1NqyD2E
ZYA7Tj4lSWAfuxn+YswYGNoO+fmOkJJLNHoWC2EOSJa9G1SQ23XDhARtNn4PKe/AG9p7rjxig6rA
Sr2kQeDv8jKYGFU2kUuAnwogyypwhY4Ptlo6QaK9jl5q7vDQWqsml/p9NgNvqrxHRpkhOEMin+MZ
i9OGcezYooQdCDMHBwzSma01XIiiqWFUEEV0xyu9TtIYz9I0+Z9hUTwHg+8tJ6+jIKbYRTnD0iHK
4q062WD6MUXc+Ir/JMfjLmy1aqUX2cWgG2QZyo20boQ/we1utV0QyOYy0ZK9ggC7DTGluRRA6us4
yfRlp6oeOnVnLULDZ76eFhRL5d1lqiJa2pIaVLgEMF4yqImMoe6rvn2KNPTbbuTdkVopuIZ9oblw
nYiIYzpwR7MvtmVQ71o1eikLE8AQBXTwIkW0RG0HN1lOjUNzaLCUeqVyEymWV55QNpEukb2tfGcw
unXaxB7msbZ4pdQ4Og6N/iHFuTz7uXCYGcAZekqh4si/pf3gQj2FhqIzrNUueVC/4PF1G8Y+qJZz
Vyo3uWo9yH5tMgEIt4WEP1ttIAaWjCYKfo8QMaPkTvepbTAKx8zSfa0pH4aRtwj5/W0HvQU/El0a
sZzpJEbks+nbmyzN151mHKKBkFIvrwOlVZdT4gP39MTN6EWryQ/P6RQ2C9FQM6EzhJmM8WiMhVvE
0j39jYk7DTp9VMCEp9Z7SdXqTevx3tmB9T6Y2EeM8b60iatATGJxnYszmowh/qmMjbx28FK17zr5
LgcVCUuqlw8Hu89wg5pwKg+KmJNv7Zjku8L2NJcM03DwhRpuv6xB/y7Gxi8X4+f27fUnGcm/LsXk
LHRCCPMEUZsnIV+XYoX4pJCZXWpMSnBSfVuKbf4EMxwrpMpf+YKc+LYUE52gUJ4/minr/4y2R+bj
70sxa72g0xsdmFEqL/37bT1pKgbu+SCfmyh/8uwMcGysSXsVJwU1JErBekIMCuCNfRpiXCA5PB5k
T31X5Qa9HNlAykq3jUNVgS/RrXjuBRPrrm9vE2sojtUkOUUn0+5gvSsdbH817Vn8Wo/SrH5rA/oP
zUJ2Czz87Rzhz2xAeJDj7nvqAfQwyO4IvkFXK4p3ONr7vC3uKwVimI5KvhDUDCRz30Be0zwAcHYz
zF0E/pQH2YWEy5pqFv1G0sTeE729bHrZc9JeQiAjt0AeoeQb2ryarf/upRam4BFAi09Z8taihXxB
4d21oYXlxsbltUgF1cOM4/D20IHleqHQHV8CPZR5sIMHnQCBrX2qQ3EhZHCyGgC6RRA/hap21+R2
4UqR+lEAF4Pm4N9XcJ1CVuJWEHZLJ2XjlfYnWY4zxjcBHobhksnRPGd+TjN/H032nQKQCOc73vxK
le/oUKXKhg+hCYrGgddJqXFDC3Jb4yYz6ycLNPAChCgxOANzqy7fWImuYIYKL6GNlVJKGb/uxhFT
0pgVn+Wq2MkiO1lTuO/G3N9qUX1thU0vqiFzzKzS2jFFsohEwjCiSFxzisH9SVKL5GirWF1sYPQx
tCPq2MKsts62WozrJLPURSeIioCX4pJTfahlJy/Az/oXqYW1NoUGlQ5dfCpH9XPCQicWlWCFDyLV
PgENRNnKGNB6MWNVJO54lSW0qfhxfg7SqnDkxDr3Ut440FlJqo05/jJdW9RKvmsr9VTgUSEBAYGh
CXUik22eUfTOWGjoSAUq7Ysogoc4jlsQZgxo1SAjMorznPpTFaRplC+smvNGOC4UL39LAQ+1HI92
eiZdFKv4rFPkjp9u3ZaD5WQERh25qbStoOClEOluaAymW9p5VOKzrsENsBN7jr9Ej3Lv3RspxWvU
GmEek8z7qvFxwCjqwSuIuEoWfqKyTCnAk+VrOjY7uQ/XZRxdwxC+Y5s8YyZ742iTEwdRGBPV3cmq
4tatBMnQXM6OhsWba+jSDrwsZ3WZjGULCdHNfPMAf+qd+KXm1s34WGjMUTsFqbGeQJE1IHtns0cM
g9jpMvnUJ/1bwHu9FFrhOZkIy0WuFk9aVhxtKIPCyldRoNX4HLz3RiZWUeHPl5K+dNi5cvbmFvdI
XDqjjTUpG41PTW8c+1LlQGBFh9KrVCcsUvZUUptUZL9YEXxa2kKUeHpQcDLx+shv6NDCevtYDVni
8oJdf+p6xuwxI5uBXutJvta29jI2dnH29SBxqAgYdlI8Sts87el27MJDF5e3TFA+giK+WiIznAKi
okW9gFdvPZP/l6kKjE1q6ksMjK0baVKyTVP1Eskq8SdNFwzwa85AuRlTQ8lDPFpJ56i+eY5yDkj4
KBPXCxIm8/5wgfgsLzxDfrfohvrjGvbvPjtLVL+69AAf+8lOO//U10sPsEDo3GBRLIPw9Vwh8nWn
1bjasMlixIdFgPHg205rAQtUdZKIGGQAwXxvVObSM2etZ8gKLAJZ/KO6bN3iZvX9BdqQZQzUJB7n
k4Bm4Vf+604bZwVWRTmSz6QFOKjNmXwH2G77XkXtstNZUeXUizeAf8g1K/aD13QkoSsi64ZhvjVp
cmviwl9gh3bbpuEJK8I3HIbbuisP9KRiP4QpDu+OoIfoGjQ/5aU3B39dq329T8tyW3Y+trnwrDXS
NuWOVNOErVS17bQerbHdCALTrK1NFtLy1EuuCeu+6UXu5NJ0E7Nlz56yq6o1zzYjfpD42WWMJYUj
qXQnBWSevA5qCQheAjxin0RPpORfel+mlNGIrnXFCLQqa4eI2z6VS4CHwE3HPFePcqGfg3DCLqTo
+8koYA22e6v2PhV2vw9hh6ijiC/6UHaOn3nE7RrcN6r0DB9pWVuq8gqBcCbkWkSXq4dQlT/5Jn4E
7iSlI5LkfjClT61BP3gOuzWOreOY+MFS4d/gyfExnIrXmm/xqvPicEkrL/4otSRoaHhQCAn1VVZ6
zx30jEnjhXQRSUhTPQxWuW70OF/YrFe4UJSVRXNY6RnnWMXpY/TTpu0VhkYTrmJhr9p54euCtdxY
FNBa0YVMC7tQNhzYZA49Sb5l7xVPYUCVVqeWEWGv+KGsR3MRx82TMfV7aMXsZHX6Obeqo6poPlVM
QA8DPWD4LDCythgsGnVTe+zbdenfqUm1lYsgdCyTAqpetMWSupZPbAK3vjeuKQ8Ylmme7sZcxUyq
SR+DXuwnka1E1Dzy3zZZjs9K7yxrmatYmYOoucnqKDnYQ3onDrkSs/CZqSs4ubp0BQSu2dafKV3b
RGa1FtzunKat/BV/8ai05bLIMVvKcdfhFKlvla5aR0b8rI/K2va5/BSWsa8jGpKbHONJlqXQtQLa
Uet4pTeI/1yCl2OAwRQfmuXEU3Us7ARbXToPukdtrfr5PjZ06nap0oy5+Otxv4sChvRBhYhm897r
3r6BzskOG5rjO1n36jFgFkP1jM1mIODeX9UCQd0nYpRKF7mwyytGoDRZK0O4ajR5RdqS2grV+xz7
w4cHdQQvXeJkcmnuzGx4qEX11sScioo8v3A/XEtBfFEgaJI9NBwMk24x0IGjmR1IZblaWfggcIDp
/OOIrZqmRFw02uD20JeBp/fwas3Jibo6dQoqr5p8WGlifB0Emc1heKEmaynb4z0fNG6ESNqOoXTI
ymAdxNI2w2UvKGr0owSHsreJiA/EFpUIg0U/jj5Rwdg8KmVFjBCrk4phpUstUIghRqawjJ2Gpgna
/9Y9p5a0SPlAHhqK1sehXbVWD1Wh3cIoA1OdmXhKazcI7ac0mskJVUCM0VZcIm9ErlPRLmg/2Ngo
M6A53ute50uAd3YwQeQjRGjFeMQptO0rDWCWSvmB2vd8thy0JUhsdfXeVt0ZJKVbR/qdHPqE9cbq
MMWkiXWDxq+Yb6FMHrWkNwJyh3xrtN4HFmCezi7dNpQAcSbuNopvDo5U0nmkpTeePHWkjkO83NBV
rZBuDL099ma2HyQ0+TSmWMW3sN9R4iGs+fqDv1Ne22Z7E4ruUVaLrafj8YGQtoyjhPVvyCQ8evlV
w9fphFN11mWfco9oQ/XFogi7kyemu5KpKWGCi6e2u6rsyE8atJbYowvbZCVEtdQkZZvnwJlqqhxY
hbWVbTR7OZtWVqZ3jk0QsizkNwbdmMfV9kULqcTukQC3hDpuFEDhhe9flMk62BZNi9MkhSsx9Zzu
Y7jHoDWxqUfLVArtreYbLTUYw42WSCsoMDeqbX2mXIG0XeHWolnWlSWt6O3LnF5qzmNT3DSmdT+E
ePVTw2idITXs5RCpyVNMOw1Jju5zVLeEzOWHpM22EZ2LgU15AXm+azuprhpWnw2fQ3OrFKdgQNSO
pvtYUTF2dvEDK/CyzoxLJXlkUmT7WRLV41AOewB7xaJuUxPQp+U0SrCHoeMEg3GmVXGvNw3LuD5u
uUEhVyleSXkvbQzxQ5dIPSxQKVNW0tT0jjVYy0QOt6qBklP06eTSRvpJx9Xjjl0+zHSaV3uazkpF
KoTjgu/6GMWGaooWnkZNJa2/9FkxHQpNlstxoOc0Dx/zSL3JaX3UY9rKu5xOxaB+B0nkNhi/TWk8
12LYTirrV4VtfkH0/H4YpYdiyO+SUAXAlWlukXBRs8b+3MU0S2MDvp0y9LSkjdpL1UTh0gBLu9Hn
mmtBfx9MbQUg/m/mUup80f+m78+aLFaVWW+A/6DJ6nxG+l4IqEtL0Udbs8/Kbbp4MlbdTelgSnfs
17trfSTXusyBzYQHY02qZpOvgp3hb6Jj8MdU8d8Dro7y84sDbvOahXXy2tZ/l5Pmn/x6yJX/M5NG
8WR8FYa+HnLn3mFUJN36o3fvOzlpPsliy7ZtWhX4gDnJflX2Tdr6aNWbc6oCYJb4RyxSTfubsg82
hF5kwFaIU3BD5+nnd1MiksRaXA1Jfm45s01H6u+M6KTocqQuG46wN+wtXeOAazgZRXnTonHqPuUK
lZredQrE/1RJD6VaPSdjvkvq7BrCjWokFY5CRLuwYRz55nCVNPs1DS0+hMH4EMj94xRlH3ZIxW7e
qTWFUSK/GP60UlL6AwLszy2uYrpjyekkTXRs8NINwMXdSusy5Q0O5YIOej+h6IaT3JZbQRXuABI0
/jqmB2hayDQvgAkqNEpViK+zUc0RCjM003VpUu6ZEAy507wGIrSX9lFLMs4P9EMVhfVz1HuZ2zLN
U1dd20UTh6Job9aZiBy8bnW/hPVDr0BtVTCfM7Mj+lr5crlMDUGGPOmHt1bMXUNJ9mgWLLt0Uayt
zmbwGYrXwqNs2OxLLp1W0q+YMxyZY5SOWjc6+lO4LCcgPoENsdLr7lXZe5CqaduY0rUzUyfr+i1Z
L5c+1cPQG/D6BGymQjhVol7HOnwtpHwP1VFCGmiPmFyzhSkVG2s+hVW2cu1aaSsU6uQ9FK+ZqKBV
i1TqN/TOc95MN4BTDr5NaEIdTm1evcljfbWDZKNG4j62O44eJuwq/ywCLMrwnm6TYlqYWegmhbzu
jfpaNRYJk34bCf0xZb+XbevVtmrCNH3rWKmmwmH8nCnU2ibipPXtsqepSi8mR8nroxfWN3bcPNPD
ysnUcgtJWZIsOFFPdraARBAbOGU1HRWD+jjR29Cp0UJPZxVMp665X1ERdYq8/FRrNm3HxopL146b
zJrM14tqRCsrbI6F1rz5OUGt+aP3TftOrxRaoZW1JQYah0EmtbZ8atXAHcvoVAn1UkKsbibp3gi0
bULDGimxnFFAuq2xJGNEWthe+WFTFtJlySPXmPtcDq6APVZeYRzA+qyoSz3JUUeH9Kgceh2gBi/C
sTOFOL1yoOF4BxjfqYLm4JtsfSE76BBs8xqePFiQj8pUcdwO12qM7YXnd8bFNGDPiD44CU8/joaa
nqsEQzlnIACuoZrTSsioB+D8UJ5lYdA6zCPVzqVecJ+cUvSMMmr70+hj0xqoVk41TpD+ZSgb4Q50
uXWAX1wc3y9NNPL4acItCm/NbW5cSZr3MlXJsbeHYGWl7V3ce5yBNG49elPjZ58Aq3BxXjALNx0p
ICxbdFK2VAPl6On6Va+4dkqwthfRwCfeRfZNVEjrWk8xGEb5BgVWovzSjFYcDo9N1K4pMHMMjsYy
96UlTweflsokjhK0m9LDB5rp9V5FM3SCsd4naXgmR3DQSmmtaP0yFeWpUOfe8DJ9LxCQVuokuVyv
ezfyRt6sRlyMxNrSzqu5cHw0Csuh80Izaxwpap1cBs+uBkbEsbM4ENprIcZAY1Hzp8ZEuRzVtHOk
dDohNB6HOPwkNG6CkgXKrSDDNczlMlnUXUWmPsAn2knswJbUJqsEFZcOgP7I/H5cdDorAPQYIL1F
1rpq6bWLPiTvELXjIS8pBhBaeI7j8r4TrXCCYLjzhcHzTiY5o66qgxHhJbw1ZI6JuVbRPQfpzKHb
xubELfUHSvOSPfiR+F9x6w+u18ye/MXez8rxUf1k3+envu77bO6KrswgCUNhA+d09t2+b6M2YTie
g3CQyr+JWzb1GQhh+JAZ9H8BjX/d9+c+J32GOzNdmk8U/0jcQsP62+kRyU2F5AXRCzlK/uH02KmZ
2pSSPZ7ZteoVNu5sWetyHWPasrxyTw3QYCzKzpAQjjzk454BkUz1DVI1E6N5dhQGsnEY5nlSFyG6
tkw3Zri6k4xavVIVqI5inkQNXVlcVJ3gL8lmciGjb9CMlj/Zs9YqIbpmJW2JSjBd0pAMtzcrsxLZ
o4WGWDvNqm0267d+gZIb5j09CBaD45ZaA/rI1Auzr2TbpTSVp56xlGdVWJr1YWNWiilDhDpjz/px
iJAMH/GjR1jOEZiLWWmuZCFto1l99u0ExWJWpOUW/UpVr/asVXtIIRybevrnW7ee9WwPYVtG4C5n
pXvwu4uM9J0y5bKRwmnxfJFpRYpmjTycetXJkM11g5qoWU+aCuvTNCvr46yxW2q3H2fV3Zv1d6nF
GhSIYWUjzcezRm8g1ntcskypPGaI+FHIjmDOun44K/y9Mb5NoXpSQkIqvVVcw8BPHDnSSuum1ixp
XFPmx/USkRvZjLhSWUFJg4hZFXA/zWEFgwX+Z7Nv51t4NX1MlsXNxez22QADFZSaBXCGRTJr63l8
RwyxsojZ2D6rca/qj0WbHFuJ1tBSL5bdoBpuPX54ZJNgLjSO6vmv45h9bk0IhWYMwavRJ9pY5CY5
WgkU8IrhkUm2kq7w4hJU06tV0oiqNESh4YlxpNGhv2Yi33Zq8xBF+aWVU6qbBWYHK2FMX4K1T1n2
tYwxj6DO2X+Ep2YvmrTe+1WTcEhKSaQLHlerpuqCmGzjmuMkb8wk426UYjLP59BFWNoPVADfxKlf
OmXN7LG3iDyWhEQaI3zFXAKgpstfzUGrHIj6cFElb9p4DaoX9a4EBH2ds6baglBTpsIddJ8YVOPf
mp7JM0XZyIbY67Fh0O+02byJD5OE7DsHlHR9z633IpTgOcMBusiG1FoCKjqkQt0Iy2Jt9+3zkNU1
ngsVKnrAadeX6wUBXuiOPZVf5EnO+SBtqxxrClacd26hj1GqvRUjPAi9HVxyWx8sUqdKRYqpCDt1
cCiWkOArQpdZd7DH+kYrtE+RTuyqLoKNloxvfcT8WM1uwyyJkA+m56REwq7ZwRDBomhV+NgUGg8E
Ql5eVD9g2BjFH9EEW2JUvfXU9mTQEkksan0WdvzwNg/8ni91mCylIn7M+vxRqQIQOJ3+WsnRSyZQ
G5WGKFmR0woZ5tqxza2HqJL25Ol3EIdkqnGMpQiKnUczqdPmLb02CokaW3puynFtRvmBgWay6Ilz
LALffGomjgqxr9mbrjBtt07h/vcUAhFptPWzGudwlMq5K+zLbvDvldhgBPK/t8W7Nqe8Ofv4+8Y4
/9yfGyOgabY+BTsbu4/1BWb5dWMETwPWAJy0yk73pSLqm9VNn+dBskLHKH9l3k7/9FdQzsF/mCG3
xMnteYz0D/A0cHH/sjFa89SHPVbjGgTwet6G/3ohVjoDKZkWqPNkBDssewjqtOMOMcNmRsyrzhAU
9HrJESZzvKJpeiO3yjosmnPA5Yovi2v36iWD2ddqyq6vi9e41Z/JuTg0yh6HSeGCpW+mgHRwLOWj
E0CVrsfkQrowXoo0fWWuhemcguGFl7SFMyl9wqaZMOGOSWpbaZM95lqwb/lyHDKUUSuYZf2cgfrE
gKSy4zchGSvNUzA55Oei4vBa2NETqVJBd5U4WwbzUrWNObIrfXhuRf5J5HnEbSFonCkwhRN2sbI1
RuvQNCScvfROG4cPFOhjrduzknnXo79Bw/PXuWhp15gn0Z04G7m5SxqYi3Zg3GswK2i8f+kDsaq7
qltUONkWvW3d6HbFOT0/R318inoWElKkVAXR9RSZuBWUSnq0MQsscpZS2YgObA1Me4sRwGLcbDMj
KVF7J2UVCDtdSZH9MpjpjdG1B7218lNRXuRcW6VMhkZTOQMhWLXacB0VZNsoCjkcK6+aEjhhIj11
uvcodHklWub3NosiC1/6Fo7tPXYz7HETngxliE5jx1tXxu1FHjxkx1ikD6W+pS2K+ovGwtumlWZ3
8mVr5TESwukmemdsu9uAglf+NyWUaNtuU2YPLS/DwyroxCFpYLoH10aIX6OySLfL477s+ByiSCIU
LFuJm49gjEfg4qFFiKn3PuklwfdQiDs9F1dJNTWHQsaDnULFbA0i+EFRJpAfg6vEKMyIGv1g5Ize
hjK6o//k3ZJDN/PSC8Vmn6KsevBtlG5Orr3j84/aFJ7S06zi4QPOB99BmFpp+tyiZTJIzEMyI2Hr
TqygxhQzmsF4r1JFCwRlJLfYfqD1FK4umPnJZvGU02ptM0g50PtAIXBShw49TFQDDkpNtp3WNIlb
L7HrkamHYhdHOscgTsZXr2gtB/kJY0TIrDIcLMuFCtKCV4Qwlw/JQcFXAlzwKRTmwdCNa9ZBFzFD
O3UkZZrWaRYh29LhvbLHjCdTU1+KrLy1Oj54o/fdERVBbr1PXicprtYZV7uwrm3vbXqNxjTF87Zm
LBE25qGHowqdgzOoU9F6jY8yrhGiK/CLJUwUaRpffW2iX7nmzJLwji4aqdo1HYHwWCyVEdFFmW+k
IJ3XUM3T5RhfUa4UJkVQV6dXHA+vTSfu/KG7ixMqJAfrBmNF7JAQ1BkSAHCiVuYBdki2aGD/BFOz
CsZOANcpIXoo2CGZkpKrlsZXPtdxx4kJqi2mwxjMrqtK+oc61MdElo6D3GBgssZsyXHmlVv6Ziwa
w8lFOvJxse2PvWmCi8rbGcZzm5ogHMq6UdZgw7kB0zDr9F2SuX3LE8h//6wm9MKPxoyuAv3CiUy6
lq38Uac8ErpIQyq4zPuiKk91EkDuUfSPosCBKfWrOhrEQlITfZn1JkMUJVoF8lQdPAWLZwZhKuUd
31NAnzGq4mlqm+xZp8tzlUuswX5o2U7XVfqC9qKNp4thkyvjaynCfG2zNOpxuCqBfnJJ1o9TE5zr
RINAbmI+HUPtlvrZHjYt9W61vMbSfFdAXYJ8cav4perkE0ciOTdffTyvhQiQFPXQ7UNZLAy5vZfE
pDheFM5l8RBjK4OHOq69505Mz1VTXkmQ+hs/kTjRKu0yZYGDtNjeFpaSUhfN5wtkwbU0CD09RWJz
D/lbVCUsFYWTB/aZhW7tl0EK56i+G73+IVabx6q0GCzE7aNuc3JV1F5xZVkN9hNJKyo2A8MZA/AT
uQ9MMFG0bVVHt5nQ1lOBSuXFynMfg/a1OTAbiR05ls2UUCtIZ1TqQycufb2bvKc+3OuBdsmo36Zf
6CGS0vsQfK9QsmYtsvykFvhWi0SpN3IkPhQW+qUy2DddKPhq68wqJQOqpCmmcJnAksFfCL3d7g91
kSBdqRtzSFh+QyqwR+U2M8Q+AIu2CP320WxGGFJlsyub06xlNkY7y3KgYUdgPEluh2u1rCLHqMJH
ZZzWSVJFh0xi+Z+k6miPprQCmhqvtGaIFpOiYSYrKLo3KAjoC39n2BZ9KcLCD67kPsyXkQKBjT7k
H5TSBMc+a2hTh89lmI8R1qM1BbDIgk05jSclkMng1nzO3BnExre4KITeXNNY77xmYupCG+RZniRu
Ami32w6hkrGuZYEGGcf1NAwq67FVLtk8opVN+UJqKEfU9S2r0U54PDqWri4qoBmuVOnaA7ZKVogO
ToJeS5ug1E+6XvubLJA/tFH+oCX5jS1nBp8Mm1GW3NSChYkNW2t4jVifczcekvchxJNo+AE3O0xx
jcdoPPPFExi5bo1FP1r2eLixRuEKZ3II0nh2G4i9P0u4b428U3TvGnvmRpKIuYWVedaKgQtnmypO
nMj3vP3s4kryUQzRrsNOBUJ+uFS1WEcWdxSyz9kqG2RuuJU8txAzsFXK/ilrBgi7yQxYdkVi3Kc2
Ts4ywmM9xdteFys4SDco+SDhGJkrTXFn5vo7i+tNgzXawVkI1EKUV/ovVyxwlJXr3D5spT5lAeqe
iSEzE3jyKXI+m3Y1wjILWipz43FZDQ3PA7MCNxBTgF2RQoaBzmigUDWXDPV1oqQX1b5fQ85gcbbE
iUPuU1UVB2gyppOn0lIBRgJ8Am9ntOp69cokeM83d8N0RsbFGtwXE1fkKEQXVdhqY+UQes3eS/JH
o1Ceeg8qNbTmx1odjvlgdg5NUNIioj0NSdt/SEdaAxRUjCncVXp1HHx/BaokdtvQwptasEdL4r4t
uuM00PCchW+JbgDFBbVTa+OhG6x2Q7yhWWaDOKaKlTkiZSGU8E8YoeB+o2/iXD308rRvK01zfAO1
VEziMerT9EZjsu76jQWsoK9UtwuYnnStXTjwFLDFpBkAKTh9oN2qTU2DBppJ9Gb2nGGsob0xC+gg
dtXla8KF9SEtgWyVWo+ZCPWA2zWBBajf9pcRi/pl3ILcyuhFNNJOzNMYEeRb+8uAJvkyrJm+DG7+
vY7J1NrKc6TrF9exj+D1Zxa8+af+vIyRO9KQAQ2yRUiKfykEUrX/cNNgNEiFLkfJuY/gv5cxXf4P
00wmhkwNGURyHft2GbPpI4A9Kv8fe2fS3DbWneG/ksoeqosZWORbcKZmWVJL6g1KI+Z5xq/PA5Hu
tiW7026mEqQq3LjKlETy8g7nvucdBCxifunXyO66PIoXv+txawbt7fG1sCQiz5Y+6LfdySSi8x3x
Ni4a2wtLaJ7qrauLTZAk0nEduUsZUGmuS00/c5p627W9PKO5T/HV2MeVHhrzTFXllRtgzSal+boO
QAcS2Y8wwYmXQZ09u0rHFW+o6s5ZG0ZaSwtVqn8rmaNfek7wtVEYZFJrvQFMaC6MHGfPDN+gM3DV
mn1WwZnAlJ8qp3wTTl1tsjYBZglkwmTTMlz6Xc3Vo7sym8C4yrM4mrthS+RcRD1bWEY8i+wxpZfl
hikW2BVmF0urC1eBW0sbOTCdZUCMKSHu/oucKB0QZINJf0VLAcoEXB43G5xZpWIEEzqJfOEocKC7
OuH/PDvZmHgFUiZ2V4MfJbOCTChexS9mA3ysWaFaSFbU9iwyHTix3nGXKJuqAGJErPJYYbt1Yrjc
ZtKq0bG+Cb6kejm2aU8aCXFAYajsyDGgyzA2IYqa6Loa/ljhGc5SWNK4I17bRUFDR1hbPR8uizbs
FxCq7rgsPadFep5DbuBW6B2TO3GpV86N2+Ck2ILKNqH9VmTaVtT2Gf1WgndLApqowM01hmT3QRsd
G4n/0AUVbv+29Na5FvZjlb3yo+Z3PbFfs8TMt7IGky5IKgsQkWGBWU1XynO9U99vufviUvi7kqSX
Vh/8FgoznrUxXJ8ogfCP1ozWEXweGPvlndGUDzQH5ymb3zJ0KW96l2T1LMp/S7mSrmIRAQ9Yhrso
RXeT8tVHkdKo3KIFW/IgE+QeSenc1erLrKRUE2ZLYuKABiir7lEpvcRuoq0cVX7JnJBamGv4cUJ0
jiNZ6gpb8WZldKozx1bR5eUV+OsCpzPhaDFhiDL+oJmmbqXattcuKr25aqUshNR66wPiDsPySc1a
jx5lS80WlBwqRvmG2sjg3Y7CDUtk8ywJo5U/mDPDc+yZWdiQ633WiNOlERQZb1g4cj6nEa/OuPmv
3QZanGd1F2rjbBQ9AWdILozQIgDeX9UKNGxA8jObv4kR73WWt/D9exN41bgz7fiCoh6ETg36hROg
xMVJCd/V1zKp7vE+E4u0A8ZMg8xelpzk89SugHQDcpPD7Axf63VJcVq69TbM3dMKnhs1MTZBpBIo
UbPRampus7WZ7V13EUcKvVURPXilf64bWTIzRGtug9w8Vez43K+ydSSpFfBwT+0fhgPoMhZxricj
UHZlf1sH/qlS+9w4s4dIptFh0YTkuurcaqZ+VxflhYKAAfZeai+6QDYw/dUwq02qfkQfsX6vq7VL
h5oOxACVDdFkazh3A6IdSGHYmg0+drsVvwdjEd8SMOssCLfOULzmiaotISFl0EqVDfq5gf4mjiE2
wzpvKu9OcdSrqqW6U/26X8Lj1bACK4xNmIs33GdONN8/9T3PxLk+VpnW+ULE/sNgqDeOw/eOXa45
z7HOmhFL8YXclwck5PHMVZMrRSJOA0Lam2HXaxrf/SxPLIcrfnNVePXaSZSbxivPBJ6lSEusY/AG
oCozvopyLPJMXzr22ujW16tkIaru2OitZeNGlPZ0COZBTpvFSNpwGVGFLwbhnZHuQM40kANlcPTm
Ds5NntHg6WXIVqpPFkjnBS9FBnsslTHzt9phoYFNIG7QxEmLomdTWdnKbImFHvLhqlfp+0pNlc1D
273uVH9ZK0RcONkJ5scNgsvimHh6uhqy584RbfRrFabtPDJSfcUd+j4mL5f400fgfx/JIb6PVtuc
g03fKnpzOpgpv6qQKdJoq4KgjCa1Tvys2ASlgxExk2jeDjBPdE2swZ+eBzk70132bHKqlkYwlt7F
Kwyxs6rLH7ETXBLdhr1PTxymKj+kZJSQAoIoga46adYbs2I3dauV1jAJCL1g5ybcCc/QBWTuiMwK
8yar/TMEF69hxUbpq0a6JJ+dYBDQiwpLZ7rgiIJK+6KwB3etaC1UvwIYMYJnY7aFB3cZhRDk20KH
52uYA2EwvfvI2VksU98jYc7r06WA9n5hWZK1lmAtrYuyIKZOvtaTOuLSbN/KZvUQYCU64wLUgQ8w
NSITryun46KmWE8qBlTrwi5gw6ZPXCEI4LbSF/L1QC4DPIITT4XaEQb6woFkxJkHZ5zn2gw/Zxvk
pcKpT4XbsrTj+sUZlZ/CzF9UL7kIArucO5ID/7VxzuQM8qrm9t4KQJQsOSSoODvXSFIqdjDH0nFw
EayyzE/IZQBSqN1NT+zt0mSflGimtFJy3aeDR7ZP8Hto4shLG0P1Ylx0HGIyAq6t0JqvZer6ed5A
Ih4kc5tVHkdxomHmS2k09+WhnxuSXF7YuM+6ffyGgVUK+6W96PDppYfingrVh6hXZW9gO+4SHcJD
S5ryUsoxhiSv/TH08KTOcAIXpDtcFVZyxm5e2s6ZBiXd82nq4zDrWVtyH+z8PI2iFJpz4QvXhamQ
Q0kSsp17O3uP/29r6BSwf1FHF35CEOcPuhr82h+FNCp9ehaypglCt+nMfdPuV4+QsfxJA/haRVN6
GxTLyFgUWhskfn1bRfP/QsDJs7HjRH7yKy0N6rhPVTRbPoIYxeYf3soHZwopiTsjz8v4MpFxiT8r
lZodqa99+vkztW8Vm7gbBPfjmn3OG3z5xxUAr/oabIcmpfnUN623zFgsBcq0fFw9BG9Fi1ozz8W4
suDKUFJnHattXHeQhonaGdeil7nn0rg6m4buAuSsi7KvXqRxBet2+6KNa9oDXKrHVZ5a/kk3rnvV
Ds4kNoJCpPoiHfcGryLephr3C7MvXpAQIqusi6fGr1b4/PZrwSYjsdl4bSXP0NBsTLM6T4YQV/Nx
W9Lz9qGlKo2qPpoH7FyqXt276IzWAESoTsftzfXZ6DQZv8l63PywIHw0x+2wHDdGix3SJ1Y41She
vEHBu9zMZ17tX3WKOI6F/qpV8Rpo77HUANMUAkwLmBOdpZzgTM5P25tYFPc1Uva0q41FErr3aWnc
2wHa8XQhNPW5tO3nQikvisG/09PuOcR0YYE8aliAyV1KvFkQx3YTez7YQQU6Oki1u+pD/7r01XNy
nc4HNXfmgfAVeEkRd/fcircBbpszXaYL0AqUtTrNJNrs5F9Lnjl3O/kk8Ax3HUi1scrd6MwDxF1a
ZXdrlNKx0iJgsc3q2EqBmAS1W9ZrNibaubUtskRZ99XIbAzABEaOedZH1jo0vWIRCDrvRuN0S71W
RstynjV7ZUMy12+OZa4iv740RH0h0qSdS5KdrwstmRP2Zs3cEK8EXA1mXdWChLUDDWJRbGMJSkKh
SM6ahebM27Q5EaY49/gq+ElwVKn4YjT6JeqlrRugGzCUgOSelEQnbWPLpBGEg3FbAV6J2P2tTKtX
br4SohSIqnpNR6/JbQht9XAPCJpBJKfHbGZ3GMXTeC/bW4m9es6vEmpKGttSbcLrXsJ2VlUMQH4Z
ISt1KfSU7AxK9kWoYfpf9R0mEWlLaFrTLjuLZpyJpTNrpbAWQeorc9KzNm1F7ylUi+6xcrJgIcrM
WahFia4kDO5qPIMj/1atgHosNFxL1hqhEQ01SWVW66TEo0Fvi2zTyYozV1Nx0mN0it51WMSBry4G
SboiLA+n9CSHUqlQ8yaAXb2ErZWvwmbo3AHJVPoYdjlCb1Vca+qx1HNejapQt/iSmuWSPkiwoJIk
bDXFcN98E7KgpWhqb8UgHuzSPiVk5jzr+2uFru+MZoi3NAApZ30MJF6Xj5E2xMS2b610IJbIHpsp
QNLMvYDKW4NU0r8pZfG7K9UnbVpdYap3BqQZrgheWCBbPlNtrL5k0YREnrXKLBiFyLXtNfOiqt4y
KeYW3bXKIurMRz8vfkcdCE+BZsFMSSnZu9YyjqsamLnUJYs2jXbPrptDxqQMaiLjuZItDPExWABY
t05KqejWblmTYzU0x+CniEYL94vhdY8oTxA9acRmVnkZwfqAcFdqeOjFgGzI4SD6dtcV3dXR8WMZ
dV67yDF3XhIlV7DoUpaEZZxFBWq9tHM4tNXRJNTBe0dyrx0Hj/rMvrYdbaN2vUWRbEMa6iMaYtm5
68r5CpAuui9amg5O25xKMMdHh2AWth7cmQb3GKNp6UjbLTp3xXvqkhTlk+aDWCbHbOhfei1tNrmI
aWEq9VVGTYl/iL5oyC1YA3a786ZUtZlupDeOlRyTSqfNwzw6Lb3myidHdKZwQXCwpMbdtoCY60b8
btNc60ZgbYakfipTGm92VjgzuGXe3Ahy8vIG6c3WqNsrr/DXli1dJX36ZKis7TwyafTFAPQRiCcd
uyEhEskGW0jze9mKnXll0VWIe9pFqkLuiQc7YJGyZ+tZIgi3ENUqqogqsxF1ZEwkaNurHnuamcxX
PuO4K+ativd21Ql3BXGAMaVjseV+AIdJiwHSqdjUlNzWWmtuvT68ajkT51WAZYqvg7Trpk5fj2RB
ssxMbs4B/wcfDe6YNLSLUAvOeklNYayZdFBFSwhhaNzqVb8ukv5FT/XLwM1eO5k/V2rB/Xi3nLUF
XXCjTk6JbcrPTX1A+k18gmkmGyHL2yrKirnWKzVpWSK9z6Mg2pZDfqsqLPwoUe+kXrsgNfylzaOV
7QS3HPbihPYyV0zL3pYkPsHXv7GHcKNKcGBMr+lGvjKYhdZuHF2FrN2TcdIgVWup+BeKaT77XUo3
oUi5DqXZsOpT64vsxPlSH+2cE5JclllGwEcT1c5WFP2jgdMW32ejrJBm3nQJF13LkY59130sMFd3
kdzRa8/WaY66JjGzyzTEwQCCgrsk3uM5I9sXarb/oAmgrSA3LmHc/ZZqxtrJom4zuOpbIEArVBT/
NCmwU7c6vMQNE/JtZUBQFGnP9AvgP8l+j+HsID8YKOptWn9LUqqhOEns2oRy4/FlQt42pOBRJMpZ
yFVrXvlOQOWenfhNxFBXxbofNLz91ZFQJMJN4Fb4Clq0XkXFBTRXcGpIwfqXxCa9eC5d+9xyi1Uj
q4LWQNMs6NuDHQzjrmrcIciTZ67r6PM4l268or0FTOGy49tzcr5P61KmvK9hdbmwppA3eNeVYebE
AFbb2q3LeSzsWy2pL92otedqWQFDZVINZZv1pCIR7lwpoumTbCUqJxZkIGgTl0+ZG192uB+7jBZH
SLDJATpAjPzXNqNPnRlvhkDyq1ocAjH9B8JE38wyxuM7Up6bvjixOclnvak/l425zi0SshNXPnYS
NVnYA+YLnRHeuTGmEmS0KHMLDjI9QlTDT8LiLmMTTWdpUjqT6+A40yHUEzkRnCt+isiLTq1lhQ+u
pMOMaIMbmcvMLKulL2ZsGzMlTrea3d511FzATwM5gVmaLPOKbJJeR2QahzkfRyOmx2rJMkVpemLl
oHYWvIHQzCE8tu0bjlXgaminl26orkRT32cNS9cr5KvITUZquHqmGj5wnA6voA6za8PnOyI1QqW8
7Nini+QMR5BkVRgaeGT1jPgS4bNf3eUdzLa4FrdDRI5BH90oGtFMLQk3qSme8CBl8iMJw0/DbBfQ
o06zslglAotntBPQ1DOsTysjeLWpjb3GoO/UJa9DXBwPNmini7ZDUch8D4IF6Ui3WZOF85IqzwzZ
+ugB1iS4tyZpoz5vsjbXoiveDI+Szky7BzWm5mvI4vTRbiP22GJQvvDC5NGxwqegqi80LT+OfUzx
XdSiTkNGELDuhuykL50nLzsdbyMnT6+BBzaZZm9tZC25CC6xrJ/3Prz0XiXr0ImWftGcFl26rf1s
HumiUY7LQKbR45pKeBUlg3Hfp76Bp6yEMPAq0iuyC3vLgNWTSf9n4t/21+Qx5HmZsMf2V/Vr0X95
LTlk/0hSHp+9TKlMbtJ/9kNfqWs//kP/9vr+yjd9Rrr040vsJwu/rAr/uaIxsntu+/If/77jsMsf
u0Pvb+z9Xf/l34ke+XT1C69Ao2f0QNK0UXsYpYm7/39JVrQjGXMkYeGz8P54v0B/M0Q/G4S//ny7
0fzrn/nuvT+ndVKN34Lrp8m3Q0C83Yc7/U8+/Ye/8OeHV+0jnSYbMg5u4uMDDuO3Y2DbRwLh5Wj7
tBuC3Qv+z4/BfzUPxjf+Hbrxk5H4+He+GQprpGwqkCz3Q8Fs+3YoCEU6wi/LVhAo/C9NhI9v/uNi
GPUNBw8C37dtY8K4+76BeL4fBGVUZmJlIvMMrzW1mTBO04MHwTxCJMqqZ9q/P2jYfhwEBfauOSpW
JzgG9Mz/5r7wcUJ9sxq0I+Q0NJ5/NhFgOCuYeQoiMyc6COpume48kP84an7laFBNjoYRmaQzv3t8
nggoi2B4j4rjSc4E5eDzkUHA0A/lPTT29wfA63ergZmAysu0cEz9OkiTHApx+KJgzo8HAJYEu6H4
dEQoR+AnNPi13U48td1xfNsH747WERF6mDLq+5Lg4xHBfDB5oLebbLHwsRXyT4qF0Z8AxJ3P+N1q
oEpA2cHWiApwfOxeaoITYXd2HbI7Ujsi/dQ4bXbr/uNEGP2eIV3JsjLZQTj4iNDkI1PHpVQZq6bx
8alW4CCls0GtMNViQfCW2bAPmQnIdukHkue4G4OxBPu0KFAuUTeO2t4JL4pdLXPIUBgomGUEV7K8
H4sPQzHujhbkC2tMfZjmOXl4Ac3OgOCahMVPV2quD/jzmqo+1dXwqU3+y2fDCCio1EumjlJvfHza
EpQjm10T9Huq++KoPDxwSzCO8AOCHUuH8v3xAVjgTEAGaUDJnewlSj68SlAgCiuWrnFP+uEgyPqR
zl4BJXja+6J8eLFgcKdW2BXMfbHw8YiQR/jFNiCVTPU+ua9iDjkcUAWPHx86zG4+MMO+PydVigXa
mJivT/RwkA/H2fQjcp7GqnE358cK+btB4IQcMSiZPXSig7A/vA6ZCcaRqqLzRkLw45nAIOBsCDdq
r0af3gVCPbxsNI+IhyQKFQzlh9sjZ4RiA3Lb9u6+PdXjUj4cWWA+ADzzWfX3kuFTBc18MHiOY3Oq
i0I9/Iwg6gepDfDyHkjio363MzAfNBoR5N7jXsBjovNB/yRZ+vUaEtdwUlQRH/34pLCAqDklsHH4
E4ma5GVCPvyGjRALrAlt1Pt3/qlF9d6XGa3S0XZN9LzQDj40uVMAp6Ff+9qnY7F9vzSYMMwVyxqv
XNOcCYefF9qR0BVFtb5ukh8BJ2pIBQcVTPN3l46J7g9i30A8pH7gk+rgKeMF6/3xsYhSQKI1G6OX
yTYr9w3EQwbBoPEA+Yu79k8GQaDu5DiB0DzRRbFfrYcMAjMBh1xM+H5yx2QmwF+g3ramCrnsv51D
BoFK0tSoJYmten983BkYBBS8nBD2ZG+Xh5dP5pEqDGQZxh6K/jQInKTQftkdJ10+kfT4vloPmA+g
8potbOrlPQT3CYfkPNVQhHPLnOrOcPidYjwjyJ35Oh0+4ZDjHRPVOZltU90e/y6/6S94DEDRhNlB
5tjN+Y8Ep7F65EnBKE37jrkHQw5YFHC9FEiicDr2xyVT//saUgZ4oXWt2VOtIcecwgNxaRVIlsLJ
Mn7StJS5Wek0b5G5TXRnUA8H58GlMR7QwaY/TAE+vcwtA8rfHoeY6Bgoh/eoiNgi+IqpsEfgfrQa
4EXKCAp3j4kOxZ5qcsDGMPaw1dGm8ivf7SM2T/VkwPjQKaYnOghjTvmBGwMsJqSq9LD3jdtP4JOg
a2dRU+zX3wQR2cN3R527Ago2PuhPb1QGsD2UjqmWDKNPz4EzQT2yLUEy374/8blBQaENSRgodrKD
sFunB+wJKv06HYiB6/Uf29/HYkETioA4P9Vi4ZO9/S+jsFRMdKEUOOH7PeHjcTk2sUccZroVk3r4
NQIVBJxGSoI91PTxoKRmwEVYcJhO9XDYvbFDVsM7B5Ys6q+r4dPhAMhCxgG9ialWjdrhJ6R2RKNu
xFB+Tm1CIKhqEFumXTEdfkRwAgAzQ/L8GdQiH43NW+5SU2V5aYfjTcCvJvEf4ivI8ml3BIMGX6DH
Pdkj4vCehHW0zyj7Gc/p/a5Fkv3IFJ5kY+ZTBNyvn5O402vkj+nG/oj41J0CWcBkEVXRrkSdXu38
39CyFUfQuAw6VD/ZHkcgns0RQvSukznVk+JT/sE/mQ9Y8JAsAAj74+7UmBeoyDI+PRNdFGNiwoHX
CHQSJmw3Oi8fQBaqRp4wZcSlU/30uw37kIpppLrJMBtBl98fP9gSdIxVLZraf38Q/sa+gUp5/Knn
6PWx+Nd/AgAA//8=</cx:binary>
              </cx:geoCache>
            </cx:geography>
          </cx:layoutPr>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ustomXml" Target="../ink/ink7.xml"/><Relationship Id="rId18" Type="http://schemas.openxmlformats.org/officeDocument/2006/relationships/customXml" Target="../ink/ink10.xml"/><Relationship Id="rId3" Type="http://schemas.openxmlformats.org/officeDocument/2006/relationships/customXml" Target="../ink/ink2.xml"/><Relationship Id="rId21" Type="http://schemas.openxmlformats.org/officeDocument/2006/relationships/image" Target="../media/image10.png"/><Relationship Id="rId7" Type="http://schemas.openxmlformats.org/officeDocument/2006/relationships/customXml" Target="../ink/ink4.xml"/><Relationship Id="rId12" Type="http://schemas.openxmlformats.org/officeDocument/2006/relationships/image" Target="../media/image6.png"/><Relationship Id="rId17" Type="http://schemas.openxmlformats.org/officeDocument/2006/relationships/customXml" Target="../ink/ink9.xml"/><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customXml" Target="../ink/ink11.xml"/><Relationship Id="rId1" Type="http://schemas.openxmlformats.org/officeDocument/2006/relationships/customXml" Target="../ink/ink1.xml"/><Relationship Id="rId6" Type="http://schemas.openxmlformats.org/officeDocument/2006/relationships/image" Target="../media/image3.png"/><Relationship Id="rId11" Type="http://schemas.openxmlformats.org/officeDocument/2006/relationships/customXml" Target="../ink/ink6.xml"/><Relationship Id="rId5" Type="http://schemas.openxmlformats.org/officeDocument/2006/relationships/customXml" Target="../ink/ink3.xml"/><Relationship Id="rId15" Type="http://schemas.openxmlformats.org/officeDocument/2006/relationships/customXml" Target="../ink/ink8.xml"/><Relationship Id="rId10" Type="http://schemas.openxmlformats.org/officeDocument/2006/relationships/image" Target="../media/image5.png"/><Relationship Id="rId19" Type="http://schemas.openxmlformats.org/officeDocument/2006/relationships/image" Target="../media/image9.png"/><Relationship Id="rId4" Type="http://schemas.openxmlformats.org/officeDocument/2006/relationships/image" Target="../media/image2.png"/><Relationship Id="rId9" Type="http://schemas.openxmlformats.org/officeDocument/2006/relationships/customXml" Target="../ink/ink5.xml"/><Relationship Id="rId14"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2.xml"/><Relationship Id="rId5" Type="http://schemas.openxmlformats.org/officeDocument/2006/relationships/image" Target="../media/image12.sv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11</xdr:col>
      <xdr:colOff>556260</xdr:colOff>
      <xdr:row>4</xdr:row>
      <xdr:rowOff>11430</xdr:rowOff>
    </xdr:from>
    <xdr:to>
      <xdr:col>13</xdr:col>
      <xdr:colOff>251460</xdr:colOff>
      <xdr:row>6</xdr:row>
      <xdr:rowOff>0</xdr:rowOff>
    </xdr:to>
    <xdr:sp macro="" textlink="$N$4">
      <xdr:nvSpPr>
        <xdr:cNvPr id="2" name="TextBox 1">
          <a:extLst>
            <a:ext uri="{FF2B5EF4-FFF2-40B4-BE49-F238E27FC236}">
              <a16:creationId xmlns:a16="http://schemas.microsoft.com/office/drawing/2014/main" id="{F0910E1D-5283-D603-5D6A-93125341AAD0}"/>
            </a:ext>
          </a:extLst>
        </xdr:cNvPr>
        <xdr:cNvSpPr txBox="1"/>
      </xdr:nvSpPr>
      <xdr:spPr>
        <a:xfrm>
          <a:off x="9083040" y="742950"/>
          <a:ext cx="914400" cy="3543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786A3B-0D26-4003-B0B2-08CC21D78588}" type="TxLink">
            <a:rPr lang="en-US" sz="1100" b="0" i="0" u="none" strike="noStrike">
              <a:solidFill>
                <a:srgbClr val="000000"/>
              </a:solidFill>
              <a:latin typeface="Aptos Narrow"/>
            </a:rPr>
            <a:pPr/>
            <a:t>2666</a:t>
          </a:fld>
          <a:endParaRPr lang="en-US" sz="1100"/>
        </a:p>
      </xdr:txBody>
    </xdr:sp>
    <xdr:clientData/>
  </xdr:twoCellAnchor>
  <xdr:twoCellAnchor>
    <xdr:from>
      <xdr:col>13</xdr:col>
      <xdr:colOff>358140</xdr:colOff>
      <xdr:row>4</xdr:row>
      <xdr:rowOff>144780</xdr:rowOff>
    </xdr:from>
    <xdr:to>
      <xdr:col>15</xdr:col>
      <xdr:colOff>53340</xdr:colOff>
      <xdr:row>6</xdr:row>
      <xdr:rowOff>114300</xdr:rowOff>
    </xdr:to>
    <xdr:sp macro="" textlink="$O$4">
      <xdr:nvSpPr>
        <xdr:cNvPr id="3" name="TextBox 2">
          <a:extLst>
            <a:ext uri="{FF2B5EF4-FFF2-40B4-BE49-F238E27FC236}">
              <a16:creationId xmlns:a16="http://schemas.microsoft.com/office/drawing/2014/main" id="{F3E7426B-3563-4DD2-ABB4-B62F5BEE44E9}"/>
            </a:ext>
          </a:extLst>
        </xdr:cNvPr>
        <xdr:cNvSpPr txBox="1"/>
      </xdr:nvSpPr>
      <xdr:spPr>
        <a:xfrm>
          <a:off x="10104120" y="876300"/>
          <a:ext cx="91440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B24802-0062-4F00-B058-735404DB934C}" type="TxLink">
            <a:rPr lang="en-US" sz="1100" b="0" i="0" u="none" strike="noStrike">
              <a:solidFill>
                <a:srgbClr val="000000"/>
              </a:solidFill>
              <a:latin typeface="Aptos Narrow"/>
            </a:rPr>
            <a:pPr/>
            <a:t>32215.3</a:t>
          </a:fld>
          <a:endParaRPr lang="en-US" sz="1100"/>
        </a:p>
      </xdr:txBody>
    </xdr:sp>
    <xdr:clientData/>
  </xdr:twoCellAnchor>
  <xdr:twoCellAnchor>
    <xdr:from>
      <xdr:col>15</xdr:col>
      <xdr:colOff>335280</xdr:colOff>
      <xdr:row>4</xdr:row>
      <xdr:rowOff>175260</xdr:rowOff>
    </xdr:from>
    <xdr:to>
      <xdr:col>17</xdr:col>
      <xdr:colOff>30480</xdr:colOff>
      <xdr:row>6</xdr:row>
      <xdr:rowOff>76200</xdr:rowOff>
    </xdr:to>
    <xdr:sp macro="" textlink="$P$4">
      <xdr:nvSpPr>
        <xdr:cNvPr id="4" name="TextBox 3">
          <a:extLst>
            <a:ext uri="{FF2B5EF4-FFF2-40B4-BE49-F238E27FC236}">
              <a16:creationId xmlns:a16="http://schemas.microsoft.com/office/drawing/2014/main" id="{C8D27470-2F93-48E3-A436-B14403642A17}"/>
            </a:ext>
          </a:extLst>
        </xdr:cNvPr>
        <xdr:cNvSpPr txBox="1"/>
      </xdr:nvSpPr>
      <xdr:spPr>
        <a:xfrm>
          <a:off x="11300460" y="906780"/>
          <a:ext cx="9144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09FB7D-C839-43B5-BC31-CAE1D73CB34B}" type="TxLink">
            <a:rPr lang="en-US" sz="1100" b="0" i="0" u="none" strike="noStrike">
              <a:solidFill>
                <a:srgbClr val="000000"/>
              </a:solidFill>
              <a:latin typeface="Aptos Narrow"/>
            </a:rPr>
            <a:pPr/>
            <a:t>152796.4</a:t>
          </a:fld>
          <a:endParaRPr lang="en-US" sz="1100"/>
        </a:p>
      </xdr:txBody>
    </xdr:sp>
    <xdr:clientData/>
  </xdr:twoCellAnchor>
  <xdr:twoCellAnchor editAs="oneCell">
    <xdr:from>
      <xdr:col>21</xdr:col>
      <xdr:colOff>190500</xdr:colOff>
      <xdr:row>7</xdr:row>
      <xdr:rowOff>129541</xdr:rowOff>
    </xdr:from>
    <xdr:to>
      <xdr:col>23</xdr:col>
      <xdr:colOff>451757</xdr:colOff>
      <xdr:row>16</xdr:row>
      <xdr:rowOff>1</xdr:rowOff>
    </xdr:to>
    <mc:AlternateContent xmlns:mc="http://schemas.openxmlformats.org/markup-compatibility/2006" xmlns:a14="http://schemas.microsoft.com/office/drawing/2010/main">
      <mc:Choice Requires="a14">
        <xdr:graphicFrame macro="">
          <xdr:nvGraphicFramePr>
            <xdr:cNvPr id="5" name="Customer Gender">
              <a:extLst>
                <a:ext uri="{FF2B5EF4-FFF2-40B4-BE49-F238E27FC236}">
                  <a16:creationId xmlns:a16="http://schemas.microsoft.com/office/drawing/2014/main" id="{809B1311-D35D-599C-22D4-B5BD46AE7CC5}"/>
                </a:ext>
              </a:extLst>
            </xdr:cNvPr>
            <xdr:cNvGraphicFramePr/>
          </xdr:nvGraphicFramePr>
          <xdr:xfrm>
            <a:off x="0" y="0"/>
            <a:ext cx="0" cy="0"/>
          </xdr:xfrm>
          <a:graphic>
            <a:graphicData uri="http://schemas.microsoft.com/office/drawing/2010/slicer">
              <sle:slicer xmlns:sle="http://schemas.microsoft.com/office/drawing/2010/slicer" name="Customer Gender"/>
            </a:graphicData>
          </a:graphic>
        </xdr:graphicFrame>
      </mc:Choice>
      <mc:Fallback xmlns="">
        <xdr:sp macro="" textlink="">
          <xdr:nvSpPr>
            <xdr:cNvPr id="0" name=""/>
            <xdr:cNvSpPr>
              <a:spLocks noTextEdit="1"/>
            </xdr:cNvSpPr>
          </xdr:nvSpPr>
          <xdr:spPr>
            <a:xfrm>
              <a:off x="16823871" y="1424941"/>
              <a:ext cx="1828800" cy="1535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259080</xdr:colOff>
      <xdr:row>19</xdr:row>
      <xdr:rowOff>121921</xdr:rowOff>
    </xdr:from>
    <xdr:to>
      <xdr:col>22</xdr:col>
      <xdr:colOff>128452</xdr:colOff>
      <xdr:row>29</xdr:row>
      <xdr:rowOff>53341</xdr:rowOff>
    </xdr:to>
    <mc:AlternateContent xmlns:mc="http://schemas.openxmlformats.org/markup-compatibility/2006" xmlns:a14="http://schemas.microsoft.com/office/drawing/2010/main">
      <mc:Choice Requires="a14">
        <xdr:graphicFrame macro="">
          <xdr:nvGraphicFramePr>
            <xdr:cNvPr id="6" name="Order Mode">
              <a:extLst>
                <a:ext uri="{FF2B5EF4-FFF2-40B4-BE49-F238E27FC236}">
                  <a16:creationId xmlns:a16="http://schemas.microsoft.com/office/drawing/2014/main" id="{33240CDB-BD16-DB8E-F92B-476588B5E977}"/>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6282851" y="3638007"/>
              <a:ext cx="1828800" cy="17819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259080</xdr:colOff>
      <xdr:row>26</xdr:row>
      <xdr:rowOff>125730</xdr:rowOff>
    </xdr:from>
    <xdr:to>
      <xdr:col>12</xdr:col>
      <xdr:colOff>60960</xdr:colOff>
      <xdr:row>41</xdr:row>
      <xdr:rowOff>125730</xdr:rowOff>
    </xdr:to>
    <xdr:graphicFrame macro="">
      <xdr:nvGraphicFramePr>
        <xdr:cNvPr id="8" name="Chart 7">
          <a:extLst>
            <a:ext uri="{FF2B5EF4-FFF2-40B4-BE49-F238E27FC236}">
              <a16:creationId xmlns:a16="http://schemas.microsoft.com/office/drawing/2014/main" id="{76C3A2C2-ECDA-3016-F3C8-93FCB831C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518160</xdr:colOff>
      <xdr:row>41</xdr:row>
      <xdr:rowOff>179070</xdr:rowOff>
    </xdr:from>
    <xdr:to>
      <xdr:col>13</xdr:col>
      <xdr:colOff>213360</xdr:colOff>
      <xdr:row>56</xdr:row>
      <xdr:rowOff>179070</xdr:rowOff>
    </xdr:to>
    <xdr:graphicFrame macro="">
      <xdr:nvGraphicFramePr>
        <xdr:cNvPr id="9" name="Chart 8">
          <a:extLst>
            <a:ext uri="{FF2B5EF4-FFF2-40B4-BE49-F238E27FC236}">
              <a16:creationId xmlns:a16="http://schemas.microsoft.com/office/drawing/2014/main" id="{D1CC2276-DB31-8536-84DA-09E51DF8D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130629</xdr:colOff>
      <xdr:row>58</xdr:row>
      <xdr:rowOff>146957</xdr:rowOff>
    </xdr:from>
    <xdr:to>
      <xdr:col>12</xdr:col>
      <xdr:colOff>435429</xdr:colOff>
      <xdr:row>73</xdr:row>
      <xdr:rowOff>114300</xdr:rowOff>
    </xdr:to>
    <xdr:graphicFrame macro="">
      <xdr:nvGraphicFramePr>
        <xdr:cNvPr id="11" name="Chart 10">
          <a:extLst>
            <a:ext uri="{FF2B5EF4-FFF2-40B4-BE49-F238E27FC236}">
              <a16:creationId xmlns:a16="http://schemas.microsoft.com/office/drawing/2014/main" id="{86FC38A6-0D8F-EA32-91A3-14138EB4C0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348344</xdr:colOff>
      <xdr:row>75</xdr:row>
      <xdr:rowOff>136071</xdr:rowOff>
    </xdr:from>
    <xdr:to>
      <xdr:col>11</xdr:col>
      <xdr:colOff>304801</xdr:colOff>
      <xdr:row>90</xdr:row>
      <xdr:rowOff>103414</xdr:rowOff>
    </xdr:to>
    <xdr:graphicFrame macro="">
      <xdr:nvGraphicFramePr>
        <xdr:cNvPr id="10" name="Chart 9">
          <a:extLst>
            <a:ext uri="{FF2B5EF4-FFF2-40B4-BE49-F238E27FC236}">
              <a16:creationId xmlns:a16="http://schemas.microsoft.com/office/drawing/2014/main" id="{08E41CAB-6D06-862E-16EC-C98BBE6AB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816429</xdr:colOff>
      <xdr:row>86</xdr:row>
      <xdr:rowOff>125186</xdr:rowOff>
    </xdr:from>
    <xdr:to>
      <xdr:col>12</xdr:col>
      <xdr:colOff>163286</xdr:colOff>
      <xdr:row>101</xdr:row>
      <xdr:rowOff>92529</xdr:rowOff>
    </xdr:to>
    <xdr:graphicFrame macro="">
      <xdr:nvGraphicFramePr>
        <xdr:cNvPr id="12" name="Chart 11">
          <a:extLst>
            <a:ext uri="{FF2B5EF4-FFF2-40B4-BE49-F238E27FC236}">
              <a16:creationId xmlns:a16="http://schemas.microsoft.com/office/drawing/2014/main" id="{ACA00B61-C969-ADA5-66BA-E44ED52F6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76200</xdr:colOff>
      <xdr:row>98</xdr:row>
      <xdr:rowOff>125186</xdr:rowOff>
    </xdr:from>
    <xdr:to>
      <xdr:col>11</xdr:col>
      <xdr:colOff>457200</xdr:colOff>
      <xdr:row>113</xdr:row>
      <xdr:rowOff>92529</xdr:rowOff>
    </xdr:to>
    <xdr:graphicFrame macro="">
      <xdr:nvGraphicFramePr>
        <xdr:cNvPr id="13" name="Chart 12">
          <a:extLst>
            <a:ext uri="{FF2B5EF4-FFF2-40B4-BE49-F238E27FC236}">
              <a16:creationId xmlns:a16="http://schemas.microsoft.com/office/drawing/2014/main" id="{18B1376C-5D3D-3EDC-8313-6C2932C58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304800</xdr:colOff>
      <xdr:row>120</xdr:row>
      <xdr:rowOff>27214</xdr:rowOff>
    </xdr:from>
    <xdr:to>
      <xdr:col>3</xdr:col>
      <xdr:colOff>119743</xdr:colOff>
      <xdr:row>123</xdr:row>
      <xdr:rowOff>43542</xdr:rowOff>
    </xdr:to>
    <xdr:sp macro="" textlink="$C$120">
      <xdr:nvSpPr>
        <xdr:cNvPr id="14" name="TextBox 13">
          <a:extLst>
            <a:ext uri="{FF2B5EF4-FFF2-40B4-BE49-F238E27FC236}">
              <a16:creationId xmlns:a16="http://schemas.microsoft.com/office/drawing/2014/main" id="{E5360BE1-E21A-25EF-00BE-0268789ABADE}"/>
            </a:ext>
          </a:extLst>
        </xdr:cNvPr>
        <xdr:cNvSpPr txBox="1"/>
      </xdr:nvSpPr>
      <xdr:spPr>
        <a:xfrm>
          <a:off x="2514600" y="22234071"/>
          <a:ext cx="1001486"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F08442-A63C-4187-8D26-213AFA2338A7}" type="TxLink">
            <a:rPr lang="en-US" sz="1100" b="0" i="0" u="none" strike="noStrike">
              <a:solidFill>
                <a:srgbClr val="000000"/>
              </a:solidFill>
              <a:latin typeface="Aptos Narrow"/>
            </a:rPr>
            <a:pPr/>
            <a:t>3.957820738</a:t>
          </a:fld>
          <a:endParaRPr lang="en-US" sz="1100"/>
        </a:p>
      </xdr:txBody>
    </xdr:sp>
    <xdr:clientData/>
  </xdr:twoCellAnchor>
  <xdr:twoCellAnchor>
    <xdr:from>
      <xdr:col>8</xdr:col>
      <xdr:colOff>65314</xdr:colOff>
      <xdr:row>140</xdr:row>
      <xdr:rowOff>157843</xdr:rowOff>
    </xdr:from>
    <xdr:to>
      <xdr:col>8</xdr:col>
      <xdr:colOff>979714</xdr:colOff>
      <xdr:row>145</xdr:row>
      <xdr:rowOff>146957</xdr:rowOff>
    </xdr:to>
    <xdr:sp macro="" textlink="$N$145">
      <xdr:nvSpPr>
        <xdr:cNvPr id="15" name="TextBox 14">
          <a:extLst>
            <a:ext uri="{FF2B5EF4-FFF2-40B4-BE49-F238E27FC236}">
              <a16:creationId xmlns:a16="http://schemas.microsoft.com/office/drawing/2014/main" id="{2B71CF22-DF12-76E2-9308-70C743A6A48C}"/>
            </a:ext>
          </a:extLst>
        </xdr:cNvPr>
        <xdr:cNvSpPr txBox="1"/>
      </xdr:nvSpPr>
      <xdr:spPr>
        <a:xfrm>
          <a:off x="7456714" y="26065843"/>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5D766B-C119-44C1-9E88-5D321D5FED98}" type="TxLink">
            <a:rPr lang="en-US" sz="1100" b="0" i="0" u="none" strike="noStrike">
              <a:solidFill>
                <a:srgbClr val="000000"/>
              </a:solidFill>
              <a:latin typeface="Aptos Narrow"/>
            </a:rPr>
            <a:pPr/>
            <a:t>2.2</a:t>
          </a:fld>
          <a:endParaRPr lang="en-US" sz="1100"/>
        </a:p>
      </xdr:txBody>
    </xdr:sp>
    <xdr:clientData/>
  </xdr:twoCellAnchor>
  <xdr:twoCellAnchor>
    <xdr:from>
      <xdr:col>12</xdr:col>
      <xdr:colOff>311020</xdr:colOff>
      <xdr:row>210</xdr:row>
      <xdr:rowOff>171839</xdr:rowOff>
    </xdr:from>
    <xdr:to>
      <xdr:col>15</xdr:col>
      <xdr:colOff>1298510</xdr:colOff>
      <xdr:row>225</xdr:row>
      <xdr:rowOff>115855</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4C0B2BD8-AC6E-5380-9C4C-D455F684BC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076300" y="38576639"/>
              <a:ext cx="4492690" cy="26872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30420</xdr:colOff>
      <xdr:row>10</xdr:row>
      <xdr:rowOff>97920</xdr:rowOff>
    </xdr:from>
    <xdr:to>
      <xdr:col>1</xdr:col>
      <xdr:colOff>1558980</xdr:colOff>
      <xdr:row>10</xdr:row>
      <xdr:rowOff>122040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2B05C0F-1696-A840-D374-96C545CC3036}"/>
                </a:ext>
              </a:extLst>
            </xdr14:cNvPr>
            <xdr14:cNvContentPartPr/>
          </xdr14:nvContentPartPr>
          <xdr14:nvPr macro=""/>
          <xdr14:xfrm>
            <a:off x="281880" y="1926720"/>
            <a:ext cx="1528560" cy="24120"/>
          </xdr14:xfrm>
        </xdr:contentPart>
      </mc:Choice>
      <mc:Fallback xmlns="">
        <xdr:pic>
          <xdr:nvPicPr>
            <xdr:cNvPr id="2" name="Ink 1">
              <a:extLst>
                <a:ext uri="{FF2B5EF4-FFF2-40B4-BE49-F238E27FC236}">
                  <a16:creationId xmlns:a16="http://schemas.microsoft.com/office/drawing/2014/main" id="{72B05C0F-1696-A840-D374-96C545CC3036}"/>
                </a:ext>
              </a:extLst>
            </xdr:cNvPr>
            <xdr:cNvPicPr/>
          </xdr:nvPicPr>
          <xdr:blipFill>
            <a:blip xmlns:r="http://schemas.openxmlformats.org/officeDocument/2006/relationships" r:embed="rId2"/>
            <a:stretch>
              <a:fillRect/>
            </a:stretch>
          </xdr:blipFill>
          <xdr:spPr>
            <a:xfrm>
              <a:off x="275760" y="1920600"/>
              <a:ext cx="1540800" cy="36360"/>
            </a:xfrm>
            <a:prstGeom prst="rect">
              <a:avLst/>
            </a:prstGeom>
          </xdr:spPr>
        </xdr:pic>
      </mc:Fallback>
    </mc:AlternateContent>
    <xdr:clientData/>
  </xdr:twoCellAnchor>
  <xdr:twoCellAnchor editAs="oneCell">
    <xdr:from>
      <xdr:col>1</xdr:col>
      <xdr:colOff>533340</xdr:colOff>
      <xdr:row>12</xdr:row>
      <xdr:rowOff>22680</xdr:rowOff>
    </xdr:from>
    <xdr:to>
      <xdr:col>1</xdr:col>
      <xdr:colOff>533700</xdr:colOff>
      <xdr:row>12</xdr:row>
      <xdr:rowOff>23040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96BC481A-0CE5-EE2A-7FF2-88E75DF410EB}"/>
                </a:ext>
              </a:extLst>
            </xdr14:cNvPr>
            <xdr14:cNvContentPartPr/>
          </xdr14:nvContentPartPr>
          <xdr14:nvPr macro=""/>
          <xdr14:xfrm>
            <a:off x="784800" y="2217240"/>
            <a:ext cx="360" cy="360"/>
          </xdr14:xfrm>
        </xdr:contentPart>
      </mc:Choice>
      <mc:Fallback xmlns="">
        <xdr:pic>
          <xdr:nvPicPr>
            <xdr:cNvPr id="3" name="Ink 2">
              <a:extLst>
                <a:ext uri="{FF2B5EF4-FFF2-40B4-BE49-F238E27FC236}">
                  <a16:creationId xmlns:a16="http://schemas.microsoft.com/office/drawing/2014/main" id="{96BC481A-0CE5-EE2A-7FF2-88E75DF410EB}"/>
                </a:ext>
              </a:extLst>
            </xdr:cNvPr>
            <xdr:cNvPicPr/>
          </xdr:nvPicPr>
          <xdr:blipFill>
            <a:blip xmlns:r="http://schemas.openxmlformats.org/officeDocument/2006/relationships" r:embed="rId4"/>
            <a:stretch>
              <a:fillRect/>
            </a:stretch>
          </xdr:blipFill>
          <xdr:spPr>
            <a:xfrm>
              <a:off x="778680" y="2211120"/>
              <a:ext cx="12600" cy="12600"/>
            </a:xfrm>
            <a:prstGeom prst="rect">
              <a:avLst/>
            </a:prstGeom>
          </xdr:spPr>
        </xdr:pic>
      </mc:Fallback>
    </mc:AlternateContent>
    <xdr:clientData/>
  </xdr:twoCellAnchor>
  <xdr:twoCellAnchor editAs="oneCell">
    <xdr:from>
      <xdr:col>1</xdr:col>
      <xdr:colOff>43740</xdr:colOff>
      <xdr:row>11</xdr:row>
      <xdr:rowOff>105480</xdr:rowOff>
    </xdr:from>
    <xdr:to>
      <xdr:col>1</xdr:col>
      <xdr:colOff>1650780</xdr:colOff>
      <xdr:row>11</xdr:row>
      <xdr:rowOff>129600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A58975B0-9346-74D9-5206-9D7D014C35C9}"/>
                </a:ext>
              </a:extLst>
            </xdr14:cNvPr>
            <xdr14:cNvContentPartPr/>
          </xdr14:nvContentPartPr>
          <xdr14:nvPr macro=""/>
          <xdr14:xfrm>
            <a:off x="295200" y="2117160"/>
            <a:ext cx="1607040" cy="24120"/>
          </xdr14:xfrm>
        </xdr:contentPart>
      </mc:Choice>
      <mc:Fallback xmlns="">
        <xdr:pic>
          <xdr:nvPicPr>
            <xdr:cNvPr id="4" name="Ink 3">
              <a:extLst>
                <a:ext uri="{FF2B5EF4-FFF2-40B4-BE49-F238E27FC236}">
                  <a16:creationId xmlns:a16="http://schemas.microsoft.com/office/drawing/2014/main" id="{A58975B0-9346-74D9-5206-9D7D014C35C9}"/>
                </a:ext>
              </a:extLst>
            </xdr:cNvPr>
            <xdr:cNvPicPr/>
          </xdr:nvPicPr>
          <xdr:blipFill>
            <a:blip xmlns:r="http://schemas.openxmlformats.org/officeDocument/2006/relationships" r:embed="rId6"/>
            <a:stretch>
              <a:fillRect/>
            </a:stretch>
          </xdr:blipFill>
          <xdr:spPr>
            <a:xfrm>
              <a:off x="289080" y="2111040"/>
              <a:ext cx="1619280" cy="36360"/>
            </a:xfrm>
            <a:prstGeom prst="rect">
              <a:avLst/>
            </a:prstGeom>
          </xdr:spPr>
        </xdr:pic>
      </mc:Fallback>
    </mc:AlternateContent>
    <xdr:clientData/>
  </xdr:twoCellAnchor>
  <xdr:twoCellAnchor editAs="oneCell">
    <xdr:from>
      <xdr:col>1</xdr:col>
      <xdr:colOff>37980</xdr:colOff>
      <xdr:row>13</xdr:row>
      <xdr:rowOff>105480</xdr:rowOff>
    </xdr:from>
    <xdr:to>
      <xdr:col>1</xdr:col>
      <xdr:colOff>1612260</xdr:colOff>
      <xdr:row>13</xdr:row>
      <xdr:rowOff>129600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AF2B2BEA-6C73-D769-0896-0756B3123828}"/>
                </a:ext>
              </a:extLst>
            </xdr14:cNvPr>
            <xdr14:cNvContentPartPr/>
          </xdr14:nvContentPartPr>
          <xdr14:nvPr macro=""/>
          <xdr14:xfrm>
            <a:off x="289440" y="2482920"/>
            <a:ext cx="1574280" cy="24120"/>
          </xdr14:xfrm>
        </xdr:contentPart>
      </mc:Choice>
      <mc:Fallback xmlns="">
        <xdr:pic>
          <xdr:nvPicPr>
            <xdr:cNvPr id="5" name="Ink 4">
              <a:extLst>
                <a:ext uri="{FF2B5EF4-FFF2-40B4-BE49-F238E27FC236}">
                  <a16:creationId xmlns:a16="http://schemas.microsoft.com/office/drawing/2014/main" id="{AF2B2BEA-6C73-D769-0896-0756B3123828}"/>
                </a:ext>
              </a:extLst>
            </xdr:cNvPr>
            <xdr:cNvPicPr/>
          </xdr:nvPicPr>
          <xdr:blipFill>
            <a:blip xmlns:r="http://schemas.openxmlformats.org/officeDocument/2006/relationships" r:embed="rId8"/>
            <a:stretch>
              <a:fillRect/>
            </a:stretch>
          </xdr:blipFill>
          <xdr:spPr>
            <a:xfrm>
              <a:off x="283320" y="2476800"/>
              <a:ext cx="1586520" cy="36360"/>
            </a:xfrm>
            <a:prstGeom prst="rect">
              <a:avLst/>
            </a:prstGeom>
          </xdr:spPr>
        </xdr:pic>
      </mc:Fallback>
    </mc:AlternateContent>
    <xdr:clientData/>
  </xdr:twoCellAnchor>
  <xdr:twoCellAnchor editAs="oneCell">
    <xdr:from>
      <xdr:col>1</xdr:col>
      <xdr:colOff>45540</xdr:colOff>
      <xdr:row>12</xdr:row>
      <xdr:rowOff>113400</xdr:rowOff>
    </xdr:from>
    <xdr:to>
      <xdr:col>1</xdr:col>
      <xdr:colOff>1120140</xdr:colOff>
      <xdr:row>12</xdr:row>
      <xdr:rowOff>142200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B5D6D5AD-68A3-23BE-62A8-AAB513928D95}"/>
                </a:ext>
              </a:extLst>
            </xdr14:cNvPr>
            <xdr14:cNvContentPartPr/>
          </xdr14:nvContentPartPr>
          <xdr14:nvPr macro=""/>
          <xdr14:xfrm>
            <a:off x="297000" y="2307960"/>
            <a:ext cx="1074600" cy="28800"/>
          </xdr14:xfrm>
        </xdr:contentPart>
      </mc:Choice>
      <mc:Fallback xmlns="">
        <xdr:pic>
          <xdr:nvPicPr>
            <xdr:cNvPr id="6" name="Ink 5">
              <a:extLst>
                <a:ext uri="{FF2B5EF4-FFF2-40B4-BE49-F238E27FC236}">
                  <a16:creationId xmlns:a16="http://schemas.microsoft.com/office/drawing/2014/main" id="{B5D6D5AD-68A3-23BE-62A8-AAB513928D95}"/>
                </a:ext>
              </a:extLst>
            </xdr:cNvPr>
            <xdr:cNvPicPr/>
          </xdr:nvPicPr>
          <xdr:blipFill>
            <a:blip xmlns:r="http://schemas.openxmlformats.org/officeDocument/2006/relationships" r:embed="rId10"/>
            <a:stretch>
              <a:fillRect/>
            </a:stretch>
          </xdr:blipFill>
          <xdr:spPr>
            <a:xfrm>
              <a:off x="290880" y="2301840"/>
              <a:ext cx="1086840" cy="41040"/>
            </a:xfrm>
            <a:prstGeom prst="rect">
              <a:avLst/>
            </a:prstGeom>
          </xdr:spPr>
        </xdr:pic>
      </mc:Fallback>
    </mc:AlternateContent>
    <xdr:clientData/>
  </xdr:twoCellAnchor>
  <xdr:twoCellAnchor editAs="oneCell">
    <xdr:from>
      <xdr:col>1</xdr:col>
      <xdr:colOff>653580</xdr:colOff>
      <xdr:row>14</xdr:row>
      <xdr:rowOff>114120</xdr:rowOff>
    </xdr:from>
    <xdr:to>
      <xdr:col>1</xdr:col>
      <xdr:colOff>655380</xdr:colOff>
      <xdr:row>14</xdr:row>
      <xdr:rowOff>115920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Ink 6">
              <a:extLst>
                <a:ext uri="{FF2B5EF4-FFF2-40B4-BE49-F238E27FC236}">
                  <a16:creationId xmlns:a16="http://schemas.microsoft.com/office/drawing/2014/main" id="{5D98514A-4B38-BDB3-9118-65D5423B1975}"/>
                </a:ext>
              </a:extLst>
            </xdr14:cNvPr>
            <xdr14:cNvContentPartPr/>
          </xdr14:nvContentPartPr>
          <xdr14:nvPr macro=""/>
          <xdr14:xfrm>
            <a:off x="905040" y="2674440"/>
            <a:ext cx="1800" cy="1800"/>
          </xdr14:xfrm>
        </xdr:contentPart>
      </mc:Choice>
      <mc:Fallback xmlns="">
        <xdr:pic>
          <xdr:nvPicPr>
            <xdr:cNvPr id="7" name="Ink 6">
              <a:extLst>
                <a:ext uri="{FF2B5EF4-FFF2-40B4-BE49-F238E27FC236}">
                  <a16:creationId xmlns:a16="http://schemas.microsoft.com/office/drawing/2014/main" id="{5D98514A-4B38-BDB3-9118-65D5423B1975}"/>
                </a:ext>
              </a:extLst>
            </xdr:cNvPr>
            <xdr:cNvPicPr/>
          </xdr:nvPicPr>
          <xdr:blipFill>
            <a:blip xmlns:r="http://schemas.openxmlformats.org/officeDocument/2006/relationships" r:embed="rId12"/>
            <a:stretch>
              <a:fillRect/>
            </a:stretch>
          </xdr:blipFill>
          <xdr:spPr>
            <a:xfrm>
              <a:off x="898920" y="2668320"/>
              <a:ext cx="14040" cy="14040"/>
            </a:xfrm>
            <a:prstGeom prst="rect">
              <a:avLst/>
            </a:prstGeom>
          </xdr:spPr>
        </xdr:pic>
      </mc:Fallback>
    </mc:AlternateContent>
    <xdr:clientData/>
  </xdr:twoCellAnchor>
  <xdr:twoCellAnchor editAs="oneCell">
    <xdr:from>
      <xdr:col>1</xdr:col>
      <xdr:colOff>190260</xdr:colOff>
      <xdr:row>14</xdr:row>
      <xdr:rowOff>144000</xdr:rowOff>
    </xdr:from>
    <xdr:to>
      <xdr:col>1</xdr:col>
      <xdr:colOff>1225620</xdr:colOff>
      <xdr:row>14</xdr:row>
      <xdr:rowOff>152640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Ink 7">
              <a:extLst>
                <a:ext uri="{FF2B5EF4-FFF2-40B4-BE49-F238E27FC236}">
                  <a16:creationId xmlns:a16="http://schemas.microsoft.com/office/drawing/2014/main" id="{82B011D5-F55E-DFA1-4C75-2A55747A1169}"/>
                </a:ext>
              </a:extLst>
            </xdr14:cNvPr>
            <xdr14:cNvContentPartPr/>
          </xdr14:nvContentPartPr>
          <xdr14:nvPr macro=""/>
          <xdr14:xfrm>
            <a:off x="441720" y="2704320"/>
            <a:ext cx="1035360" cy="8640"/>
          </xdr14:xfrm>
        </xdr:contentPart>
      </mc:Choice>
      <mc:Fallback xmlns="">
        <xdr:pic>
          <xdr:nvPicPr>
            <xdr:cNvPr id="8" name="Ink 7">
              <a:extLst>
                <a:ext uri="{FF2B5EF4-FFF2-40B4-BE49-F238E27FC236}">
                  <a16:creationId xmlns:a16="http://schemas.microsoft.com/office/drawing/2014/main" id="{82B011D5-F55E-DFA1-4C75-2A55747A1169}"/>
                </a:ext>
              </a:extLst>
            </xdr:cNvPr>
            <xdr:cNvPicPr/>
          </xdr:nvPicPr>
          <xdr:blipFill>
            <a:blip xmlns:r="http://schemas.openxmlformats.org/officeDocument/2006/relationships" r:embed="rId14"/>
            <a:stretch>
              <a:fillRect/>
            </a:stretch>
          </xdr:blipFill>
          <xdr:spPr>
            <a:xfrm>
              <a:off x="435600" y="2698200"/>
              <a:ext cx="1047600" cy="20880"/>
            </a:xfrm>
            <a:prstGeom prst="rect">
              <a:avLst/>
            </a:prstGeom>
          </xdr:spPr>
        </xdr:pic>
      </mc:Fallback>
    </mc:AlternateContent>
    <xdr:clientData/>
  </xdr:twoCellAnchor>
  <xdr:twoCellAnchor editAs="oneCell">
    <xdr:from>
      <xdr:col>1</xdr:col>
      <xdr:colOff>144540</xdr:colOff>
      <xdr:row>17</xdr:row>
      <xdr:rowOff>144000</xdr:rowOff>
    </xdr:from>
    <xdr:to>
      <xdr:col>1</xdr:col>
      <xdr:colOff>1735740</xdr:colOff>
      <xdr:row>17</xdr:row>
      <xdr:rowOff>160920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Ink 8">
              <a:extLst>
                <a:ext uri="{FF2B5EF4-FFF2-40B4-BE49-F238E27FC236}">
                  <a16:creationId xmlns:a16="http://schemas.microsoft.com/office/drawing/2014/main" id="{9EDA2E28-F2E7-E94F-E5B2-531D792079B7}"/>
                </a:ext>
              </a:extLst>
            </xdr14:cNvPr>
            <xdr14:cNvContentPartPr/>
          </xdr14:nvContentPartPr>
          <xdr14:nvPr macro=""/>
          <xdr14:xfrm>
            <a:off x="396000" y="3252960"/>
            <a:ext cx="1591200" cy="16920"/>
          </xdr14:xfrm>
        </xdr:contentPart>
      </mc:Choice>
      <mc:Fallback xmlns="">
        <xdr:pic>
          <xdr:nvPicPr>
            <xdr:cNvPr id="9" name="Ink 8">
              <a:extLst>
                <a:ext uri="{FF2B5EF4-FFF2-40B4-BE49-F238E27FC236}">
                  <a16:creationId xmlns:a16="http://schemas.microsoft.com/office/drawing/2014/main" id="{9EDA2E28-F2E7-E94F-E5B2-531D792079B7}"/>
                </a:ext>
              </a:extLst>
            </xdr:cNvPr>
            <xdr:cNvPicPr/>
          </xdr:nvPicPr>
          <xdr:blipFill>
            <a:blip xmlns:r="http://schemas.openxmlformats.org/officeDocument/2006/relationships" r:embed="rId16"/>
            <a:stretch>
              <a:fillRect/>
            </a:stretch>
          </xdr:blipFill>
          <xdr:spPr>
            <a:xfrm>
              <a:off x="389880" y="3246840"/>
              <a:ext cx="1603440" cy="29160"/>
            </a:xfrm>
            <a:prstGeom prst="rect">
              <a:avLst/>
            </a:prstGeom>
          </xdr:spPr>
        </xdr:pic>
      </mc:Fallback>
    </mc:AlternateContent>
    <xdr:clientData/>
  </xdr:twoCellAnchor>
  <xdr:twoCellAnchor editAs="oneCell">
    <xdr:from>
      <xdr:col>2</xdr:col>
      <xdr:colOff>350400</xdr:colOff>
      <xdr:row>13</xdr:row>
      <xdr:rowOff>45720</xdr:rowOff>
    </xdr:from>
    <xdr:to>
      <xdr:col>2</xdr:col>
      <xdr:colOff>350760</xdr:colOff>
      <xdr:row>13</xdr:row>
      <xdr:rowOff>46080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 name="Ink 9">
              <a:extLst>
                <a:ext uri="{FF2B5EF4-FFF2-40B4-BE49-F238E27FC236}">
                  <a16:creationId xmlns:a16="http://schemas.microsoft.com/office/drawing/2014/main" id="{7954CDCC-10BD-0EA9-BCE4-E6DE74E4CCA5}"/>
                </a:ext>
              </a:extLst>
            </xdr14:cNvPr>
            <xdr14:cNvContentPartPr/>
          </xdr14:nvContentPartPr>
          <xdr14:nvPr macro=""/>
          <xdr14:xfrm>
            <a:off x="4221360" y="2423160"/>
            <a:ext cx="360" cy="360"/>
          </xdr14:xfrm>
        </xdr:contentPart>
      </mc:Choice>
      <mc:Fallback xmlns="">
        <xdr:pic>
          <xdr:nvPicPr>
            <xdr:cNvPr id="10" name="Ink 9">
              <a:extLst>
                <a:ext uri="{FF2B5EF4-FFF2-40B4-BE49-F238E27FC236}">
                  <a16:creationId xmlns:a16="http://schemas.microsoft.com/office/drawing/2014/main" id="{7954CDCC-10BD-0EA9-BCE4-E6DE74E4CCA5}"/>
                </a:ext>
              </a:extLst>
            </xdr:cNvPr>
            <xdr:cNvPicPr/>
          </xdr:nvPicPr>
          <xdr:blipFill>
            <a:blip xmlns:r="http://schemas.openxmlformats.org/officeDocument/2006/relationships" r:embed="rId4"/>
            <a:stretch>
              <a:fillRect/>
            </a:stretch>
          </xdr:blipFill>
          <xdr:spPr>
            <a:xfrm>
              <a:off x="4215240" y="2417040"/>
              <a:ext cx="12600" cy="12600"/>
            </a:xfrm>
            <a:prstGeom prst="rect">
              <a:avLst/>
            </a:prstGeom>
          </xdr:spPr>
        </xdr:pic>
      </mc:Fallback>
    </mc:AlternateContent>
    <xdr:clientData/>
  </xdr:twoCellAnchor>
  <xdr:twoCellAnchor editAs="oneCell">
    <xdr:from>
      <xdr:col>1</xdr:col>
      <xdr:colOff>37980</xdr:colOff>
      <xdr:row>16</xdr:row>
      <xdr:rowOff>129240</xdr:rowOff>
    </xdr:from>
    <xdr:to>
      <xdr:col>1</xdr:col>
      <xdr:colOff>1976580</xdr:colOff>
      <xdr:row>16</xdr:row>
      <xdr:rowOff>151560</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1" name="Ink 10">
              <a:extLst>
                <a:ext uri="{FF2B5EF4-FFF2-40B4-BE49-F238E27FC236}">
                  <a16:creationId xmlns:a16="http://schemas.microsoft.com/office/drawing/2014/main" id="{00B598C1-3045-3DE3-6049-EAFBDE96FDD3}"/>
                </a:ext>
              </a:extLst>
            </xdr14:cNvPr>
            <xdr14:cNvContentPartPr/>
          </xdr14:nvContentPartPr>
          <xdr14:nvPr macro=""/>
          <xdr14:xfrm>
            <a:off x="289440" y="3055320"/>
            <a:ext cx="1938600" cy="22320"/>
          </xdr14:xfrm>
        </xdr:contentPart>
      </mc:Choice>
      <mc:Fallback xmlns="">
        <xdr:pic>
          <xdr:nvPicPr>
            <xdr:cNvPr id="11" name="Ink 10">
              <a:extLst>
                <a:ext uri="{FF2B5EF4-FFF2-40B4-BE49-F238E27FC236}">
                  <a16:creationId xmlns:a16="http://schemas.microsoft.com/office/drawing/2014/main" id="{00B598C1-3045-3DE3-6049-EAFBDE96FDD3}"/>
                </a:ext>
              </a:extLst>
            </xdr:cNvPr>
            <xdr:cNvPicPr/>
          </xdr:nvPicPr>
          <xdr:blipFill>
            <a:blip xmlns:r="http://schemas.openxmlformats.org/officeDocument/2006/relationships" r:embed="rId19"/>
            <a:stretch>
              <a:fillRect/>
            </a:stretch>
          </xdr:blipFill>
          <xdr:spPr>
            <a:xfrm>
              <a:off x="283320" y="3049200"/>
              <a:ext cx="1950840" cy="34560"/>
            </a:xfrm>
            <a:prstGeom prst="rect">
              <a:avLst/>
            </a:prstGeom>
          </xdr:spPr>
        </xdr:pic>
      </mc:Fallback>
    </mc:AlternateContent>
    <xdr:clientData/>
  </xdr:twoCellAnchor>
  <xdr:twoCellAnchor editAs="oneCell">
    <xdr:from>
      <xdr:col>0</xdr:col>
      <xdr:colOff>251280</xdr:colOff>
      <xdr:row>15</xdr:row>
      <xdr:rowOff>75600</xdr:rowOff>
    </xdr:from>
    <xdr:to>
      <xdr:col>1</xdr:col>
      <xdr:colOff>1508940</xdr:colOff>
      <xdr:row>15</xdr:row>
      <xdr:rowOff>91800</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2" name="Ink 11">
              <a:extLst>
                <a:ext uri="{FF2B5EF4-FFF2-40B4-BE49-F238E27FC236}">
                  <a16:creationId xmlns:a16="http://schemas.microsoft.com/office/drawing/2014/main" id="{761A01F1-30F0-C8AC-77F8-E10EBC1FDF00}"/>
                </a:ext>
              </a:extLst>
            </xdr14:cNvPr>
            <xdr14:cNvContentPartPr/>
          </xdr14:nvContentPartPr>
          <xdr14:nvPr macro=""/>
          <xdr14:xfrm>
            <a:off x="251280" y="2818800"/>
            <a:ext cx="1509120" cy="16200"/>
          </xdr14:xfrm>
        </xdr:contentPart>
      </mc:Choice>
      <mc:Fallback xmlns="">
        <xdr:pic>
          <xdr:nvPicPr>
            <xdr:cNvPr id="12" name="Ink 11">
              <a:extLst>
                <a:ext uri="{FF2B5EF4-FFF2-40B4-BE49-F238E27FC236}">
                  <a16:creationId xmlns:a16="http://schemas.microsoft.com/office/drawing/2014/main" id="{761A01F1-30F0-C8AC-77F8-E10EBC1FDF00}"/>
                </a:ext>
              </a:extLst>
            </xdr:cNvPr>
            <xdr:cNvPicPr/>
          </xdr:nvPicPr>
          <xdr:blipFill>
            <a:blip xmlns:r="http://schemas.openxmlformats.org/officeDocument/2006/relationships" r:embed="rId21"/>
            <a:stretch>
              <a:fillRect/>
            </a:stretch>
          </xdr:blipFill>
          <xdr:spPr>
            <a:xfrm>
              <a:off x="245160" y="2812680"/>
              <a:ext cx="1521360" cy="2844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170448</xdr:colOff>
      <xdr:row>1</xdr:row>
      <xdr:rowOff>1202</xdr:rowOff>
    </xdr:from>
    <xdr:to>
      <xdr:col>19</xdr:col>
      <xdr:colOff>272716</xdr:colOff>
      <xdr:row>34</xdr:row>
      <xdr:rowOff>112294</xdr:rowOff>
    </xdr:to>
    <xdr:sp macro="" textlink="">
      <xdr:nvSpPr>
        <xdr:cNvPr id="2" name="Rectangle 1">
          <a:extLst>
            <a:ext uri="{FF2B5EF4-FFF2-40B4-BE49-F238E27FC236}">
              <a16:creationId xmlns:a16="http://schemas.microsoft.com/office/drawing/2014/main" id="{3E061128-2356-6B6A-ADA0-43ADE1377F0E}"/>
            </a:ext>
          </a:extLst>
        </xdr:cNvPr>
        <xdr:cNvSpPr/>
      </xdr:nvSpPr>
      <xdr:spPr>
        <a:xfrm>
          <a:off x="170448" y="185686"/>
          <a:ext cx="11684668" cy="61990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224589</xdr:colOff>
      <xdr:row>1</xdr:row>
      <xdr:rowOff>80211</xdr:rowOff>
    </xdr:from>
    <xdr:to>
      <xdr:col>19</xdr:col>
      <xdr:colOff>152400</xdr:colOff>
      <xdr:row>4</xdr:row>
      <xdr:rowOff>24063</xdr:rowOff>
    </xdr:to>
    <xdr:sp macro="" textlink="">
      <xdr:nvSpPr>
        <xdr:cNvPr id="3" name="Rectangle 2">
          <a:extLst>
            <a:ext uri="{FF2B5EF4-FFF2-40B4-BE49-F238E27FC236}">
              <a16:creationId xmlns:a16="http://schemas.microsoft.com/office/drawing/2014/main" id="{24F5A571-5B7C-950F-7079-347B8A860F30}"/>
            </a:ext>
          </a:extLst>
        </xdr:cNvPr>
        <xdr:cNvSpPr/>
      </xdr:nvSpPr>
      <xdr:spPr>
        <a:xfrm>
          <a:off x="224589" y="264695"/>
          <a:ext cx="11510211" cy="497305"/>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200526</xdr:colOff>
      <xdr:row>1</xdr:row>
      <xdr:rowOff>16042</xdr:rowOff>
    </xdr:from>
    <xdr:to>
      <xdr:col>20</xdr:col>
      <xdr:colOff>312820</xdr:colOff>
      <xdr:row>4</xdr:row>
      <xdr:rowOff>88232</xdr:rowOff>
    </xdr:to>
    <xdr:sp macro="" textlink="">
      <xdr:nvSpPr>
        <xdr:cNvPr id="4" name="TextBox 3">
          <a:extLst>
            <a:ext uri="{FF2B5EF4-FFF2-40B4-BE49-F238E27FC236}">
              <a16:creationId xmlns:a16="http://schemas.microsoft.com/office/drawing/2014/main" id="{19DBC22A-CFD4-8B87-ABA0-DE9298AAA734}"/>
            </a:ext>
          </a:extLst>
        </xdr:cNvPr>
        <xdr:cNvSpPr txBox="1"/>
      </xdr:nvSpPr>
      <xdr:spPr>
        <a:xfrm>
          <a:off x="8734926" y="200526"/>
          <a:ext cx="3769894" cy="625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t>Sales</a:t>
          </a:r>
          <a:r>
            <a:rPr lang="en-US" sz="3200" b="1" baseline="0"/>
            <a:t> </a:t>
          </a:r>
          <a:r>
            <a:rPr lang="en-US" sz="3200" b="1"/>
            <a:t>Dashboard</a:t>
          </a:r>
          <a:r>
            <a:rPr lang="en-US" sz="3200" b="1" baseline="0"/>
            <a:t> </a:t>
          </a:r>
          <a:endParaRPr lang="en-US" sz="3200" b="1"/>
        </a:p>
      </xdr:txBody>
    </xdr:sp>
    <xdr:clientData/>
  </xdr:twoCellAnchor>
  <xdr:twoCellAnchor editAs="oneCell">
    <xdr:from>
      <xdr:col>0</xdr:col>
      <xdr:colOff>218573</xdr:colOff>
      <xdr:row>4</xdr:row>
      <xdr:rowOff>73392</xdr:rowOff>
    </xdr:from>
    <xdr:to>
      <xdr:col>2</xdr:col>
      <xdr:colOff>465221</xdr:colOff>
      <xdr:row>10</xdr:row>
      <xdr:rowOff>144378</xdr:rowOff>
    </xdr:to>
    <mc:AlternateContent xmlns:mc="http://schemas.openxmlformats.org/markup-compatibility/2006" xmlns:a14="http://schemas.microsoft.com/office/drawing/2010/main">
      <mc:Choice Requires="a14">
        <xdr:graphicFrame macro="">
          <xdr:nvGraphicFramePr>
            <xdr:cNvPr id="5" name="Customer Gender 1">
              <a:extLst>
                <a:ext uri="{FF2B5EF4-FFF2-40B4-BE49-F238E27FC236}">
                  <a16:creationId xmlns:a16="http://schemas.microsoft.com/office/drawing/2014/main" id="{33FF911C-6172-4AA1-9634-13A12A269D61}"/>
                </a:ext>
              </a:extLst>
            </xdr:cNvPr>
            <xdr:cNvGraphicFramePr/>
          </xdr:nvGraphicFramePr>
          <xdr:xfrm>
            <a:off x="0" y="0"/>
            <a:ext cx="0" cy="0"/>
          </xdr:xfrm>
          <a:graphic>
            <a:graphicData uri="http://schemas.microsoft.com/office/drawing/2010/slicer">
              <sle:slicer xmlns:sle="http://schemas.microsoft.com/office/drawing/2010/slicer" name="Customer Gender 1"/>
            </a:graphicData>
          </a:graphic>
        </xdr:graphicFrame>
      </mc:Choice>
      <mc:Fallback xmlns="">
        <xdr:sp macro="" textlink="">
          <xdr:nvSpPr>
            <xdr:cNvPr id="0" name=""/>
            <xdr:cNvSpPr>
              <a:spLocks noTextEdit="1"/>
            </xdr:cNvSpPr>
          </xdr:nvSpPr>
          <xdr:spPr>
            <a:xfrm>
              <a:off x="218573" y="803642"/>
              <a:ext cx="1469023" cy="1166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242637</xdr:colOff>
      <xdr:row>10</xdr:row>
      <xdr:rowOff>161625</xdr:rowOff>
    </xdr:from>
    <xdr:to>
      <xdr:col>2</xdr:col>
      <xdr:colOff>473242</xdr:colOff>
      <xdr:row>20</xdr:row>
      <xdr:rowOff>0</xdr:rowOff>
    </xdr:to>
    <mc:AlternateContent xmlns:mc="http://schemas.openxmlformats.org/markup-compatibility/2006" xmlns:a14="http://schemas.microsoft.com/office/drawing/2010/main">
      <mc:Choice Requires="a14">
        <xdr:graphicFrame macro="">
          <xdr:nvGraphicFramePr>
            <xdr:cNvPr id="6" name="Order Mode 1">
              <a:extLst>
                <a:ext uri="{FF2B5EF4-FFF2-40B4-BE49-F238E27FC236}">
                  <a16:creationId xmlns:a16="http://schemas.microsoft.com/office/drawing/2014/main" id="{4F2B2576-ED31-470D-A56D-90660B3FF710}"/>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242637" y="1987250"/>
              <a:ext cx="1452980" cy="166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521368</xdr:colOff>
      <xdr:row>4</xdr:row>
      <xdr:rowOff>112296</xdr:rowOff>
    </xdr:from>
    <xdr:to>
      <xdr:col>10</xdr:col>
      <xdr:colOff>232610</xdr:colOff>
      <xdr:row>20</xdr:row>
      <xdr:rowOff>32084</xdr:rowOff>
    </xdr:to>
    <xdr:sp macro="" textlink="">
      <xdr:nvSpPr>
        <xdr:cNvPr id="12" name="Rectangle: Rounded Corners 11">
          <a:extLst>
            <a:ext uri="{FF2B5EF4-FFF2-40B4-BE49-F238E27FC236}">
              <a16:creationId xmlns:a16="http://schemas.microsoft.com/office/drawing/2014/main" id="{312DB405-28F2-FAA2-1D40-6E3F1808BAC6}"/>
            </a:ext>
          </a:extLst>
        </xdr:cNvPr>
        <xdr:cNvSpPr/>
      </xdr:nvSpPr>
      <xdr:spPr>
        <a:xfrm>
          <a:off x="1740568" y="850233"/>
          <a:ext cx="4588042" cy="2871535"/>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56145</xdr:colOff>
      <xdr:row>4</xdr:row>
      <xdr:rowOff>168445</xdr:rowOff>
    </xdr:from>
    <xdr:to>
      <xdr:col>10</xdr:col>
      <xdr:colOff>128336</xdr:colOff>
      <xdr:row>17</xdr:row>
      <xdr:rowOff>24063</xdr:rowOff>
    </xdr:to>
    <xdr:graphicFrame macro="">
      <xdr:nvGraphicFramePr>
        <xdr:cNvPr id="8" name="Chart 7">
          <a:extLst>
            <a:ext uri="{FF2B5EF4-FFF2-40B4-BE49-F238E27FC236}">
              <a16:creationId xmlns:a16="http://schemas.microsoft.com/office/drawing/2014/main" id="{C5C95F93-379D-4F1A-8114-8EF370CC1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336885</xdr:colOff>
      <xdr:row>5</xdr:row>
      <xdr:rowOff>40105</xdr:rowOff>
    </xdr:from>
    <xdr:to>
      <xdr:col>19</xdr:col>
      <xdr:colOff>88233</xdr:colOff>
      <xdr:row>20</xdr:row>
      <xdr:rowOff>8021</xdr:rowOff>
    </xdr:to>
    <xdr:sp macro="" textlink="">
      <xdr:nvSpPr>
        <xdr:cNvPr id="9" name="Rectangle: Rounded Corners 8">
          <a:extLst>
            <a:ext uri="{FF2B5EF4-FFF2-40B4-BE49-F238E27FC236}">
              <a16:creationId xmlns:a16="http://schemas.microsoft.com/office/drawing/2014/main" id="{D4C78C46-8267-ADD5-1AA8-1C8609CF17D1}"/>
            </a:ext>
          </a:extLst>
        </xdr:cNvPr>
        <xdr:cNvSpPr/>
      </xdr:nvSpPr>
      <xdr:spPr>
        <a:xfrm>
          <a:off x="6432885" y="962526"/>
          <a:ext cx="5237748" cy="2735179"/>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437970</xdr:colOff>
      <xdr:row>5</xdr:row>
      <xdr:rowOff>80209</xdr:rowOff>
    </xdr:from>
    <xdr:to>
      <xdr:col>19</xdr:col>
      <xdr:colOff>213381</xdr:colOff>
      <xdr:row>19</xdr:row>
      <xdr:rowOff>32083</xdr:rowOff>
    </xdr:to>
    <xdr:graphicFrame macro="">
      <xdr:nvGraphicFramePr>
        <xdr:cNvPr id="10" name="Chart 9">
          <a:extLst>
            <a:ext uri="{FF2B5EF4-FFF2-40B4-BE49-F238E27FC236}">
              <a16:creationId xmlns:a16="http://schemas.microsoft.com/office/drawing/2014/main" id="{ED800BAC-3837-48FD-BBCA-4C3593C0F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200525</xdr:colOff>
      <xdr:row>20</xdr:row>
      <xdr:rowOff>152399</xdr:rowOff>
    </xdr:from>
    <xdr:to>
      <xdr:col>19</xdr:col>
      <xdr:colOff>32085</xdr:colOff>
      <xdr:row>33</xdr:row>
      <xdr:rowOff>128336</xdr:rowOff>
    </xdr:to>
    <xdr:sp macro="" textlink="">
      <xdr:nvSpPr>
        <xdr:cNvPr id="11" name="Rectangle: Rounded Corners 10">
          <a:extLst>
            <a:ext uri="{FF2B5EF4-FFF2-40B4-BE49-F238E27FC236}">
              <a16:creationId xmlns:a16="http://schemas.microsoft.com/office/drawing/2014/main" id="{878EA768-219C-C93B-AE3A-50F40A147181}"/>
            </a:ext>
          </a:extLst>
        </xdr:cNvPr>
        <xdr:cNvSpPr/>
      </xdr:nvSpPr>
      <xdr:spPr>
        <a:xfrm>
          <a:off x="8734925" y="3842083"/>
          <a:ext cx="2879560" cy="2374232"/>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553452</xdr:colOff>
      <xdr:row>20</xdr:row>
      <xdr:rowOff>40104</xdr:rowOff>
    </xdr:from>
    <xdr:to>
      <xdr:col>18</xdr:col>
      <xdr:colOff>505326</xdr:colOff>
      <xdr:row>35</xdr:row>
      <xdr:rowOff>56147</xdr:rowOff>
    </xdr:to>
    <xdr:graphicFrame macro="">
      <xdr:nvGraphicFramePr>
        <xdr:cNvPr id="14" name="Chart 13">
          <a:extLst>
            <a:ext uri="{FF2B5EF4-FFF2-40B4-BE49-F238E27FC236}">
              <a16:creationId xmlns:a16="http://schemas.microsoft.com/office/drawing/2014/main" id="{878B99F4-A5F3-4F8B-8251-2D7D3E806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376989</xdr:colOff>
      <xdr:row>20</xdr:row>
      <xdr:rowOff>168442</xdr:rowOff>
    </xdr:from>
    <xdr:to>
      <xdr:col>7</xdr:col>
      <xdr:colOff>72189</xdr:colOff>
      <xdr:row>33</xdr:row>
      <xdr:rowOff>96253</xdr:rowOff>
    </xdr:to>
    <xdr:sp macro="" textlink="">
      <xdr:nvSpPr>
        <xdr:cNvPr id="15" name="Rectangle: Rounded Corners 14">
          <a:extLst>
            <a:ext uri="{FF2B5EF4-FFF2-40B4-BE49-F238E27FC236}">
              <a16:creationId xmlns:a16="http://schemas.microsoft.com/office/drawing/2014/main" id="{284FC8C6-2084-8C52-4413-D745A4F7E039}"/>
            </a:ext>
          </a:extLst>
        </xdr:cNvPr>
        <xdr:cNvSpPr/>
      </xdr:nvSpPr>
      <xdr:spPr>
        <a:xfrm>
          <a:off x="376989" y="3858126"/>
          <a:ext cx="3962400" cy="2326106"/>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336885</xdr:colOff>
      <xdr:row>22</xdr:row>
      <xdr:rowOff>16042</xdr:rowOff>
    </xdr:from>
    <xdr:to>
      <xdr:col>5</xdr:col>
      <xdr:colOff>585537</xdr:colOff>
      <xdr:row>25</xdr:row>
      <xdr:rowOff>34090</xdr:rowOff>
    </xdr:to>
    <xdr:sp macro="" textlink="Sheet2!$C$120">
      <xdr:nvSpPr>
        <xdr:cNvPr id="16" name="TextBox 15">
          <a:extLst>
            <a:ext uri="{FF2B5EF4-FFF2-40B4-BE49-F238E27FC236}">
              <a16:creationId xmlns:a16="http://schemas.microsoft.com/office/drawing/2014/main" id="{E8E541A6-E7DE-4A18-B6C0-E291D003BD6C}"/>
            </a:ext>
          </a:extLst>
        </xdr:cNvPr>
        <xdr:cNvSpPr txBox="1"/>
      </xdr:nvSpPr>
      <xdr:spPr>
        <a:xfrm>
          <a:off x="2165685" y="4074695"/>
          <a:ext cx="1467852"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BCD0AF-2B45-4605-94BD-5AEF501C6028}" type="TxLink">
            <a:rPr lang="en-US" sz="2400" b="0" i="0" u="none" strike="noStrike" cap="none" spc="0">
              <a:ln w="0">
                <a:noFill/>
              </a:ln>
              <a:solidFill>
                <a:schemeClr val="bg2"/>
              </a:solidFill>
              <a:effectLst>
                <a:outerShdw blurRad="38100" dist="19050" dir="2700000" algn="tl" rotWithShape="0">
                  <a:schemeClr val="dk1">
                    <a:alpha val="40000"/>
                  </a:schemeClr>
                </a:outerShdw>
              </a:effectLst>
              <a:latin typeface="Aptos Narrow"/>
            </a:rPr>
            <a:pPr/>
            <a:t>3.957820738</a:t>
          </a:fld>
          <a:endParaRPr lang="en-US" sz="2400" b="0" cap="none" spc="0">
            <a:ln w="0">
              <a:noFill/>
            </a:ln>
            <a:solidFill>
              <a:schemeClr val="bg2"/>
            </a:solidFill>
            <a:effectLst>
              <a:outerShdw blurRad="38100" dist="19050" dir="2700000" algn="tl" rotWithShape="0">
                <a:schemeClr val="dk1">
                  <a:alpha val="40000"/>
                </a:schemeClr>
              </a:outerShdw>
            </a:effectLst>
          </a:endParaRPr>
        </a:p>
      </xdr:txBody>
    </xdr:sp>
    <xdr:clientData/>
  </xdr:twoCellAnchor>
  <xdr:twoCellAnchor>
    <xdr:from>
      <xdr:col>1</xdr:col>
      <xdr:colOff>152399</xdr:colOff>
      <xdr:row>21</xdr:row>
      <xdr:rowOff>176463</xdr:rowOff>
    </xdr:from>
    <xdr:to>
      <xdr:col>2</xdr:col>
      <xdr:colOff>505326</xdr:colOff>
      <xdr:row>24</xdr:row>
      <xdr:rowOff>80212</xdr:rowOff>
    </xdr:to>
    <xdr:sp macro="" textlink="">
      <xdr:nvSpPr>
        <xdr:cNvPr id="17" name="TextBox 16">
          <a:extLst>
            <a:ext uri="{FF2B5EF4-FFF2-40B4-BE49-F238E27FC236}">
              <a16:creationId xmlns:a16="http://schemas.microsoft.com/office/drawing/2014/main" id="{A45C8026-5664-62E3-2C73-05447687AD0E}"/>
            </a:ext>
          </a:extLst>
        </xdr:cNvPr>
        <xdr:cNvSpPr txBox="1"/>
      </xdr:nvSpPr>
      <xdr:spPr>
        <a:xfrm>
          <a:off x="761999" y="4050631"/>
          <a:ext cx="962527" cy="457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Rating</a:t>
          </a:r>
        </a:p>
      </xdr:txBody>
    </xdr:sp>
    <xdr:clientData/>
  </xdr:twoCellAnchor>
  <xdr:twoCellAnchor editAs="oneCell">
    <xdr:from>
      <xdr:col>2</xdr:col>
      <xdr:colOff>473242</xdr:colOff>
      <xdr:row>22</xdr:row>
      <xdr:rowOff>80212</xdr:rowOff>
    </xdr:from>
    <xdr:to>
      <xdr:col>3</xdr:col>
      <xdr:colOff>168442</xdr:colOff>
      <xdr:row>24</xdr:row>
      <xdr:rowOff>16044</xdr:rowOff>
    </xdr:to>
    <xdr:pic>
      <xdr:nvPicPr>
        <xdr:cNvPr id="19" name="Graphic 18" descr="Star with solid fill">
          <a:extLst>
            <a:ext uri="{FF2B5EF4-FFF2-40B4-BE49-F238E27FC236}">
              <a16:creationId xmlns:a16="http://schemas.microsoft.com/office/drawing/2014/main" id="{7F64D57D-AD6A-3642-80F2-B3675666D20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692442" y="4138865"/>
          <a:ext cx="304800" cy="304800"/>
        </a:xfrm>
        <a:prstGeom prst="rect">
          <a:avLst/>
        </a:prstGeom>
      </xdr:spPr>
    </xdr:pic>
    <xdr:clientData/>
  </xdr:twoCellAnchor>
  <xdr:twoCellAnchor>
    <xdr:from>
      <xdr:col>3</xdr:col>
      <xdr:colOff>393030</xdr:colOff>
      <xdr:row>24</xdr:row>
      <xdr:rowOff>16040</xdr:rowOff>
    </xdr:from>
    <xdr:to>
      <xdr:col>7</xdr:col>
      <xdr:colOff>513347</xdr:colOff>
      <xdr:row>30</xdr:row>
      <xdr:rowOff>6415</xdr:rowOff>
    </xdr:to>
    <xdr:sp macro="" textlink="Sheet2!$N$145">
      <xdr:nvSpPr>
        <xdr:cNvPr id="20" name="TextBox 19">
          <a:extLst>
            <a:ext uri="{FF2B5EF4-FFF2-40B4-BE49-F238E27FC236}">
              <a16:creationId xmlns:a16="http://schemas.microsoft.com/office/drawing/2014/main" id="{452D5DB1-EA3A-454A-BA69-BC599BF08E46}"/>
            </a:ext>
          </a:extLst>
        </xdr:cNvPr>
        <xdr:cNvSpPr txBox="1"/>
      </xdr:nvSpPr>
      <xdr:spPr>
        <a:xfrm>
          <a:off x="2221830" y="4443661"/>
          <a:ext cx="2558717" cy="1097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94AA3D-1E0F-48B8-9FDA-C4EBFFBE6D72}" type="TxLink">
            <a:rPr lang="en-US" sz="2400" b="0" i="0" u="none" strike="noStrike" cap="none" spc="0">
              <a:ln w="0">
                <a:noFill/>
              </a:ln>
              <a:solidFill>
                <a:schemeClr val="bg1"/>
              </a:solidFill>
              <a:effectLst>
                <a:outerShdw blurRad="38100" dist="19050" dir="2700000" algn="tl" rotWithShape="0">
                  <a:schemeClr val="dk1">
                    <a:alpha val="40000"/>
                  </a:schemeClr>
                </a:outerShdw>
              </a:effectLst>
              <a:latin typeface="Aptos Narrow"/>
            </a:rPr>
            <a:pPr/>
            <a:t>2.2</a:t>
          </a:fld>
          <a:endParaRPr lang="en-US" sz="2400" b="0" cap="none" spc="0">
            <a:ln w="0">
              <a:noFill/>
            </a:ln>
            <a:solidFill>
              <a:schemeClr val="bg1"/>
            </a:solidFill>
            <a:effectLst>
              <a:outerShdw blurRad="38100" dist="19050" dir="2700000" algn="tl" rotWithShape="0">
                <a:schemeClr val="dk1">
                  <a:alpha val="40000"/>
                </a:schemeClr>
              </a:outerShdw>
            </a:effectLst>
          </a:endParaRPr>
        </a:p>
      </xdr:txBody>
    </xdr:sp>
    <xdr:clientData/>
  </xdr:twoCellAnchor>
  <xdr:twoCellAnchor>
    <xdr:from>
      <xdr:col>1</xdr:col>
      <xdr:colOff>56148</xdr:colOff>
      <xdr:row>24</xdr:row>
      <xdr:rowOff>48125</xdr:rowOff>
    </xdr:from>
    <xdr:to>
      <xdr:col>3</xdr:col>
      <xdr:colOff>577516</xdr:colOff>
      <xdr:row>29</xdr:row>
      <xdr:rowOff>40104</xdr:rowOff>
    </xdr:to>
    <xdr:sp macro="" textlink="">
      <xdr:nvSpPr>
        <xdr:cNvPr id="21" name="TextBox 20">
          <a:extLst>
            <a:ext uri="{FF2B5EF4-FFF2-40B4-BE49-F238E27FC236}">
              <a16:creationId xmlns:a16="http://schemas.microsoft.com/office/drawing/2014/main" id="{859B6F15-743D-A0E5-9B24-2EE4774FF3CF}"/>
            </a:ext>
          </a:extLst>
        </xdr:cNvPr>
        <xdr:cNvSpPr txBox="1"/>
      </xdr:nvSpPr>
      <xdr:spPr>
        <a:xfrm>
          <a:off x="665748" y="4475746"/>
          <a:ext cx="1740568"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Delivery</a:t>
          </a:r>
          <a:r>
            <a:rPr lang="en-US" sz="2000" baseline="0"/>
            <a:t> Time</a:t>
          </a:r>
          <a:endParaRPr lang="en-US" sz="2000"/>
        </a:p>
      </xdr:txBody>
    </xdr:sp>
    <xdr:clientData/>
  </xdr:twoCellAnchor>
  <xdr:twoCellAnchor>
    <xdr:from>
      <xdr:col>4</xdr:col>
      <xdr:colOff>312820</xdr:colOff>
      <xdr:row>24</xdr:row>
      <xdr:rowOff>88231</xdr:rowOff>
    </xdr:from>
    <xdr:to>
      <xdr:col>5</xdr:col>
      <xdr:colOff>389020</xdr:colOff>
      <xdr:row>27</xdr:row>
      <xdr:rowOff>63767</xdr:rowOff>
    </xdr:to>
    <xdr:sp macro="" textlink="">
      <xdr:nvSpPr>
        <xdr:cNvPr id="1025" name="Text Box 1">
          <a:extLst>
            <a:ext uri="{FF2B5EF4-FFF2-40B4-BE49-F238E27FC236}">
              <a16:creationId xmlns:a16="http://schemas.microsoft.com/office/drawing/2014/main" id="{31A6861F-406D-F168-95FB-488356AD730F}"/>
            </a:ext>
          </a:extLst>
        </xdr:cNvPr>
        <xdr:cNvSpPr txBox="1">
          <a:spLocks noChangeArrowheads="1"/>
        </xdr:cNvSpPr>
      </xdr:nvSpPr>
      <xdr:spPr bwMode="auto">
        <a:xfrm>
          <a:off x="2751220" y="4515852"/>
          <a:ext cx="685800" cy="528989"/>
        </a:xfrm>
        <a:prstGeom prst="rect">
          <a:avLst/>
        </a:prstGeom>
        <a:noFill/>
        <a:ln w="9525">
          <a:noFill/>
          <a:miter lim="800000"/>
          <a:headEnd/>
          <a:tailEnd/>
        </a:ln>
      </xdr:spPr>
      <xdr:txBody>
        <a:bodyPr vertOverflow="clip" wrap="square" lIns="36576" tIns="32004" rIns="0" bIns="0" anchor="t" upright="1"/>
        <a:lstStyle/>
        <a:p>
          <a:pPr algn="l" rtl="0">
            <a:defRPr sz="1000"/>
          </a:pPr>
          <a:r>
            <a:rPr lang="en-US" sz="1800" b="0" i="0" u="none" strike="noStrike" cap="none" spc="0" baseline="0">
              <a:ln w="0">
                <a:noFill/>
              </a:ln>
              <a:solidFill>
                <a:schemeClr val="bg1"/>
              </a:solidFill>
              <a:effectLst>
                <a:outerShdw blurRad="38100" dist="19050" dir="2700000" algn="tl" rotWithShape="0">
                  <a:schemeClr val="dk1">
                    <a:alpha val="40000"/>
                  </a:schemeClr>
                </a:outerShdw>
              </a:effectLst>
              <a:latin typeface="Aptos Narrow"/>
            </a:rPr>
            <a:t>Days</a:t>
          </a:r>
        </a:p>
      </xdr:txBody>
    </xdr:sp>
    <xdr:clientData/>
  </xdr:twoCellAnchor>
  <xdr:twoCellAnchor>
    <xdr:from>
      <xdr:col>7</xdr:col>
      <xdr:colOff>266701</xdr:colOff>
      <xdr:row>21</xdr:row>
      <xdr:rowOff>1202</xdr:rowOff>
    </xdr:from>
    <xdr:to>
      <xdr:col>13</xdr:col>
      <xdr:colOff>571501</xdr:colOff>
      <xdr:row>33</xdr:row>
      <xdr:rowOff>113497</xdr:rowOff>
    </xdr:to>
    <xdr:sp macro="" textlink="">
      <xdr:nvSpPr>
        <xdr:cNvPr id="23" name="Rectangle: Rounded Corners 22">
          <a:extLst>
            <a:ext uri="{FF2B5EF4-FFF2-40B4-BE49-F238E27FC236}">
              <a16:creationId xmlns:a16="http://schemas.microsoft.com/office/drawing/2014/main" id="{318C5042-FEC2-4D3C-9C41-10D67B97D86E}"/>
            </a:ext>
          </a:extLst>
        </xdr:cNvPr>
        <xdr:cNvSpPr/>
      </xdr:nvSpPr>
      <xdr:spPr>
        <a:xfrm>
          <a:off x="4504674" y="3946901"/>
          <a:ext cx="3937348" cy="236698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48810</xdr:colOff>
      <xdr:row>17</xdr:row>
      <xdr:rowOff>176756</xdr:rowOff>
    </xdr:from>
    <xdr:to>
      <xdr:col>18</xdr:col>
      <xdr:colOff>190500</xdr:colOff>
      <xdr:row>36</xdr:row>
      <xdr:rowOff>103188</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1D84AB00-E19D-471B-A571-4A813454ED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535210" y="3285716"/>
              <a:ext cx="5628090" cy="340115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407988</xdr:colOff>
      <xdr:row>26</xdr:row>
      <xdr:rowOff>78580</xdr:rowOff>
    </xdr:from>
    <xdr:to>
      <xdr:col>5</xdr:col>
      <xdr:colOff>100013</xdr:colOff>
      <xdr:row>29</xdr:row>
      <xdr:rowOff>47624</xdr:rowOff>
    </xdr:to>
    <xdr:sp macro="" textlink="Sheet2!N4">
      <xdr:nvSpPr>
        <xdr:cNvPr id="25" name="TextBox 24">
          <a:extLst>
            <a:ext uri="{FF2B5EF4-FFF2-40B4-BE49-F238E27FC236}">
              <a16:creationId xmlns:a16="http://schemas.microsoft.com/office/drawing/2014/main" id="{C6FE01BF-A9EA-2C47-F35D-E3F8384CB843}"/>
            </a:ext>
          </a:extLst>
        </xdr:cNvPr>
        <xdr:cNvSpPr txBox="1"/>
      </xdr:nvSpPr>
      <xdr:spPr>
        <a:xfrm>
          <a:off x="2241551" y="4825205"/>
          <a:ext cx="914400" cy="516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7A4E44-F080-44B5-A4FE-2ABCD2468285}" type="TxLink">
            <a:rPr lang="en-US" sz="2000" b="0" i="0" u="none" strike="noStrike" cap="none" spc="0">
              <a:ln w="0">
                <a:noFill/>
              </a:ln>
              <a:solidFill>
                <a:schemeClr val="bg1"/>
              </a:solidFill>
              <a:effectLst>
                <a:outerShdw blurRad="38100" dist="19050" dir="2700000" algn="tl" rotWithShape="0">
                  <a:schemeClr val="dk1">
                    <a:alpha val="40000"/>
                  </a:schemeClr>
                </a:outerShdw>
              </a:effectLst>
              <a:latin typeface="Aptos Narrow"/>
            </a:rPr>
            <a:pPr/>
            <a:t>2666</a:t>
          </a:fld>
          <a:endParaRPr lang="en-US" sz="2000" b="0" cap="none" spc="0">
            <a:ln w="0">
              <a:noFill/>
            </a:ln>
            <a:solidFill>
              <a:schemeClr val="bg1"/>
            </a:solidFill>
            <a:effectLst>
              <a:outerShdw blurRad="38100" dist="19050" dir="2700000" algn="tl" rotWithShape="0">
                <a:schemeClr val="dk1">
                  <a:alpha val="40000"/>
                </a:schemeClr>
              </a:outerShdw>
            </a:effectLst>
          </a:endParaRPr>
        </a:p>
      </xdr:txBody>
    </xdr:sp>
    <xdr:clientData/>
  </xdr:twoCellAnchor>
  <xdr:twoCellAnchor>
    <xdr:from>
      <xdr:col>3</xdr:col>
      <xdr:colOff>412749</xdr:colOff>
      <xdr:row>28</xdr:row>
      <xdr:rowOff>95250</xdr:rowOff>
    </xdr:from>
    <xdr:to>
      <xdr:col>5</xdr:col>
      <xdr:colOff>468311</xdr:colOff>
      <xdr:row>31</xdr:row>
      <xdr:rowOff>64294</xdr:rowOff>
    </xdr:to>
    <xdr:sp macro="" textlink="Sheet2!O4">
      <xdr:nvSpPr>
        <xdr:cNvPr id="26" name="TextBox 25">
          <a:extLst>
            <a:ext uri="{FF2B5EF4-FFF2-40B4-BE49-F238E27FC236}">
              <a16:creationId xmlns:a16="http://schemas.microsoft.com/office/drawing/2014/main" id="{80C30E7C-1BBF-45FB-8976-0BB1782F80F0}"/>
            </a:ext>
          </a:extLst>
        </xdr:cNvPr>
        <xdr:cNvSpPr txBox="1"/>
      </xdr:nvSpPr>
      <xdr:spPr>
        <a:xfrm>
          <a:off x="2246312" y="5207000"/>
          <a:ext cx="1277937" cy="516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6F51FE-2E70-4075-A674-38D0DECC9F11}" type="TxLink">
            <a:rPr lang="en-US" sz="1800" b="0" i="0" u="none" strike="noStrike" cap="none" spc="0">
              <a:ln w="0"/>
              <a:solidFill>
                <a:schemeClr val="bg1"/>
              </a:solidFill>
              <a:effectLst>
                <a:outerShdw blurRad="38100" dist="19050" dir="2700000" algn="tl" rotWithShape="0">
                  <a:schemeClr val="dk1">
                    <a:alpha val="40000"/>
                  </a:schemeClr>
                </a:outerShdw>
              </a:effectLst>
              <a:latin typeface="Aptos Narrow"/>
            </a:rPr>
            <a:pPr/>
            <a:t>32215.3</a:t>
          </a:fld>
          <a:endParaRPr lang="en-US" sz="1800" b="0" i="0" u="none" strike="noStrike" cap="none" spc="0">
            <a:ln w="0"/>
            <a:solidFill>
              <a:schemeClr val="bg1"/>
            </a:solidFill>
            <a:effectLst>
              <a:outerShdw blurRad="38100" dist="19050" dir="2700000" algn="tl" rotWithShape="0">
                <a:schemeClr val="dk1">
                  <a:alpha val="40000"/>
                </a:schemeClr>
              </a:outerShdw>
            </a:effectLst>
            <a:latin typeface="Aptos Narrow"/>
          </a:endParaRPr>
        </a:p>
      </xdr:txBody>
    </xdr:sp>
    <xdr:clientData/>
  </xdr:twoCellAnchor>
  <xdr:twoCellAnchor>
    <xdr:from>
      <xdr:col>3</xdr:col>
      <xdr:colOff>431798</xdr:colOff>
      <xdr:row>30</xdr:row>
      <xdr:rowOff>110331</xdr:rowOff>
    </xdr:from>
    <xdr:to>
      <xdr:col>5</xdr:col>
      <xdr:colOff>420686</xdr:colOff>
      <xdr:row>35</xdr:row>
      <xdr:rowOff>111918</xdr:rowOff>
    </xdr:to>
    <xdr:sp macro="" textlink="Sheet2!P4">
      <xdr:nvSpPr>
        <xdr:cNvPr id="27" name="TextBox 26">
          <a:extLst>
            <a:ext uri="{FF2B5EF4-FFF2-40B4-BE49-F238E27FC236}">
              <a16:creationId xmlns:a16="http://schemas.microsoft.com/office/drawing/2014/main" id="{E1BC9AB8-2C48-A05F-283E-2D51F246C72B}"/>
            </a:ext>
          </a:extLst>
        </xdr:cNvPr>
        <xdr:cNvSpPr txBox="1"/>
      </xdr:nvSpPr>
      <xdr:spPr>
        <a:xfrm>
          <a:off x="2265361" y="5587206"/>
          <a:ext cx="1211263"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2E301B-80E6-4CC2-A589-138DEBB5F4BB}" type="TxLink">
            <a:rPr lang="en-US" sz="1800" b="0" i="0" u="none" strike="noStrike">
              <a:ln>
                <a:noFill/>
              </a:ln>
              <a:solidFill>
                <a:schemeClr val="bg1"/>
              </a:solidFill>
              <a:latin typeface="Aptos Narrow"/>
            </a:rPr>
            <a:pPr/>
            <a:t>152796.4</a:t>
          </a:fld>
          <a:endParaRPr lang="en-US" sz="1800">
            <a:ln>
              <a:noFill/>
            </a:ln>
            <a:solidFill>
              <a:schemeClr val="bg1"/>
            </a:solidFill>
          </a:endParaRPr>
        </a:p>
      </xdr:txBody>
    </xdr:sp>
    <xdr:clientData/>
  </xdr:twoCellAnchor>
  <xdr:twoCellAnchor>
    <xdr:from>
      <xdr:col>0</xdr:col>
      <xdr:colOff>519111</xdr:colOff>
      <xdr:row>26</xdr:row>
      <xdr:rowOff>15082</xdr:rowOff>
    </xdr:from>
    <xdr:to>
      <xdr:col>3</xdr:col>
      <xdr:colOff>571500</xdr:colOff>
      <xdr:row>35</xdr:row>
      <xdr:rowOff>166689</xdr:rowOff>
    </xdr:to>
    <xdr:sp macro="" textlink="">
      <xdr:nvSpPr>
        <xdr:cNvPr id="28" name="TextBox 27">
          <a:extLst>
            <a:ext uri="{FF2B5EF4-FFF2-40B4-BE49-F238E27FC236}">
              <a16:creationId xmlns:a16="http://schemas.microsoft.com/office/drawing/2014/main" id="{C2328175-6685-1180-5356-A661AC8C2D40}"/>
            </a:ext>
          </a:extLst>
        </xdr:cNvPr>
        <xdr:cNvSpPr txBox="1"/>
      </xdr:nvSpPr>
      <xdr:spPr>
        <a:xfrm>
          <a:off x="519111" y="4761707"/>
          <a:ext cx="1885952" cy="1794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cap="none" spc="0">
              <a:ln w="0">
                <a:noFill/>
              </a:ln>
              <a:solidFill>
                <a:schemeClr val="tx1"/>
              </a:solidFill>
              <a:effectLst>
                <a:outerShdw blurRad="38100" dist="19050" dir="2700000" algn="tl" rotWithShape="0">
                  <a:schemeClr val="dk1">
                    <a:alpha val="40000"/>
                  </a:schemeClr>
                </a:outerShdw>
              </a:effectLst>
            </a:rPr>
            <a:t>Total</a:t>
          </a:r>
          <a:r>
            <a:rPr lang="en-US" sz="2400" b="0" cap="none" spc="0" baseline="0">
              <a:ln w="0">
                <a:noFill/>
              </a:ln>
              <a:solidFill>
                <a:schemeClr val="tx1"/>
              </a:solidFill>
              <a:effectLst>
                <a:outerShdw blurRad="38100" dist="19050" dir="2700000" algn="tl" rotWithShape="0">
                  <a:schemeClr val="dk1">
                    <a:alpha val="40000"/>
                  </a:schemeClr>
                </a:outerShdw>
              </a:effectLst>
            </a:rPr>
            <a:t> Orders</a:t>
          </a:r>
        </a:p>
        <a:p>
          <a:r>
            <a:rPr lang="en-US" sz="2400" b="0" cap="none" spc="0" baseline="0">
              <a:ln w="0">
                <a:noFill/>
              </a:ln>
              <a:solidFill>
                <a:schemeClr val="tx1"/>
              </a:solidFill>
              <a:effectLst>
                <a:outerShdw blurRad="38100" dist="19050" dir="2700000" algn="tl" rotWithShape="0">
                  <a:schemeClr val="dk1">
                    <a:alpha val="40000"/>
                  </a:schemeClr>
                </a:outerShdw>
              </a:effectLst>
            </a:rPr>
            <a:t>Price</a:t>
          </a:r>
        </a:p>
        <a:p>
          <a:r>
            <a:rPr lang="en-US" sz="2400" b="0" cap="none" spc="0" baseline="0">
              <a:ln w="0">
                <a:noFill/>
              </a:ln>
              <a:solidFill>
                <a:schemeClr val="tx1"/>
              </a:solidFill>
              <a:effectLst>
                <a:outerShdw blurRad="38100" dist="19050" dir="2700000" algn="tl" rotWithShape="0">
                  <a:schemeClr val="dk1">
                    <a:alpha val="40000"/>
                  </a:schemeClr>
                </a:outerShdw>
              </a:effectLst>
            </a:rPr>
            <a:t>Total Amount</a:t>
          </a:r>
          <a:endParaRPr lang="en-US" sz="2400" b="0" cap="none" spc="0">
            <a:ln w="0">
              <a:noFill/>
            </a:ln>
            <a:solidFill>
              <a:schemeClr val="tx1"/>
            </a:solidFill>
            <a:effectLst>
              <a:outerShdw blurRad="38100" dist="19050" dir="2700000" algn="tl" rotWithShape="0">
                <a:schemeClr val="dk1">
                  <a:alpha val="40000"/>
                </a:schemeClr>
              </a:outerShdw>
            </a:effectLst>
          </a:endParaRPr>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6T14:10:25.935"/>
    </inkml:context>
    <inkml:brush xml:id="br0">
      <inkml:brushProperty name="width" value="0.035" units="cm"/>
      <inkml:brushProperty name="height" value="0.035" units="cm"/>
      <inkml:brushProperty name="color" value="#E71224"/>
    </inkml:brush>
  </inkml:definitions>
  <inkml:trace contextRef="#ctx0" brushRef="#br0">1 67 24575,'5'-5'0,"0"1"0,1 0 0,0 0 0,-1 0 0,2 1 0,-1 0 0,0 0 0,1 1 0,12-4 0,65-8 0,-79 13 0,170-11 0,204 10 0,-188 5 0,2031-2 66,-1141-1-1497,-1045 0-5395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6T14:38:02.910"/>
    </inkml:context>
    <inkml:brush xml:id="br0">
      <inkml:brushProperty name="width" value="0.035" units="cm"/>
      <inkml:brushProperty name="height" value="0.035" units="cm"/>
      <inkml:brushProperty name="color" value="#E71224"/>
    </inkml:brush>
  </inkml:definitions>
  <inkml:trace contextRef="#ctx0" brushRef="#br0">1 1 24575</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6T14:38:10.351"/>
    </inkml:context>
    <inkml:brush xml:id="br0">
      <inkml:brushProperty name="width" value="0.035" units="cm"/>
      <inkml:brushProperty name="height" value="0.035" units="cm"/>
      <inkml:brushProperty name="color" value="#E71224"/>
    </inkml:brush>
  </inkml:definitions>
  <inkml:trace contextRef="#ctx0" brushRef="#br0">6 67 24575,'-1'-1'0,"1"1"0,-1 0 0,1-1 0,0 1 0,-1 0 0,1-1 0,0 1 0,0-1 0,-1 1 0,1 0 0,0-1 0,0 1 0,0-1 0,-1 1 0,1-1 0,0 1 0,0-1 0,0 1 0,0 0 0,0-1 0,0 1 0,0-1 0,0 1 0,0-1 0,0 1 0,0-1 0,0 1 0,0-1 0,1 1 0,-1-1 0,0 1 0,0 0 0,0-1 0,1 0 0,17-11 0,25-1 0,22 2 0,120-4 0,70 16 0,-95 2 0,3321-3 0,-3263 12-1365,-182-8-5461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6T14:38:23.093"/>
    </inkml:context>
    <inkml:brush xml:id="br0">
      <inkml:brushProperty name="width" value="0.035" units="cm"/>
      <inkml:brushProperty name="height" value="0.035" units="cm"/>
      <inkml:brushProperty name="color" value="#E71224"/>
    </inkml:brush>
  </inkml:definitions>
  <inkml:trace contextRef="#ctx0" brushRef="#br0">1 67 24575,'0'-3'0,"0"1"0,1 0 0,0 0 0,-1 0 0,1 0 0,0 0 0,0 0 0,0 0 0,0 0 0,1 1 0,-1-1 0,0 0 0,1 1 0,-1-1 0,1 1 0,0-1 0,-1 1 0,1 0 0,0 0 0,0-1 0,0 1 0,0 1 0,0-1 0,0 0 0,0 0 0,3 0 0,9-3 0,-1 1 0,25-4 0,-36 7 0,94-9 0,160 7 0,-134 5 0,2498-2 39,-1450-2-1443,-1180 1-5422</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6T14:38:24.454"/>
    </inkml:context>
    <inkml:brush xml:id="br0">
      <inkml:brushProperty name="width" value="0.035" units="cm"/>
      <inkml:brushProperty name="height" value="0.035" units="cm"/>
      <inkml:brushProperty name="color" value="#E71224"/>
    </inkml:brush>
  </inkml:definitions>
  <inkml:trace contextRef="#ctx0" brushRef="#br0">1 24 24575,'14'-1'0,"1"-1"0,20-4 0,15-2 0,392 1 0,-267 9 0,-81-2 0,411 5 0,-1 28 0,-34-5 0,-308-30 0,270 3 0,-370 7-1365,-39-4-5461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6T14:48:55.323"/>
    </inkml:context>
    <inkml:brush xml:id="br0">
      <inkml:brushProperty name="width" value="0.035" units="cm"/>
      <inkml:brushProperty name="height" value="0.035" units="cm"/>
      <inkml:brushProperty name="color" value="#FFC114"/>
    </inkml:brush>
  </inkml:definitions>
  <inkml:trace contextRef="#ctx0" brushRef="#br0">5 1 24575,'-4'3'0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6T14:48:56.336"/>
    </inkml:context>
    <inkml:brush xml:id="br0">
      <inkml:brushProperty name="width" value="0.035" units="cm"/>
      <inkml:brushProperty name="height" value="0.035" units="cm"/>
      <inkml:brushProperty name="color" value="#FFC114"/>
    </inkml:brush>
  </inkml:definitions>
  <inkml:trace contextRef="#ctx0" brushRef="#br0">1 24 24575,'0'-1'0,"0"0"0,1 0 0,-1 0 0,1 1 0,-1-1 0,1 0 0,-1 1 0,1-1 0,-1 1 0,1-1 0,0 1 0,-1-1 0,1 1 0,0-1 0,0 1 0,-1-1 0,1 1 0,0 0 0,0-1 0,-1 1 0,1 0 0,0 0 0,0 0 0,0 0 0,1-1 0,27-2 0,-25 2 0,343-6 0,-217 9 0,2187-2-1365,-2288 0-5461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6T14:49:00.013"/>
    </inkml:context>
    <inkml:brush xml:id="br0">
      <inkml:brushProperty name="width" value="0.035" units="cm"/>
      <inkml:brushProperty name="height" value="0.035" units="cm"/>
      <inkml:brushProperty name="color" value="#FFC114"/>
    </inkml:brush>
  </inkml:definitions>
  <inkml:trace contextRef="#ctx0" brushRef="#br0">1 3 24575,'619'-2'0,"656"4"0,-920 19 0,24 1 0,761-22 96,-510-1-1557,-609 1-5365</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6T15:03:11.885"/>
    </inkml:context>
    <inkml:brush xml:id="br0">
      <inkml:brushProperty name="width" value="0.035" units="cm"/>
      <inkml:brushProperty name="height" value="0.035" units="cm"/>
      <inkml:brushProperty name="color" value="#E71224"/>
    </inkml:brush>
  </inkml:definitions>
  <inkml:trace contextRef="#ctx0" brushRef="#br0">1 1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6T15:03:16.990"/>
    </inkml:context>
    <inkml:brush xml:id="br0">
      <inkml:brushProperty name="width" value="0.035" units="cm"/>
      <inkml:brushProperty name="height" value="0.035" units="cm"/>
      <inkml:brushProperty name="color" value="#E71224"/>
    </inkml:brush>
  </inkml:definitions>
  <inkml:trace contextRef="#ctx0" brushRef="#br0">1 1 24575,'4120'0'0,"-3517"22"0,-11 0 0,-586-22-91,-1 0-51,0 0 1,-1 0-1,1 0 1,0 1-1,-1-1 1,1 1-1,0 0 0,6 3 1,2 5-6685</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6T15:03:17.971"/>
    </inkml:context>
    <inkml:brush xml:id="br0">
      <inkml:brushProperty name="width" value="0.035" units="cm"/>
      <inkml:brushProperty name="height" value="0.035" units="cm"/>
      <inkml:brushProperty name="color" value="#E71224"/>
    </inkml:brush>
  </inkml:definitions>
  <inkml:trace contextRef="#ctx0" brushRef="#br0">1 45 24575,'3'-3'0,"1"1"0,-1-1 0,1 1 0,0 0 0,0 1 0,0-1 0,1 1 0,-1 0 0,0 0 0,0 0 0,1 0 0,7 1 0,2-2 0,209-13 0,-16 11 0,79 1-371,1879 2-5410,-1004 3 8844,-1148-3-2990,22 1 1096,-34 1-1174,0-1-1,1 0 0,-1 0 1,0 0-1,1 1 0,-1-1 0,0 0 1,0 1-1,1-1 0,-1 1 1,0 0-1,0-1 0,0 1 1,0 0-1,0 0 0,0 0 1,0 0-1,0 0 0,1 1 1,0 7-6226</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JJ" refreshedDate="46118.723101967589" createdVersion="8" refreshedVersion="8" minRefreshableVersion="3" recordCount="2400" xr:uid="{C1211DC2-BDCE-4B26-80A3-1EE5EF6E0540}">
  <cacheSource type="worksheet">
    <worksheetSource name="orders"/>
  </cacheSource>
  <cacheFields count="15">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Order Date" numFmtId="14">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cacheField>
    <cacheField name="Ship Date" numFmtId="14">
      <sharedItems containsSemiMixedTypes="0" containsNonDate="0" containsDate="1" containsString="0" minDate="2025-01-02T00:00:00" maxDate="2025-04-11T00:00:00"/>
    </cacheField>
    <cacheField name="Customer Gender" numFmtId="0">
      <sharedItems count="4">
        <s v="Not specified"/>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s>
  <extLst>
    <ext xmlns:x14="http://schemas.microsoft.com/office/spreadsheetml/2009/9/main" uri="{725AE2AE-9491-48be-B2B4-4EB974FC3084}">
      <x14:pivotCacheDefinition pivotCacheId="17514308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d v="2025-01-06T00:00:00"/>
    <x v="0"/>
    <x v="0"/>
    <x v="0"/>
    <x v="0"/>
    <x v="0"/>
    <n v="5"/>
    <x v="0"/>
    <x v="0"/>
    <n v="1"/>
    <n v="10.9"/>
    <n v="10.9"/>
  </r>
  <r>
    <x v="1"/>
    <x v="1"/>
    <x v="0"/>
    <d v="2025-01-03T00:00:00"/>
    <x v="1"/>
    <x v="0"/>
    <x v="0"/>
    <x v="0"/>
    <x v="1"/>
    <n v="2"/>
    <x v="0"/>
    <x v="1"/>
    <n v="2"/>
    <n v="30.6"/>
    <n v="61.2"/>
  </r>
  <r>
    <x v="2"/>
    <x v="2"/>
    <x v="0"/>
    <d v="2025-01-04T00:00:00"/>
    <x v="2"/>
    <x v="0"/>
    <x v="1"/>
    <x v="0"/>
    <x v="2"/>
    <n v="3"/>
    <x v="0"/>
    <x v="2"/>
    <n v="3"/>
    <n v="109.4"/>
    <n v="328.20000000000005"/>
  </r>
  <r>
    <x v="3"/>
    <x v="3"/>
    <x v="0"/>
    <d v="2025-01-02T00:00:00"/>
    <x v="2"/>
    <x v="0"/>
    <x v="0"/>
    <x v="0"/>
    <x v="2"/>
    <n v="1"/>
    <x v="0"/>
    <x v="2"/>
    <n v="7"/>
    <n v="37.700000000000003"/>
    <n v="263.90000000000003"/>
  </r>
  <r>
    <x v="4"/>
    <x v="4"/>
    <x v="0"/>
    <d v="2025-01-04T00:00:00"/>
    <x v="2"/>
    <x v="0"/>
    <x v="2"/>
    <x v="0"/>
    <x v="3"/>
    <n v="3"/>
    <x v="0"/>
    <x v="2"/>
    <n v="3"/>
    <n v="56.7"/>
    <n v="170.10000000000002"/>
  </r>
  <r>
    <x v="5"/>
    <x v="1"/>
    <x v="0"/>
    <d v="2025-01-04T00:00:00"/>
    <x v="1"/>
    <x v="1"/>
    <x v="0"/>
    <x v="0"/>
    <x v="3"/>
    <n v="3"/>
    <x v="0"/>
    <x v="1"/>
    <n v="12"/>
    <n v="83.5"/>
    <n v="1002"/>
  </r>
  <r>
    <x v="6"/>
    <x v="5"/>
    <x v="0"/>
    <d v="2025-01-02T00:00:00"/>
    <x v="2"/>
    <x v="0"/>
    <x v="0"/>
    <x v="0"/>
    <x v="3"/>
    <n v="1"/>
    <x v="0"/>
    <x v="2"/>
    <n v="1"/>
    <n v="55.3"/>
    <n v="55.3"/>
  </r>
  <r>
    <x v="7"/>
    <x v="6"/>
    <x v="0"/>
    <d v="2025-01-02T00:00:00"/>
    <x v="1"/>
    <x v="2"/>
    <x v="2"/>
    <x v="0"/>
    <x v="3"/>
    <n v="1"/>
    <x v="0"/>
    <x v="1"/>
    <n v="2"/>
    <n v="40.299999999999997"/>
    <n v="80.599999999999994"/>
  </r>
  <r>
    <x v="8"/>
    <x v="7"/>
    <x v="0"/>
    <d v="2025-01-02T00:00:00"/>
    <x v="2"/>
    <x v="0"/>
    <x v="0"/>
    <x v="0"/>
    <x v="3"/>
    <n v="1"/>
    <x v="0"/>
    <x v="2"/>
    <n v="11"/>
    <n v="35.700000000000003"/>
    <n v="392.70000000000005"/>
  </r>
  <r>
    <x v="9"/>
    <x v="8"/>
    <x v="0"/>
    <d v="2025-01-04T00:00:00"/>
    <x v="1"/>
    <x v="0"/>
    <x v="1"/>
    <x v="0"/>
    <x v="3"/>
    <n v="3"/>
    <x v="0"/>
    <x v="1"/>
    <n v="7"/>
    <n v="22.4"/>
    <n v="156.79999999999998"/>
  </r>
  <r>
    <x v="10"/>
    <x v="9"/>
    <x v="0"/>
    <d v="2025-01-07T00:00:00"/>
    <x v="2"/>
    <x v="0"/>
    <x v="0"/>
    <x v="0"/>
    <x v="3"/>
    <n v="6"/>
    <x v="0"/>
    <x v="2"/>
    <n v="2"/>
    <n v="54.4"/>
    <n v="108.8"/>
  </r>
  <r>
    <x v="11"/>
    <x v="9"/>
    <x v="0"/>
    <d v="2025-01-03T00:00:00"/>
    <x v="2"/>
    <x v="2"/>
    <x v="1"/>
    <x v="0"/>
    <x v="3"/>
    <n v="2"/>
    <x v="0"/>
    <x v="2"/>
    <n v="2"/>
    <n v="49"/>
    <n v="98"/>
  </r>
  <r>
    <x v="12"/>
    <x v="5"/>
    <x v="0"/>
    <d v="2025-01-05T00:00:00"/>
    <x v="2"/>
    <x v="1"/>
    <x v="0"/>
    <x v="0"/>
    <x v="4"/>
    <n v="4"/>
    <x v="0"/>
    <x v="2"/>
    <n v="7"/>
    <n v="118.6"/>
    <n v="830.19999999999993"/>
  </r>
  <r>
    <x v="13"/>
    <x v="6"/>
    <x v="0"/>
    <d v="2025-01-08T00:00:00"/>
    <x v="1"/>
    <x v="3"/>
    <x v="0"/>
    <x v="0"/>
    <x v="5"/>
    <n v="7"/>
    <x v="0"/>
    <x v="1"/>
    <n v="27"/>
    <n v="88.4"/>
    <n v="2386.8000000000002"/>
  </r>
  <r>
    <x v="14"/>
    <x v="10"/>
    <x v="0"/>
    <d v="2025-01-04T00:00:00"/>
    <x v="1"/>
    <x v="0"/>
    <x v="0"/>
    <x v="0"/>
    <x v="6"/>
    <n v="3"/>
    <x v="0"/>
    <x v="1"/>
    <n v="1"/>
    <n v="66.7"/>
    <n v="66.7"/>
  </r>
  <r>
    <x v="15"/>
    <x v="9"/>
    <x v="0"/>
    <d v="2025-01-02T00:00:00"/>
    <x v="1"/>
    <x v="1"/>
    <x v="2"/>
    <x v="0"/>
    <x v="6"/>
    <n v="1"/>
    <x v="0"/>
    <x v="1"/>
    <n v="10"/>
    <n v="30.9"/>
    <n v="309"/>
  </r>
  <r>
    <x v="16"/>
    <x v="4"/>
    <x v="0"/>
    <d v="2025-01-02T00:00:00"/>
    <x v="2"/>
    <x v="0"/>
    <x v="1"/>
    <x v="0"/>
    <x v="6"/>
    <n v="1"/>
    <x v="0"/>
    <x v="2"/>
    <n v="3"/>
    <n v="31.1"/>
    <n v="93.300000000000011"/>
  </r>
  <r>
    <x v="17"/>
    <x v="7"/>
    <x v="0"/>
    <d v="2025-01-04T00:00:00"/>
    <x v="2"/>
    <x v="0"/>
    <x v="0"/>
    <x v="0"/>
    <x v="7"/>
    <n v="3"/>
    <x v="0"/>
    <x v="2"/>
    <n v="3"/>
    <n v="36.6"/>
    <n v="109.80000000000001"/>
  </r>
  <r>
    <x v="18"/>
    <x v="6"/>
    <x v="0"/>
    <d v="2025-01-04T00:00:00"/>
    <x v="2"/>
    <x v="2"/>
    <x v="3"/>
    <x v="0"/>
    <x v="7"/>
    <n v="3"/>
    <x v="0"/>
    <x v="2"/>
    <n v="8"/>
    <n v="51.1"/>
    <n v="408.8"/>
  </r>
  <r>
    <x v="19"/>
    <x v="9"/>
    <x v="0"/>
    <d v="2025-01-02T00:00:00"/>
    <x v="2"/>
    <x v="1"/>
    <x v="2"/>
    <x v="0"/>
    <x v="8"/>
    <n v="1"/>
    <x v="0"/>
    <x v="2"/>
    <n v="1"/>
    <n v="25.2"/>
    <n v="25.2"/>
  </r>
  <r>
    <x v="20"/>
    <x v="9"/>
    <x v="0"/>
    <d v="2025-01-04T00:00:00"/>
    <x v="2"/>
    <x v="2"/>
    <x v="0"/>
    <x v="0"/>
    <x v="8"/>
    <n v="3"/>
    <x v="0"/>
    <x v="2"/>
    <n v="5"/>
    <n v="43.8"/>
    <n v="219"/>
  </r>
  <r>
    <x v="21"/>
    <x v="8"/>
    <x v="0"/>
    <d v="2025-01-02T00:00:00"/>
    <x v="2"/>
    <x v="1"/>
    <x v="1"/>
    <x v="0"/>
    <x v="8"/>
    <n v="1"/>
    <x v="0"/>
    <x v="2"/>
    <n v="12"/>
    <n v="46.7"/>
    <n v="560.40000000000009"/>
  </r>
  <r>
    <x v="22"/>
    <x v="3"/>
    <x v="0"/>
    <d v="2025-01-02T00:00:00"/>
    <x v="1"/>
    <x v="0"/>
    <x v="2"/>
    <x v="0"/>
    <x v="8"/>
    <n v="1"/>
    <x v="0"/>
    <x v="1"/>
    <n v="19"/>
    <n v="79.900000000000006"/>
    <n v="1518.1000000000001"/>
  </r>
  <r>
    <x v="23"/>
    <x v="11"/>
    <x v="0"/>
    <d v="2025-01-02T00:00:00"/>
    <x v="2"/>
    <x v="3"/>
    <x v="0"/>
    <x v="0"/>
    <x v="8"/>
    <n v="1"/>
    <x v="0"/>
    <x v="2"/>
    <n v="8"/>
    <n v="26.4"/>
    <n v="211.2"/>
  </r>
  <r>
    <x v="24"/>
    <x v="12"/>
    <x v="0"/>
    <d v="2025-01-02T00:00:00"/>
    <x v="2"/>
    <x v="4"/>
    <x v="0"/>
    <x v="0"/>
    <x v="8"/>
    <n v="1"/>
    <x v="0"/>
    <x v="2"/>
    <n v="8"/>
    <n v="88.8"/>
    <n v="710.4"/>
  </r>
  <r>
    <x v="25"/>
    <x v="0"/>
    <x v="0"/>
    <d v="2025-01-02T00:00:00"/>
    <x v="2"/>
    <x v="2"/>
    <x v="0"/>
    <x v="0"/>
    <x v="9"/>
    <n v="1"/>
    <x v="0"/>
    <x v="2"/>
    <n v="10"/>
    <n v="17.5"/>
    <n v="175"/>
  </r>
  <r>
    <x v="26"/>
    <x v="1"/>
    <x v="0"/>
    <d v="2025-01-04T00:00:00"/>
    <x v="1"/>
    <x v="1"/>
    <x v="0"/>
    <x v="0"/>
    <x v="10"/>
    <n v="3"/>
    <x v="0"/>
    <x v="1"/>
    <n v="9"/>
    <n v="38.700000000000003"/>
    <n v="348.3"/>
  </r>
  <r>
    <x v="27"/>
    <x v="13"/>
    <x v="0"/>
    <d v="2025-01-03T00:00:00"/>
    <x v="0"/>
    <x v="1"/>
    <x v="2"/>
    <x v="0"/>
    <x v="11"/>
    <n v="2"/>
    <x v="0"/>
    <x v="0"/>
    <n v="4"/>
    <n v="57.2"/>
    <n v="228.8"/>
  </r>
  <r>
    <x v="28"/>
    <x v="6"/>
    <x v="0"/>
    <d v="2025-01-07T00:00:00"/>
    <x v="0"/>
    <x v="1"/>
    <x v="2"/>
    <x v="0"/>
    <x v="12"/>
    <n v="6"/>
    <x v="0"/>
    <x v="0"/>
    <n v="5"/>
    <n v="50.9"/>
    <n v="254.5"/>
  </r>
  <r>
    <x v="29"/>
    <x v="14"/>
    <x v="0"/>
    <d v="2025-01-05T00:00:00"/>
    <x v="2"/>
    <x v="1"/>
    <x v="0"/>
    <x v="0"/>
    <x v="13"/>
    <n v="4"/>
    <x v="0"/>
    <x v="2"/>
    <n v="7"/>
    <n v="41"/>
    <n v="287"/>
  </r>
  <r>
    <x v="30"/>
    <x v="8"/>
    <x v="0"/>
    <d v="2025-01-05T00:00:00"/>
    <x v="1"/>
    <x v="0"/>
    <x v="2"/>
    <x v="0"/>
    <x v="14"/>
    <n v="4"/>
    <x v="0"/>
    <x v="1"/>
    <n v="7"/>
    <n v="19.100000000000001"/>
    <n v="133.70000000000002"/>
  </r>
  <r>
    <x v="31"/>
    <x v="2"/>
    <x v="0"/>
    <d v="2025-01-04T00:00:00"/>
    <x v="1"/>
    <x v="0"/>
    <x v="0"/>
    <x v="0"/>
    <x v="15"/>
    <n v="3"/>
    <x v="0"/>
    <x v="1"/>
    <n v="5"/>
    <n v="166.1"/>
    <n v="830.5"/>
  </r>
  <r>
    <x v="32"/>
    <x v="4"/>
    <x v="0"/>
    <d v="2025-01-02T00:00:00"/>
    <x v="1"/>
    <x v="3"/>
    <x v="0"/>
    <x v="0"/>
    <x v="3"/>
    <n v="1"/>
    <x v="0"/>
    <x v="1"/>
    <n v="3"/>
    <n v="29.9"/>
    <n v="89.699999999999989"/>
  </r>
  <r>
    <x v="33"/>
    <x v="10"/>
    <x v="0"/>
    <d v="2025-01-03T00:00:00"/>
    <x v="3"/>
    <x v="2"/>
    <x v="2"/>
    <x v="0"/>
    <x v="3"/>
    <n v="2"/>
    <x v="0"/>
    <x v="3"/>
    <n v="6"/>
    <n v="21.7"/>
    <n v="130.19999999999999"/>
  </r>
  <r>
    <x v="34"/>
    <x v="11"/>
    <x v="0"/>
    <d v="2025-01-04T00:00:00"/>
    <x v="1"/>
    <x v="0"/>
    <x v="2"/>
    <x v="0"/>
    <x v="3"/>
    <n v="3"/>
    <x v="0"/>
    <x v="1"/>
    <n v="2"/>
    <n v="32"/>
    <n v="64"/>
  </r>
  <r>
    <x v="35"/>
    <x v="8"/>
    <x v="0"/>
    <d v="2025-01-02T00:00:00"/>
    <x v="1"/>
    <x v="4"/>
    <x v="2"/>
    <x v="0"/>
    <x v="3"/>
    <n v="1"/>
    <x v="0"/>
    <x v="1"/>
    <n v="2"/>
    <n v="15.8"/>
    <n v="31.6"/>
  </r>
  <r>
    <x v="36"/>
    <x v="2"/>
    <x v="0"/>
    <d v="2025-01-05T00:00:00"/>
    <x v="1"/>
    <x v="3"/>
    <x v="1"/>
    <x v="0"/>
    <x v="3"/>
    <n v="4"/>
    <x v="0"/>
    <x v="1"/>
    <n v="17"/>
    <n v="203.1"/>
    <n v="3452.7"/>
  </r>
  <r>
    <x v="37"/>
    <x v="7"/>
    <x v="0"/>
    <d v="2025-01-07T00:00:00"/>
    <x v="1"/>
    <x v="0"/>
    <x v="2"/>
    <x v="0"/>
    <x v="3"/>
    <n v="6"/>
    <x v="0"/>
    <x v="1"/>
    <n v="13"/>
    <n v="39"/>
    <n v="507"/>
  </r>
  <r>
    <x v="38"/>
    <x v="10"/>
    <x v="1"/>
    <d v="2025-01-03T00:00:00"/>
    <x v="1"/>
    <x v="2"/>
    <x v="0"/>
    <x v="0"/>
    <x v="3"/>
    <n v="1"/>
    <x v="0"/>
    <x v="1"/>
    <n v="1"/>
    <n v="26.5"/>
    <n v="26.5"/>
  </r>
  <r>
    <x v="39"/>
    <x v="5"/>
    <x v="1"/>
    <d v="2025-01-03T00:00:00"/>
    <x v="2"/>
    <x v="2"/>
    <x v="1"/>
    <x v="0"/>
    <x v="3"/>
    <n v="1"/>
    <x v="0"/>
    <x v="2"/>
    <n v="1"/>
    <n v="43.1"/>
    <n v="43.1"/>
  </r>
  <r>
    <x v="40"/>
    <x v="1"/>
    <x v="1"/>
    <d v="2025-01-03T00:00:00"/>
    <x v="2"/>
    <x v="4"/>
    <x v="2"/>
    <x v="0"/>
    <x v="3"/>
    <n v="1"/>
    <x v="0"/>
    <x v="2"/>
    <n v="3"/>
    <n v="139"/>
    <n v="417"/>
  </r>
  <r>
    <x v="41"/>
    <x v="12"/>
    <x v="1"/>
    <d v="2025-01-03T00:00:00"/>
    <x v="1"/>
    <x v="0"/>
    <x v="2"/>
    <x v="0"/>
    <x v="16"/>
    <n v="1"/>
    <x v="0"/>
    <x v="1"/>
    <n v="1"/>
    <n v="80.7"/>
    <n v="80.7"/>
  </r>
  <r>
    <x v="42"/>
    <x v="4"/>
    <x v="1"/>
    <d v="2025-01-04T00:00:00"/>
    <x v="1"/>
    <x v="1"/>
    <x v="1"/>
    <x v="0"/>
    <x v="6"/>
    <n v="2"/>
    <x v="0"/>
    <x v="1"/>
    <n v="2"/>
    <n v="54.5"/>
    <n v="109"/>
  </r>
  <r>
    <x v="43"/>
    <x v="6"/>
    <x v="1"/>
    <d v="2025-01-02T00:00:00"/>
    <x v="2"/>
    <x v="0"/>
    <x v="1"/>
    <x v="0"/>
    <x v="8"/>
    <n v="0"/>
    <x v="0"/>
    <x v="2"/>
    <n v="3"/>
    <n v="68.599999999999994"/>
    <n v="205.79999999999998"/>
  </r>
  <r>
    <x v="44"/>
    <x v="2"/>
    <x v="1"/>
    <d v="2025-01-03T00:00:00"/>
    <x v="2"/>
    <x v="2"/>
    <x v="2"/>
    <x v="0"/>
    <x v="8"/>
    <n v="1"/>
    <x v="0"/>
    <x v="2"/>
    <n v="4"/>
    <n v="135.9"/>
    <n v="543.6"/>
  </r>
  <r>
    <x v="45"/>
    <x v="2"/>
    <x v="1"/>
    <d v="2025-01-03T00:00:00"/>
    <x v="2"/>
    <x v="0"/>
    <x v="0"/>
    <x v="0"/>
    <x v="17"/>
    <n v="1"/>
    <x v="0"/>
    <x v="2"/>
    <n v="4"/>
    <n v="70.900000000000006"/>
    <n v="283.60000000000002"/>
  </r>
  <r>
    <x v="46"/>
    <x v="1"/>
    <x v="1"/>
    <d v="2025-01-03T00:00:00"/>
    <x v="1"/>
    <x v="1"/>
    <x v="1"/>
    <x v="0"/>
    <x v="9"/>
    <n v="1"/>
    <x v="0"/>
    <x v="1"/>
    <n v="5"/>
    <n v="63.7"/>
    <n v="318.5"/>
  </r>
  <r>
    <x v="47"/>
    <x v="13"/>
    <x v="1"/>
    <d v="2025-01-04T00:00:00"/>
    <x v="2"/>
    <x v="1"/>
    <x v="0"/>
    <x v="0"/>
    <x v="11"/>
    <n v="2"/>
    <x v="0"/>
    <x v="2"/>
    <n v="1"/>
    <n v="29.7"/>
    <n v="29.7"/>
  </r>
  <r>
    <x v="48"/>
    <x v="4"/>
    <x v="1"/>
    <d v="2025-01-11T00:00:00"/>
    <x v="2"/>
    <x v="1"/>
    <x v="2"/>
    <x v="0"/>
    <x v="11"/>
    <n v="9"/>
    <x v="0"/>
    <x v="2"/>
    <n v="3"/>
    <n v="26.8"/>
    <n v="80.400000000000006"/>
  </r>
  <r>
    <x v="49"/>
    <x v="14"/>
    <x v="1"/>
    <d v="2025-01-04T00:00:00"/>
    <x v="2"/>
    <x v="0"/>
    <x v="0"/>
    <x v="0"/>
    <x v="18"/>
    <n v="2"/>
    <x v="0"/>
    <x v="2"/>
    <n v="1"/>
    <n v="27"/>
    <n v="27"/>
  </r>
  <r>
    <x v="50"/>
    <x v="8"/>
    <x v="1"/>
    <d v="2025-01-03T00:00:00"/>
    <x v="1"/>
    <x v="1"/>
    <x v="2"/>
    <x v="0"/>
    <x v="19"/>
    <n v="1"/>
    <x v="0"/>
    <x v="1"/>
    <n v="1"/>
    <n v="41.4"/>
    <n v="41.4"/>
  </r>
  <r>
    <x v="51"/>
    <x v="8"/>
    <x v="1"/>
    <d v="2025-01-05T00:00:00"/>
    <x v="2"/>
    <x v="1"/>
    <x v="0"/>
    <x v="0"/>
    <x v="19"/>
    <n v="3"/>
    <x v="0"/>
    <x v="2"/>
    <n v="2"/>
    <n v="24.3"/>
    <n v="48.6"/>
  </r>
  <r>
    <x v="52"/>
    <x v="8"/>
    <x v="1"/>
    <d v="2025-01-04T00:00:00"/>
    <x v="1"/>
    <x v="0"/>
    <x v="2"/>
    <x v="0"/>
    <x v="20"/>
    <n v="2"/>
    <x v="0"/>
    <x v="1"/>
    <n v="3"/>
    <n v="41.7"/>
    <n v="125.10000000000001"/>
  </r>
  <r>
    <x v="53"/>
    <x v="0"/>
    <x v="1"/>
    <d v="2025-01-03T00:00:00"/>
    <x v="2"/>
    <x v="0"/>
    <x v="2"/>
    <x v="0"/>
    <x v="21"/>
    <n v="1"/>
    <x v="0"/>
    <x v="2"/>
    <n v="2"/>
    <n v="18"/>
    <n v="36"/>
  </r>
  <r>
    <x v="54"/>
    <x v="7"/>
    <x v="1"/>
    <d v="2025-01-05T00:00:00"/>
    <x v="1"/>
    <x v="2"/>
    <x v="2"/>
    <x v="0"/>
    <x v="3"/>
    <n v="3"/>
    <x v="0"/>
    <x v="1"/>
    <n v="3"/>
    <n v="91.3"/>
    <n v="273.89999999999998"/>
  </r>
  <r>
    <x v="55"/>
    <x v="8"/>
    <x v="1"/>
    <d v="2025-01-03T00:00:00"/>
    <x v="1"/>
    <x v="0"/>
    <x v="0"/>
    <x v="0"/>
    <x v="3"/>
    <n v="1"/>
    <x v="0"/>
    <x v="1"/>
    <n v="8"/>
    <n v="19.3"/>
    <n v="154.4"/>
  </r>
  <r>
    <x v="56"/>
    <x v="12"/>
    <x v="1"/>
    <d v="2025-01-03T00:00:00"/>
    <x v="2"/>
    <x v="0"/>
    <x v="0"/>
    <x v="0"/>
    <x v="3"/>
    <n v="1"/>
    <x v="0"/>
    <x v="2"/>
    <n v="13"/>
    <n v="63.2"/>
    <n v="821.6"/>
  </r>
  <r>
    <x v="57"/>
    <x v="10"/>
    <x v="2"/>
    <d v="2025-01-11T00:00:00"/>
    <x v="2"/>
    <x v="0"/>
    <x v="2"/>
    <x v="0"/>
    <x v="3"/>
    <n v="8"/>
    <x v="0"/>
    <x v="2"/>
    <n v="9"/>
    <n v="33.299999999999997"/>
    <n v="299.7"/>
  </r>
  <r>
    <x v="58"/>
    <x v="7"/>
    <x v="2"/>
    <d v="2025-01-04T00:00:00"/>
    <x v="1"/>
    <x v="0"/>
    <x v="2"/>
    <x v="0"/>
    <x v="3"/>
    <n v="1"/>
    <x v="0"/>
    <x v="1"/>
    <n v="2"/>
    <n v="64.2"/>
    <n v="128.4"/>
  </r>
  <r>
    <x v="59"/>
    <x v="9"/>
    <x v="2"/>
    <d v="2025-01-06T00:00:00"/>
    <x v="2"/>
    <x v="1"/>
    <x v="2"/>
    <x v="0"/>
    <x v="3"/>
    <n v="3"/>
    <x v="0"/>
    <x v="2"/>
    <n v="3"/>
    <n v="23.1"/>
    <n v="69.300000000000011"/>
  </r>
  <r>
    <x v="60"/>
    <x v="15"/>
    <x v="2"/>
    <d v="2025-01-05T00:00:00"/>
    <x v="2"/>
    <x v="3"/>
    <x v="1"/>
    <x v="0"/>
    <x v="3"/>
    <n v="2"/>
    <x v="0"/>
    <x v="2"/>
    <n v="2"/>
    <n v="71.099999999999994"/>
    <n v="142.19999999999999"/>
  </r>
  <r>
    <x v="61"/>
    <x v="0"/>
    <x v="2"/>
    <d v="2025-01-04T00:00:00"/>
    <x v="2"/>
    <x v="0"/>
    <x v="0"/>
    <x v="0"/>
    <x v="3"/>
    <n v="1"/>
    <x v="0"/>
    <x v="2"/>
    <n v="2"/>
    <n v="11.5"/>
    <n v="23"/>
  </r>
  <r>
    <x v="62"/>
    <x v="15"/>
    <x v="2"/>
    <d v="2025-01-08T00:00:00"/>
    <x v="2"/>
    <x v="0"/>
    <x v="0"/>
    <x v="0"/>
    <x v="3"/>
    <n v="5"/>
    <x v="0"/>
    <x v="2"/>
    <n v="19"/>
    <n v="69.2"/>
    <n v="1314.8"/>
  </r>
  <r>
    <x v="63"/>
    <x v="0"/>
    <x v="2"/>
    <d v="2025-01-04T00:00:00"/>
    <x v="1"/>
    <x v="2"/>
    <x v="4"/>
    <x v="0"/>
    <x v="3"/>
    <n v="1"/>
    <x v="0"/>
    <x v="1"/>
    <n v="1"/>
    <n v="26.8"/>
    <n v="26.8"/>
  </r>
  <r>
    <x v="64"/>
    <x v="16"/>
    <x v="2"/>
    <d v="2025-01-06T00:00:00"/>
    <x v="2"/>
    <x v="0"/>
    <x v="0"/>
    <x v="0"/>
    <x v="3"/>
    <n v="3"/>
    <x v="0"/>
    <x v="2"/>
    <n v="3"/>
    <n v="31.2"/>
    <n v="93.6"/>
  </r>
  <r>
    <x v="65"/>
    <x v="12"/>
    <x v="2"/>
    <d v="2025-01-04T00:00:00"/>
    <x v="2"/>
    <x v="4"/>
    <x v="0"/>
    <x v="0"/>
    <x v="3"/>
    <n v="1"/>
    <x v="0"/>
    <x v="2"/>
    <n v="2"/>
    <n v="113.2"/>
    <n v="226.4"/>
  </r>
  <r>
    <x v="66"/>
    <x v="10"/>
    <x v="2"/>
    <d v="2025-01-04T00:00:00"/>
    <x v="1"/>
    <x v="0"/>
    <x v="0"/>
    <x v="0"/>
    <x v="6"/>
    <n v="1"/>
    <x v="0"/>
    <x v="1"/>
    <n v="8"/>
    <n v="21"/>
    <n v="168"/>
  </r>
  <r>
    <x v="67"/>
    <x v="1"/>
    <x v="2"/>
    <d v="2025-01-04T00:00:00"/>
    <x v="2"/>
    <x v="2"/>
    <x v="2"/>
    <x v="0"/>
    <x v="6"/>
    <n v="1"/>
    <x v="0"/>
    <x v="2"/>
    <n v="2"/>
    <n v="89.1"/>
    <n v="178.2"/>
  </r>
  <r>
    <x v="68"/>
    <x v="1"/>
    <x v="2"/>
    <d v="2025-01-05T00:00:00"/>
    <x v="2"/>
    <x v="0"/>
    <x v="1"/>
    <x v="0"/>
    <x v="6"/>
    <n v="2"/>
    <x v="0"/>
    <x v="2"/>
    <n v="1"/>
    <n v="97.7"/>
    <n v="97.7"/>
  </r>
  <r>
    <x v="69"/>
    <x v="15"/>
    <x v="2"/>
    <d v="2025-01-05T00:00:00"/>
    <x v="1"/>
    <x v="3"/>
    <x v="0"/>
    <x v="0"/>
    <x v="6"/>
    <n v="2"/>
    <x v="0"/>
    <x v="1"/>
    <n v="4"/>
    <n v="97.7"/>
    <n v="390.8"/>
  </r>
  <r>
    <x v="70"/>
    <x v="17"/>
    <x v="2"/>
    <d v="2025-01-06T00:00:00"/>
    <x v="1"/>
    <x v="3"/>
    <x v="2"/>
    <x v="0"/>
    <x v="8"/>
    <n v="3"/>
    <x v="0"/>
    <x v="1"/>
    <n v="3"/>
    <n v="47.4"/>
    <n v="142.19999999999999"/>
  </r>
  <r>
    <x v="71"/>
    <x v="7"/>
    <x v="2"/>
    <d v="2025-01-06T00:00:00"/>
    <x v="2"/>
    <x v="0"/>
    <x v="2"/>
    <x v="0"/>
    <x v="8"/>
    <n v="3"/>
    <x v="0"/>
    <x v="2"/>
    <n v="1"/>
    <n v="89.6"/>
    <n v="89.6"/>
  </r>
  <r>
    <x v="72"/>
    <x v="10"/>
    <x v="2"/>
    <d v="2025-01-06T00:00:00"/>
    <x v="2"/>
    <x v="3"/>
    <x v="2"/>
    <x v="0"/>
    <x v="17"/>
    <n v="3"/>
    <x v="0"/>
    <x v="2"/>
    <n v="18"/>
    <n v="28.4"/>
    <n v="511.2"/>
  </r>
  <r>
    <x v="73"/>
    <x v="0"/>
    <x v="2"/>
    <d v="2025-01-04T00:00:00"/>
    <x v="2"/>
    <x v="0"/>
    <x v="2"/>
    <x v="0"/>
    <x v="9"/>
    <n v="1"/>
    <x v="0"/>
    <x v="2"/>
    <n v="2"/>
    <n v="17.899999999999999"/>
    <n v="35.799999999999997"/>
  </r>
  <r>
    <x v="74"/>
    <x v="9"/>
    <x v="2"/>
    <d v="2025-01-06T00:00:00"/>
    <x v="1"/>
    <x v="1"/>
    <x v="0"/>
    <x v="0"/>
    <x v="9"/>
    <n v="3"/>
    <x v="0"/>
    <x v="1"/>
    <n v="2"/>
    <n v="48.4"/>
    <n v="96.8"/>
  </r>
  <r>
    <x v="75"/>
    <x v="12"/>
    <x v="2"/>
    <d v="2025-01-04T00:00:00"/>
    <x v="3"/>
    <x v="1"/>
    <x v="1"/>
    <x v="0"/>
    <x v="11"/>
    <n v="1"/>
    <x v="0"/>
    <x v="3"/>
    <n v="4"/>
    <n v="44.4"/>
    <n v="177.6"/>
  </r>
  <r>
    <x v="76"/>
    <x v="2"/>
    <x v="2"/>
    <d v="2025-01-04T00:00:00"/>
    <x v="2"/>
    <x v="0"/>
    <x v="1"/>
    <x v="0"/>
    <x v="19"/>
    <n v="1"/>
    <x v="0"/>
    <x v="2"/>
    <n v="8"/>
    <n v="103.7"/>
    <n v="829.6"/>
  </r>
  <r>
    <x v="77"/>
    <x v="5"/>
    <x v="2"/>
    <d v="2025-01-05T00:00:00"/>
    <x v="1"/>
    <x v="3"/>
    <x v="0"/>
    <x v="0"/>
    <x v="19"/>
    <n v="2"/>
    <x v="0"/>
    <x v="1"/>
    <n v="4"/>
    <n v="58.6"/>
    <n v="234.4"/>
  </r>
  <r>
    <x v="78"/>
    <x v="9"/>
    <x v="2"/>
    <d v="2025-01-07T00:00:00"/>
    <x v="2"/>
    <x v="2"/>
    <x v="1"/>
    <x v="0"/>
    <x v="13"/>
    <n v="4"/>
    <x v="0"/>
    <x v="2"/>
    <n v="4"/>
    <n v="54.8"/>
    <n v="219.2"/>
  </r>
  <r>
    <x v="79"/>
    <x v="12"/>
    <x v="2"/>
    <d v="2025-01-09T00:00:00"/>
    <x v="2"/>
    <x v="4"/>
    <x v="1"/>
    <x v="0"/>
    <x v="21"/>
    <n v="6"/>
    <x v="0"/>
    <x v="2"/>
    <n v="3"/>
    <n v="78.8"/>
    <n v="236.39999999999998"/>
  </r>
  <r>
    <x v="80"/>
    <x v="18"/>
    <x v="2"/>
    <d v="2025-01-06T00:00:00"/>
    <x v="1"/>
    <x v="4"/>
    <x v="1"/>
    <x v="0"/>
    <x v="22"/>
    <n v="3"/>
    <x v="0"/>
    <x v="1"/>
    <n v="5"/>
    <n v="36.799999999999997"/>
    <n v="184"/>
  </r>
  <r>
    <x v="81"/>
    <x v="6"/>
    <x v="2"/>
    <d v="2025-01-05T00:00:00"/>
    <x v="2"/>
    <x v="3"/>
    <x v="0"/>
    <x v="0"/>
    <x v="3"/>
    <n v="2"/>
    <x v="0"/>
    <x v="2"/>
    <n v="6"/>
    <n v="50.6"/>
    <n v="303.60000000000002"/>
  </r>
  <r>
    <x v="82"/>
    <x v="15"/>
    <x v="2"/>
    <d v="2025-01-03T00:00:00"/>
    <x v="1"/>
    <x v="2"/>
    <x v="1"/>
    <x v="0"/>
    <x v="3"/>
    <n v="0"/>
    <x v="0"/>
    <x v="1"/>
    <n v="3"/>
    <n v="36.799999999999997"/>
    <n v="110.39999999999999"/>
  </r>
  <r>
    <x v="83"/>
    <x v="8"/>
    <x v="3"/>
    <d v="2025-01-10T00:00:00"/>
    <x v="2"/>
    <x v="3"/>
    <x v="0"/>
    <x v="0"/>
    <x v="3"/>
    <n v="6"/>
    <x v="0"/>
    <x v="2"/>
    <n v="9"/>
    <n v="41.8"/>
    <n v="376.2"/>
  </r>
  <r>
    <x v="84"/>
    <x v="18"/>
    <x v="3"/>
    <d v="2025-01-05T00:00:00"/>
    <x v="1"/>
    <x v="4"/>
    <x v="4"/>
    <x v="0"/>
    <x v="3"/>
    <n v="1"/>
    <x v="0"/>
    <x v="1"/>
    <n v="1"/>
    <n v="77.3"/>
    <n v="77.3"/>
  </r>
  <r>
    <x v="85"/>
    <x v="8"/>
    <x v="3"/>
    <d v="2025-01-10T00:00:00"/>
    <x v="1"/>
    <x v="1"/>
    <x v="2"/>
    <x v="0"/>
    <x v="3"/>
    <n v="6"/>
    <x v="0"/>
    <x v="1"/>
    <n v="4"/>
    <n v="19.8"/>
    <n v="79.2"/>
  </r>
  <r>
    <x v="86"/>
    <x v="13"/>
    <x v="3"/>
    <d v="2025-01-05T00:00:00"/>
    <x v="2"/>
    <x v="1"/>
    <x v="2"/>
    <x v="0"/>
    <x v="3"/>
    <n v="1"/>
    <x v="0"/>
    <x v="2"/>
    <n v="4"/>
    <n v="15.5"/>
    <n v="62"/>
  </r>
  <r>
    <x v="87"/>
    <x v="12"/>
    <x v="3"/>
    <d v="2025-01-08T00:00:00"/>
    <x v="1"/>
    <x v="0"/>
    <x v="2"/>
    <x v="0"/>
    <x v="3"/>
    <n v="4"/>
    <x v="0"/>
    <x v="1"/>
    <n v="1"/>
    <n v="46.8"/>
    <n v="46.8"/>
  </r>
  <r>
    <x v="88"/>
    <x v="9"/>
    <x v="3"/>
    <d v="2025-01-08T00:00:00"/>
    <x v="1"/>
    <x v="0"/>
    <x v="2"/>
    <x v="0"/>
    <x v="3"/>
    <n v="4"/>
    <x v="0"/>
    <x v="1"/>
    <n v="9"/>
    <n v="28.6"/>
    <n v="257.40000000000003"/>
  </r>
  <r>
    <x v="89"/>
    <x v="2"/>
    <x v="3"/>
    <d v="2025-01-07T00:00:00"/>
    <x v="2"/>
    <x v="1"/>
    <x v="0"/>
    <x v="0"/>
    <x v="3"/>
    <n v="3"/>
    <x v="0"/>
    <x v="2"/>
    <n v="1"/>
    <n v="97.7"/>
    <n v="97.7"/>
  </r>
  <r>
    <x v="90"/>
    <x v="9"/>
    <x v="3"/>
    <d v="2025-01-07T00:00:00"/>
    <x v="0"/>
    <x v="0"/>
    <x v="2"/>
    <x v="0"/>
    <x v="23"/>
    <n v="3"/>
    <x v="0"/>
    <x v="0"/>
    <n v="5"/>
    <n v="54.7"/>
    <n v="273.5"/>
  </r>
  <r>
    <x v="91"/>
    <x v="2"/>
    <x v="3"/>
    <d v="2025-01-06T00:00:00"/>
    <x v="2"/>
    <x v="0"/>
    <x v="1"/>
    <x v="0"/>
    <x v="23"/>
    <n v="2"/>
    <x v="0"/>
    <x v="2"/>
    <n v="6"/>
    <n v="130.5"/>
    <n v="783"/>
  </r>
  <r>
    <x v="92"/>
    <x v="11"/>
    <x v="3"/>
    <d v="2025-01-06T00:00:00"/>
    <x v="1"/>
    <x v="2"/>
    <x v="2"/>
    <x v="0"/>
    <x v="6"/>
    <n v="2"/>
    <x v="0"/>
    <x v="1"/>
    <n v="2"/>
    <n v="50.4"/>
    <n v="100.8"/>
  </r>
  <r>
    <x v="93"/>
    <x v="6"/>
    <x v="3"/>
    <d v="2025-01-05T00:00:00"/>
    <x v="0"/>
    <x v="3"/>
    <x v="1"/>
    <x v="0"/>
    <x v="11"/>
    <n v="1"/>
    <x v="0"/>
    <x v="0"/>
    <n v="13"/>
    <n v="61.5"/>
    <n v="799.5"/>
  </r>
  <r>
    <x v="94"/>
    <x v="9"/>
    <x v="3"/>
    <d v="2025-01-05T00:00:00"/>
    <x v="2"/>
    <x v="0"/>
    <x v="2"/>
    <x v="0"/>
    <x v="21"/>
    <n v="1"/>
    <x v="0"/>
    <x v="2"/>
    <n v="4"/>
    <n v="30.1"/>
    <n v="120.4"/>
  </r>
  <r>
    <x v="95"/>
    <x v="2"/>
    <x v="3"/>
    <d v="2025-01-05T00:00:00"/>
    <x v="2"/>
    <x v="1"/>
    <x v="0"/>
    <x v="0"/>
    <x v="1"/>
    <n v="1"/>
    <x v="0"/>
    <x v="2"/>
    <n v="5"/>
    <n v="74.8"/>
    <n v="374"/>
  </r>
  <r>
    <x v="96"/>
    <x v="16"/>
    <x v="3"/>
    <d v="2025-01-11T00:00:00"/>
    <x v="1"/>
    <x v="0"/>
    <x v="0"/>
    <x v="0"/>
    <x v="2"/>
    <n v="7"/>
    <x v="0"/>
    <x v="1"/>
    <n v="3"/>
    <n v="64.900000000000006"/>
    <n v="194.70000000000002"/>
  </r>
  <r>
    <x v="97"/>
    <x v="9"/>
    <x v="3"/>
    <d v="2025-01-06T00:00:00"/>
    <x v="1"/>
    <x v="1"/>
    <x v="0"/>
    <x v="0"/>
    <x v="22"/>
    <n v="2"/>
    <x v="0"/>
    <x v="1"/>
    <n v="2"/>
    <n v="50.5"/>
    <n v="101"/>
  </r>
  <r>
    <x v="98"/>
    <x v="11"/>
    <x v="3"/>
    <d v="2025-01-07T00:00:00"/>
    <x v="1"/>
    <x v="3"/>
    <x v="2"/>
    <x v="0"/>
    <x v="3"/>
    <n v="3"/>
    <x v="0"/>
    <x v="1"/>
    <n v="7"/>
    <n v="63"/>
    <n v="441"/>
  </r>
  <r>
    <x v="99"/>
    <x v="2"/>
    <x v="3"/>
    <d v="2025-01-17T00:00:00"/>
    <x v="2"/>
    <x v="0"/>
    <x v="2"/>
    <x v="0"/>
    <x v="3"/>
    <n v="13"/>
    <x v="0"/>
    <x v="2"/>
    <n v="3"/>
    <n v="93.6"/>
    <n v="280.79999999999995"/>
  </r>
  <r>
    <x v="100"/>
    <x v="5"/>
    <x v="3"/>
    <d v="2025-01-08T00:00:00"/>
    <x v="1"/>
    <x v="2"/>
    <x v="2"/>
    <x v="0"/>
    <x v="3"/>
    <n v="4"/>
    <x v="0"/>
    <x v="1"/>
    <n v="30"/>
    <n v="41.4"/>
    <n v="1242"/>
  </r>
  <r>
    <x v="101"/>
    <x v="2"/>
    <x v="4"/>
    <d v="2025-01-06T00:00:00"/>
    <x v="1"/>
    <x v="2"/>
    <x v="2"/>
    <x v="0"/>
    <x v="5"/>
    <n v="1"/>
    <x v="1"/>
    <x v="1"/>
    <n v="2"/>
    <n v="160"/>
    <n v="320"/>
  </r>
  <r>
    <x v="102"/>
    <x v="19"/>
    <x v="4"/>
    <d v="2025-01-08T00:00:00"/>
    <x v="2"/>
    <x v="4"/>
    <x v="0"/>
    <x v="0"/>
    <x v="8"/>
    <n v="3"/>
    <x v="1"/>
    <x v="2"/>
    <n v="11"/>
    <n v="10.5"/>
    <n v="115.5"/>
  </r>
  <r>
    <x v="103"/>
    <x v="10"/>
    <x v="4"/>
    <d v="2025-01-05T00:00:00"/>
    <x v="1"/>
    <x v="2"/>
    <x v="4"/>
    <x v="0"/>
    <x v="17"/>
    <n v="0"/>
    <x v="1"/>
    <x v="1"/>
    <n v="2"/>
    <n v="53"/>
    <n v="106"/>
  </r>
  <r>
    <x v="104"/>
    <x v="8"/>
    <x v="4"/>
    <d v="2025-01-10T00:00:00"/>
    <x v="2"/>
    <x v="1"/>
    <x v="2"/>
    <x v="0"/>
    <x v="11"/>
    <n v="5"/>
    <x v="1"/>
    <x v="2"/>
    <n v="3"/>
    <n v="18.5"/>
    <n v="55.5"/>
  </r>
  <r>
    <x v="105"/>
    <x v="16"/>
    <x v="4"/>
    <d v="2025-01-07T00:00:00"/>
    <x v="2"/>
    <x v="4"/>
    <x v="1"/>
    <x v="0"/>
    <x v="13"/>
    <n v="2"/>
    <x v="1"/>
    <x v="2"/>
    <n v="3"/>
    <n v="84.5"/>
    <n v="253.5"/>
  </r>
  <r>
    <x v="106"/>
    <x v="15"/>
    <x v="4"/>
    <d v="2025-01-05T00:00:00"/>
    <x v="2"/>
    <x v="2"/>
    <x v="2"/>
    <x v="0"/>
    <x v="3"/>
    <n v="0"/>
    <x v="1"/>
    <x v="2"/>
    <n v="7"/>
    <n v="31.2"/>
    <n v="218.4"/>
  </r>
  <r>
    <x v="107"/>
    <x v="8"/>
    <x v="4"/>
    <d v="2025-01-06T00:00:00"/>
    <x v="1"/>
    <x v="1"/>
    <x v="1"/>
    <x v="0"/>
    <x v="3"/>
    <n v="1"/>
    <x v="1"/>
    <x v="1"/>
    <n v="18"/>
    <n v="32.6"/>
    <n v="586.80000000000007"/>
  </r>
  <r>
    <x v="108"/>
    <x v="10"/>
    <x v="4"/>
    <d v="2025-01-07T00:00:00"/>
    <x v="1"/>
    <x v="1"/>
    <x v="0"/>
    <x v="0"/>
    <x v="3"/>
    <n v="2"/>
    <x v="1"/>
    <x v="1"/>
    <n v="4"/>
    <n v="45.4"/>
    <n v="181.6"/>
  </r>
  <r>
    <x v="109"/>
    <x v="2"/>
    <x v="4"/>
    <d v="2025-01-06T00:00:00"/>
    <x v="2"/>
    <x v="2"/>
    <x v="4"/>
    <x v="0"/>
    <x v="3"/>
    <n v="1"/>
    <x v="1"/>
    <x v="2"/>
    <n v="12"/>
    <n v="120"/>
    <n v="1440"/>
  </r>
  <r>
    <x v="110"/>
    <x v="0"/>
    <x v="4"/>
    <d v="2025-01-07T00:00:00"/>
    <x v="1"/>
    <x v="0"/>
    <x v="2"/>
    <x v="0"/>
    <x v="3"/>
    <n v="2"/>
    <x v="1"/>
    <x v="1"/>
    <n v="4"/>
    <n v="18.899999999999999"/>
    <n v="75.599999999999994"/>
  </r>
  <r>
    <x v="111"/>
    <x v="4"/>
    <x v="4"/>
    <d v="2025-01-07T00:00:00"/>
    <x v="2"/>
    <x v="4"/>
    <x v="0"/>
    <x v="0"/>
    <x v="3"/>
    <n v="2"/>
    <x v="1"/>
    <x v="2"/>
    <n v="1"/>
    <n v="32"/>
    <n v="32"/>
  </r>
  <r>
    <x v="112"/>
    <x v="7"/>
    <x v="4"/>
    <d v="2025-01-06T00:00:00"/>
    <x v="1"/>
    <x v="2"/>
    <x v="0"/>
    <x v="0"/>
    <x v="3"/>
    <n v="1"/>
    <x v="1"/>
    <x v="1"/>
    <n v="2"/>
    <n v="37.299999999999997"/>
    <n v="74.599999999999994"/>
  </r>
  <r>
    <x v="113"/>
    <x v="18"/>
    <x v="4"/>
    <d v="2025-01-06T00:00:00"/>
    <x v="1"/>
    <x v="1"/>
    <x v="1"/>
    <x v="0"/>
    <x v="3"/>
    <n v="1"/>
    <x v="1"/>
    <x v="1"/>
    <n v="1"/>
    <n v="119.8"/>
    <n v="119.8"/>
  </r>
  <r>
    <x v="114"/>
    <x v="10"/>
    <x v="4"/>
    <d v="2025-01-08T00:00:00"/>
    <x v="1"/>
    <x v="2"/>
    <x v="0"/>
    <x v="0"/>
    <x v="3"/>
    <n v="3"/>
    <x v="1"/>
    <x v="1"/>
    <n v="2"/>
    <n v="26.4"/>
    <n v="52.8"/>
  </r>
  <r>
    <x v="115"/>
    <x v="6"/>
    <x v="4"/>
    <d v="2025-01-06T00:00:00"/>
    <x v="2"/>
    <x v="1"/>
    <x v="1"/>
    <x v="0"/>
    <x v="3"/>
    <n v="1"/>
    <x v="1"/>
    <x v="2"/>
    <n v="6"/>
    <n v="76.5"/>
    <n v="459"/>
  </r>
  <r>
    <x v="116"/>
    <x v="4"/>
    <x v="4"/>
    <d v="2025-01-06T00:00:00"/>
    <x v="2"/>
    <x v="2"/>
    <x v="0"/>
    <x v="0"/>
    <x v="24"/>
    <n v="1"/>
    <x v="1"/>
    <x v="2"/>
    <n v="10"/>
    <n v="45.7"/>
    <n v="457"/>
  </r>
  <r>
    <x v="117"/>
    <x v="1"/>
    <x v="4"/>
    <d v="2025-01-07T00:00:00"/>
    <x v="2"/>
    <x v="2"/>
    <x v="0"/>
    <x v="0"/>
    <x v="25"/>
    <n v="2"/>
    <x v="1"/>
    <x v="2"/>
    <n v="12"/>
    <n v="92.6"/>
    <n v="1111.1999999999998"/>
  </r>
  <r>
    <x v="118"/>
    <x v="6"/>
    <x v="4"/>
    <d v="2025-01-06T00:00:00"/>
    <x v="1"/>
    <x v="1"/>
    <x v="0"/>
    <x v="0"/>
    <x v="23"/>
    <n v="1"/>
    <x v="1"/>
    <x v="1"/>
    <n v="6"/>
    <n v="60.1"/>
    <n v="360.6"/>
  </r>
  <r>
    <x v="119"/>
    <x v="1"/>
    <x v="4"/>
    <d v="2025-01-06T00:00:00"/>
    <x v="2"/>
    <x v="3"/>
    <x v="1"/>
    <x v="0"/>
    <x v="6"/>
    <n v="1"/>
    <x v="1"/>
    <x v="2"/>
    <n v="3"/>
    <n v="73"/>
    <n v="219"/>
  </r>
  <r>
    <x v="120"/>
    <x v="6"/>
    <x v="4"/>
    <d v="2025-01-09T00:00:00"/>
    <x v="0"/>
    <x v="2"/>
    <x v="2"/>
    <x v="0"/>
    <x v="6"/>
    <n v="4"/>
    <x v="1"/>
    <x v="0"/>
    <n v="3"/>
    <n v="44.3"/>
    <n v="132.89999999999998"/>
  </r>
  <r>
    <x v="121"/>
    <x v="6"/>
    <x v="4"/>
    <d v="2025-01-06T00:00:00"/>
    <x v="1"/>
    <x v="2"/>
    <x v="0"/>
    <x v="0"/>
    <x v="6"/>
    <n v="1"/>
    <x v="1"/>
    <x v="1"/>
    <n v="3"/>
    <n v="63.3"/>
    <n v="189.89999999999998"/>
  </r>
  <r>
    <x v="122"/>
    <x v="12"/>
    <x v="4"/>
    <d v="2025-01-06T00:00:00"/>
    <x v="2"/>
    <x v="1"/>
    <x v="0"/>
    <x v="0"/>
    <x v="6"/>
    <n v="1"/>
    <x v="1"/>
    <x v="2"/>
    <n v="1"/>
    <n v="66.8"/>
    <n v="66.8"/>
  </r>
  <r>
    <x v="123"/>
    <x v="2"/>
    <x v="4"/>
    <d v="2025-01-06T00:00:00"/>
    <x v="2"/>
    <x v="0"/>
    <x v="0"/>
    <x v="0"/>
    <x v="7"/>
    <n v="1"/>
    <x v="1"/>
    <x v="2"/>
    <n v="2"/>
    <n v="59.7"/>
    <n v="119.4"/>
  </r>
  <r>
    <x v="124"/>
    <x v="1"/>
    <x v="4"/>
    <d v="2025-01-07T00:00:00"/>
    <x v="1"/>
    <x v="0"/>
    <x v="4"/>
    <x v="0"/>
    <x v="7"/>
    <n v="2"/>
    <x v="1"/>
    <x v="1"/>
    <n v="6"/>
    <n v="92"/>
    <n v="552"/>
  </r>
  <r>
    <x v="125"/>
    <x v="7"/>
    <x v="4"/>
    <d v="2025-01-07T00:00:00"/>
    <x v="1"/>
    <x v="1"/>
    <x v="1"/>
    <x v="0"/>
    <x v="8"/>
    <n v="2"/>
    <x v="1"/>
    <x v="1"/>
    <n v="2"/>
    <n v="87.6"/>
    <n v="175.2"/>
  </r>
  <r>
    <x v="126"/>
    <x v="6"/>
    <x v="4"/>
    <d v="2025-01-06T00:00:00"/>
    <x v="2"/>
    <x v="1"/>
    <x v="1"/>
    <x v="0"/>
    <x v="8"/>
    <n v="1"/>
    <x v="1"/>
    <x v="2"/>
    <n v="3"/>
    <n v="84.5"/>
    <n v="253.5"/>
  </r>
  <r>
    <x v="127"/>
    <x v="1"/>
    <x v="5"/>
    <d v="2025-01-08T00:00:00"/>
    <x v="1"/>
    <x v="2"/>
    <x v="2"/>
    <x v="0"/>
    <x v="8"/>
    <n v="2"/>
    <x v="1"/>
    <x v="1"/>
    <n v="2"/>
    <n v="116.3"/>
    <n v="232.6"/>
  </r>
  <r>
    <x v="128"/>
    <x v="6"/>
    <x v="5"/>
    <d v="2025-01-10T00:00:00"/>
    <x v="1"/>
    <x v="0"/>
    <x v="0"/>
    <x v="0"/>
    <x v="8"/>
    <n v="4"/>
    <x v="1"/>
    <x v="1"/>
    <n v="5"/>
    <n v="52.7"/>
    <n v="263.5"/>
  </r>
  <r>
    <x v="129"/>
    <x v="16"/>
    <x v="5"/>
    <d v="2025-01-07T00:00:00"/>
    <x v="1"/>
    <x v="0"/>
    <x v="2"/>
    <x v="0"/>
    <x v="26"/>
    <n v="1"/>
    <x v="1"/>
    <x v="1"/>
    <n v="3"/>
    <n v="34.200000000000003"/>
    <n v="102.60000000000001"/>
  </r>
  <r>
    <x v="130"/>
    <x v="9"/>
    <x v="5"/>
    <d v="2025-01-15T00:00:00"/>
    <x v="3"/>
    <x v="2"/>
    <x v="2"/>
    <x v="0"/>
    <x v="9"/>
    <n v="9"/>
    <x v="1"/>
    <x v="3"/>
    <n v="1"/>
    <n v="23.3"/>
    <n v="23.3"/>
  </r>
  <r>
    <x v="131"/>
    <x v="0"/>
    <x v="5"/>
    <d v="2025-01-09T00:00:00"/>
    <x v="2"/>
    <x v="4"/>
    <x v="1"/>
    <x v="0"/>
    <x v="9"/>
    <n v="3"/>
    <x v="1"/>
    <x v="2"/>
    <n v="26"/>
    <n v="25.9"/>
    <n v="673.4"/>
  </r>
  <r>
    <x v="132"/>
    <x v="6"/>
    <x v="5"/>
    <d v="2025-01-07T00:00:00"/>
    <x v="1"/>
    <x v="1"/>
    <x v="2"/>
    <x v="0"/>
    <x v="9"/>
    <n v="1"/>
    <x v="1"/>
    <x v="1"/>
    <n v="29"/>
    <n v="54.9"/>
    <n v="1592.1"/>
  </r>
  <r>
    <x v="133"/>
    <x v="5"/>
    <x v="5"/>
    <d v="2025-01-11T00:00:00"/>
    <x v="3"/>
    <x v="1"/>
    <x v="0"/>
    <x v="0"/>
    <x v="18"/>
    <n v="5"/>
    <x v="1"/>
    <x v="3"/>
    <n v="3"/>
    <n v="75.8"/>
    <n v="227.39999999999998"/>
  </r>
  <r>
    <x v="134"/>
    <x v="1"/>
    <x v="5"/>
    <d v="2025-01-09T00:00:00"/>
    <x v="2"/>
    <x v="2"/>
    <x v="2"/>
    <x v="0"/>
    <x v="2"/>
    <n v="3"/>
    <x v="1"/>
    <x v="2"/>
    <n v="9"/>
    <n v="44.9"/>
    <n v="404.09999999999997"/>
  </r>
  <r>
    <x v="135"/>
    <x v="11"/>
    <x v="5"/>
    <d v="2025-01-08T00:00:00"/>
    <x v="2"/>
    <x v="3"/>
    <x v="0"/>
    <x v="0"/>
    <x v="27"/>
    <n v="2"/>
    <x v="1"/>
    <x v="2"/>
    <n v="2"/>
    <n v="48.8"/>
    <n v="97.6"/>
  </r>
  <r>
    <x v="136"/>
    <x v="15"/>
    <x v="5"/>
    <d v="2025-01-07T00:00:00"/>
    <x v="2"/>
    <x v="0"/>
    <x v="2"/>
    <x v="0"/>
    <x v="22"/>
    <n v="1"/>
    <x v="1"/>
    <x v="2"/>
    <n v="1"/>
    <n v="20.3"/>
    <n v="20.3"/>
  </r>
  <r>
    <x v="137"/>
    <x v="5"/>
    <x v="5"/>
    <d v="2025-01-09T00:00:00"/>
    <x v="2"/>
    <x v="0"/>
    <x v="1"/>
    <x v="0"/>
    <x v="3"/>
    <n v="3"/>
    <x v="1"/>
    <x v="2"/>
    <n v="7"/>
    <n v="36.4"/>
    <n v="254.79999999999998"/>
  </r>
  <r>
    <x v="138"/>
    <x v="0"/>
    <x v="5"/>
    <d v="2025-01-11T00:00:00"/>
    <x v="2"/>
    <x v="1"/>
    <x v="2"/>
    <x v="0"/>
    <x v="3"/>
    <n v="5"/>
    <x v="1"/>
    <x v="2"/>
    <n v="1"/>
    <n v="19"/>
    <n v="19"/>
  </r>
  <r>
    <x v="139"/>
    <x v="8"/>
    <x v="5"/>
    <d v="2025-01-06T00:00:00"/>
    <x v="1"/>
    <x v="0"/>
    <x v="0"/>
    <x v="0"/>
    <x v="3"/>
    <n v="0"/>
    <x v="1"/>
    <x v="1"/>
    <n v="1"/>
    <n v="17.8"/>
    <n v="17.8"/>
  </r>
  <r>
    <x v="140"/>
    <x v="2"/>
    <x v="5"/>
    <d v="2025-01-09T00:00:00"/>
    <x v="1"/>
    <x v="0"/>
    <x v="0"/>
    <x v="0"/>
    <x v="3"/>
    <n v="3"/>
    <x v="1"/>
    <x v="1"/>
    <n v="6"/>
    <n v="139.6"/>
    <n v="837.59999999999991"/>
  </r>
  <r>
    <x v="141"/>
    <x v="9"/>
    <x v="5"/>
    <d v="2025-01-06T00:00:00"/>
    <x v="0"/>
    <x v="0"/>
    <x v="0"/>
    <x v="0"/>
    <x v="3"/>
    <n v="0"/>
    <x v="1"/>
    <x v="0"/>
    <n v="1"/>
    <n v="31.7"/>
    <n v="31.7"/>
  </r>
  <r>
    <x v="142"/>
    <x v="8"/>
    <x v="5"/>
    <d v="2025-01-09T00:00:00"/>
    <x v="2"/>
    <x v="4"/>
    <x v="4"/>
    <x v="0"/>
    <x v="3"/>
    <n v="3"/>
    <x v="1"/>
    <x v="2"/>
    <n v="8"/>
    <n v="26.3"/>
    <n v="210.4"/>
  </r>
  <r>
    <x v="143"/>
    <x v="4"/>
    <x v="5"/>
    <d v="2025-01-07T00:00:00"/>
    <x v="0"/>
    <x v="0"/>
    <x v="0"/>
    <x v="0"/>
    <x v="3"/>
    <n v="1"/>
    <x v="1"/>
    <x v="0"/>
    <n v="2"/>
    <n v="47.8"/>
    <n v="95.6"/>
  </r>
  <r>
    <x v="144"/>
    <x v="9"/>
    <x v="5"/>
    <d v="2025-01-10T00:00:00"/>
    <x v="2"/>
    <x v="0"/>
    <x v="0"/>
    <x v="0"/>
    <x v="3"/>
    <n v="4"/>
    <x v="1"/>
    <x v="2"/>
    <n v="3"/>
    <n v="69.400000000000006"/>
    <n v="208.20000000000002"/>
  </r>
  <r>
    <x v="145"/>
    <x v="18"/>
    <x v="5"/>
    <d v="2025-01-07T00:00:00"/>
    <x v="1"/>
    <x v="4"/>
    <x v="4"/>
    <x v="0"/>
    <x v="3"/>
    <n v="1"/>
    <x v="1"/>
    <x v="1"/>
    <n v="12"/>
    <n v="25.8"/>
    <n v="309.60000000000002"/>
  </r>
  <r>
    <x v="146"/>
    <x v="0"/>
    <x v="5"/>
    <d v="2025-01-07T00:00:00"/>
    <x v="1"/>
    <x v="1"/>
    <x v="2"/>
    <x v="0"/>
    <x v="3"/>
    <n v="1"/>
    <x v="1"/>
    <x v="1"/>
    <n v="4"/>
    <n v="26.4"/>
    <n v="105.6"/>
  </r>
  <r>
    <x v="147"/>
    <x v="8"/>
    <x v="5"/>
    <d v="2025-01-07T00:00:00"/>
    <x v="1"/>
    <x v="2"/>
    <x v="0"/>
    <x v="0"/>
    <x v="3"/>
    <n v="1"/>
    <x v="1"/>
    <x v="1"/>
    <n v="4"/>
    <n v="15.7"/>
    <n v="62.8"/>
  </r>
  <r>
    <x v="148"/>
    <x v="8"/>
    <x v="5"/>
    <d v="2025-01-10T00:00:00"/>
    <x v="1"/>
    <x v="0"/>
    <x v="0"/>
    <x v="0"/>
    <x v="3"/>
    <n v="4"/>
    <x v="1"/>
    <x v="1"/>
    <n v="1"/>
    <n v="39.700000000000003"/>
    <n v="39.700000000000003"/>
  </r>
  <r>
    <x v="149"/>
    <x v="10"/>
    <x v="5"/>
    <d v="2025-01-08T00:00:00"/>
    <x v="2"/>
    <x v="2"/>
    <x v="1"/>
    <x v="0"/>
    <x v="3"/>
    <n v="2"/>
    <x v="1"/>
    <x v="2"/>
    <n v="4"/>
    <n v="31.1"/>
    <n v="124.4"/>
  </r>
  <r>
    <x v="150"/>
    <x v="13"/>
    <x v="5"/>
    <d v="2025-01-15T00:00:00"/>
    <x v="1"/>
    <x v="0"/>
    <x v="0"/>
    <x v="0"/>
    <x v="3"/>
    <n v="9"/>
    <x v="1"/>
    <x v="1"/>
    <n v="15"/>
    <n v="23.4"/>
    <n v="351"/>
  </r>
  <r>
    <x v="151"/>
    <x v="1"/>
    <x v="6"/>
    <d v="2025-01-08T00:00:00"/>
    <x v="1"/>
    <x v="2"/>
    <x v="0"/>
    <x v="0"/>
    <x v="25"/>
    <n v="1"/>
    <x v="1"/>
    <x v="1"/>
    <n v="4"/>
    <n v="57.1"/>
    <n v="228.4"/>
  </r>
  <r>
    <x v="152"/>
    <x v="2"/>
    <x v="6"/>
    <d v="2025-01-07T00:00:00"/>
    <x v="2"/>
    <x v="0"/>
    <x v="3"/>
    <x v="0"/>
    <x v="23"/>
    <n v="0"/>
    <x v="1"/>
    <x v="2"/>
    <n v="5"/>
    <n v="89.9"/>
    <n v="449.5"/>
  </r>
  <r>
    <x v="153"/>
    <x v="10"/>
    <x v="6"/>
    <d v="2025-01-09T00:00:00"/>
    <x v="2"/>
    <x v="1"/>
    <x v="2"/>
    <x v="0"/>
    <x v="6"/>
    <n v="2"/>
    <x v="1"/>
    <x v="2"/>
    <n v="7"/>
    <n v="48.1"/>
    <n v="336.7"/>
  </r>
  <r>
    <x v="154"/>
    <x v="8"/>
    <x v="6"/>
    <d v="2025-01-07T00:00:00"/>
    <x v="2"/>
    <x v="1"/>
    <x v="1"/>
    <x v="0"/>
    <x v="6"/>
    <n v="0"/>
    <x v="1"/>
    <x v="2"/>
    <n v="2"/>
    <n v="29.3"/>
    <n v="58.6"/>
  </r>
  <r>
    <x v="155"/>
    <x v="8"/>
    <x v="6"/>
    <d v="2025-01-08T00:00:00"/>
    <x v="2"/>
    <x v="0"/>
    <x v="4"/>
    <x v="0"/>
    <x v="6"/>
    <n v="1"/>
    <x v="1"/>
    <x v="2"/>
    <n v="4"/>
    <n v="28.8"/>
    <n v="115.2"/>
  </r>
  <r>
    <x v="156"/>
    <x v="10"/>
    <x v="6"/>
    <d v="2025-01-11T00:00:00"/>
    <x v="2"/>
    <x v="3"/>
    <x v="0"/>
    <x v="0"/>
    <x v="6"/>
    <n v="4"/>
    <x v="1"/>
    <x v="2"/>
    <n v="5"/>
    <n v="40.5"/>
    <n v="202.5"/>
  </r>
  <r>
    <x v="157"/>
    <x v="18"/>
    <x v="6"/>
    <d v="2025-01-08T00:00:00"/>
    <x v="2"/>
    <x v="4"/>
    <x v="0"/>
    <x v="0"/>
    <x v="7"/>
    <n v="1"/>
    <x v="1"/>
    <x v="2"/>
    <n v="14"/>
    <n v="65.099999999999994"/>
    <n v="911.39999999999986"/>
  </r>
  <r>
    <x v="158"/>
    <x v="8"/>
    <x v="6"/>
    <d v="2025-01-12T00:00:00"/>
    <x v="2"/>
    <x v="2"/>
    <x v="0"/>
    <x v="0"/>
    <x v="7"/>
    <n v="5"/>
    <x v="1"/>
    <x v="2"/>
    <n v="4"/>
    <n v="40.299999999999997"/>
    <n v="161.19999999999999"/>
  </r>
  <r>
    <x v="159"/>
    <x v="6"/>
    <x v="6"/>
    <d v="2025-01-08T00:00:00"/>
    <x v="1"/>
    <x v="2"/>
    <x v="2"/>
    <x v="0"/>
    <x v="8"/>
    <n v="1"/>
    <x v="1"/>
    <x v="1"/>
    <n v="5"/>
    <n v="51.8"/>
    <n v="259"/>
  </r>
  <r>
    <x v="160"/>
    <x v="6"/>
    <x v="6"/>
    <d v="2025-01-08T00:00:00"/>
    <x v="2"/>
    <x v="3"/>
    <x v="0"/>
    <x v="0"/>
    <x v="8"/>
    <n v="1"/>
    <x v="1"/>
    <x v="2"/>
    <n v="3"/>
    <n v="61.3"/>
    <n v="183.89999999999998"/>
  </r>
  <r>
    <x v="161"/>
    <x v="2"/>
    <x v="6"/>
    <d v="2025-01-08T00:00:00"/>
    <x v="1"/>
    <x v="0"/>
    <x v="0"/>
    <x v="0"/>
    <x v="8"/>
    <n v="1"/>
    <x v="1"/>
    <x v="1"/>
    <n v="4"/>
    <n v="122.5"/>
    <n v="490"/>
  </r>
  <r>
    <x v="162"/>
    <x v="0"/>
    <x v="6"/>
    <d v="2025-01-08T00:00:00"/>
    <x v="0"/>
    <x v="1"/>
    <x v="2"/>
    <x v="0"/>
    <x v="8"/>
    <n v="1"/>
    <x v="1"/>
    <x v="0"/>
    <n v="9"/>
    <n v="12.5"/>
    <n v="112.5"/>
  </r>
  <r>
    <x v="163"/>
    <x v="15"/>
    <x v="6"/>
    <d v="2025-01-08T00:00:00"/>
    <x v="2"/>
    <x v="0"/>
    <x v="0"/>
    <x v="0"/>
    <x v="9"/>
    <n v="1"/>
    <x v="1"/>
    <x v="2"/>
    <n v="8"/>
    <n v="37.5"/>
    <n v="300"/>
  </r>
  <r>
    <x v="164"/>
    <x v="6"/>
    <x v="6"/>
    <d v="2025-01-10T00:00:00"/>
    <x v="1"/>
    <x v="0"/>
    <x v="4"/>
    <x v="0"/>
    <x v="11"/>
    <n v="3"/>
    <x v="1"/>
    <x v="1"/>
    <n v="3"/>
    <n v="40"/>
    <n v="120"/>
  </r>
  <r>
    <x v="165"/>
    <x v="17"/>
    <x v="6"/>
    <d v="2025-01-12T00:00:00"/>
    <x v="2"/>
    <x v="2"/>
    <x v="1"/>
    <x v="0"/>
    <x v="11"/>
    <n v="5"/>
    <x v="1"/>
    <x v="2"/>
    <n v="8"/>
    <n v="38.5"/>
    <n v="308"/>
  </r>
  <r>
    <x v="166"/>
    <x v="2"/>
    <x v="6"/>
    <d v="2025-01-09T00:00:00"/>
    <x v="2"/>
    <x v="0"/>
    <x v="0"/>
    <x v="0"/>
    <x v="18"/>
    <n v="2"/>
    <x v="1"/>
    <x v="2"/>
    <n v="2"/>
    <n v="86.4"/>
    <n v="172.8"/>
  </r>
  <r>
    <x v="167"/>
    <x v="10"/>
    <x v="6"/>
    <d v="2025-01-11T00:00:00"/>
    <x v="2"/>
    <x v="1"/>
    <x v="0"/>
    <x v="0"/>
    <x v="18"/>
    <n v="4"/>
    <x v="1"/>
    <x v="2"/>
    <n v="1"/>
    <n v="50.7"/>
    <n v="50.7"/>
  </r>
  <r>
    <x v="168"/>
    <x v="10"/>
    <x v="6"/>
    <d v="2025-01-18T00:00:00"/>
    <x v="2"/>
    <x v="4"/>
    <x v="1"/>
    <x v="0"/>
    <x v="18"/>
    <n v="11"/>
    <x v="1"/>
    <x v="2"/>
    <n v="2"/>
    <n v="61"/>
    <n v="122"/>
  </r>
  <r>
    <x v="169"/>
    <x v="4"/>
    <x v="6"/>
    <d v="2025-01-10T00:00:00"/>
    <x v="2"/>
    <x v="1"/>
    <x v="0"/>
    <x v="0"/>
    <x v="28"/>
    <n v="3"/>
    <x v="1"/>
    <x v="2"/>
    <n v="2"/>
    <n v="19.899999999999999"/>
    <n v="39.799999999999997"/>
  </r>
  <r>
    <x v="170"/>
    <x v="5"/>
    <x v="6"/>
    <d v="2025-01-07T00:00:00"/>
    <x v="2"/>
    <x v="0"/>
    <x v="2"/>
    <x v="0"/>
    <x v="1"/>
    <n v="0"/>
    <x v="1"/>
    <x v="2"/>
    <n v="1"/>
    <n v="78.3"/>
    <n v="78.3"/>
  </r>
  <r>
    <x v="171"/>
    <x v="0"/>
    <x v="6"/>
    <d v="2025-01-09T00:00:00"/>
    <x v="1"/>
    <x v="0"/>
    <x v="2"/>
    <x v="0"/>
    <x v="2"/>
    <n v="2"/>
    <x v="1"/>
    <x v="1"/>
    <n v="19"/>
    <n v="10.4"/>
    <n v="197.6"/>
  </r>
  <r>
    <x v="172"/>
    <x v="10"/>
    <x v="6"/>
    <d v="2025-01-10T00:00:00"/>
    <x v="1"/>
    <x v="3"/>
    <x v="2"/>
    <x v="0"/>
    <x v="3"/>
    <n v="3"/>
    <x v="1"/>
    <x v="1"/>
    <n v="1"/>
    <n v="36.1"/>
    <n v="36.1"/>
  </r>
  <r>
    <x v="173"/>
    <x v="14"/>
    <x v="6"/>
    <d v="2025-01-09T00:00:00"/>
    <x v="2"/>
    <x v="1"/>
    <x v="2"/>
    <x v="0"/>
    <x v="3"/>
    <n v="2"/>
    <x v="1"/>
    <x v="2"/>
    <n v="2"/>
    <n v="17.3"/>
    <n v="34.6"/>
  </r>
  <r>
    <x v="174"/>
    <x v="10"/>
    <x v="6"/>
    <d v="2025-01-08T00:00:00"/>
    <x v="2"/>
    <x v="1"/>
    <x v="2"/>
    <x v="0"/>
    <x v="3"/>
    <n v="1"/>
    <x v="1"/>
    <x v="2"/>
    <n v="2"/>
    <n v="30.5"/>
    <n v="61"/>
  </r>
  <r>
    <x v="175"/>
    <x v="18"/>
    <x v="6"/>
    <d v="2025-01-07T00:00:00"/>
    <x v="2"/>
    <x v="2"/>
    <x v="0"/>
    <x v="0"/>
    <x v="3"/>
    <n v="0"/>
    <x v="1"/>
    <x v="2"/>
    <n v="62"/>
    <n v="70.099999999999994"/>
    <n v="4346.2"/>
  </r>
  <r>
    <x v="176"/>
    <x v="3"/>
    <x v="6"/>
    <d v="2025-01-07T00:00:00"/>
    <x v="2"/>
    <x v="2"/>
    <x v="1"/>
    <x v="0"/>
    <x v="3"/>
    <n v="0"/>
    <x v="1"/>
    <x v="2"/>
    <n v="1"/>
    <n v="76.099999999999994"/>
    <n v="76.099999999999994"/>
  </r>
  <r>
    <x v="177"/>
    <x v="15"/>
    <x v="6"/>
    <d v="2025-01-08T00:00:00"/>
    <x v="1"/>
    <x v="0"/>
    <x v="0"/>
    <x v="0"/>
    <x v="3"/>
    <n v="1"/>
    <x v="1"/>
    <x v="1"/>
    <n v="13"/>
    <n v="34.200000000000003"/>
    <n v="444.6"/>
  </r>
  <r>
    <x v="178"/>
    <x v="8"/>
    <x v="6"/>
    <d v="2025-01-12T00:00:00"/>
    <x v="2"/>
    <x v="4"/>
    <x v="0"/>
    <x v="0"/>
    <x v="3"/>
    <n v="5"/>
    <x v="1"/>
    <x v="2"/>
    <n v="5"/>
    <n v="30.3"/>
    <n v="151.5"/>
  </r>
  <r>
    <x v="179"/>
    <x v="6"/>
    <x v="6"/>
    <d v="2025-01-11T00:00:00"/>
    <x v="0"/>
    <x v="3"/>
    <x v="0"/>
    <x v="0"/>
    <x v="3"/>
    <n v="4"/>
    <x v="1"/>
    <x v="0"/>
    <n v="5"/>
    <n v="52.5"/>
    <n v="262.5"/>
  </r>
  <r>
    <x v="180"/>
    <x v="9"/>
    <x v="6"/>
    <d v="2025-01-08T00:00:00"/>
    <x v="2"/>
    <x v="2"/>
    <x v="0"/>
    <x v="0"/>
    <x v="3"/>
    <n v="1"/>
    <x v="1"/>
    <x v="2"/>
    <n v="11"/>
    <n v="28.7"/>
    <n v="315.7"/>
  </r>
  <r>
    <x v="181"/>
    <x v="7"/>
    <x v="6"/>
    <d v="2025-01-08T00:00:00"/>
    <x v="1"/>
    <x v="1"/>
    <x v="4"/>
    <x v="0"/>
    <x v="3"/>
    <n v="1"/>
    <x v="1"/>
    <x v="1"/>
    <n v="7"/>
    <n v="52"/>
    <n v="364"/>
  </r>
  <r>
    <x v="182"/>
    <x v="0"/>
    <x v="7"/>
    <d v="2025-01-12T00:00:00"/>
    <x v="2"/>
    <x v="2"/>
    <x v="1"/>
    <x v="0"/>
    <x v="3"/>
    <n v="4"/>
    <x v="1"/>
    <x v="2"/>
    <n v="1"/>
    <n v="13.3"/>
    <n v="13.3"/>
  </r>
  <r>
    <x v="183"/>
    <x v="0"/>
    <x v="7"/>
    <d v="2025-01-09T00:00:00"/>
    <x v="2"/>
    <x v="1"/>
    <x v="0"/>
    <x v="0"/>
    <x v="29"/>
    <n v="1"/>
    <x v="1"/>
    <x v="2"/>
    <n v="3"/>
    <n v="15.7"/>
    <n v="47.099999999999994"/>
  </r>
  <r>
    <x v="184"/>
    <x v="8"/>
    <x v="7"/>
    <d v="2025-01-09T00:00:00"/>
    <x v="1"/>
    <x v="0"/>
    <x v="2"/>
    <x v="0"/>
    <x v="23"/>
    <n v="1"/>
    <x v="1"/>
    <x v="1"/>
    <n v="2"/>
    <n v="25.6"/>
    <n v="51.2"/>
  </r>
  <r>
    <x v="185"/>
    <x v="8"/>
    <x v="7"/>
    <d v="2025-01-13T00:00:00"/>
    <x v="1"/>
    <x v="0"/>
    <x v="0"/>
    <x v="0"/>
    <x v="6"/>
    <n v="5"/>
    <x v="1"/>
    <x v="1"/>
    <n v="1"/>
    <n v="43.4"/>
    <n v="43.4"/>
  </r>
  <r>
    <x v="186"/>
    <x v="11"/>
    <x v="7"/>
    <d v="2025-01-08T00:00:00"/>
    <x v="2"/>
    <x v="0"/>
    <x v="0"/>
    <x v="0"/>
    <x v="8"/>
    <n v="0"/>
    <x v="1"/>
    <x v="2"/>
    <n v="9"/>
    <n v="33.4"/>
    <n v="300.59999999999997"/>
  </r>
  <r>
    <x v="187"/>
    <x v="8"/>
    <x v="7"/>
    <d v="2025-01-09T00:00:00"/>
    <x v="2"/>
    <x v="1"/>
    <x v="2"/>
    <x v="0"/>
    <x v="8"/>
    <n v="1"/>
    <x v="1"/>
    <x v="2"/>
    <n v="19"/>
    <n v="55"/>
    <n v="1045"/>
  </r>
  <r>
    <x v="188"/>
    <x v="8"/>
    <x v="7"/>
    <d v="2025-01-09T00:00:00"/>
    <x v="1"/>
    <x v="0"/>
    <x v="2"/>
    <x v="0"/>
    <x v="8"/>
    <n v="1"/>
    <x v="1"/>
    <x v="1"/>
    <n v="3"/>
    <n v="23.6"/>
    <n v="70.800000000000011"/>
  </r>
  <r>
    <x v="189"/>
    <x v="12"/>
    <x v="7"/>
    <d v="2025-01-10T00:00:00"/>
    <x v="2"/>
    <x v="2"/>
    <x v="2"/>
    <x v="0"/>
    <x v="17"/>
    <n v="2"/>
    <x v="1"/>
    <x v="2"/>
    <n v="9"/>
    <n v="104"/>
    <n v="936"/>
  </r>
  <r>
    <x v="190"/>
    <x v="6"/>
    <x v="7"/>
    <d v="2025-01-12T00:00:00"/>
    <x v="0"/>
    <x v="0"/>
    <x v="2"/>
    <x v="0"/>
    <x v="10"/>
    <n v="4"/>
    <x v="1"/>
    <x v="0"/>
    <n v="2"/>
    <n v="51.8"/>
    <n v="103.6"/>
  </r>
  <r>
    <x v="191"/>
    <x v="10"/>
    <x v="7"/>
    <d v="2025-01-10T00:00:00"/>
    <x v="0"/>
    <x v="2"/>
    <x v="2"/>
    <x v="0"/>
    <x v="11"/>
    <n v="2"/>
    <x v="1"/>
    <x v="0"/>
    <n v="5"/>
    <n v="34.5"/>
    <n v="172.5"/>
  </r>
  <r>
    <x v="192"/>
    <x v="6"/>
    <x v="7"/>
    <d v="2025-01-10T00:00:00"/>
    <x v="1"/>
    <x v="1"/>
    <x v="2"/>
    <x v="0"/>
    <x v="30"/>
    <n v="2"/>
    <x v="1"/>
    <x v="1"/>
    <n v="2"/>
    <n v="51.8"/>
    <n v="103.6"/>
  </r>
  <r>
    <x v="193"/>
    <x v="18"/>
    <x v="7"/>
    <d v="2025-01-09T00:00:00"/>
    <x v="2"/>
    <x v="0"/>
    <x v="2"/>
    <x v="0"/>
    <x v="18"/>
    <n v="1"/>
    <x v="1"/>
    <x v="2"/>
    <n v="43"/>
    <n v="131.5"/>
    <n v="5654.5"/>
  </r>
  <r>
    <x v="194"/>
    <x v="8"/>
    <x v="7"/>
    <d v="2025-01-08T00:00:00"/>
    <x v="2"/>
    <x v="0"/>
    <x v="0"/>
    <x v="0"/>
    <x v="19"/>
    <n v="0"/>
    <x v="1"/>
    <x v="2"/>
    <n v="7"/>
    <n v="47.8"/>
    <n v="334.59999999999997"/>
  </r>
  <r>
    <x v="195"/>
    <x v="0"/>
    <x v="7"/>
    <d v="2025-01-10T00:00:00"/>
    <x v="2"/>
    <x v="0"/>
    <x v="0"/>
    <x v="0"/>
    <x v="19"/>
    <n v="2"/>
    <x v="1"/>
    <x v="2"/>
    <n v="2"/>
    <n v="10.199999999999999"/>
    <n v="20.399999999999999"/>
  </r>
  <r>
    <x v="196"/>
    <x v="8"/>
    <x v="7"/>
    <d v="2025-01-08T00:00:00"/>
    <x v="2"/>
    <x v="1"/>
    <x v="2"/>
    <x v="0"/>
    <x v="19"/>
    <n v="0"/>
    <x v="1"/>
    <x v="2"/>
    <n v="8"/>
    <n v="41"/>
    <n v="328"/>
  </r>
  <r>
    <x v="197"/>
    <x v="10"/>
    <x v="7"/>
    <d v="2025-01-11T00:00:00"/>
    <x v="2"/>
    <x v="1"/>
    <x v="0"/>
    <x v="0"/>
    <x v="21"/>
    <n v="3"/>
    <x v="1"/>
    <x v="2"/>
    <n v="7"/>
    <n v="50.8"/>
    <n v="355.59999999999997"/>
  </r>
  <r>
    <x v="198"/>
    <x v="18"/>
    <x v="7"/>
    <d v="2025-01-09T00:00:00"/>
    <x v="1"/>
    <x v="2"/>
    <x v="2"/>
    <x v="0"/>
    <x v="1"/>
    <n v="1"/>
    <x v="1"/>
    <x v="1"/>
    <n v="3"/>
    <n v="39.6"/>
    <n v="118.80000000000001"/>
  </r>
  <r>
    <x v="199"/>
    <x v="5"/>
    <x v="7"/>
    <d v="2025-01-10T00:00:00"/>
    <x v="1"/>
    <x v="0"/>
    <x v="2"/>
    <x v="0"/>
    <x v="2"/>
    <n v="2"/>
    <x v="1"/>
    <x v="1"/>
    <n v="2"/>
    <n v="69.5"/>
    <n v="139"/>
  </r>
  <r>
    <x v="200"/>
    <x v="8"/>
    <x v="7"/>
    <d v="2025-01-11T00:00:00"/>
    <x v="1"/>
    <x v="1"/>
    <x v="0"/>
    <x v="0"/>
    <x v="3"/>
    <n v="3"/>
    <x v="1"/>
    <x v="1"/>
    <n v="8"/>
    <n v="32.6"/>
    <n v="260.8"/>
  </r>
  <r>
    <x v="201"/>
    <x v="7"/>
    <x v="7"/>
    <d v="2025-01-16T00:00:00"/>
    <x v="1"/>
    <x v="3"/>
    <x v="2"/>
    <x v="0"/>
    <x v="3"/>
    <n v="8"/>
    <x v="1"/>
    <x v="1"/>
    <n v="2"/>
    <n v="49.1"/>
    <n v="98.2"/>
  </r>
  <r>
    <x v="202"/>
    <x v="6"/>
    <x v="8"/>
    <d v="2025-01-10T00:00:00"/>
    <x v="2"/>
    <x v="2"/>
    <x v="0"/>
    <x v="0"/>
    <x v="3"/>
    <n v="1"/>
    <x v="1"/>
    <x v="2"/>
    <n v="2"/>
    <n v="49.4"/>
    <n v="98.8"/>
  </r>
  <r>
    <x v="203"/>
    <x v="7"/>
    <x v="8"/>
    <d v="2025-01-12T00:00:00"/>
    <x v="2"/>
    <x v="2"/>
    <x v="2"/>
    <x v="0"/>
    <x v="3"/>
    <n v="3"/>
    <x v="1"/>
    <x v="2"/>
    <n v="7"/>
    <n v="65.099999999999994"/>
    <n v="455.69999999999993"/>
  </r>
  <r>
    <x v="204"/>
    <x v="3"/>
    <x v="8"/>
    <d v="2025-01-13T00:00:00"/>
    <x v="2"/>
    <x v="2"/>
    <x v="0"/>
    <x v="0"/>
    <x v="3"/>
    <n v="4"/>
    <x v="1"/>
    <x v="2"/>
    <n v="2"/>
    <n v="52.1"/>
    <n v="104.2"/>
  </r>
  <r>
    <x v="205"/>
    <x v="2"/>
    <x v="8"/>
    <d v="2025-01-10T00:00:00"/>
    <x v="2"/>
    <x v="1"/>
    <x v="0"/>
    <x v="0"/>
    <x v="3"/>
    <n v="1"/>
    <x v="1"/>
    <x v="2"/>
    <n v="4"/>
    <n v="129.19999999999999"/>
    <n v="516.79999999999995"/>
  </r>
  <r>
    <x v="206"/>
    <x v="1"/>
    <x v="8"/>
    <d v="2025-01-09T00:00:00"/>
    <x v="2"/>
    <x v="1"/>
    <x v="1"/>
    <x v="0"/>
    <x v="3"/>
    <n v="0"/>
    <x v="1"/>
    <x v="2"/>
    <n v="19"/>
    <n v="81.8"/>
    <n v="1554.2"/>
  </r>
  <r>
    <x v="207"/>
    <x v="17"/>
    <x v="8"/>
    <d v="2025-01-13T00:00:00"/>
    <x v="2"/>
    <x v="1"/>
    <x v="0"/>
    <x v="0"/>
    <x v="3"/>
    <n v="4"/>
    <x v="1"/>
    <x v="2"/>
    <n v="1"/>
    <n v="24.9"/>
    <n v="24.9"/>
  </r>
  <r>
    <x v="208"/>
    <x v="0"/>
    <x v="8"/>
    <d v="2025-01-12T00:00:00"/>
    <x v="2"/>
    <x v="4"/>
    <x v="4"/>
    <x v="0"/>
    <x v="3"/>
    <n v="3"/>
    <x v="1"/>
    <x v="2"/>
    <n v="3"/>
    <n v="49.4"/>
    <n v="148.19999999999999"/>
  </r>
  <r>
    <x v="209"/>
    <x v="8"/>
    <x v="8"/>
    <d v="2025-01-10T00:00:00"/>
    <x v="1"/>
    <x v="3"/>
    <x v="2"/>
    <x v="0"/>
    <x v="3"/>
    <n v="1"/>
    <x v="1"/>
    <x v="1"/>
    <n v="2"/>
    <n v="22.7"/>
    <n v="45.4"/>
  </r>
  <r>
    <x v="210"/>
    <x v="1"/>
    <x v="8"/>
    <d v="2025-01-09T00:00:00"/>
    <x v="2"/>
    <x v="0"/>
    <x v="2"/>
    <x v="0"/>
    <x v="6"/>
    <n v="0"/>
    <x v="1"/>
    <x v="2"/>
    <n v="1"/>
    <n v="77.3"/>
    <n v="77.3"/>
  </r>
  <r>
    <x v="211"/>
    <x v="1"/>
    <x v="8"/>
    <d v="2025-01-12T00:00:00"/>
    <x v="2"/>
    <x v="0"/>
    <x v="0"/>
    <x v="0"/>
    <x v="6"/>
    <n v="3"/>
    <x v="1"/>
    <x v="2"/>
    <n v="5"/>
    <n v="109.1"/>
    <n v="545.5"/>
  </r>
  <r>
    <x v="212"/>
    <x v="2"/>
    <x v="8"/>
    <d v="2025-01-10T00:00:00"/>
    <x v="1"/>
    <x v="0"/>
    <x v="1"/>
    <x v="0"/>
    <x v="8"/>
    <n v="1"/>
    <x v="1"/>
    <x v="1"/>
    <n v="4"/>
    <n v="53.9"/>
    <n v="215.6"/>
  </r>
  <r>
    <x v="213"/>
    <x v="9"/>
    <x v="8"/>
    <d v="2025-01-09T00:00:00"/>
    <x v="2"/>
    <x v="0"/>
    <x v="0"/>
    <x v="0"/>
    <x v="9"/>
    <n v="0"/>
    <x v="1"/>
    <x v="2"/>
    <n v="26"/>
    <n v="21.2"/>
    <n v="551.19999999999993"/>
  </r>
  <r>
    <x v="214"/>
    <x v="16"/>
    <x v="8"/>
    <d v="2025-01-11T00:00:00"/>
    <x v="2"/>
    <x v="1"/>
    <x v="1"/>
    <x v="0"/>
    <x v="18"/>
    <n v="2"/>
    <x v="1"/>
    <x v="2"/>
    <n v="4"/>
    <n v="69"/>
    <n v="276"/>
  </r>
  <r>
    <x v="215"/>
    <x v="6"/>
    <x v="8"/>
    <d v="2025-01-11T00:00:00"/>
    <x v="2"/>
    <x v="0"/>
    <x v="2"/>
    <x v="0"/>
    <x v="31"/>
    <n v="2"/>
    <x v="1"/>
    <x v="2"/>
    <n v="3"/>
    <n v="46.2"/>
    <n v="138.60000000000002"/>
  </r>
  <r>
    <x v="216"/>
    <x v="1"/>
    <x v="8"/>
    <d v="2025-01-13T00:00:00"/>
    <x v="2"/>
    <x v="4"/>
    <x v="2"/>
    <x v="0"/>
    <x v="21"/>
    <n v="4"/>
    <x v="1"/>
    <x v="2"/>
    <n v="5"/>
    <n v="97.4"/>
    <n v="487"/>
  </r>
  <r>
    <x v="217"/>
    <x v="8"/>
    <x v="8"/>
    <d v="2025-01-10T00:00:00"/>
    <x v="1"/>
    <x v="0"/>
    <x v="1"/>
    <x v="0"/>
    <x v="21"/>
    <n v="1"/>
    <x v="1"/>
    <x v="1"/>
    <n v="5"/>
    <n v="21"/>
    <n v="105"/>
  </r>
  <r>
    <x v="218"/>
    <x v="5"/>
    <x v="9"/>
    <d v="2025-01-13T00:00:00"/>
    <x v="2"/>
    <x v="1"/>
    <x v="0"/>
    <x v="0"/>
    <x v="2"/>
    <n v="3"/>
    <x v="1"/>
    <x v="2"/>
    <n v="2"/>
    <n v="32.700000000000003"/>
    <n v="65.400000000000006"/>
  </r>
  <r>
    <x v="219"/>
    <x v="6"/>
    <x v="9"/>
    <d v="2025-01-11T00:00:00"/>
    <x v="1"/>
    <x v="3"/>
    <x v="0"/>
    <x v="0"/>
    <x v="3"/>
    <n v="1"/>
    <x v="1"/>
    <x v="1"/>
    <n v="4"/>
    <n v="48"/>
    <n v="192"/>
  </r>
  <r>
    <x v="220"/>
    <x v="6"/>
    <x v="9"/>
    <d v="2025-01-14T00:00:00"/>
    <x v="0"/>
    <x v="0"/>
    <x v="2"/>
    <x v="0"/>
    <x v="3"/>
    <n v="4"/>
    <x v="1"/>
    <x v="0"/>
    <n v="3"/>
    <n v="68.2"/>
    <n v="204.60000000000002"/>
  </r>
  <r>
    <x v="221"/>
    <x v="5"/>
    <x v="9"/>
    <d v="2025-01-12T00:00:00"/>
    <x v="1"/>
    <x v="1"/>
    <x v="0"/>
    <x v="0"/>
    <x v="3"/>
    <n v="2"/>
    <x v="1"/>
    <x v="1"/>
    <n v="1"/>
    <n v="45.4"/>
    <n v="45.4"/>
  </r>
  <r>
    <x v="222"/>
    <x v="12"/>
    <x v="9"/>
    <d v="2025-01-11T00:00:00"/>
    <x v="2"/>
    <x v="2"/>
    <x v="0"/>
    <x v="0"/>
    <x v="3"/>
    <n v="1"/>
    <x v="1"/>
    <x v="2"/>
    <n v="2"/>
    <n v="53.9"/>
    <n v="107.8"/>
  </r>
  <r>
    <x v="223"/>
    <x v="2"/>
    <x v="9"/>
    <d v="2025-01-14T00:00:00"/>
    <x v="2"/>
    <x v="0"/>
    <x v="0"/>
    <x v="0"/>
    <x v="4"/>
    <n v="4"/>
    <x v="1"/>
    <x v="2"/>
    <n v="4"/>
    <n v="62.1"/>
    <n v="248.4"/>
  </r>
  <r>
    <x v="224"/>
    <x v="13"/>
    <x v="9"/>
    <d v="2025-01-15T00:00:00"/>
    <x v="1"/>
    <x v="1"/>
    <x v="0"/>
    <x v="0"/>
    <x v="6"/>
    <n v="5"/>
    <x v="1"/>
    <x v="1"/>
    <n v="7"/>
    <n v="33.1"/>
    <n v="231.70000000000002"/>
  </r>
  <r>
    <x v="225"/>
    <x v="18"/>
    <x v="9"/>
    <d v="2025-01-10T00:00:00"/>
    <x v="2"/>
    <x v="1"/>
    <x v="0"/>
    <x v="0"/>
    <x v="6"/>
    <n v="0"/>
    <x v="1"/>
    <x v="2"/>
    <n v="5"/>
    <n v="35.200000000000003"/>
    <n v="176"/>
  </r>
  <r>
    <x v="226"/>
    <x v="9"/>
    <x v="9"/>
    <d v="2025-01-15T00:00:00"/>
    <x v="1"/>
    <x v="3"/>
    <x v="0"/>
    <x v="0"/>
    <x v="8"/>
    <n v="5"/>
    <x v="1"/>
    <x v="1"/>
    <n v="3"/>
    <n v="32.1"/>
    <n v="96.300000000000011"/>
  </r>
  <r>
    <x v="227"/>
    <x v="11"/>
    <x v="9"/>
    <d v="2025-01-15T00:00:00"/>
    <x v="2"/>
    <x v="0"/>
    <x v="2"/>
    <x v="0"/>
    <x v="8"/>
    <n v="5"/>
    <x v="1"/>
    <x v="2"/>
    <n v="1"/>
    <n v="38.1"/>
    <n v="38.1"/>
  </r>
  <r>
    <x v="228"/>
    <x v="8"/>
    <x v="9"/>
    <d v="2025-01-15T00:00:00"/>
    <x v="2"/>
    <x v="3"/>
    <x v="1"/>
    <x v="0"/>
    <x v="8"/>
    <n v="5"/>
    <x v="1"/>
    <x v="2"/>
    <n v="1"/>
    <n v="65.2"/>
    <n v="65.2"/>
  </r>
  <r>
    <x v="229"/>
    <x v="10"/>
    <x v="9"/>
    <d v="2025-01-11T00:00:00"/>
    <x v="1"/>
    <x v="2"/>
    <x v="0"/>
    <x v="0"/>
    <x v="11"/>
    <n v="1"/>
    <x v="1"/>
    <x v="1"/>
    <n v="7"/>
    <n v="55.2"/>
    <n v="386.40000000000003"/>
  </r>
  <r>
    <x v="230"/>
    <x v="6"/>
    <x v="9"/>
    <d v="2025-01-14T00:00:00"/>
    <x v="2"/>
    <x v="0"/>
    <x v="0"/>
    <x v="0"/>
    <x v="11"/>
    <n v="4"/>
    <x v="1"/>
    <x v="2"/>
    <n v="1"/>
    <n v="62"/>
    <n v="62"/>
  </r>
  <r>
    <x v="231"/>
    <x v="7"/>
    <x v="9"/>
    <d v="2025-01-11T00:00:00"/>
    <x v="2"/>
    <x v="2"/>
    <x v="0"/>
    <x v="0"/>
    <x v="32"/>
    <n v="1"/>
    <x v="1"/>
    <x v="2"/>
    <n v="3"/>
    <n v="45.9"/>
    <n v="137.69999999999999"/>
  </r>
  <r>
    <x v="232"/>
    <x v="18"/>
    <x v="9"/>
    <d v="2025-01-10T00:00:00"/>
    <x v="1"/>
    <x v="1"/>
    <x v="1"/>
    <x v="0"/>
    <x v="18"/>
    <n v="0"/>
    <x v="1"/>
    <x v="1"/>
    <n v="3"/>
    <n v="58.3"/>
    <n v="174.89999999999998"/>
  </r>
  <r>
    <x v="233"/>
    <x v="8"/>
    <x v="9"/>
    <d v="2025-01-13T00:00:00"/>
    <x v="2"/>
    <x v="0"/>
    <x v="2"/>
    <x v="0"/>
    <x v="20"/>
    <n v="3"/>
    <x v="1"/>
    <x v="2"/>
    <n v="2"/>
    <n v="22.3"/>
    <n v="44.6"/>
  </r>
  <r>
    <x v="234"/>
    <x v="19"/>
    <x v="9"/>
    <d v="2025-01-11T00:00:00"/>
    <x v="1"/>
    <x v="4"/>
    <x v="0"/>
    <x v="0"/>
    <x v="1"/>
    <n v="1"/>
    <x v="1"/>
    <x v="1"/>
    <n v="5"/>
    <n v="24"/>
    <n v="120"/>
  </r>
  <r>
    <x v="235"/>
    <x v="0"/>
    <x v="9"/>
    <d v="2025-01-10T00:00:00"/>
    <x v="2"/>
    <x v="1"/>
    <x v="2"/>
    <x v="0"/>
    <x v="22"/>
    <n v="0"/>
    <x v="1"/>
    <x v="2"/>
    <n v="10"/>
    <n v="21.3"/>
    <n v="213"/>
  </r>
  <r>
    <x v="236"/>
    <x v="6"/>
    <x v="9"/>
    <d v="2025-01-12T00:00:00"/>
    <x v="2"/>
    <x v="0"/>
    <x v="2"/>
    <x v="0"/>
    <x v="3"/>
    <n v="2"/>
    <x v="1"/>
    <x v="2"/>
    <n v="41"/>
    <n v="57.8"/>
    <n v="2369.7999999999997"/>
  </r>
  <r>
    <x v="237"/>
    <x v="10"/>
    <x v="9"/>
    <d v="2025-01-11T00:00:00"/>
    <x v="2"/>
    <x v="0"/>
    <x v="0"/>
    <x v="0"/>
    <x v="3"/>
    <n v="1"/>
    <x v="1"/>
    <x v="2"/>
    <n v="3"/>
    <n v="67.599999999999994"/>
    <n v="202.79999999999998"/>
  </r>
  <r>
    <x v="238"/>
    <x v="6"/>
    <x v="9"/>
    <d v="2025-01-14T00:00:00"/>
    <x v="1"/>
    <x v="4"/>
    <x v="1"/>
    <x v="0"/>
    <x v="3"/>
    <n v="4"/>
    <x v="1"/>
    <x v="1"/>
    <n v="6"/>
    <n v="66.7"/>
    <n v="400.20000000000005"/>
  </r>
  <r>
    <x v="239"/>
    <x v="1"/>
    <x v="9"/>
    <d v="2025-01-12T00:00:00"/>
    <x v="2"/>
    <x v="1"/>
    <x v="0"/>
    <x v="0"/>
    <x v="3"/>
    <n v="2"/>
    <x v="1"/>
    <x v="2"/>
    <n v="4"/>
    <n v="53.1"/>
    <n v="212.4"/>
  </r>
  <r>
    <x v="240"/>
    <x v="12"/>
    <x v="9"/>
    <d v="2025-01-13T00:00:00"/>
    <x v="2"/>
    <x v="0"/>
    <x v="2"/>
    <x v="0"/>
    <x v="29"/>
    <n v="3"/>
    <x v="1"/>
    <x v="2"/>
    <n v="3"/>
    <n v="57.4"/>
    <n v="172.2"/>
  </r>
  <r>
    <x v="241"/>
    <x v="2"/>
    <x v="9"/>
    <d v="2025-01-10T00:00:00"/>
    <x v="1"/>
    <x v="2"/>
    <x v="2"/>
    <x v="0"/>
    <x v="6"/>
    <n v="0"/>
    <x v="1"/>
    <x v="1"/>
    <n v="5"/>
    <n v="58.1"/>
    <n v="290.5"/>
  </r>
  <r>
    <x v="242"/>
    <x v="5"/>
    <x v="10"/>
    <d v="2025-01-13T00:00:00"/>
    <x v="1"/>
    <x v="3"/>
    <x v="0"/>
    <x v="0"/>
    <x v="6"/>
    <n v="2"/>
    <x v="1"/>
    <x v="1"/>
    <n v="3"/>
    <n v="31.8"/>
    <n v="95.4"/>
  </r>
  <r>
    <x v="243"/>
    <x v="4"/>
    <x v="10"/>
    <d v="2025-01-14T00:00:00"/>
    <x v="1"/>
    <x v="0"/>
    <x v="1"/>
    <x v="0"/>
    <x v="8"/>
    <n v="3"/>
    <x v="1"/>
    <x v="1"/>
    <n v="3"/>
    <n v="31.5"/>
    <n v="94.5"/>
  </r>
  <r>
    <x v="244"/>
    <x v="6"/>
    <x v="10"/>
    <d v="2025-01-15T00:00:00"/>
    <x v="2"/>
    <x v="1"/>
    <x v="2"/>
    <x v="0"/>
    <x v="8"/>
    <n v="4"/>
    <x v="1"/>
    <x v="2"/>
    <n v="7"/>
    <n v="55.9"/>
    <n v="391.3"/>
  </r>
  <r>
    <x v="245"/>
    <x v="8"/>
    <x v="10"/>
    <d v="2025-01-12T00:00:00"/>
    <x v="1"/>
    <x v="1"/>
    <x v="1"/>
    <x v="0"/>
    <x v="9"/>
    <n v="1"/>
    <x v="1"/>
    <x v="1"/>
    <n v="2"/>
    <n v="36.4"/>
    <n v="72.8"/>
  </r>
  <r>
    <x v="246"/>
    <x v="1"/>
    <x v="10"/>
    <d v="2025-01-14T00:00:00"/>
    <x v="1"/>
    <x v="2"/>
    <x v="0"/>
    <x v="0"/>
    <x v="10"/>
    <n v="3"/>
    <x v="1"/>
    <x v="1"/>
    <n v="5"/>
    <n v="47.3"/>
    <n v="236.5"/>
  </r>
  <r>
    <x v="247"/>
    <x v="6"/>
    <x v="10"/>
    <d v="2025-01-12T00:00:00"/>
    <x v="1"/>
    <x v="0"/>
    <x v="0"/>
    <x v="0"/>
    <x v="11"/>
    <n v="1"/>
    <x v="1"/>
    <x v="1"/>
    <n v="3"/>
    <n v="82.5"/>
    <n v="247.5"/>
  </r>
  <r>
    <x v="248"/>
    <x v="0"/>
    <x v="10"/>
    <d v="2025-01-12T00:00:00"/>
    <x v="2"/>
    <x v="0"/>
    <x v="0"/>
    <x v="0"/>
    <x v="21"/>
    <n v="1"/>
    <x v="1"/>
    <x v="2"/>
    <n v="1"/>
    <n v="14.3"/>
    <n v="14.3"/>
  </r>
  <r>
    <x v="249"/>
    <x v="2"/>
    <x v="10"/>
    <d v="2025-01-25T00:00:00"/>
    <x v="2"/>
    <x v="0"/>
    <x v="0"/>
    <x v="0"/>
    <x v="21"/>
    <n v="14"/>
    <x v="1"/>
    <x v="2"/>
    <n v="6"/>
    <n v="57.6"/>
    <n v="345.6"/>
  </r>
  <r>
    <x v="250"/>
    <x v="2"/>
    <x v="10"/>
    <d v="2025-01-13T00:00:00"/>
    <x v="1"/>
    <x v="4"/>
    <x v="1"/>
    <x v="0"/>
    <x v="21"/>
    <n v="2"/>
    <x v="1"/>
    <x v="1"/>
    <n v="3"/>
    <n v="142.4"/>
    <n v="427.20000000000005"/>
  </r>
  <r>
    <x v="251"/>
    <x v="12"/>
    <x v="10"/>
    <d v="2025-01-15T00:00:00"/>
    <x v="1"/>
    <x v="1"/>
    <x v="2"/>
    <x v="0"/>
    <x v="2"/>
    <n v="4"/>
    <x v="1"/>
    <x v="1"/>
    <n v="1"/>
    <n v="30.2"/>
    <n v="30.2"/>
  </r>
  <r>
    <x v="252"/>
    <x v="18"/>
    <x v="10"/>
    <d v="2025-01-12T00:00:00"/>
    <x v="3"/>
    <x v="1"/>
    <x v="0"/>
    <x v="0"/>
    <x v="33"/>
    <n v="1"/>
    <x v="1"/>
    <x v="3"/>
    <n v="3"/>
    <n v="65.3"/>
    <n v="195.89999999999998"/>
  </r>
  <r>
    <x v="253"/>
    <x v="0"/>
    <x v="10"/>
    <d v="2025-01-12T00:00:00"/>
    <x v="1"/>
    <x v="1"/>
    <x v="1"/>
    <x v="0"/>
    <x v="22"/>
    <n v="1"/>
    <x v="1"/>
    <x v="1"/>
    <n v="2"/>
    <n v="33.4"/>
    <n v="66.8"/>
  </r>
  <r>
    <x v="254"/>
    <x v="7"/>
    <x v="10"/>
    <d v="2025-01-19T00:00:00"/>
    <x v="1"/>
    <x v="0"/>
    <x v="0"/>
    <x v="0"/>
    <x v="34"/>
    <n v="8"/>
    <x v="1"/>
    <x v="1"/>
    <n v="2"/>
    <n v="45.1"/>
    <n v="90.2"/>
  </r>
  <r>
    <x v="255"/>
    <x v="2"/>
    <x v="10"/>
    <d v="2025-01-13T00:00:00"/>
    <x v="2"/>
    <x v="4"/>
    <x v="0"/>
    <x v="0"/>
    <x v="3"/>
    <n v="2"/>
    <x v="1"/>
    <x v="2"/>
    <n v="7"/>
    <n v="61.7"/>
    <n v="431.90000000000003"/>
  </r>
  <r>
    <x v="256"/>
    <x v="9"/>
    <x v="11"/>
    <d v="2025-01-13T00:00:00"/>
    <x v="1"/>
    <x v="4"/>
    <x v="1"/>
    <x v="0"/>
    <x v="3"/>
    <n v="1"/>
    <x v="2"/>
    <x v="1"/>
    <n v="3"/>
    <n v="45.1"/>
    <n v="135.30000000000001"/>
  </r>
  <r>
    <x v="257"/>
    <x v="15"/>
    <x v="11"/>
    <d v="2025-01-17T00:00:00"/>
    <x v="1"/>
    <x v="0"/>
    <x v="2"/>
    <x v="0"/>
    <x v="35"/>
    <n v="5"/>
    <x v="2"/>
    <x v="1"/>
    <n v="5"/>
    <n v="22.7"/>
    <n v="113.5"/>
  </r>
  <r>
    <x v="258"/>
    <x v="8"/>
    <x v="11"/>
    <d v="2025-01-13T00:00:00"/>
    <x v="2"/>
    <x v="0"/>
    <x v="2"/>
    <x v="0"/>
    <x v="23"/>
    <n v="1"/>
    <x v="2"/>
    <x v="2"/>
    <n v="1"/>
    <n v="17.600000000000001"/>
    <n v="17.600000000000001"/>
  </r>
  <r>
    <x v="259"/>
    <x v="14"/>
    <x v="11"/>
    <d v="2025-01-15T00:00:00"/>
    <x v="2"/>
    <x v="3"/>
    <x v="2"/>
    <x v="0"/>
    <x v="23"/>
    <n v="3"/>
    <x v="2"/>
    <x v="2"/>
    <n v="2"/>
    <n v="11.3"/>
    <n v="22.6"/>
  </r>
  <r>
    <x v="260"/>
    <x v="6"/>
    <x v="11"/>
    <d v="2025-01-15T00:00:00"/>
    <x v="1"/>
    <x v="3"/>
    <x v="2"/>
    <x v="0"/>
    <x v="36"/>
    <n v="3"/>
    <x v="2"/>
    <x v="1"/>
    <n v="3"/>
    <n v="53.4"/>
    <n v="160.19999999999999"/>
  </r>
  <r>
    <x v="261"/>
    <x v="6"/>
    <x v="11"/>
    <d v="2025-01-14T00:00:00"/>
    <x v="2"/>
    <x v="2"/>
    <x v="2"/>
    <x v="0"/>
    <x v="8"/>
    <n v="2"/>
    <x v="2"/>
    <x v="2"/>
    <n v="11"/>
    <n v="51.1"/>
    <n v="562.1"/>
  </r>
  <r>
    <x v="262"/>
    <x v="8"/>
    <x v="11"/>
    <d v="2025-01-13T00:00:00"/>
    <x v="1"/>
    <x v="4"/>
    <x v="1"/>
    <x v="0"/>
    <x v="8"/>
    <n v="1"/>
    <x v="2"/>
    <x v="1"/>
    <n v="2"/>
    <n v="27.5"/>
    <n v="55"/>
  </r>
  <r>
    <x v="263"/>
    <x v="9"/>
    <x v="11"/>
    <d v="2025-01-14T00:00:00"/>
    <x v="2"/>
    <x v="0"/>
    <x v="4"/>
    <x v="0"/>
    <x v="8"/>
    <n v="2"/>
    <x v="2"/>
    <x v="2"/>
    <n v="1"/>
    <n v="33.5"/>
    <n v="33.5"/>
  </r>
  <r>
    <x v="264"/>
    <x v="4"/>
    <x v="11"/>
    <d v="2025-01-12T00:00:00"/>
    <x v="1"/>
    <x v="0"/>
    <x v="2"/>
    <x v="0"/>
    <x v="18"/>
    <n v="0"/>
    <x v="2"/>
    <x v="1"/>
    <n v="1"/>
    <n v="59.5"/>
    <n v="59.5"/>
  </r>
  <r>
    <x v="265"/>
    <x v="17"/>
    <x v="11"/>
    <d v="2025-01-13T00:00:00"/>
    <x v="2"/>
    <x v="3"/>
    <x v="3"/>
    <x v="0"/>
    <x v="19"/>
    <n v="1"/>
    <x v="2"/>
    <x v="2"/>
    <n v="4"/>
    <n v="23.5"/>
    <n v="94"/>
  </r>
  <r>
    <x v="266"/>
    <x v="6"/>
    <x v="11"/>
    <d v="2025-01-13T00:00:00"/>
    <x v="0"/>
    <x v="1"/>
    <x v="2"/>
    <x v="0"/>
    <x v="20"/>
    <n v="1"/>
    <x v="2"/>
    <x v="0"/>
    <n v="1"/>
    <n v="49.7"/>
    <n v="49.7"/>
  </r>
  <r>
    <x v="267"/>
    <x v="6"/>
    <x v="11"/>
    <d v="2025-01-15T00:00:00"/>
    <x v="2"/>
    <x v="0"/>
    <x v="2"/>
    <x v="0"/>
    <x v="21"/>
    <n v="3"/>
    <x v="2"/>
    <x v="2"/>
    <n v="4"/>
    <n v="44.2"/>
    <n v="176.8"/>
  </r>
  <r>
    <x v="268"/>
    <x v="8"/>
    <x v="11"/>
    <d v="2025-01-16T00:00:00"/>
    <x v="2"/>
    <x v="1"/>
    <x v="1"/>
    <x v="0"/>
    <x v="33"/>
    <n v="4"/>
    <x v="2"/>
    <x v="2"/>
    <n v="1"/>
    <n v="22.1"/>
    <n v="22.1"/>
  </r>
  <r>
    <x v="269"/>
    <x v="6"/>
    <x v="11"/>
    <d v="2025-01-13T00:00:00"/>
    <x v="2"/>
    <x v="2"/>
    <x v="4"/>
    <x v="0"/>
    <x v="3"/>
    <n v="1"/>
    <x v="2"/>
    <x v="2"/>
    <n v="3"/>
    <n v="90.9"/>
    <n v="272.70000000000005"/>
  </r>
  <r>
    <x v="270"/>
    <x v="8"/>
    <x v="11"/>
    <d v="2025-01-13T00:00:00"/>
    <x v="2"/>
    <x v="1"/>
    <x v="0"/>
    <x v="0"/>
    <x v="3"/>
    <n v="1"/>
    <x v="2"/>
    <x v="2"/>
    <n v="3"/>
    <n v="44.5"/>
    <n v="133.5"/>
  </r>
  <r>
    <x v="271"/>
    <x v="9"/>
    <x v="11"/>
    <d v="2025-01-16T00:00:00"/>
    <x v="2"/>
    <x v="0"/>
    <x v="0"/>
    <x v="0"/>
    <x v="3"/>
    <n v="4"/>
    <x v="2"/>
    <x v="2"/>
    <n v="6"/>
    <n v="32.299999999999997"/>
    <n v="193.79999999999998"/>
  </r>
  <r>
    <x v="272"/>
    <x v="17"/>
    <x v="11"/>
    <d v="2025-01-13T00:00:00"/>
    <x v="2"/>
    <x v="1"/>
    <x v="1"/>
    <x v="0"/>
    <x v="3"/>
    <n v="1"/>
    <x v="2"/>
    <x v="2"/>
    <n v="3"/>
    <n v="87.5"/>
    <n v="262.5"/>
  </r>
  <r>
    <x v="273"/>
    <x v="16"/>
    <x v="11"/>
    <d v="2025-01-13T00:00:00"/>
    <x v="1"/>
    <x v="2"/>
    <x v="0"/>
    <x v="0"/>
    <x v="3"/>
    <n v="1"/>
    <x v="2"/>
    <x v="1"/>
    <n v="5"/>
    <n v="48.7"/>
    <n v="243.5"/>
  </r>
  <r>
    <x v="274"/>
    <x v="0"/>
    <x v="11"/>
    <d v="2025-01-13T00:00:00"/>
    <x v="1"/>
    <x v="0"/>
    <x v="0"/>
    <x v="0"/>
    <x v="3"/>
    <n v="1"/>
    <x v="2"/>
    <x v="1"/>
    <n v="5"/>
    <n v="22.5"/>
    <n v="112.5"/>
  </r>
  <r>
    <x v="275"/>
    <x v="1"/>
    <x v="11"/>
    <d v="2025-01-15T00:00:00"/>
    <x v="2"/>
    <x v="1"/>
    <x v="2"/>
    <x v="0"/>
    <x v="3"/>
    <n v="3"/>
    <x v="2"/>
    <x v="2"/>
    <n v="8"/>
    <n v="65.900000000000006"/>
    <n v="527.20000000000005"/>
  </r>
  <r>
    <x v="276"/>
    <x v="6"/>
    <x v="11"/>
    <d v="2025-01-19T00:00:00"/>
    <x v="0"/>
    <x v="0"/>
    <x v="0"/>
    <x v="0"/>
    <x v="3"/>
    <n v="7"/>
    <x v="2"/>
    <x v="0"/>
    <n v="5"/>
    <n v="41.9"/>
    <n v="209.5"/>
  </r>
  <r>
    <x v="277"/>
    <x v="1"/>
    <x v="11"/>
    <d v="2025-01-13T00:00:00"/>
    <x v="2"/>
    <x v="0"/>
    <x v="2"/>
    <x v="0"/>
    <x v="3"/>
    <n v="1"/>
    <x v="2"/>
    <x v="2"/>
    <n v="5"/>
    <n v="67.5"/>
    <n v="337.5"/>
  </r>
  <r>
    <x v="278"/>
    <x v="9"/>
    <x v="12"/>
    <d v="2025-01-15T00:00:00"/>
    <x v="2"/>
    <x v="1"/>
    <x v="1"/>
    <x v="0"/>
    <x v="3"/>
    <n v="2"/>
    <x v="2"/>
    <x v="2"/>
    <n v="1"/>
    <n v="60.4"/>
    <n v="60.4"/>
  </r>
  <r>
    <x v="279"/>
    <x v="1"/>
    <x v="12"/>
    <d v="2025-01-16T00:00:00"/>
    <x v="2"/>
    <x v="4"/>
    <x v="0"/>
    <x v="0"/>
    <x v="3"/>
    <n v="3"/>
    <x v="2"/>
    <x v="2"/>
    <n v="7"/>
    <n v="30.4"/>
    <n v="212.79999999999998"/>
  </r>
  <r>
    <x v="280"/>
    <x v="14"/>
    <x v="12"/>
    <d v="2025-01-14T00:00:00"/>
    <x v="1"/>
    <x v="3"/>
    <x v="2"/>
    <x v="0"/>
    <x v="3"/>
    <n v="1"/>
    <x v="2"/>
    <x v="1"/>
    <n v="2"/>
    <n v="24.5"/>
    <n v="49"/>
  </r>
  <r>
    <x v="281"/>
    <x v="2"/>
    <x v="12"/>
    <d v="2025-01-18T00:00:00"/>
    <x v="1"/>
    <x v="0"/>
    <x v="0"/>
    <x v="0"/>
    <x v="37"/>
    <n v="5"/>
    <x v="2"/>
    <x v="1"/>
    <n v="3"/>
    <n v="105.9"/>
    <n v="317.70000000000005"/>
  </r>
  <r>
    <x v="282"/>
    <x v="10"/>
    <x v="12"/>
    <d v="2025-01-14T00:00:00"/>
    <x v="2"/>
    <x v="4"/>
    <x v="0"/>
    <x v="0"/>
    <x v="23"/>
    <n v="1"/>
    <x v="2"/>
    <x v="2"/>
    <n v="24"/>
    <n v="25.9"/>
    <n v="621.59999999999991"/>
  </r>
  <r>
    <x v="283"/>
    <x v="6"/>
    <x v="12"/>
    <d v="2025-01-13T00:00:00"/>
    <x v="1"/>
    <x v="0"/>
    <x v="0"/>
    <x v="0"/>
    <x v="23"/>
    <n v="0"/>
    <x v="2"/>
    <x v="1"/>
    <n v="3"/>
    <n v="66.8"/>
    <n v="200.39999999999998"/>
  </r>
  <r>
    <x v="284"/>
    <x v="6"/>
    <x v="12"/>
    <d v="2025-01-14T00:00:00"/>
    <x v="1"/>
    <x v="2"/>
    <x v="4"/>
    <x v="0"/>
    <x v="6"/>
    <n v="1"/>
    <x v="2"/>
    <x v="1"/>
    <n v="3"/>
    <n v="112.3"/>
    <n v="336.9"/>
  </r>
  <r>
    <x v="285"/>
    <x v="1"/>
    <x v="12"/>
    <d v="2025-01-14T00:00:00"/>
    <x v="2"/>
    <x v="0"/>
    <x v="4"/>
    <x v="0"/>
    <x v="6"/>
    <n v="1"/>
    <x v="2"/>
    <x v="2"/>
    <n v="6"/>
    <n v="94.1"/>
    <n v="564.59999999999991"/>
  </r>
  <r>
    <x v="286"/>
    <x v="5"/>
    <x v="12"/>
    <d v="2025-01-16T00:00:00"/>
    <x v="2"/>
    <x v="2"/>
    <x v="0"/>
    <x v="0"/>
    <x v="6"/>
    <n v="3"/>
    <x v="2"/>
    <x v="2"/>
    <n v="1"/>
    <n v="40.700000000000003"/>
    <n v="40.700000000000003"/>
  </r>
  <r>
    <x v="287"/>
    <x v="3"/>
    <x v="12"/>
    <d v="2025-01-14T00:00:00"/>
    <x v="1"/>
    <x v="0"/>
    <x v="0"/>
    <x v="0"/>
    <x v="7"/>
    <n v="1"/>
    <x v="2"/>
    <x v="1"/>
    <n v="2"/>
    <n v="71.400000000000006"/>
    <n v="142.80000000000001"/>
  </r>
  <r>
    <x v="288"/>
    <x v="0"/>
    <x v="12"/>
    <d v="2025-01-14T00:00:00"/>
    <x v="1"/>
    <x v="1"/>
    <x v="3"/>
    <x v="0"/>
    <x v="8"/>
    <n v="1"/>
    <x v="2"/>
    <x v="1"/>
    <n v="18"/>
    <n v="15.6"/>
    <n v="280.8"/>
  </r>
  <r>
    <x v="289"/>
    <x v="10"/>
    <x v="12"/>
    <d v="2025-01-14T00:00:00"/>
    <x v="1"/>
    <x v="2"/>
    <x v="2"/>
    <x v="0"/>
    <x v="8"/>
    <n v="1"/>
    <x v="2"/>
    <x v="1"/>
    <n v="4"/>
    <n v="37.799999999999997"/>
    <n v="151.19999999999999"/>
  </r>
  <r>
    <x v="290"/>
    <x v="4"/>
    <x v="12"/>
    <d v="2025-01-17T00:00:00"/>
    <x v="1"/>
    <x v="0"/>
    <x v="0"/>
    <x v="0"/>
    <x v="8"/>
    <n v="4"/>
    <x v="2"/>
    <x v="1"/>
    <n v="3"/>
    <n v="28.1"/>
    <n v="84.300000000000011"/>
  </r>
  <r>
    <x v="291"/>
    <x v="7"/>
    <x v="12"/>
    <d v="2025-01-17T00:00:00"/>
    <x v="1"/>
    <x v="0"/>
    <x v="0"/>
    <x v="0"/>
    <x v="8"/>
    <n v="4"/>
    <x v="2"/>
    <x v="1"/>
    <n v="6"/>
    <n v="51.4"/>
    <n v="308.39999999999998"/>
  </r>
  <r>
    <x v="292"/>
    <x v="7"/>
    <x v="12"/>
    <d v="2025-01-15T00:00:00"/>
    <x v="2"/>
    <x v="4"/>
    <x v="2"/>
    <x v="0"/>
    <x v="17"/>
    <n v="2"/>
    <x v="2"/>
    <x v="2"/>
    <n v="2"/>
    <n v="97.7"/>
    <n v="195.4"/>
  </r>
  <r>
    <x v="293"/>
    <x v="1"/>
    <x v="12"/>
    <d v="2025-01-14T00:00:00"/>
    <x v="1"/>
    <x v="2"/>
    <x v="0"/>
    <x v="0"/>
    <x v="38"/>
    <n v="1"/>
    <x v="2"/>
    <x v="1"/>
    <n v="4"/>
    <n v="63.8"/>
    <n v="255.2"/>
  </r>
  <r>
    <x v="294"/>
    <x v="13"/>
    <x v="12"/>
    <d v="2025-01-15T00:00:00"/>
    <x v="1"/>
    <x v="0"/>
    <x v="2"/>
    <x v="0"/>
    <x v="20"/>
    <n v="2"/>
    <x v="2"/>
    <x v="1"/>
    <n v="2"/>
    <n v="20.100000000000001"/>
    <n v="40.200000000000003"/>
  </r>
  <r>
    <x v="295"/>
    <x v="11"/>
    <x v="12"/>
    <d v="2025-01-16T00:00:00"/>
    <x v="2"/>
    <x v="3"/>
    <x v="0"/>
    <x v="0"/>
    <x v="13"/>
    <n v="3"/>
    <x v="2"/>
    <x v="2"/>
    <n v="3"/>
    <n v="50.4"/>
    <n v="151.19999999999999"/>
  </r>
  <r>
    <x v="296"/>
    <x v="0"/>
    <x v="12"/>
    <d v="2025-01-26T00:00:00"/>
    <x v="2"/>
    <x v="1"/>
    <x v="0"/>
    <x v="0"/>
    <x v="1"/>
    <n v="13"/>
    <x v="2"/>
    <x v="2"/>
    <n v="1"/>
    <n v="16.2"/>
    <n v="16.2"/>
  </r>
  <r>
    <x v="297"/>
    <x v="6"/>
    <x v="12"/>
    <d v="2025-01-15T00:00:00"/>
    <x v="1"/>
    <x v="4"/>
    <x v="4"/>
    <x v="0"/>
    <x v="2"/>
    <n v="2"/>
    <x v="2"/>
    <x v="1"/>
    <n v="7"/>
    <n v="80.900000000000006"/>
    <n v="566.30000000000007"/>
  </r>
  <r>
    <x v="298"/>
    <x v="9"/>
    <x v="12"/>
    <d v="2025-01-15T00:00:00"/>
    <x v="2"/>
    <x v="0"/>
    <x v="2"/>
    <x v="0"/>
    <x v="2"/>
    <n v="2"/>
    <x v="2"/>
    <x v="2"/>
    <n v="6"/>
    <n v="95.2"/>
    <n v="571.20000000000005"/>
  </r>
  <r>
    <x v="299"/>
    <x v="5"/>
    <x v="12"/>
    <d v="2025-01-14T00:00:00"/>
    <x v="1"/>
    <x v="1"/>
    <x v="1"/>
    <x v="0"/>
    <x v="3"/>
    <n v="1"/>
    <x v="2"/>
    <x v="1"/>
    <n v="8"/>
    <n v="70.400000000000006"/>
    <n v="563.20000000000005"/>
  </r>
  <r>
    <x v="300"/>
    <x v="0"/>
    <x v="12"/>
    <d v="2025-01-17T00:00:00"/>
    <x v="2"/>
    <x v="2"/>
    <x v="0"/>
    <x v="0"/>
    <x v="3"/>
    <n v="4"/>
    <x v="2"/>
    <x v="2"/>
    <n v="5"/>
    <n v="10.7"/>
    <n v="53.5"/>
  </r>
  <r>
    <x v="301"/>
    <x v="8"/>
    <x v="12"/>
    <d v="2025-01-15T00:00:00"/>
    <x v="2"/>
    <x v="0"/>
    <x v="3"/>
    <x v="0"/>
    <x v="3"/>
    <n v="2"/>
    <x v="2"/>
    <x v="2"/>
    <n v="5"/>
    <n v="19.600000000000001"/>
    <n v="98"/>
  </r>
  <r>
    <x v="302"/>
    <x v="8"/>
    <x v="12"/>
    <d v="2025-01-15T00:00:00"/>
    <x v="2"/>
    <x v="0"/>
    <x v="2"/>
    <x v="0"/>
    <x v="3"/>
    <n v="2"/>
    <x v="2"/>
    <x v="2"/>
    <n v="11"/>
    <n v="34.700000000000003"/>
    <n v="381.70000000000005"/>
  </r>
  <r>
    <x v="303"/>
    <x v="10"/>
    <x v="12"/>
    <d v="2025-01-14T00:00:00"/>
    <x v="2"/>
    <x v="4"/>
    <x v="1"/>
    <x v="0"/>
    <x v="3"/>
    <n v="1"/>
    <x v="2"/>
    <x v="2"/>
    <n v="9"/>
    <n v="34.1"/>
    <n v="306.90000000000003"/>
  </r>
  <r>
    <x v="304"/>
    <x v="0"/>
    <x v="12"/>
    <d v="2025-01-13T00:00:00"/>
    <x v="1"/>
    <x v="0"/>
    <x v="1"/>
    <x v="0"/>
    <x v="3"/>
    <n v="0"/>
    <x v="2"/>
    <x v="1"/>
    <n v="49"/>
    <n v="29.3"/>
    <n v="1435.7"/>
  </r>
  <r>
    <x v="305"/>
    <x v="1"/>
    <x v="12"/>
    <d v="2025-01-14T00:00:00"/>
    <x v="2"/>
    <x v="0"/>
    <x v="1"/>
    <x v="0"/>
    <x v="3"/>
    <n v="1"/>
    <x v="2"/>
    <x v="2"/>
    <n v="1"/>
    <n v="55.2"/>
    <n v="55.2"/>
  </r>
  <r>
    <x v="306"/>
    <x v="18"/>
    <x v="12"/>
    <d v="2025-01-16T00:00:00"/>
    <x v="2"/>
    <x v="0"/>
    <x v="2"/>
    <x v="0"/>
    <x v="3"/>
    <n v="3"/>
    <x v="2"/>
    <x v="2"/>
    <n v="3"/>
    <n v="26"/>
    <n v="78"/>
  </r>
  <r>
    <x v="307"/>
    <x v="14"/>
    <x v="12"/>
    <d v="2025-01-18T00:00:00"/>
    <x v="2"/>
    <x v="3"/>
    <x v="0"/>
    <x v="0"/>
    <x v="39"/>
    <n v="5"/>
    <x v="2"/>
    <x v="2"/>
    <n v="2"/>
    <n v="14.2"/>
    <n v="28.4"/>
  </r>
  <r>
    <x v="308"/>
    <x v="8"/>
    <x v="13"/>
    <d v="2025-01-15T00:00:00"/>
    <x v="1"/>
    <x v="1"/>
    <x v="0"/>
    <x v="0"/>
    <x v="6"/>
    <n v="1"/>
    <x v="2"/>
    <x v="1"/>
    <n v="9"/>
    <n v="22.7"/>
    <n v="204.29999999999998"/>
  </r>
  <r>
    <x v="309"/>
    <x v="0"/>
    <x v="13"/>
    <d v="2025-01-14T00:00:00"/>
    <x v="2"/>
    <x v="0"/>
    <x v="2"/>
    <x v="0"/>
    <x v="6"/>
    <n v="0"/>
    <x v="2"/>
    <x v="2"/>
    <n v="15"/>
    <n v="19.8"/>
    <n v="297"/>
  </r>
  <r>
    <x v="310"/>
    <x v="0"/>
    <x v="13"/>
    <d v="2025-01-15T00:00:00"/>
    <x v="1"/>
    <x v="2"/>
    <x v="0"/>
    <x v="0"/>
    <x v="6"/>
    <n v="1"/>
    <x v="2"/>
    <x v="1"/>
    <n v="3"/>
    <n v="31.7"/>
    <n v="95.1"/>
  </r>
  <r>
    <x v="311"/>
    <x v="8"/>
    <x v="13"/>
    <d v="2025-01-18T00:00:00"/>
    <x v="1"/>
    <x v="0"/>
    <x v="0"/>
    <x v="0"/>
    <x v="6"/>
    <n v="4"/>
    <x v="2"/>
    <x v="1"/>
    <n v="4"/>
    <n v="30.4"/>
    <n v="121.6"/>
  </r>
  <r>
    <x v="312"/>
    <x v="0"/>
    <x v="13"/>
    <d v="2025-01-15T00:00:00"/>
    <x v="1"/>
    <x v="3"/>
    <x v="0"/>
    <x v="0"/>
    <x v="8"/>
    <n v="1"/>
    <x v="2"/>
    <x v="1"/>
    <n v="4"/>
    <n v="25.6"/>
    <n v="102.4"/>
  </r>
  <r>
    <x v="313"/>
    <x v="5"/>
    <x v="13"/>
    <d v="2025-01-15T00:00:00"/>
    <x v="2"/>
    <x v="2"/>
    <x v="0"/>
    <x v="0"/>
    <x v="9"/>
    <n v="1"/>
    <x v="2"/>
    <x v="2"/>
    <n v="2"/>
    <n v="34.9"/>
    <n v="69.8"/>
  </r>
  <r>
    <x v="314"/>
    <x v="7"/>
    <x v="13"/>
    <d v="2025-01-17T00:00:00"/>
    <x v="1"/>
    <x v="2"/>
    <x v="1"/>
    <x v="0"/>
    <x v="11"/>
    <n v="3"/>
    <x v="2"/>
    <x v="1"/>
    <n v="6"/>
    <n v="42.7"/>
    <n v="256.20000000000005"/>
  </r>
  <r>
    <x v="315"/>
    <x v="8"/>
    <x v="13"/>
    <d v="2025-01-16T00:00:00"/>
    <x v="2"/>
    <x v="3"/>
    <x v="0"/>
    <x v="0"/>
    <x v="11"/>
    <n v="2"/>
    <x v="2"/>
    <x v="2"/>
    <n v="1"/>
    <n v="23.9"/>
    <n v="23.9"/>
  </r>
  <r>
    <x v="316"/>
    <x v="6"/>
    <x v="13"/>
    <d v="2025-01-15T00:00:00"/>
    <x v="0"/>
    <x v="2"/>
    <x v="1"/>
    <x v="0"/>
    <x v="21"/>
    <n v="1"/>
    <x v="2"/>
    <x v="0"/>
    <n v="1"/>
    <n v="124.3"/>
    <n v="124.3"/>
  </r>
  <r>
    <x v="317"/>
    <x v="8"/>
    <x v="13"/>
    <d v="2025-01-15T00:00:00"/>
    <x v="2"/>
    <x v="0"/>
    <x v="1"/>
    <x v="0"/>
    <x v="1"/>
    <n v="1"/>
    <x v="2"/>
    <x v="2"/>
    <n v="6"/>
    <n v="35.9"/>
    <n v="215.39999999999998"/>
  </r>
  <r>
    <x v="318"/>
    <x v="2"/>
    <x v="13"/>
    <d v="2025-01-17T00:00:00"/>
    <x v="2"/>
    <x v="0"/>
    <x v="2"/>
    <x v="0"/>
    <x v="22"/>
    <n v="3"/>
    <x v="2"/>
    <x v="2"/>
    <n v="2"/>
    <n v="69.099999999999994"/>
    <n v="138.19999999999999"/>
  </r>
  <r>
    <x v="319"/>
    <x v="7"/>
    <x v="13"/>
    <d v="2025-01-18T00:00:00"/>
    <x v="1"/>
    <x v="0"/>
    <x v="0"/>
    <x v="0"/>
    <x v="22"/>
    <n v="4"/>
    <x v="2"/>
    <x v="1"/>
    <n v="1"/>
    <n v="58.4"/>
    <n v="58.4"/>
  </r>
  <r>
    <x v="320"/>
    <x v="5"/>
    <x v="13"/>
    <d v="2025-01-16T00:00:00"/>
    <x v="3"/>
    <x v="4"/>
    <x v="4"/>
    <x v="0"/>
    <x v="3"/>
    <n v="2"/>
    <x v="2"/>
    <x v="3"/>
    <n v="1"/>
    <n v="65.2"/>
    <n v="65.2"/>
  </r>
  <r>
    <x v="321"/>
    <x v="8"/>
    <x v="13"/>
    <d v="2025-01-21T00:00:00"/>
    <x v="0"/>
    <x v="4"/>
    <x v="0"/>
    <x v="0"/>
    <x v="3"/>
    <n v="7"/>
    <x v="2"/>
    <x v="0"/>
    <n v="17"/>
    <n v="32.700000000000003"/>
    <n v="555.90000000000009"/>
  </r>
  <r>
    <x v="322"/>
    <x v="10"/>
    <x v="13"/>
    <d v="2025-01-15T00:00:00"/>
    <x v="2"/>
    <x v="0"/>
    <x v="0"/>
    <x v="0"/>
    <x v="3"/>
    <n v="1"/>
    <x v="2"/>
    <x v="2"/>
    <n v="7"/>
    <n v="24.4"/>
    <n v="170.79999999999998"/>
  </r>
  <r>
    <x v="323"/>
    <x v="14"/>
    <x v="13"/>
    <d v="2025-01-20T00:00:00"/>
    <x v="1"/>
    <x v="0"/>
    <x v="1"/>
    <x v="0"/>
    <x v="3"/>
    <n v="6"/>
    <x v="2"/>
    <x v="1"/>
    <n v="2"/>
    <n v="50.4"/>
    <n v="100.8"/>
  </r>
  <r>
    <x v="324"/>
    <x v="1"/>
    <x v="13"/>
    <d v="2025-01-15T00:00:00"/>
    <x v="2"/>
    <x v="0"/>
    <x v="0"/>
    <x v="0"/>
    <x v="3"/>
    <n v="1"/>
    <x v="2"/>
    <x v="2"/>
    <n v="2"/>
    <n v="100"/>
    <n v="200"/>
  </r>
  <r>
    <x v="325"/>
    <x v="10"/>
    <x v="14"/>
    <d v="2025-01-15T00:00:00"/>
    <x v="2"/>
    <x v="2"/>
    <x v="1"/>
    <x v="0"/>
    <x v="3"/>
    <n v="0"/>
    <x v="2"/>
    <x v="2"/>
    <n v="3"/>
    <n v="43"/>
    <n v="129"/>
  </r>
  <r>
    <x v="326"/>
    <x v="1"/>
    <x v="14"/>
    <d v="2025-01-17T00:00:00"/>
    <x v="1"/>
    <x v="2"/>
    <x v="1"/>
    <x v="0"/>
    <x v="3"/>
    <n v="2"/>
    <x v="2"/>
    <x v="1"/>
    <n v="5"/>
    <n v="64.400000000000006"/>
    <n v="322"/>
  </r>
  <r>
    <x v="327"/>
    <x v="18"/>
    <x v="14"/>
    <d v="2025-01-16T00:00:00"/>
    <x v="1"/>
    <x v="2"/>
    <x v="1"/>
    <x v="0"/>
    <x v="3"/>
    <n v="1"/>
    <x v="2"/>
    <x v="1"/>
    <n v="2"/>
    <n v="57.4"/>
    <n v="114.8"/>
  </r>
  <r>
    <x v="328"/>
    <x v="2"/>
    <x v="14"/>
    <d v="2025-01-18T00:00:00"/>
    <x v="2"/>
    <x v="1"/>
    <x v="0"/>
    <x v="0"/>
    <x v="3"/>
    <n v="3"/>
    <x v="2"/>
    <x v="2"/>
    <n v="3"/>
    <n v="55.1"/>
    <n v="165.3"/>
  </r>
  <r>
    <x v="329"/>
    <x v="7"/>
    <x v="14"/>
    <d v="2025-01-16T00:00:00"/>
    <x v="2"/>
    <x v="1"/>
    <x v="0"/>
    <x v="0"/>
    <x v="3"/>
    <n v="1"/>
    <x v="2"/>
    <x v="2"/>
    <n v="4"/>
    <n v="45.4"/>
    <n v="181.6"/>
  </r>
  <r>
    <x v="330"/>
    <x v="3"/>
    <x v="14"/>
    <d v="2025-01-16T00:00:00"/>
    <x v="2"/>
    <x v="0"/>
    <x v="0"/>
    <x v="0"/>
    <x v="40"/>
    <n v="1"/>
    <x v="2"/>
    <x v="2"/>
    <n v="3"/>
    <n v="93.3"/>
    <n v="279.89999999999998"/>
  </r>
  <r>
    <x v="331"/>
    <x v="2"/>
    <x v="14"/>
    <d v="2025-01-16T00:00:00"/>
    <x v="2"/>
    <x v="1"/>
    <x v="2"/>
    <x v="0"/>
    <x v="16"/>
    <n v="1"/>
    <x v="2"/>
    <x v="2"/>
    <n v="19"/>
    <n v="158.19999999999999"/>
    <n v="3005.7999999999997"/>
  </r>
  <r>
    <x v="332"/>
    <x v="2"/>
    <x v="14"/>
    <d v="2025-01-17T00:00:00"/>
    <x v="1"/>
    <x v="3"/>
    <x v="0"/>
    <x v="0"/>
    <x v="6"/>
    <n v="2"/>
    <x v="2"/>
    <x v="1"/>
    <n v="2"/>
    <n v="74.900000000000006"/>
    <n v="149.80000000000001"/>
  </r>
  <r>
    <x v="333"/>
    <x v="8"/>
    <x v="14"/>
    <d v="2025-01-18T00:00:00"/>
    <x v="2"/>
    <x v="1"/>
    <x v="0"/>
    <x v="0"/>
    <x v="8"/>
    <n v="3"/>
    <x v="2"/>
    <x v="2"/>
    <n v="7"/>
    <n v="26"/>
    <n v="182"/>
  </r>
  <r>
    <x v="334"/>
    <x v="9"/>
    <x v="14"/>
    <d v="2025-01-16T00:00:00"/>
    <x v="2"/>
    <x v="0"/>
    <x v="1"/>
    <x v="0"/>
    <x v="8"/>
    <n v="1"/>
    <x v="2"/>
    <x v="2"/>
    <n v="6"/>
    <n v="37.5"/>
    <n v="225"/>
  </r>
  <r>
    <x v="335"/>
    <x v="6"/>
    <x v="14"/>
    <d v="2025-01-21T00:00:00"/>
    <x v="1"/>
    <x v="0"/>
    <x v="0"/>
    <x v="0"/>
    <x v="8"/>
    <n v="6"/>
    <x v="2"/>
    <x v="1"/>
    <n v="2"/>
    <n v="75.8"/>
    <n v="151.6"/>
  </r>
  <r>
    <x v="336"/>
    <x v="7"/>
    <x v="14"/>
    <d v="2025-01-27T00:00:00"/>
    <x v="0"/>
    <x v="4"/>
    <x v="2"/>
    <x v="0"/>
    <x v="8"/>
    <n v="12"/>
    <x v="2"/>
    <x v="0"/>
    <n v="1"/>
    <n v="48.5"/>
    <n v="48.5"/>
  </r>
  <r>
    <x v="337"/>
    <x v="6"/>
    <x v="14"/>
    <d v="2025-01-17T00:00:00"/>
    <x v="2"/>
    <x v="4"/>
    <x v="1"/>
    <x v="0"/>
    <x v="8"/>
    <n v="2"/>
    <x v="2"/>
    <x v="2"/>
    <n v="3"/>
    <n v="98.9"/>
    <n v="296.70000000000005"/>
  </r>
  <r>
    <x v="338"/>
    <x v="1"/>
    <x v="14"/>
    <d v="2025-01-15T00:00:00"/>
    <x v="1"/>
    <x v="4"/>
    <x v="0"/>
    <x v="0"/>
    <x v="8"/>
    <n v="0"/>
    <x v="2"/>
    <x v="1"/>
    <n v="12"/>
    <n v="50.9"/>
    <n v="610.79999999999995"/>
  </r>
  <r>
    <x v="339"/>
    <x v="12"/>
    <x v="14"/>
    <d v="2025-01-15T00:00:00"/>
    <x v="2"/>
    <x v="2"/>
    <x v="0"/>
    <x v="0"/>
    <x v="8"/>
    <n v="0"/>
    <x v="2"/>
    <x v="2"/>
    <n v="6"/>
    <n v="84.7"/>
    <n v="508.20000000000005"/>
  </r>
  <r>
    <x v="340"/>
    <x v="8"/>
    <x v="14"/>
    <d v="2025-01-17T00:00:00"/>
    <x v="2"/>
    <x v="3"/>
    <x v="2"/>
    <x v="0"/>
    <x v="8"/>
    <n v="2"/>
    <x v="2"/>
    <x v="2"/>
    <n v="1"/>
    <n v="20.7"/>
    <n v="20.7"/>
  </r>
  <r>
    <x v="341"/>
    <x v="12"/>
    <x v="14"/>
    <d v="2025-01-26T00:00:00"/>
    <x v="1"/>
    <x v="0"/>
    <x v="4"/>
    <x v="0"/>
    <x v="17"/>
    <n v="11"/>
    <x v="2"/>
    <x v="1"/>
    <n v="9"/>
    <n v="57.8"/>
    <n v="520.19999999999993"/>
  </r>
  <r>
    <x v="342"/>
    <x v="2"/>
    <x v="14"/>
    <d v="2025-01-17T00:00:00"/>
    <x v="2"/>
    <x v="0"/>
    <x v="2"/>
    <x v="0"/>
    <x v="41"/>
    <n v="2"/>
    <x v="2"/>
    <x v="2"/>
    <n v="2"/>
    <n v="106.9"/>
    <n v="213.8"/>
  </r>
  <r>
    <x v="343"/>
    <x v="3"/>
    <x v="14"/>
    <d v="2025-01-19T00:00:00"/>
    <x v="2"/>
    <x v="1"/>
    <x v="0"/>
    <x v="0"/>
    <x v="21"/>
    <n v="4"/>
    <x v="2"/>
    <x v="2"/>
    <n v="5"/>
    <n v="45.2"/>
    <n v="226"/>
  </r>
  <r>
    <x v="344"/>
    <x v="8"/>
    <x v="14"/>
    <d v="2025-01-15T00:00:00"/>
    <x v="2"/>
    <x v="1"/>
    <x v="1"/>
    <x v="0"/>
    <x v="21"/>
    <n v="0"/>
    <x v="2"/>
    <x v="2"/>
    <n v="13"/>
    <n v="34.6"/>
    <n v="449.8"/>
  </r>
  <r>
    <x v="345"/>
    <x v="15"/>
    <x v="14"/>
    <d v="2025-01-17T00:00:00"/>
    <x v="0"/>
    <x v="0"/>
    <x v="2"/>
    <x v="0"/>
    <x v="21"/>
    <n v="2"/>
    <x v="2"/>
    <x v="0"/>
    <n v="1"/>
    <n v="43.8"/>
    <n v="43.8"/>
  </r>
  <r>
    <x v="346"/>
    <x v="15"/>
    <x v="14"/>
    <d v="2025-01-17T00:00:00"/>
    <x v="1"/>
    <x v="4"/>
    <x v="1"/>
    <x v="0"/>
    <x v="21"/>
    <n v="2"/>
    <x v="2"/>
    <x v="1"/>
    <n v="1"/>
    <n v="20.399999999999999"/>
    <n v="20.399999999999999"/>
  </r>
  <r>
    <x v="347"/>
    <x v="1"/>
    <x v="14"/>
    <d v="2025-01-16T00:00:00"/>
    <x v="1"/>
    <x v="0"/>
    <x v="1"/>
    <x v="0"/>
    <x v="1"/>
    <n v="1"/>
    <x v="2"/>
    <x v="1"/>
    <n v="1"/>
    <n v="36.700000000000003"/>
    <n v="36.700000000000003"/>
  </r>
  <r>
    <x v="348"/>
    <x v="8"/>
    <x v="14"/>
    <d v="2025-01-19T00:00:00"/>
    <x v="1"/>
    <x v="0"/>
    <x v="2"/>
    <x v="0"/>
    <x v="1"/>
    <n v="4"/>
    <x v="2"/>
    <x v="1"/>
    <n v="3"/>
    <n v="27.2"/>
    <n v="81.599999999999994"/>
  </r>
  <r>
    <x v="349"/>
    <x v="6"/>
    <x v="14"/>
    <d v="2025-01-16T00:00:00"/>
    <x v="2"/>
    <x v="0"/>
    <x v="2"/>
    <x v="0"/>
    <x v="42"/>
    <n v="1"/>
    <x v="2"/>
    <x v="2"/>
    <n v="1"/>
    <n v="58.2"/>
    <n v="58.2"/>
  </r>
  <r>
    <x v="350"/>
    <x v="8"/>
    <x v="14"/>
    <d v="2025-01-16T00:00:00"/>
    <x v="1"/>
    <x v="4"/>
    <x v="4"/>
    <x v="0"/>
    <x v="2"/>
    <n v="1"/>
    <x v="2"/>
    <x v="1"/>
    <n v="3"/>
    <n v="25.6"/>
    <n v="76.800000000000011"/>
  </r>
  <r>
    <x v="351"/>
    <x v="10"/>
    <x v="14"/>
    <d v="2025-01-15T00:00:00"/>
    <x v="2"/>
    <x v="1"/>
    <x v="2"/>
    <x v="0"/>
    <x v="3"/>
    <n v="0"/>
    <x v="2"/>
    <x v="2"/>
    <n v="1"/>
    <n v="21.2"/>
    <n v="21.2"/>
  </r>
  <r>
    <x v="352"/>
    <x v="6"/>
    <x v="14"/>
    <d v="2025-01-23T00:00:00"/>
    <x v="2"/>
    <x v="0"/>
    <x v="2"/>
    <x v="0"/>
    <x v="3"/>
    <n v="8"/>
    <x v="2"/>
    <x v="2"/>
    <n v="2"/>
    <n v="48.2"/>
    <n v="96.4"/>
  </r>
  <r>
    <x v="353"/>
    <x v="1"/>
    <x v="15"/>
    <d v="2025-01-17T00:00:00"/>
    <x v="1"/>
    <x v="0"/>
    <x v="0"/>
    <x v="0"/>
    <x v="3"/>
    <n v="1"/>
    <x v="2"/>
    <x v="1"/>
    <n v="4"/>
    <n v="83.4"/>
    <n v="333.6"/>
  </r>
  <r>
    <x v="354"/>
    <x v="9"/>
    <x v="15"/>
    <d v="2025-01-22T00:00:00"/>
    <x v="1"/>
    <x v="2"/>
    <x v="1"/>
    <x v="0"/>
    <x v="3"/>
    <n v="6"/>
    <x v="2"/>
    <x v="1"/>
    <n v="3"/>
    <n v="45.3"/>
    <n v="135.89999999999998"/>
  </r>
  <r>
    <x v="355"/>
    <x v="17"/>
    <x v="15"/>
    <d v="2025-01-17T00:00:00"/>
    <x v="0"/>
    <x v="0"/>
    <x v="0"/>
    <x v="0"/>
    <x v="3"/>
    <n v="1"/>
    <x v="2"/>
    <x v="0"/>
    <n v="1"/>
    <n v="42"/>
    <n v="42"/>
  </r>
  <r>
    <x v="356"/>
    <x v="0"/>
    <x v="15"/>
    <d v="2025-01-18T00:00:00"/>
    <x v="2"/>
    <x v="1"/>
    <x v="0"/>
    <x v="0"/>
    <x v="3"/>
    <n v="2"/>
    <x v="2"/>
    <x v="2"/>
    <n v="9"/>
    <n v="21.8"/>
    <n v="196.20000000000002"/>
  </r>
  <r>
    <x v="357"/>
    <x v="8"/>
    <x v="15"/>
    <d v="2025-01-19T00:00:00"/>
    <x v="2"/>
    <x v="1"/>
    <x v="2"/>
    <x v="0"/>
    <x v="3"/>
    <n v="3"/>
    <x v="2"/>
    <x v="2"/>
    <n v="18"/>
    <n v="21.4"/>
    <n v="385.2"/>
  </r>
  <r>
    <x v="358"/>
    <x v="10"/>
    <x v="15"/>
    <d v="2025-01-16T00:00:00"/>
    <x v="2"/>
    <x v="1"/>
    <x v="2"/>
    <x v="0"/>
    <x v="3"/>
    <n v="0"/>
    <x v="2"/>
    <x v="2"/>
    <n v="3"/>
    <n v="45"/>
    <n v="135"/>
  </r>
  <r>
    <x v="359"/>
    <x v="14"/>
    <x v="15"/>
    <d v="2025-01-17T00:00:00"/>
    <x v="1"/>
    <x v="0"/>
    <x v="2"/>
    <x v="0"/>
    <x v="3"/>
    <n v="1"/>
    <x v="2"/>
    <x v="1"/>
    <n v="1"/>
    <n v="39.6"/>
    <n v="39.6"/>
  </r>
  <r>
    <x v="360"/>
    <x v="12"/>
    <x v="15"/>
    <d v="2025-01-22T00:00:00"/>
    <x v="2"/>
    <x v="1"/>
    <x v="4"/>
    <x v="0"/>
    <x v="3"/>
    <n v="6"/>
    <x v="2"/>
    <x v="2"/>
    <n v="3"/>
    <n v="79.8"/>
    <n v="239.39999999999998"/>
  </r>
  <r>
    <x v="361"/>
    <x v="1"/>
    <x v="15"/>
    <d v="2025-01-17T00:00:00"/>
    <x v="3"/>
    <x v="0"/>
    <x v="2"/>
    <x v="0"/>
    <x v="24"/>
    <n v="1"/>
    <x v="2"/>
    <x v="3"/>
    <n v="4"/>
    <n v="63.6"/>
    <n v="254.4"/>
  </r>
  <r>
    <x v="362"/>
    <x v="7"/>
    <x v="15"/>
    <d v="2025-01-20T00:00:00"/>
    <x v="1"/>
    <x v="1"/>
    <x v="2"/>
    <x v="0"/>
    <x v="6"/>
    <n v="4"/>
    <x v="2"/>
    <x v="1"/>
    <n v="10"/>
    <n v="92.7"/>
    <n v="927"/>
  </r>
  <r>
    <x v="363"/>
    <x v="1"/>
    <x v="15"/>
    <d v="2025-01-18T00:00:00"/>
    <x v="2"/>
    <x v="1"/>
    <x v="2"/>
    <x v="0"/>
    <x v="6"/>
    <n v="2"/>
    <x v="2"/>
    <x v="2"/>
    <n v="4"/>
    <n v="48.4"/>
    <n v="193.6"/>
  </r>
  <r>
    <x v="364"/>
    <x v="9"/>
    <x v="15"/>
    <d v="2025-01-19T00:00:00"/>
    <x v="1"/>
    <x v="2"/>
    <x v="2"/>
    <x v="0"/>
    <x v="8"/>
    <n v="3"/>
    <x v="2"/>
    <x v="1"/>
    <n v="8"/>
    <n v="36"/>
    <n v="288"/>
  </r>
  <r>
    <x v="365"/>
    <x v="8"/>
    <x v="15"/>
    <d v="2025-01-18T00:00:00"/>
    <x v="2"/>
    <x v="2"/>
    <x v="1"/>
    <x v="0"/>
    <x v="8"/>
    <n v="2"/>
    <x v="2"/>
    <x v="2"/>
    <n v="12"/>
    <n v="27"/>
    <n v="324"/>
  </r>
  <r>
    <x v="366"/>
    <x v="2"/>
    <x v="15"/>
    <d v="2025-01-17T00:00:00"/>
    <x v="0"/>
    <x v="0"/>
    <x v="0"/>
    <x v="0"/>
    <x v="8"/>
    <n v="1"/>
    <x v="2"/>
    <x v="0"/>
    <n v="8"/>
    <n v="53.9"/>
    <n v="431.2"/>
  </r>
  <r>
    <x v="367"/>
    <x v="3"/>
    <x v="15"/>
    <d v="2025-01-17T00:00:00"/>
    <x v="2"/>
    <x v="1"/>
    <x v="0"/>
    <x v="0"/>
    <x v="9"/>
    <n v="1"/>
    <x v="2"/>
    <x v="2"/>
    <n v="9"/>
    <n v="48.4"/>
    <n v="435.59999999999997"/>
  </r>
  <r>
    <x v="368"/>
    <x v="17"/>
    <x v="15"/>
    <d v="2025-01-21T00:00:00"/>
    <x v="1"/>
    <x v="4"/>
    <x v="4"/>
    <x v="0"/>
    <x v="10"/>
    <n v="5"/>
    <x v="2"/>
    <x v="1"/>
    <n v="2"/>
    <n v="49.9"/>
    <n v="99.8"/>
  </r>
  <r>
    <x v="369"/>
    <x v="1"/>
    <x v="15"/>
    <d v="2025-01-17T00:00:00"/>
    <x v="2"/>
    <x v="0"/>
    <x v="2"/>
    <x v="0"/>
    <x v="11"/>
    <n v="1"/>
    <x v="2"/>
    <x v="2"/>
    <n v="3"/>
    <n v="51.7"/>
    <n v="155.10000000000002"/>
  </r>
  <r>
    <x v="370"/>
    <x v="8"/>
    <x v="15"/>
    <d v="2025-01-18T00:00:00"/>
    <x v="2"/>
    <x v="2"/>
    <x v="0"/>
    <x v="0"/>
    <x v="18"/>
    <n v="2"/>
    <x v="2"/>
    <x v="2"/>
    <n v="3"/>
    <n v="41.8"/>
    <n v="125.39999999999999"/>
  </r>
  <r>
    <x v="371"/>
    <x v="4"/>
    <x v="16"/>
    <d v="2025-01-18T00:00:00"/>
    <x v="1"/>
    <x v="2"/>
    <x v="2"/>
    <x v="0"/>
    <x v="21"/>
    <n v="1"/>
    <x v="2"/>
    <x v="1"/>
    <n v="4"/>
    <n v="36.200000000000003"/>
    <n v="144.80000000000001"/>
  </r>
  <r>
    <x v="372"/>
    <x v="2"/>
    <x v="16"/>
    <d v="2025-01-27T00:00:00"/>
    <x v="1"/>
    <x v="0"/>
    <x v="0"/>
    <x v="0"/>
    <x v="1"/>
    <n v="10"/>
    <x v="2"/>
    <x v="1"/>
    <n v="1"/>
    <n v="150.9"/>
    <n v="150.9"/>
  </r>
  <r>
    <x v="373"/>
    <x v="18"/>
    <x v="16"/>
    <d v="2025-01-18T00:00:00"/>
    <x v="0"/>
    <x v="2"/>
    <x v="0"/>
    <x v="0"/>
    <x v="3"/>
    <n v="1"/>
    <x v="2"/>
    <x v="0"/>
    <n v="4"/>
    <n v="77.599999999999994"/>
    <n v="310.39999999999998"/>
  </r>
  <r>
    <x v="374"/>
    <x v="13"/>
    <x v="16"/>
    <d v="2025-01-17T00:00:00"/>
    <x v="1"/>
    <x v="1"/>
    <x v="0"/>
    <x v="0"/>
    <x v="3"/>
    <n v="0"/>
    <x v="2"/>
    <x v="1"/>
    <n v="5"/>
    <n v="65.5"/>
    <n v="327.5"/>
  </r>
  <r>
    <x v="375"/>
    <x v="6"/>
    <x v="16"/>
    <d v="2025-01-19T00:00:00"/>
    <x v="2"/>
    <x v="0"/>
    <x v="0"/>
    <x v="0"/>
    <x v="3"/>
    <n v="2"/>
    <x v="2"/>
    <x v="2"/>
    <n v="3"/>
    <n v="90.1"/>
    <n v="270.29999999999995"/>
  </r>
  <r>
    <x v="376"/>
    <x v="1"/>
    <x v="16"/>
    <d v="2025-01-20T00:00:00"/>
    <x v="3"/>
    <x v="4"/>
    <x v="0"/>
    <x v="0"/>
    <x v="3"/>
    <n v="3"/>
    <x v="2"/>
    <x v="3"/>
    <n v="2"/>
    <n v="108.3"/>
    <n v="216.6"/>
  </r>
  <r>
    <x v="377"/>
    <x v="5"/>
    <x v="16"/>
    <d v="2025-01-21T00:00:00"/>
    <x v="2"/>
    <x v="0"/>
    <x v="0"/>
    <x v="0"/>
    <x v="3"/>
    <n v="4"/>
    <x v="2"/>
    <x v="2"/>
    <n v="3"/>
    <n v="59.9"/>
    <n v="179.7"/>
  </r>
  <r>
    <x v="378"/>
    <x v="2"/>
    <x v="16"/>
    <d v="2025-01-19T00:00:00"/>
    <x v="2"/>
    <x v="1"/>
    <x v="4"/>
    <x v="0"/>
    <x v="3"/>
    <n v="2"/>
    <x v="2"/>
    <x v="2"/>
    <n v="17"/>
    <n v="139"/>
    <n v="2363"/>
  </r>
  <r>
    <x v="379"/>
    <x v="6"/>
    <x v="16"/>
    <d v="2025-01-18T00:00:00"/>
    <x v="2"/>
    <x v="0"/>
    <x v="0"/>
    <x v="0"/>
    <x v="3"/>
    <n v="1"/>
    <x v="2"/>
    <x v="2"/>
    <n v="3"/>
    <n v="87.3"/>
    <n v="261.89999999999998"/>
  </r>
  <r>
    <x v="380"/>
    <x v="11"/>
    <x v="16"/>
    <d v="2025-01-17T00:00:00"/>
    <x v="1"/>
    <x v="0"/>
    <x v="0"/>
    <x v="0"/>
    <x v="3"/>
    <n v="0"/>
    <x v="2"/>
    <x v="1"/>
    <n v="4"/>
    <n v="42.3"/>
    <n v="169.2"/>
  </r>
  <r>
    <x v="381"/>
    <x v="14"/>
    <x v="16"/>
    <d v="2025-01-18T00:00:00"/>
    <x v="3"/>
    <x v="0"/>
    <x v="1"/>
    <x v="0"/>
    <x v="3"/>
    <n v="1"/>
    <x v="2"/>
    <x v="3"/>
    <n v="8"/>
    <n v="103.6"/>
    <n v="828.8"/>
  </r>
  <r>
    <x v="382"/>
    <x v="6"/>
    <x v="16"/>
    <d v="2025-01-18T00:00:00"/>
    <x v="1"/>
    <x v="1"/>
    <x v="0"/>
    <x v="0"/>
    <x v="6"/>
    <n v="1"/>
    <x v="2"/>
    <x v="1"/>
    <n v="2"/>
    <n v="90.9"/>
    <n v="181.8"/>
  </r>
  <r>
    <x v="383"/>
    <x v="9"/>
    <x v="16"/>
    <d v="2025-01-18T00:00:00"/>
    <x v="2"/>
    <x v="1"/>
    <x v="0"/>
    <x v="0"/>
    <x v="6"/>
    <n v="1"/>
    <x v="2"/>
    <x v="2"/>
    <n v="16"/>
    <n v="100.9"/>
    <n v="1614.4"/>
  </r>
  <r>
    <x v="384"/>
    <x v="4"/>
    <x v="16"/>
    <d v="2025-01-19T00:00:00"/>
    <x v="2"/>
    <x v="1"/>
    <x v="0"/>
    <x v="0"/>
    <x v="7"/>
    <n v="2"/>
    <x v="2"/>
    <x v="2"/>
    <n v="5"/>
    <n v="36"/>
    <n v="180"/>
  </r>
  <r>
    <x v="385"/>
    <x v="6"/>
    <x v="16"/>
    <d v="2025-01-20T00:00:00"/>
    <x v="0"/>
    <x v="2"/>
    <x v="0"/>
    <x v="0"/>
    <x v="7"/>
    <n v="3"/>
    <x v="2"/>
    <x v="0"/>
    <n v="6"/>
    <n v="83.3"/>
    <n v="499.79999999999995"/>
  </r>
  <r>
    <x v="386"/>
    <x v="2"/>
    <x v="16"/>
    <d v="2025-01-18T00:00:00"/>
    <x v="1"/>
    <x v="2"/>
    <x v="1"/>
    <x v="0"/>
    <x v="7"/>
    <n v="1"/>
    <x v="2"/>
    <x v="1"/>
    <n v="17"/>
    <n v="60.3"/>
    <n v="1025.0999999999999"/>
  </r>
  <r>
    <x v="387"/>
    <x v="2"/>
    <x v="16"/>
    <d v="2025-01-18T00:00:00"/>
    <x v="1"/>
    <x v="2"/>
    <x v="0"/>
    <x v="0"/>
    <x v="8"/>
    <n v="1"/>
    <x v="2"/>
    <x v="1"/>
    <n v="6"/>
    <n v="120.3"/>
    <n v="721.8"/>
  </r>
  <r>
    <x v="388"/>
    <x v="4"/>
    <x v="16"/>
    <d v="2025-01-21T00:00:00"/>
    <x v="2"/>
    <x v="2"/>
    <x v="0"/>
    <x v="0"/>
    <x v="8"/>
    <n v="4"/>
    <x v="2"/>
    <x v="2"/>
    <n v="10"/>
    <n v="34"/>
    <n v="340"/>
  </r>
  <r>
    <x v="389"/>
    <x v="10"/>
    <x v="16"/>
    <d v="2025-01-20T00:00:00"/>
    <x v="1"/>
    <x v="1"/>
    <x v="0"/>
    <x v="0"/>
    <x v="8"/>
    <n v="3"/>
    <x v="2"/>
    <x v="1"/>
    <n v="5"/>
    <n v="42.6"/>
    <n v="213"/>
  </r>
  <r>
    <x v="390"/>
    <x v="5"/>
    <x v="16"/>
    <d v="2025-01-17T00:00:00"/>
    <x v="2"/>
    <x v="2"/>
    <x v="1"/>
    <x v="0"/>
    <x v="17"/>
    <n v="0"/>
    <x v="2"/>
    <x v="2"/>
    <n v="20"/>
    <n v="47.4"/>
    <n v="948"/>
  </r>
  <r>
    <x v="391"/>
    <x v="2"/>
    <x v="17"/>
    <d v="2025-01-19T00:00:00"/>
    <x v="1"/>
    <x v="1"/>
    <x v="0"/>
    <x v="0"/>
    <x v="11"/>
    <n v="1"/>
    <x v="2"/>
    <x v="1"/>
    <n v="1"/>
    <n v="74"/>
    <n v="74"/>
  </r>
  <r>
    <x v="392"/>
    <x v="2"/>
    <x v="17"/>
    <d v="2025-01-21T00:00:00"/>
    <x v="2"/>
    <x v="1"/>
    <x v="4"/>
    <x v="0"/>
    <x v="18"/>
    <n v="3"/>
    <x v="2"/>
    <x v="2"/>
    <n v="5"/>
    <n v="60.4"/>
    <n v="302"/>
  </r>
  <r>
    <x v="393"/>
    <x v="12"/>
    <x v="17"/>
    <d v="2025-01-21T00:00:00"/>
    <x v="1"/>
    <x v="1"/>
    <x v="1"/>
    <x v="0"/>
    <x v="13"/>
    <n v="3"/>
    <x v="2"/>
    <x v="1"/>
    <n v="2"/>
    <n v="69.3"/>
    <n v="138.6"/>
  </r>
  <r>
    <x v="394"/>
    <x v="5"/>
    <x v="17"/>
    <d v="2025-01-24T00:00:00"/>
    <x v="1"/>
    <x v="3"/>
    <x v="0"/>
    <x v="0"/>
    <x v="21"/>
    <n v="6"/>
    <x v="2"/>
    <x v="1"/>
    <n v="5"/>
    <n v="81"/>
    <n v="405"/>
  </r>
  <r>
    <x v="395"/>
    <x v="15"/>
    <x v="17"/>
    <d v="2025-01-20T00:00:00"/>
    <x v="3"/>
    <x v="1"/>
    <x v="0"/>
    <x v="0"/>
    <x v="21"/>
    <n v="2"/>
    <x v="2"/>
    <x v="3"/>
    <n v="3"/>
    <n v="41.5"/>
    <n v="124.5"/>
  </r>
  <r>
    <x v="396"/>
    <x v="18"/>
    <x v="17"/>
    <d v="2025-01-23T00:00:00"/>
    <x v="1"/>
    <x v="1"/>
    <x v="0"/>
    <x v="0"/>
    <x v="21"/>
    <n v="5"/>
    <x v="2"/>
    <x v="1"/>
    <n v="2"/>
    <n v="69.7"/>
    <n v="139.4"/>
  </r>
  <r>
    <x v="397"/>
    <x v="2"/>
    <x v="17"/>
    <d v="2025-01-18T00:00:00"/>
    <x v="2"/>
    <x v="4"/>
    <x v="0"/>
    <x v="0"/>
    <x v="1"/>
    <n v="0"/>
    <x v="2"/>
    <x v="2"/>
    <n v="5"/>
    <n v="83.6"/>
    <n v="418"/>
  </r>
  <r>
    <x v="398"/>
    <x v="8"/>
    <x v="17"/>
    <d v="2025-01-20T00:00:00"/>
    <x v="1"/>
    <x v="1"/>
    <x v="4"/>
    <x v="0"/>
    <x v="34"/>
    <n v="2"/>
    <x v="2"/>
    <x v="1"/>
    <n v="7"/>
    <n v="21.5"/>
    <n v="150.5"/>
  </r>
  <r>
    <x v="399"/>
    <x v="8"/>
    <x v="17"/>
    <d v="2025-01-19T00:00:00"/>
    <x v="1"/>
    <x v="0"/>
    <x v="0"/>
    <x v="0"/>
    <x v="3"/>
    <n v="1"/>
    <x v="2"/>
    <x v="1"/>
    <n v="8"/>
    <n v="28.6"/>
    <n v="228.8"/>
  </r>
  <r>
    <x v="400"/>
    <x v="8"/>
    <x v="17"/>
    <d v="2025-01-21T00:00:00"/>
    <x v="1"/>
    <x v="3"/>
    <x v="2"/>
    <x v="0"/>
    <x v="3"/>
    <n v="3"/>
    <x v="2"/>
    <x v="1"/>
    <n v="6"/>
    <n v="18.8"/>
    <n v="112.80000000000001"/>
  </r>
  <r>
    <x v="401"/>
    <x v="10"/>
    <x v="17"/>
    <d v="2025-01-18T00:00:00"/>
    <x v="2"/>
    <x v="1"/>
    <x v="1"/>
    <x v="0"/>
    <x v="3"/>
    <n v="0"/>
    <x v="2"/>
    <x v="2"/>
    <n v="4"/>
    <n v="35.1"/>
    <n v="140.4"/>
  </r>
  <r>
    <x v="402"/>
    <x v="0"/>
    <x v="17"/>
    <d v="2025-01-20T00:00:00"/>
    <x v="2"/>
    <x v="1"/>
    <x v="2"/>
    <x v="0"/>
    <x v="3"/>
    <n v="2"/>
    <x v="2"/>
    <x v="2"/>
    <n v="2"/>
    <n v="12.7"/>
    <n v="25.4"/>
  </r>
  <r>
    <x v="403"/>
    <x v="8"/>
    <x v="17"/>
    <d v="2025-01-20T00:00:00"/>
    <x v="3"/>
    <x v="0"/>
    <x v="0"/>
    <x v="0"/>
    <x v="3"/>
    <n v="2"/>
    <x v="2"/>
    <x v="3"/>
    <n v="5"/>
    <n v="27.4"/>
    <n v="137"/>
  </r>
  <r>
    <x v="404"/>
    <x v="10"/>
    <x v="17"/>
    <d v="2025-01-19T00:00:00"/>
    <x v="2"/>
    <x v="1"/>
    <x v="0"/>
    <x v="0"/>
    <x v="6"/>
    <n v="1"/>
    <x v="2"/>
    <x v="2"/>
    <n v="2"/>
    <n v="61.3"/>
    <n v="122.6"/>
  </r>
  <r>
    <x v="405"/>
    <x v="8"/>
    <x v="17"/>
    <d v="2025-01-20T00:00:00"/>
    <x v="2"/>
    <x v="3"/>
    <x v="2"/>
    <x v="0"/>
    <x v="6"/>
    <n v="2"/>
    <x v="2"/>
    <x v="2"/>
    <n v="2"/>
    <n v="64.7"/>
    <n v="129.4"/>
  </r>
  <r>
    <x v="406"/>
    <x v="7"/>
    <x v="17"/>
    <d v="2025-01-20T00:00:00"/>
    <x v="2"/>
    <x v="0"/>
    <x v="0"/>
    <x v="0"/>
    <x v="8"/>
    <n v="2"/>
    <x v="2"/>
    <x v="2"/>
    <n v="4"/>
    <n v="91.4"/>
    <n v="365.6"/>
  </r>
  <r>
    <x v="407"/>
    <x v="0"/>
    <x v="18"/>
    <d v="2025-01-20T00:00:00"/>
    <x v="1"/>
    <x v="0"/>
    <x v="2"/>
    <x v="0"/>
    <x v="8"/>
    <n v="1"/>
    <x v="3"/>
    <x v="1"/>
    <n v="2"/>
    <n v="33.1"/>
    <n v="66.2"/>
  </r>
  <r>
    <x v="408"/>
    <x v="3"/>
    <x v="18"/>
    <d v="2025-01-20T00:00:00"/>
    <x v="1"/>
    <x v="2"/>
    <x v="1"/>
    <x v="0"/>
    <x v="8"/>
    <n v="1"/>
    <x v="3"/>
    <x v="1"/>
    <n v="2"/>
    <n v="105.6"/>
    <n v="211.2"/>
  </r>
  <r>
    <x v="409"/>
    <x v="10"/>
    <x v="18"/>
    <d v="2025-01-20T00:00:00"/>
    <x v="1"/>
    <x v="2"/>
    <x v="0"/>
    <x v="0"/>
    <x v="9"/>
    <n v="1"/>
    <x v="3"/>
    <x v="1"/>
    <n v="3"/>
    <n v="46.4"/>
    <n v="139.19999999999999"/>
  </r>
  <r>
    <x v="410"/>
    <x v="9"/>
    <x v="18"/>
    <d v="2025-01-22T00:00:00"/>
    <x v="2"/>
    <x v="4"/>
    <x v="1"/>
    <x v="0"/>
    <x v="11"/>
    <n v="3"/>
    <x v="3"/>
    <x v="2"/>
    <n v="14"/>
    <n v="35.299999999999997"/>
    <n v="494.19999999999993"/>
  </r>
  <r>
    <x v="411"/>
    <x v="0"/>
    <x v="18"/>
    <d v="2025-01-21T00:00:00"/>
    <x v="1"/>
    <x v="3"/>
    <x v="2"/>
    <x v="0"/>
    <x v="32"/>
    <n v="2"/>
    <x v="3"/>
    <x v="1"/>
    <n v="2"/>
    <n v="16.100000000000001"/>
    <n v="32.200000000000003"/>
  </r>
  <r>
    <x v="412"/>
    <x v="4"/>
    <x v="18"/>
    <d v="2025-01-22T00:00:00"/>
    <x v="1"/>
    <x v="0"/>
    <x v="0"/>
    <x v="0"/>
    <x v="13"/>
    <n v="3"/>
    <x v="3"/>
    <x v="1"/>
    <n v="2"/>
    <n v="27.9"/>
    <n v="55.8"/>
  </r>
  <r>
    <x v="413"/>
    <x v="8"/>
    <x v="18"/>
    <d v="2025-01-27T00:00:00"/>
    <x v="2"/>
    <x v="1"/>
    <x v="0"/>
    <x v="0"/>
    <x v="2"/>
    <n v="8"/>
    <x v="3"/>
    <x v="2"/>
    <n v="1"/>
    <n v="47.1"/>
    <n v="47.1"/>
  </r>
  <r>
    <x v="414"/>
    <x v="6"/>
    <x v="18"/>
    <d v="2025-01-22T00:00:00"/>
    <x v="0"/>
    <x v="2"/>
    <x v="2"/>
    <x v="0"/>
    <x v="22"/>
    <n v="3"/>
    <x v="3"/>
    <x v="0"/>
    <n v="2"/>
    <n v="85"/>
    <n v="170"/>
  </r>
  <r>
    <x v="415"/>
    <x v="18"/>
    <x v="18"/>
    <d v="2025-01-21T00:00:00"/>
    <x v="2"/>
    <x v="0"/>
    <x v="0"/>
    <x v="0"/>
    <x v="3"/>
    <n v="2"/>
    <x v="3"/>
    <x v="2"/>
    <n v="2"/>
    <n v="89"/>
    <n v="178"/>
  </r>
  <r>
    <x v="416"/>
    <x v="16"/>
    <x v="18"/>
    <d v="2025-01-20T00:00:00"/>
    <x v="3"/>
    <x v="3"/>
    <x v="2"/>
    <x v="0"/>
    <x v="3"/>
    <n v="1"/>
    <x v="3"/>
    <x v="3"/>
    <n v="3"/>
    <n v="36.6"/>
    <n v="109.80000000000001"/>
  </r>
  <r>
    <x v="417"/>
    <x v="6"/>
    <x v="18"/>
    <d v="2025-01-20T00:00:00"/>
    <x v="1"/>
    <x v="1"/>
    <x v="2"/>
    <x v="0"/>
    <x v="3"/>
    <n v="1"/>
    <x v="3"/>
    <x v="1"/>
    <n v="7"/>
    <n v="43.5"/>
    <n v="304.5"/>
  </r>
  <r>
    <x v="418"/>
    <x v="9"/>
    <x v="18"/>
    <d v="2025-01-19T00:00:00"/>
    <x v="2"/>
    <x v="3"/>
    <x v="0"/>
    <x v="0"/>
    <x v="3"/>
    <n v="0"/>
    <x v="3"/>
    <x v="2"/>
    <n v="19"/>
    <n v="30.5"/>
    <n v="579.5"/>
  </r>
  <r>
    <x v="419"/>
    <x v="1"/>
    <x v="18"/>
    <d v="2025-01-23T00:00:00"/>
    <x v="1"/>
    <x v="3"/>
    <x v="4"/>
    <x v="0"/>
    <x v="3"/>
    <n v="4"/>
    <x v="3"/>
    <x v="1"/>
    <n v="2"/>
    <n v="107.7"/>
    <n v="215.4"/>
  </r>
  <r>
    <x v="420"/>
    <x v="17"/>
    <x v="18"/>
    <d v="2025-01-20T00:00:00"/>
    <x v="1"/>
    <x v="1"/>
    <x v="0"/>
    <x v="0"/>
    <x v="3"/>
    <n v="1"/>
    <x v="3"/>
    <x v="1"/>
    <n v="26"/>
    <n v="57.1"/>
    <n v="1484.6000000000001"/>
  </r>
  <r>
    <x v="421"/>
    <x v="2"/>
    <x v="18"/>
    <d v="2025-01-20T00:00:00"/>
    <x v="2"/>
    <x v="4"/>
    <x v="2"/>
    <x v="0"/>
    <x v="3"/>
    <n v="1"/>
    <x v="3"/>
    <x v="2"/>
    <n v="10"/>
    <n v="111.7"/>
    <n v="1117"/>
  </r>
  <r>
    <x v="422"/>
    <x v="18"/>
    <x v="18"/>
    <d v="2025-01-22T00:00:00"/>
    <x v="1"/>
    <x v="3"/>
    <x v="2"/>
    <x v="0"/>
    <x v="3"/>
    <n v="3"/>
    <x v="3"/>
    <x v="1"/>
    <n v="7"/>
    <n v="44.3"/>
    <n v="310.09999999999997"/>
  </r>
  <r>
    <x v="423"/>
    <x v="2"/>
    <x v="18"/>
    <d v="2025-01-25T00:00:00"/>
    <x v="3"/>
    <x v="0"/>
    <x v="0"/>
    <x v="0"/>
    <x v="3"/>
    <n v="6"/>
    <x v="3"/>
    <x v="3"/>
    <n v="8"/>
    <n v="95.8"/>
    <n v="766.4"/>
  </r>
  <r>
    <x v="424"/>
    <x v="10"/>
    <x v="18"/>
    <d v="2025-01-22T00:00:00"/>
    <x v="2"/>
    <x v="3"/>
    <x v="1"/>
    <x v="0"/>
    <x v="3"/>
    <n v="3"/>
    <x v="3"/>
    <x v="2"/>
    <n v="7"/>
    <n v="22.6"/>
    <n v="158.20000000000002"/>
  </r>
  <r>
    <x v="425"/>
    <x v="8"/>
    <x v="18"/>
    <d v="2025-01-21T00:00:00"/>
    <x v="2"/>
    <x v="4"/>
    <x v="0"/>
    <x v="0"/>
    <x v="3"/>
    <n v="2"/>
    <x v="3"/>
    <x v="2"/>
    <n v="8"/>
    <n v="25.6"/>
    <n v="204.8"/>
  </r>
  <r>
    <x v="426"/>
    <x v="6"/>
    <x v="18"/>
    <d v="2025-01-22T00:00:00"/>
    <x v="2"/>
    <x v="4"/>
    <x v="0"/>
    <x v="0"/>
    <x v="3"/>
    <n v="3"/>
    <x v="3"/>
    <x v="2"/>
    <n v="16"/>
    <n v="54.3"/>
    <n v="868.8"/>
  </r>
  <r>
    <x v="427"/>
    <x v="18"/>
    <x v="18"/>
    <d v="2025-01-21T00:00:00"/>
    <x v="1"/>
    <x v="0"/>
    <x v="2"/>
    <x v="0"/>
    <x v="3"/>
    <n v="2"/>
    <x v="3"/>
    <x v="1"/>
    <n v="13"/>
    <n v="51.3"/>
    <n v="666.9"/>
  </r>
  <r>
    <x v="428"/>
    <x v="0"/>
    <x v="18"/>
    <d v="2025-01-20T00:00:00"/>
    <x v="2"/>
    <x v="1"/>
    <x v="1"/>
    <x v="0"/>
    <x v="3"/>
    <n v="1"/>
    <x v="3"/>
    <x v="2"/>
    <n v="8"/>
    <n v="25.6"/>
    <n v="204.8"/>
  </r>
  <r>
    <x v="429"/>
    <x v="0"/>
    <x v="18"/>
    <d v="2025-01-20T00:00:00"/>
    <x v="2"/>
    <x v="2"/>
    <x v="2"/>
    <x v="0"/>
    <x v="3"/>
    <n v="1"/>
    <x v="3"/>
    <x v="2"/>
    <n v="2"/>
    <n v="15.6"/>
    <n v="31.2"/>
  </r>
  <r>
    <x v="430"/>
    <x v="8"/>
    <x v="18"/>
    <d v="2025-01-23T00:00:00"/>
    <x v="2"/>
    <x v="0"/>
    <x v="1"/>
    <x v="0"/>
    <x v="3"/>
    <n v="4"/>
    <x v="3"/>
    <x v="2"/>
    <n v="3"/>
    <n v="30.3"/>
    <n v="90.9"/>
  </r>
  <r>
    <x v="431"/>
    <x v="12"/>
    <x v="18"/>
    <d v="2025-01-24T00:00:00"/>
    <x v="2"/>
    <x v="0"/>
    <x v="2"/>
    <x v="0"/>
    <x v="37"/>
    <n v="5"/>
    <x v="3"/>
    <x v="2"/>
    <n v="2"/>
    <n v="30.3"/>
    <n v="60.6"/>
  </r>
  <r>
    <x v="432"/>
    <x v="10"/>
    <x v="18"/>
    <d v="2025-01-26T00:00:00"/>
    <x v="2"/>
    <x v="2"/>
    <x v="0"/>
    <x v="0"/>
    <x v="24"/>
    <n v="7"/>
    <x v="3"/>
    <x v="2"/>
    <n v="3"/>
    <n v="53"/>
    <n v="159"/>
  </r>
  <r>
    <x v="433"/>
    <x v="5"/>
    <x v="18"/>
    <d v="2025-01-22T00:00:00"/>
    <x v="1"/>
    <x v="2"/>
    <x v="4"/>
    <x v="0"/>
    <x v="25"/>
    <n v="3"/>
    <x v="3"/>
    <x v="1"/>
    <n v="18"/>
    <n v="59.9"/>
    <n v="1078.2"/>
  </r>
  <r>
    <x v="434"/>
    <x v="9"/>
    <x v="18"/>
    <d v="2025-01-20T00:00:00"/>
    <x v="2"/>
    <x v="1"/>
    <x v="2"/>
    <x v="0"/>
    <x v="6"/>
    <n v="1"/>
    <x v="3"/>
    <x v="2"/>
    <n v="2"/>
    <n v="45.7"/>
    <n v="91.4"/>
  </r>
  <r>
    <x v="435"/>
    <x v="8"/>
    <x v="18"/>
    <d v="2025-01-20T00:00:00"/>
    <x v="1"/>
    <x v="0"/>
    <x v="0"/>
    <x v="0"/>
    <x v="6"/>
    <n v="1"/>
    <x v="3"/>
    <x v="1"/>
    <n v="4"/>
    <n v="46.1"/>
    <n v="184.4"/>
  </r>
  <r>
    <x v="436"/>
    <x v="8"/>
    <x v="18"/>
    <d v="2025-01-20T00:00:00"/>
    <x v="2"/>
    <x v="0"/>
    <x v="2"/>
    <x v="0"/>
    <x v="8"/>
    <n v="1"/>
    <x v="3"/>
    <x v="2"/>
    <n v="3"/>
    <n v="17.5"/>
    <n v="52.5"/>
  </r>
  <r>
    <x v="437"/>
    <x v="10"/>
    <x v="18"/>
    <d v="2025-01-30T00:00:00"/>
    <x v="1"/>
    <x v="2"/>
    <x v="0"/>
    <x v="0"/>
    <x v="8"/>
    <n v="11"/>
    <x v="3"/>
    <x v="1"/>
    <n v="3"/>
    <n v="36.5"/>
    <n v="109.5"/>
  </r>
  <r>
    <x v="438"/>
    <x v="8"/>
    <x v="19"/>
    <d v="2025-01-22T00:00:00"/>
    <x v="2"/>
    <x v="1"/>
    <x v="0"/>
    <x v="0"/>
    <x v="8"/>
    <n v="2"/>
    <x v="3"/>
    <x v="2"/>
    <n v="2"/>
    <n v="47.5"/>
    <n v="95"/>
  </r>
  <r>
    <x v="439"/>
    <x v="6"/>
    <x v="19"/>
    <d v="2025-01-22T00:00:00"/>
    <x v="2"/>
    <x v="0"/>
    <x v="2"/>
    <x v="0"/>
    <x v="8"/>
    <n v="2"/>
    <x v="3"/>
    <x v="2"/>
    <n v="5"/>
    <n v="45.6"/>
    <n v="228"/>
  </r>
  <r>
    <x v="440"/>
    <x v="9"/>
    <x v="19"/>
    <d v="2025-01-22T00:00:00"/>
    <x v="1"/>
    <x v="0"/>
    <x v="1"/>
    <x v="0"/>
    <x v="17"/>
    <n v="2"/>
    <x v="3"/>
    <x v="1"/>
    <n v="2"/>
    <n v="50.5"/>
    <n v="101"/>
  </r>
  <r>
    <x v="441"/>
    <x v="2"/>
    <x v="19"/>
    <d v="2025-01-23T00:00:00"/>
    <x v="2"/>
    <x v="2"/>
    <x v="1"/>
    <x v="0"/>
    <x v="17"/>
    <n v="3"/>
    <x v="3"/>
    <x v="2"/>
    <n v="10"/>
    <n v="99.8"/>
    <n v="998"/>
  </r>
  <r>
    <x v="442"/>
    <x v="8"/>
    <x v="19"/>
    <d v="2025-01-22T00:00:00"/>
    <x v="3"/>
    <x v="4"/>
    <x v="1"/>
    <x v="0"/>
    <x v="26"/>
    <n v="2"/>
    <x v="3"/>
    <x v="3"/>
    <n v="15"/>
    <n v="19.2"/>
    <n v="288"/>
  </r>
  <r>
    <x v="443"/>
    <x v="17"/>
    <x v="19"/>
    <d v="2025-01-21T00:00:00"/>
    <x v="1"/>
    <x v="1"/>
    <x v="0"/>
    <x v="0"/>
    <x v="11"/>
    <n v="1"/>
    <x v="3"/>
    <x v="1"/>
    <n v="3"/>
    <n v="22.6"/>
    <n v="67.800000000000011"/>
  </r>
  <r>
    <x v="444"/>
    <x v="1"/>
    <x v="19"/>
    <d v="2025-01-22T00:00:00"/>
    <x v="2"/>
    <x v="0"/>
    <x v="2"/>
    <x v="0"/>
    <x v="11"/>
    <n v="2"/>
    <x v="3"/>
    <x v="2"/>
    <n v="15"/>
    <n v="126.9"/>
    <n v="1903.5"/>
  </r>
  <r>
    <x v="445"/>
    <x v="2"/>
    <x v="19"/>
    <d v="2025-01-21T00:00:00"/>
    <x v="2"/>
    <x v="0"/>
    <x v="1"/>
    <x v="0"/>
    <x v="11"/>
    <n v="1"/>
    <x v="3"/>
    <x v="2"/>
    <n v="2"/>
    <n v="100.3"/>
    <n v="200.6"/>
  </r>
  <r>
    <x v="446"/>
    <x v="4"/>
    <x v="19"/>
    <d v="2025-01-21T00:00:00"/>
    <x v="2"/>
    <x v="4"/>
    <x v="0"/>
    <x v="0"/>
    <x v="13"/>
    <n v="1"/>
    <x v="3"/>
    <x v="2"/>
    <n v="18"/>
    <n v="24.6"/>
    <n v="442.8"/>
  </r>
  <r>
    <x v="447"/>
    <x v="6"/>
    <x v="19"/>
    <d v="2025-01-21T00:00:00"/>
    <x v="1"/>
    <x v="1"/>
    <x v="2"/>
    <x v="0"/>
    <x v="13"/>
    <n v="1"/>
    <x v="3"/>
    <x v="1"/>
    <n v="2"/>
    <n v="47.3"/>
    <n v="94.6"/>
  </r>
  <r>
    <x v="448"/>
    <x v="6"/>
    <x v="19"/>
    <d v="2025-01-23T00:00:00"/>
    <x v="2"/>
    <x v="2"/>
    <x v="2"/>
    <x v="0"/>
    <x v="21"/>
    <n v="3"/>
    <x v="3"/>
    <x v="2"/>
    <n v="7"/>
    <n v="40.799999999999997"/>
    <n v="285.59999999999997"/>
  </r>
  <r>
    <x v="449"/>
    <x v="8"/>
    <x v="19"/>
    <d v="2025-01-22T00:00:00"/>
    <x v="2"/>
    <x v="0"/>
    <x v="0"/>
    <x v="0"/>
    <x v="1"/>
    <n v="2"/>
    <x v="3"/>
    <x v="2"/>
    <n v="8"/>
    <n v="49.2"/>
    <n v="393.6"/>
  </r>
  <r>
    <x v="450"/>
    <x v="8"/>
    <x v="19"/>
    <d v="2025-01-22T00:00:00"/>
    <x v="0"/>
    <x v="2"/>
    <x v="1"/>
    <x v="0"/>
    <x v="3"/>
    <n v="2"/>
    <x v="3"/>
    <x v="0"/>
    <n v="1"/>
    <n v="28.5"/>
    <n v="28.5"/>
  </r>
  <r>
    <x v="451"/>
    <x v="18"/>
    <x v="19"/>
    <d v="2025-01-26T00:00:00"/>
    <x v="2"/>
    <x v="0"/>
    <x v="2"/>
    <x v="0"/>
    <x v="3"/>
    <n v="6"/>
    <x v="3"/>
    <x v="2"/>
    <n v="2"/>
    <n v="36.799999999999997"/>
    <n v="73.599999999999994"/>
  </r>
  <r>
    <x v="452"/>
    <x v="7"/>
    <x v="19"/>
    <d v="2025-01-21T00:00:00"/>
    <x v="2"/>
    <x v="0"/>
    <x v="1"/>
    <x v="0"/>
    <x v="3"/>
    <n v="1"/>
    <x v="3"/>
    <x v="2"/>
    <n v="3"/>
    <n v="33.5"/>
    <n v="100.5"/>
  </r>
  <r>
    <x v="453"/>
    <x v="6"/>
    <x v="19"/>
    <d v="2025-01-22T00:00:00"/>
    <x v="2"/>
    <x v="0"/>
    <x v="0"/>
    <x v="0"/>
    <x v="3"/>
    <n v="2"/>
    <x v="3"/>
    <x v="2"/>
    <n v="6"/>
    <n v="62.5"/>
    <n v="375"/>
  </r>
  <r>
    <x v="454"/>
    <x v="8"/>
    <x v="19"/>
    <d v="2025-01-21T00:00:00"/>
    <x v="2"/>
    <x v="3"/>
    <x v="0"/>
    <x v="0"/>
    <x v="3"/>
    <n v="1"/>
    <x v="3"/>
    <x v="2"/>
    <n v="40"/>
    <n v="47.9"/>
    <n v="1916"/>
  </r>
  <r>
    <x v="455"/>
    <x v="6"/>
    <x v="19"/>
    <d v="2025-01-31T00:00:00"/>
    <x v="2"/>
    <x v="0"/>
    <x v="4"/>
    <x v="0"/>
    <x v="3"/>
    <n v="11"/>
    <x v="3"/>
    <x v="2"/>
    <n v="6"/>
    <n v="92.9"/>
    <n v="557.40000000000009"/>
  </r>
  <r>
    <x v="456"/>
    <x v="12"/>
    <x v="19"/>
    <d v="2025-01-20T00:00:00"/>
    <x v="2"/>
    <x v="1"/>
    <x v="1"/>
    <x v="0"/>
    <x v="43"/>
    <n v="0"/>
    <x v="3"/>
    <x v="2"/>
    <n v="3"/>
    <n v="44.1"/>
    <n v="132.30000000000001"/>
  </r>
  <r>
    <x v="457"/>
    <x v="0"/>
    <x v="20"/>
    <d v="2025-01-23T00:00:00"/>
    <x v="2"/>
    <x v="2"/>
    <x v="0"/>
    <x v="0"/>
    <x v="5"/>
    <n v="2"/>
    <x v="3"/>
    <x v="2"/>
    <n v="1"/>
    <n v="11.4"/>
    <n v="11.4"/>
  </r>
  <r>
    <x v="458"/>
    <x v="6"/>
    <x v="20"/>
    <d v="2025-01-23T00:00:00"/>
    <x v="2"/>
    <x v="0"/>
    <x v="2"/>
    <x v="0"/>
    <x v="6"/>
    <n v="2"/>
    <x v="3"/>
    <x v="2"/>
    <n v="1"/>
    <n v="83.7"/>
    <n v="83.7"/>
  </r>
  <r>
    <x v="459"/>
    <x v="10"/>
    <x v="20"/>
    <d v="2025-01-22T00:00:00"/>
    <x v="1"/>
    <x v="2"/>
    <x v="0"/>
    <x v="0"/>
    <x v="8"/>
    <n v="1"/>
    <x v="3"/>
    <x v="1"/>
    <n v="2"/>
    <n v="23.2"/>
    <n v="46.4"/>
  </r>
  <r>
    <x v="460"/>
    <x v="2"/>
    <x v="20"/>
    <d v="2025-01-24T00:00:00"/>
    <x v="2"/>
    <x v="0"/>
    <x v="2"/>
    <x v="0"/>
    <x v="9"/>
    <n v="3"/>
    <x v="3"/>
    <x v="2"/>
    <n v="1"/>
    <n v="162.1"/>
    <n v="162.1"/>
  </r>
  <r>
    <x v="461"/>
    <x v="6"/>
    <x v="20"/>
    <d v="2025-01-25T00:00:00"/>
    <x v="1"/>
    <x v="1"/>
    <x v="0"/>
    <x v="0"/>
    <x v="9"/>
    <n v="4"/>
    <x v="3"/>
    <x v="1"/>
    <n v="4"/>
    <n v="49.2"/>
    <n v="196.8"/>
  </r>
  <r>
    <x v="462"/>
    <x v="1"/>
    <x v="20"/>
    <d v="2025-01-22T00:00:00"/>
    <x v="1"/>
    <x v="3"/>
    <x v="0"/>
    <x v="0"/>
    <x v="10"/>
    <n v="1"/>
    <x v="3"/>
    <x v="1"/>
    <n v="2"/>
    <n v="61"/>
    <n v="122"/>
  </r>
  <r>
    <x v="463"/>
    <x v="2"/>
    <x v="20"/>
    <d v="2025-01-23T00:00:00"/>
    <x v="1"/>
    <x v="0"/>
    <x v="0"/>
    <x v="0"/>
    <x v="11"/>
    <n v="2"/>
    <x v="3"/>
    <x v="1"/>
    <n v="10"/>
    <n v="53.1"/>
    <n v="531"/>
  </r>
  <r>
    <x v="464"/>
    <x v="4"/>
    <x v="20"/>
    <d v="2025-01-23T00:00:00"/>
    <x v="0"/>
    <x v="1"/>
    <x v="2"/>
    <x v="0"/>
    <x v="13"/>
    <n v="2"/>
    <x v="3"/>
    <x v="0"/>
    <n v="2"/>
    <n v="22.4"/>
    <n v="44.8"/>
  </r>
  <r>
    <x v="465"/>
    <x v="1"/>
    <x v="20"/>
    <d v="2025-01-22T00:00:00"/>
    <x v="1"/>
    <x v="0"/>
    <x v="0"/>
    <x v="0"/>
    <x v="21"/>
    <n v="1"/>
    <x v="3"/>
    <x v="1"/>
    <n v="5"/>
    <n v="75.3"/>
    <n v="376.5"/>
  </r>
  <r>
    <x v="466"/>
    <x v="6"/>
    <x v="20"/>
    <d v="2025-01-22T00:00:00"/>
    <x v="2"/>
    <x v="0"/>
    <x v="1"/>
    <x v="0"/>
    <x v="21"/>
    <n v="1"/>
    <x v="3"/>
    <x v="2"/>
    <n v="1"/>
    <n v="48.5"/>
    <n v="48.5"/>
  </r>
  <r>
    <x v="467"/>
    <x v="6"/>
    <x v="20"/>
    <d v="2025-01-25T00:00:00"/>
    <x v="2"/>
    <x v="3"/>
    <x v="0"/>
    <x v="0"/>
    <x v="1"/>
    <n v="4"/>
    <x v="3"/>
    <x v="2"/>
    <n v="1"/>
    <n v="42.6"/>
    <n v="42.6"/>
  </r>
  <r>
    <x v="468"/>
    <x v="5"/>
    <x v="20"/>
    <d v="2025-01-22T00:00:00"/>
    <x v="1"/>
    <x v="0"/>
    <x v="0"/>
    <x v="0"/>
    <x v="22"/>
    <n v="1"/>
    <x v="3"/>
    <x v="1"/>
    <n v="5"/>
    <n v="49"/>
    <n v="245"/>
  </r>
  <r>
    <x v="469"/>
    <x v="8"/>
    <x v="20"/>
    <d v="2025-01-22T00:00:00"/>
    <x v="1"/>
    <x v="2"/>
    <x v="1"/>
    <x v="0"/>
    <x v="3"/>
    <n v="1"/>
    <x v="3"/>
    <x v="1"/>
    <n v="3"/>
    <n v="31.3"/>
    <n v="93.9"/>
  </r>
  <r>
    <x v="470"/>
    <x v="2"/>
    <x v="20"/>
    <d v="2025-01-22T00:00:00"/>
    <x v="2"/>
    <x v="2"/>
    <x v="0"/>
    <x v="0"/>
    <x v="3"/>
    <n v="1"/>
    <x v="3"/>
    <x v="2"/>
    <n v="2"/>
    <n v="85.4"/>
    <n v="170.8"/>
  </r>
  <r>
    <x v="471"/>
    <x v="8"/>
    <x v="20"/>
    <d v="2025-01-22T00:00:00"/>
    <x v="3"/>
    <x v="0"/>
    <x v="2"/>
    <x v="0"/>
    <x v="3"/>
    <n v="1"/>
    <x v="3"/>
    <x v="3"/>
    <n v="4"/>
    <n v="40"/>
    <n v="160"/>
  </r>
  <r>
    <x v="472"/>
    <x v="5"/>
    <x v="20"/>
    <d v="2025-01-24T00:00:00"/>
    <x v="1"/>
    <x v="1"/>
    <x v="2"/>
    <x v="0"/>
    <x v="3"/>
    <n v="3"/>
    <x v="3"/>
    <x v="1"/>
    <n v="2"/>
    <n v="38.5"/>
    <n v="77"/>
  </r>
  <r>
    <x v="473"/>
    <x v="2"/>
    <x v="20"/>
    <d v="2025-01-22T00:00:00"/>
    <x v="0"/>
    <x v="0"/>
    <x v="0"/>
    <x v="0"/>
    <x v="3"/>
    <n v="1"/>
    <x v="3"/>
    <x v="0"/>
    <n v="2"/>
    <n v="57.8"/>
    <n v="115.6"/>
  </r>
  <r>
    <x v="474"/>
    <x v="8"/>
    <x v="20"/>
    <d v="2025-01-22T00:00:00"/>
    <x v="2"/>
    <x v="0"/>
    <x v="4"/>
    <x v="0"/>
    <x v="3"/>
    <n v="1"/>
    <x v="3"/>
    <x v="2"/>
    <n v="1"/>
    <n v="19.2"/>
    <n v="19.2"/>
  </r>
  <r>
    <x v="475"/>
    <x v="6"/>
    <x v="20"/>
    <d v="2025-01-24T00:00:00"/>
    <x v="1"/>
    <x v="1"/>
    <x v="1"/>
    <x v="0"/>
    <x v="3"/>
    <n v="3"/>
    <x v="3"/>
    <x v="1"/>
    <n v="6"/>
    <n v="114.8"/>
    <n v="688.8"/>
  </r>
  <r>
    <x v="476"/>
    <x v="10"/>
    <x v="20"/>
    <d v="2025-01-24T00:00:00"/>
    <x v="2"/>
    <x v="3"/>
    <x v="1"/>
    <x v="0"/>
    <x v="3"/>
    <n v="3"/>
    <x v="3"/>
    <x v="2"/>
    <n v="7"/>
    <n v="48.4"/>
    <n v="338.8"/>
  </r>
  <r>
    <x v="477"/>
    <x v="9"/>
    <x v="20"/>
    <d v="2025-01-22T00:00:00"/>
    <x v="2"/>
    <x v="1"/>
    <x v="4"/>
    <x v="0"/>
    <x v="3"/>
    <n v="1"/>
    <x v="3"/>
    <x v="2"/>
    <n v="5"/>
    <n v="73.2"/>
    <n v="366"/>
  </r>
  <r>
    <x v="478"/>
    <x v="15"/>
    <x v="20"/>
    <d v="2025-01-25T00:00:00"/>
    <x v="2"/>
    <x v="3"/>
    <x v="0"/>
    <x v="0"/>
    <x v="3"/>
    <n v="4"/>
    <x v="3"/>
    <x v="2"/>
    <n v="2"/>
    <n v="48.6"/>
    <n v="97.2"/>
  </r>
  <r>
    <x v="479"/>
    <x v="0"/>
    <x v="20"/>
    <d v="2025-01-22T00:00:00"/>
    <x v="1"/>
    <x v="0"/>
    <x v="0"/>
    <x v="0"/>
    <x v="3"/>
    <n v="1"/>
    <x v="3"/>
    <x v="1"/>
    <n v="6"/>
    <n v="48.7"/>
    <n v="292.20000000000005"/>
  </r>
  <r>
    <x v="480"/>
    <x v="4"/>
    <x v="20"/>
    <d v="2025-01-24T00:00:00"/>
    <x v="1"/>
    <x v="2"/>
    <x v="2"/>
    <x v="0"/>
    <x v="3"/>
    <n v="3"/>
    <x v="3"/>
    <x v="1"/>
    <n v="2"/>
    <n v="32.200000000000003"/>
    <n v="64.400000000000006"/>
  </r>
  <r>
    <x v="481"/>
    <x v="15"/>
    <x v="20"/>
    <d v="2025-01-22T00:00:00"/>
    <x v="1"/>
    <x v="0"/>
    <x v="0"/>
    <x v="0"/>
    <x v="37"/>
    <n v="1"/>
    <x v="3"/>
    <x v="1"/>
    <n v="8"/>
    <n v="25.8"/>
    <n v="206.4"/>
  </r>
  <r>
    <x v="482"/>
    <x v="6"/>
    <x v="21"/>
    <d v="2025-01-25T00:00:00"/>
    <x v="2"/>
    <x v="1"/>
    <x v="1"/>
    <x v="0"/>
    <x v="25"/>
    <n v="3"/>
    <x v="3"/>
    <x v="2"/>
    <n v="2"/>
    <n v="94.8"/>
    <n v="189.6"/>
  </r>
  <r>
    <x v="483"/>
    <x v="15"/>
    <x v="21"/>
    <d v="2025-01-25T00:00:00"/>
    <x v="1"/>
    <x v="0"/>
    <x v="0"/>
    <x v="0"/>
    <x v="25"/>
    <n v="3"/>
    <x v="3"/>
    <x v="1"/>
    <n v="25"/>
    <n v="56.8"/>
    <n v="1420"/>
  </r>
  <r>
    <x v="484"/>
    <x v="8"/>
    <x v="21"/>
    <d v="2025-01-29T00:00:00"/>
    <x v="2"/>
    <x v="2"/>
    <x v="2"/>
    <x v="0"/>
    <x v="23"/>
    <n v="7"/>
    <x v="3"/>
    <x v="2"/>
    <n v="16"/>
    <n v="18.3"/>
    <n v="292.8"/>
  </r>
  <r>
    <x v="485"/>
    <x v="0"/>
    <x v="21"/>
    <d v="2025-01-27T00:00:00"/>
    <x v="2"/>
    <x v="2"/>
    <x v="2"/>
    <x v="0"/>
    <x v="8"/>
    <n v="5"/>
    <x v="3"/>
    <x v="2"/>
    <n v="3"/>
    <n v="16.8"/>
    <n v="50.400000000000006"/>
  </r>
  <r>
    <x v="486"/>
    <x v="5"/>
    <x v="21"/>
    <d v="2025-01-23T00:00:00"/>
    <x v="1"/>
    <x v="1"/>
    <x v="0"/>
    <x v="0"/>
    <x v="17"/>
    <n v="1"/>
    <x v="3"/>
    <x v="1"/>
    <n v="11"/>
    <n v="35.799999999999997"/>
    <n v="393.79999999999995"/>
  </r>
  <r>
    <x v="487"/>
    <x v="18"/>
    <x v="21"/>
    <d v="2025-01-23T00:00:00"/>
    <x v="1"/>
    <x v="0"/>
    <x v="1"/>
    <x v="0"/>
    <x v="17"/>
    <n v="1"/>
    <x v="3"/>
    <x v="1"/>
    <n v="1"/>
    <n v="64.900000000000006"/>
    <n v="64.900000000000006"/>
  </r>
  <r>
    <x v="488"/>
    <x v="18"/>
    <x v="21"/>
    <d v="2025-01-24T00:00:00"/>
    <x v="0"/>
    <x v="1"/>
    <x v="0"/>
    <x v="0"/>
    <x v="9"/>
    <n v="2"/>
    <x v="3"/>
    <x v="0"/>
    <n v="1"/>
    <n v="28.5"/>
    <n v="28.5"/>
  </r>
  <r>
    <x v="489"/>
    <x v="18"/>
    <x v="21"/>
    <d v="2025-01-24T00:00:00"/>
    <x v="2"/>
    <x v="1"/>
    <x v="0"/>
    <x v="0"/>
    <x v="10"/>
    <n v="2"/>
    <x v="3"/>
    <x v="2"/>
    <n v="2"/>
    <n v="103.5"/>
    <n v="207"/>
  </r>
  <r>
    <x v="490"/>
    <x v="4"/>
    <x v="21"/>
    <d v="2025-01-23T00:00:00"/>
    <x v="2"/>
    <x v="1"/>
    <x v="0"/>
    <x v="0"/>
    <x v="10"/>
    <n v="1"/>
    <x v="3"/>
    <x v="2"/>
    <n v="2"/>
    <n v="41.2"/>
    <n v="82.4"/>
  </r>
  <r>
    <x v="491"/>
    <x v="9"/>
    <x v="21"/>
    <d v="2025-01-24T00:00:00"/>
    <x v="2"/>
    <x v="3"/>
    <x v="3"/>
    <x v="0"/>
    <x v="11"/>
    <n v="2"/>
    <x v="3"/>
    <x v="2"/>
    <n v="1"/>
    <n v="37.799999999999997"/>
    <n v="37.799999999999997"/>
  </r>
  <r>
    <x v="492"/>
    <x v="8"/>
    <x v="21"/>
    <d v="2025-01-24T00:00:00"/>
    <x v="2"/>
    <x v="4"/>
    <x v="0"/>
    <x v="0"/>
    <x v="11"/>
    <n v="2"/>
    <x v="3"/>
    <x v="2"/>
    <n v="2"/>
    <n v="42.6"/>
    <n v="85.2"/>
  </r>
  <r>
    <x v="493"/>
    <x v="8"/>
    <x v="21"/>
    <d v="2025-01-24T00:00:00"/>
    <x v="2"/>
    <x v="2"/>
    <x v="0"/>
    <x v="0"/>
    <x v="11"/>
    <n v="2"/>
    <x v="3"/>
    <x v="2"/>
    <n v="10"/>
    <n v="15.2"/>
    <n v="152"/>
  </r>
  <r>
    <x v="494"/>
    <x v="7"/>
    <x v="21"/>
    <d v="2025-01-23T00:00:00"/>
    <x v="2"/>
    <x v="2"/>
    <x v="1"/>
    <x v="0"/>
    <x v="18"/>
    <n v="1"/>
    <x v="3"/>
    <x v="2"/>
    <n v="4"/>
    <n v="83.4"/>
    <n v="333.6"/>
  </r>
  <r>
    <x v="495"/>
    <x v="19"/>
    <x v="21"/>
    <d v="2025-01-23T00:00:00"/>
    <x v="2"/>
    <x v="0"/>
    <x v="1"/>
    <x v="0"/>
    <x v="13"/>
    <n v="1"/>
    <x v="3"/>
    <x v="2"/>
    <n v="2"/>
    <n v="27.7"/>
    <n v="55.4"/>
  </r>
  <r>
    <x v="496"/>
    <x v="10"/>
    <x v="21"/>
    <d v="2025-01-23T00:00:00"/>
    <x v="1"/>
    <x v="3"/>
    <x v="0"/>
    <x v="0"/>
    <x v="13"/>
    <n v="1"/>
    <x v="3"/>
    <x v="1"/>
    <n v="12"/>
    <n v="20.8"/>
    <n v="249.60000000000002"/>
  </r>
  <r>
    <x v="497"/>
    <x v="11"/>
    <x v="21"/>
    <d v="2025-01-26T00:00:00"/>
    <x v="2"/>
    <x v="4"/>
    <x v="2"/>
    <x v="0"/>
    <x v="44"/>
    <n v="4"/>
    <x v="3"/>
    <x v="2"/>
    <n v="2"/>
    <n v="72.7"/>
    <n v="145.4"/>
  </r>
  <r>
    <x v="498"/>
    <x v="10"/>
    <x v="21"/>
    <d v="2025-01-23T00:00:00"/>
    <x v="1"/>
    <x v="0"/>
    <x v="2"/>
    <x v="0"/>
    <x v="22"/>
    <n v="1"/>
    <x v="3"/>
    <x v="1"/>
    <n v="4"/>
    <n v="38.6"/>
    <n v="154.4"/>
  </r>
  <r>
    <x v="499"/>
    <x v="8"/>
    <x v="21"/>
    <d v="2025-01-23T00:00:00"/>
    <x v="3"/>
    <x v="4"/>
    <x v="3"/>
    <x v="0"/>
    <x v="3"/>
    <n v="1"/>
    <x v="3"/>
    <x v="3"/>
    <n v="7"/>
    <n v="33.1"/>
    <n v="231.70000000000002"/>
  </r>
  <r>
    <x v="500"/>
    <x v="10"/>
    <x v="21"/>
    <d v="2025-01-22T00:00:00"/>
    <x v="0"/>
    <x v="1"/>
    <x v="1"/>
    <x v="0"/>
    <x v="3"/>
    <n v="0"/>
    <x v="3"/>
    <x v="0"/>
    <n v="2"/>
    <n v="30.5"/>
    <n v="61"/>
  </r>
  <r>
    <x v="501"/>
    <x v="9"/>
    <x v="21"/>
    <d v="2025-01-23T00:00:00"/>
    <x v="1"/>
    <x v="0"/>
    <x v="1"/>
    <x v="0"/>
    <x v="3"/>
    <n v="1"/>
    <x v="3"/>
    <x v="1"/>
    <n v="2"/>
    <n v="69.599999999999994"/>
    <n v="139.19999999999999"/>
  </r>
  <r>
    <x v="502"/>
    <x v="11"/>
    <x v="21"/>
    <d v="2025-01-26T00:00:00"/>
    <x v="2"/>
    <x v="1"/>
    <x v="0"/>
    <x v="0"/>
    <x v="3"/>
    <n v="4"/>
    <x v="3"/>
    <x v="2"/>
    <n v="1"/>
    <n v="42.4"/>
    <n v="42.4"/>
  </r>
  <r>
    <x v="503"/>
    <x v="17"/>
    <x v="21"/>
    <d v="2025-01-25T00:00:00"/>
    <x v="2"/>
    <x v="2"/>
    <x v="1"/>
    <x v="0"/>
    <x v="3"/>
    <n v="3"/>
    <x v="3"/>
    <x v="2"/>
    <n v="1"/>
    <n v="32.200000000000003"/>
    <n v="32.200000000000003"/>
  </r>
  <r>
    <x v="504"/>
    <x v="6"/>
    <x v="21"/>
    <d v="2025-01-25T00:00:00"/>
    <x v="2"/>
    <x v="0"/>
    <x v="2"/>
    <x v="0"/>
    <x v="3"/>
    <n v="3"/>
    <x v="3"/>
    <x v="2"/>
    <n v="2"/>
    <n v="41.5"/>
    <n v="83"/>
  </r>
  <r>
    <x v="505"/>
    <x v="16"/>
    <x v="21"/>
    <d v="2025-01-26T00:00:00"/>
    <x v="2"/>
    <x v="3"/>
    <x v="0"/>
    <x v="0"/>
    <x v="3"/>
    <n v="4"/>
    <x v="3"/>
    <x v="2"/>
    <n v="9"/>
    <n v="58.9"/>
    <n v="530.1"/>
  </r>
  <r>
    <x v="506"/>
    <x v="2"/>
    <x v="21"/>
    <d v="2025-01-25T00:00:00"/>
    <x v="2"/>
    <x v="1"/>
    <x v="0"/>
    <x v="0"/>
    <x v="3"/>
    <n v="3"/>
    <x v="3"/>
    <x v="2"/>
    <n v="1"/>
    <n v="57.1"/>
    <n v="57.1"/>
  </r>
  <r>
    <x v="507"/>
    <x v="6"/>
    <x v="21"/>
    <d v="2025-01-24T00:00:00"/>
    <x v="1"/>
    <x v="1"/>
    <x v="0"/>
    <x v="0"/>
    <x v="3"/>
    <n v="2"/>
    <x v="3"/>
    <x v="1"/>
    <n v="1"/>
    <n v="57.2"/>
    <n v="57.2"/>
  </r>
  <r>
    <x v="508"/>
    <x v="8"/>
    <x v="21"/>
    <d v="2025-01-23T00:00:00"/>
    <x v="1"/>
    <x v="1"/>
    <x v="0"/>
    <x v="0"/>
    <x v="6"/>
    <n v="1"/>
    <x v="3"/>
    <x v="1"/>
    <n v="2"/>
    <n v="35.1"/>
    <n v="70.2"/>
  </r>
  <r>
    <x v="509"/>
    <x v="1"/>
    <x v="21"/>
    <d v="2025-01-24T00:00:00"/>
    <x v="2"/>
    <x v="4"/>
    <x v="1"/>
    <x v="0"/>
    <x v="8"/>
    <n v="2"/>
    <x v="3"/>
    <x v="2"/>
    <n v="1"/>
    <n v="52.1"/>
    <n v="52.1"/>
  </r>
  <r>
    <x v="510"/>
    <x v="13"/>
    <x v="21"/>
    <d v="2025-01-24T00:00:00"/>
    <x v="2"/>
    <x v="4"/>
    <x v="1"/>
    <x v="0"/>
    <x v="8"/>
    <n v="2"/>
    <x v="3"/>
    <x v="2"/>
    <n v="3"/>
    <n v="59.8"/>
    <n v="179.39999999999998"/>
  </r>
  <r>
    <x v="511"/>
    <x v="3"/>
    <x v="21"/>
    <d v="2025-01-22T00:00:00"/>
    <x v="0"/>
    <x v="2"/>
    <x v="0"/>
    <x v="0"/>
    <x v="8"/>
    <n v="0"/>
    <x v="3"/>
    <x v="0"/>
    <n v="4"/>
    <n v="83.3"/>
    <n v="333.2"/>
  </r>
  <r>
    <x v="512"/>
    <x v="15"/>
    <x v="21"/>
    <d v="2025-01-23T00:00:00"/>
    <x v="2"/>
    <x v="1"/>
    <x v="0"/>
    <x v="0"/>
    <x v="8"/>
    <n v="1"/>
    <x v="3"/>
    <x v="2"/>
    <n v="12"/>
    <n v="41.3"/>
    <n v="495.59999999999997"/>
  </r>
  <r>
    <x v="513"/>
    <x v="8"/>
    <x v="21"/>
    <d v="2025-01-24T00:00:00"/>
    <x v="1"/>
    <x v="4"/>
    <x v="1"/>
    <x v="0"/>
    <x v="9"/>
    <n v="2"/>
    <x v="3"/>
    <x v="1"/>
    <n v="5"/>
    <n v="16"/>
    <n v="80"/>
  </r>
  <r>
    <x v="514"/>
    <x v="10"/>
    <x v="22"/>
    <d v="2025-01-25T00:00:00"/>
    <x v="1"/>
    <x v="0"/>
    <x v="2"/>
    <x v="0"/>
    <x v="11"/>
    <n v="2"/>
    <x v="3"/>
    <x v="1"/>
    <n v="2"/>
    <n v="20.8"/>
    <n v="41.6"/>
  </r>
  <r>
    <x v="515"/>
    <x v="8"/>
    <x v="22"/>
    <d v="2025-01-24T00:00:00"/>
    <x v="0"/>
    <x v="3"/>
    <x v="2"/>
    <x v="0"/>
    <x v="11"/>
    <n v="1"/>
    <x v="3"/>
    <x v="0"/>
    <n v="28"/>
    <n v="27.1"/>
    <n v="758.80000000000007"/>
  </r>
  <r>
    <x v="516"/>
    <x v="10"/>
    <x v="22"/>
    <d v="2025-01-25T00:00:00"/>
    <x v="2"/>
    <x v="0"/>
    <x v="0"/>
    <x v="0"/>
    <x v="18"/>
    <n v="2"/>
    <x v="3"/>
    <x v="2"/>
    <n v="2"/>
    <n v="38.9"/>
    <n v="77.8"/>
  </r>
  <r>
    <x v="517"/>
    <x v="0"/>
    <x v="22"/>
    <d v="2025-01-26T00:00:00"/>
    <x v="2"/>
    <x v="1"/>
    <x v="2"/>
    <x v="0"/>
    <x v="45"/>
    <n v="3"/>
    <x v="3"/>
    <x v="2"/>
    <n v="2"/>
    <n v="10.8"/>
    <n v="21.6"/>
  </r>
  <r>
    <x v="518"/>
    <x v="4"/>
    <x v="22"/>
    <d v="2025-01-27T00:00:00"/>
    <x v="2"/>
    <x v="0"/>
    <x v="0"/>
    <x v="0"/>
    <x v="21"/>
    <n v="4"/>
    <x v="3"/>
    <x v="2"/>
    <n v="13"/>
    <n v="48.4"/>
    <n v="629.19999999999993"/>
  </r>
  <r>
    <x v="519"/>
    <x v="4"/>
    <x v="22"/>
    <d v="2025-01-26T00:00:00"/>
    <x v="2"/>
    <x v="1"/>
    <x v="1"/>
    <x v="0"/>
    <x v="2"/>
    <n v="3"/>
    <x v="3"/>
    <x v="2"/>
    <n v="3"/>
    <n v="29.2"/>
    <n v="87.6"/>
  </r>
  <r>
    <x v="520"/>
    <x v="4"/>
    <x v="22"/>
    <d v="2025-01-24T00:00:00"/>
    <x v="1"/>
    <x v="0"/>
    <x v="1"/>
    <x v="0"/>
    <x v="2"/>
    <n v="1"/>
    <x v="3"/>
    <x v="1"/>
    <n v="2"/>
    <n v="25.1"/>
    <n v="50.2"/>
  </r>
  <r>
    <x v="521"/>
    <x v="7"/>
    <x v="22"/>
    <d v="2025-01-23T00:00:00"/>
    <x v="2"/>
    <x v="2"/>
    <x v="1"/>
    <x v="0"/>
    <x v="3"/>
    <n v="0"/>
    <x v="3"/>
    <x v="2"/>
    <n v="3"/>
    <n v="65.599999999999994"/>
    <n v="196.79999999999998"/>
  </r>
  <r>
    <x v="522"/>
    <x v="2"/>
    <x v="22"/>
    <d v="2025-01-23T00:00:00"/>
    <x v="0"/>
    <x v="0"/>
    <x v="0"/>
    <x v="0"/>
    <x v="3"/>
    <n v="0"/>
    <x v="3"/>
    <x v="0"/>
    <n v="2"/>
    <n v="57.3"/>
    <n v="114.6"/>
  </r>
  <r>
    <x v="523"/>
    <x v="9"/>
    <x v="22"/>
    <d v="2025-01-24T00:00:00"/>
    <x v="2"/>
    <x v="2"/>
    <x v="2"/>
    <x v="0"/>
    <x v="3"/>
    <n v="1"/>
    <x v="3"/>
    <x v="2"/>
    <n v="4"/>
    <n v="22.4"/>
    <n v="89.6"/>
  </r>
  <r>
    <x v="524"/>
    <x v="12"/>
    <x v="22"/>
    <d v="2025-01-24T00:00:00"/>
    <x v="2"/>
    <x v="0"/>
    <x v="0"/>
    <x v="0"/>
    <x v="3"/>
    <n v="1"/>
    <x v="3"/>
    <x v="2"/>
    <n v="9"/>
    <n v="45.7"/>
    <n v="411.3"/>
  </r>
  <r>
    <x v="525"/>
    <x v="8"/>
    <x v="22"/>
    <d v="2025-01-24T00:00:00"/>
    <x v="1"/>
    <x v="1"/>
    <x v="0"/>
    <x v="0"/>
    <x v="3"/>
    <n v="1"/>
    <x v="3"/>
    <x v="1"/>
    <n v="2"/>
    <n v="29.3"/>
    <n v="58.6"/>
  </r>
  <r>
    <x v="526"/>
    <x v="18"/>
    <x v="22"/>
    <d v="2025-01-24T00:00:00"/>
    <x v="1"/>
    <x v="0"/>
    <x v="2"/>
    <x v="0"/>
    <x v="3"/>
    <n v="1"/>
    <x v="3"/>
    <x v="1"/>
    <n v="22"/>
    <n v="74"/>
    <n v="1628"/>
  </r>
  <r>
    <x v="527"/>
    <x v="14"/>
    <x v="22"/>
    <d v="2025-01-25T00:00:00"/>
    <x v="2"/>
    <x v="1"/>
    <x v="0"/>
    <x v="0"/>
    <x v="3"/>
    <n v="2"/>
    <x v="3"/>
    <x v="2"/>
    <n v="2"/>
    <n v="39.200000000000003"/>
    <n v="78.400000000000006"/>
  </r>
  <r>
    <x v="528"/>
    <x v="4"/>
    <x v="22"/>
    <d v="2025-01-24T00:00:00"/>
    <x v="2"/>
    <x v="2"/>
    <x v="1"/>
    <x v="0"/>
    <x v="3"/>
    <n v="1"/>
    <x v="3"/>
    <x v="2"/>
    <n v="17"/>
    <n v="62.7"/>
    <n v="1065.9000000000001"/>
  </r>
  <r>
    <x v="529"/>
    <x v="10"/>
    <x v="22"/>
    <d v="2025-01-24T00:00:00"/>
    <x v="2"/>
    <x v="3"/>
    <x v="0"/>
    <x v="0"/>
    <x v="3"/>
    <n v="1"/>
    <x v="3"/>
    <x v="2"/>
    <n v="2"/>
    <n v="60.1"/>
    <n v="120.2"/>
  </r>
  <r>
    <x v="530"/>
    <x v="0"/>
    <x v="22"/>
    <d v="2025-01-24T00:00:00"/>
    <x v="2"/>
    <x v="3"/>
    <x v="1"/>
    <x v="0"/>
    <x v="3"/>
    <n v="1"/>
    <x v="3"/>
    <x v="2"/>
    <n v="4"/>
    <n v="11.2"/>
    <n v="44.8"/>
  </r>
  <r>
    <x v="531"/>
    <x v="8"/>
    <x v="22"/>
    <d v="2025-01-24T00:00:00"/>
    <x v="2"/>
    <x v="0"/>
    <x v="0"/>
    <x v="0"/>
    <x v="6"/>
    <n v="1"/>
    <x v="3"/>
    <x v="2"/>
    <n v="2"/>
    <n v="22.9"/>
    <n v="45.8"/>
  </r>
  <r>
    <x v="532"/>
    <x v="1"/>
    <x v="22"/>
    <d v="2025-01-26T00:00:00"/>
    <x v="2"/>
    <x v="0"/>
    <x v="0"/>
    <x v="0"/>
    <x v="6"/>
    <n v="3"/>
    <x v="3"/>
    <x v="2"/>
    <n v="2"/>
    <n v="37.6"/>
    <n v="75.2"/>
  </r>
  <r>
    <x v="533"/>
    <x v="6"/>
    <x v="22"/>
    <d v="2025-01-24T00:00:00"/>
    <x v="2"/>
    <x v="3"/>
    <x v="2"/>
    <x v="0"/>
    <x v="6"/>
    <n v="1"/>
    <x v="3"/>
    <x v="2"/>
    <n v="1"/>
    <n v="42.4"/>
    <n v="42.4"/>
  </r>
  <r>
    <x v="534"/>
    <x v="8"/>
    <x v="22"/>
    <d v="2025-01-27T00:00:00"/>
    <x v="2"/>
    <x v="2"/>
    <x v="0"/>
    <x v="0"/>
    <x v="7"/>
    <n v="4"/>
    <x v="3"/>
    <x v="2"/>
    <n v="2"/>
    <n v="19.600000000000001"/>
    <n v="39.200000000000003"/>
  </r>
  <r>
    <x v="535"/>
    <x v="9"/>
    <x v="22"/>
    <d v="2025-01-26T00:00:00"/>
    <x v="2"/>
    <x v="2"/>
    <x v="0"/>
    <x v="0"/>
    <x v="7"/>
    <n v="3"/>
    <x v="3"/>
    <x v="2"/>
    <n v="1"/>
    <n v="90.5"/>
    <n v="90.5"/>
  </r>
  <r>
    <x v="536"/>
    <x v="16"/>
    <x v="22"/>
    <d v="2025-01-24T00:00:00"/>
    <x v="1"/>
    <x v="2"/>
    <x v="1"/>
    <x v="0"/>
    <x v="7"/>
    <n v="1"/>
    <x v="3"/>
    <x v="1"/>
    <n v="11"/>
    <n v="33.9"/>
    <n v="372.9"/>
  </r>
  <r>
    <x v="537"/>
    <x v="0"/>
    <x v="22"/>
    <d v="2025-01-25T00:00:00"/>
    <x v="2"/>
    <x v="4"/>
    <x v="4"/>
    <x v="0"/>
    <x v="8"/>
    <n v="2"/>
    <x v="3"/>
    <x v="2"/>
    <n v="2"/>
    <n v="32.799999999999997"/>
    <n v="65.599999999999994"/>
  </r>
  <r>
    <x v="538"/>
    <x v="15"/>
    <x v="22"/>
    <d v="2025-01-24T00:00:00"/>
    <x v="1"/>
    <x v="3"/>
    <x v="1"/>
    <x v="0"/>
    <x v="8"/>
    <n v="1"/>
    <x v="3"/>
    <x v="1"/>
    <n v="1"/>
    <n v="49.9"/>
    <n v="49.9"/>
  </r>
  <r>
    <x v="539"/>
    <x v="7"/>
    <x v="22"/>
    <d v="2025-01-24T00:00:00"/>
    <x v="2"/>
    <x v="4"/>
    <x v="0"/>
    <x v="0"/>
    <x v="8"/>
    <n v="1"/>
    <x v="3"/>
    <x v="2"/>
    <n v="5"/>
    <n v="79.2"/>
    <n v="396"/>
  </r>
  <r>
    <x v="540"/>
    <x v="8"/>
    <x v="22"/>
    <d v="2025-01-25T00:00:00"/>
    <x v="1"/>
    <x v="3"/>
    <x v="2"/>
    <x v="0"/>
    <x v="8"/>
    <n v="2"/>
    <x v="3"/>
    <x v="1"/>
    <n v="16"/>
    <n v="19.5"/>
    <n v="312"/>
  </r>
  <r>
    <x v="541"/>
    <x v="8"/>
    <x v="22"/>
    <d v="2025-01-24T00:00:00"/>
    <x v="1"/>
    <x v="1"/>
    <x v="0"/>
    <x v="0"/>
    <x v="10"/>
    <n v="1"/>
    <x v="3"/>
    <x v="1"/>
    <n v="4"/>
    <n v="18"/>
    <n v="72"/>
  </r>
  <r>
    <x v="542"/>
    <x v="9"/>
    <x v="22"/>
    <d v="2025-01-25T00:00:00"/>
    <x v="2"/>
    <x v="1"/>
    <x v="1"/>
    <x v="0"/>
    <x v="10"/>
    <n v="2"/>
    <x v="3"/>
    <x v="2"/>
    <n v="3"/>
    <n v="45.9"/>
    <n v="137.69999999999999"/>
  </r>
  <r>
    <x v="543"/>
    <x v="11"/>
    <x v="22"/>
    <d v="2025-01-25T00:00:00"/>
    <x v="2"/>
    <x v="1"/>
    <x v="2"/>
    <x v="0"/>
    <x v="11"/>
    <n v="2"/>
    <x v="3"/>
    <x v="2"/>
    <n v="1"/>
    <n v="41.2"/>
    <n v="41.2"/>
  </r>
  <r>
    <x v="544"/>
    <x v="2"/>
    <x v="22"/>
    <d v="2025-01-25T00:00:00"/>
    <x v="2"/>
    <x v="2"/>
    <x v="2"/>
    <x v="0"/>
    <x v="32"/>
    <n v="2"/>
    <x v="3"/>
    <x v="2"/>
    <n v="10"/>
    <n v="167.2"/>
    <n v="1672"/>
  </r>
  <r>
    <x v="545"/>
    <x v="6"/>
    <x v="23"/>
    <d v="2025-01-27T00:00:00"/>
    <x v="2"/>
    <x v="1"/>
    <x v="2"/>
    <x v="0"/>
    <x v="38"/>
    <n v="3"/>
    <x v="3"/>
    <x v="2"/>
    <n v="30"/>
    <n v="74.5"/>
    <n v="2235"/>
  </r>
  <r>
    <x v="546"/>
    <x v="7"/>
    <x v="23"/>
    <d v="2025-01-25T00:00:00"/>
    <x v="0"/>
    <x v="2"/>
    <x v="0"/>
    <x v="0"/>
    <x v="19"/>
    <n v="1"/>
    <x v="3"/>
    <x v="0"/>
    <n v="4"/>
    <n v="39.299999999999997"/>
    <n v="157.19999999999999"/>
  </r>
  <r>
    <x v="547"/>
    <x v="9"/>
    <x v="23"/>
    <d v="2025-01-27T00:00:00"/>
    <x v="1"/>
    <x v="1"/>
    <x v="2"/>
    <x v="0"/>
    <x v="12"/>
    <n v="3"/>
    <x v="3"/>
    <x v="1"/>
    <n v="1"/>
    <n v="68.5"/>
    <n v="68.5"/>
  </r>
  <r>
    <x v="548"/>
    <x v="0"/>
    <x v="23"/>
    <d v="2025-01-24T00:00:00"/>
    <x v="2"/>
    <x v="4"/>
    <x v="0"/>
    <x v="0"/>
    <x v="13"/>
    <n v="0"/>
    <x v="3"/>
    <x v="2"/>
    <n v="3"/>
    <n v="22.5"/>
    <n v="67.5"/>
  </r>
  <r>
    <x v="549"/>
    <x v="1"/>
    <x v="23"/>
    <d v="2025-01-25T00:00:00"/>
    <x v="3"/>
    <x v="4"/>
    <x v="1"/>
    <x v="0"/>
    <x v="46"/>
    <n v="1"/>
    <x v="3"/>
    <x v="3"/>
    <n v="1"/>
    <n v="48"/>
    <n v="48"/>
  </r>
  <r>
    <x v="550"/>
    <x v="6"/>
    <x v="23"/>
    <d v="2025-01-25T00:00:00"/>
    <x v="1"/>
    <x v="3"/>
    <x v="1"/>
    <x v="0"/>
    <x v="1"/>
    <n v="1"/>
    <x v="3"/>
    <x v="1"/>
    <n v="1"/>
    <n v="94"/>
    <n v="94"/>
  </r>
  <r>
    <x v="551"/>
    <x v="8"/>
    <x v="23"/>
    <d v="2025-01-25T00:00:00"/>
    <x v="2"/>
    <x v="0"/>
    <x v="0"/>
    <x v="0"/>
    <x v="44"/>
    <n v="1"/>
    <x v="3"/>
    <x v="2"/>
    <n v="3"/>
    <n v="21.9"/>
    <n v="65.699999999999989"/>
  </r>
  <r>
    <x v="552"/>
    <x v="6"/>
    <x v="23"/>
    <d v="2025-01-25T00:00:00"/>
    <x v="2"/>
    <x v="0"/>
    <x v="0"/>
    <x v="0"/>
    <x v="3"/>
    <n v="1"/>
    <x v="3"/>
    <x v="2"/>
    <n v="7"/>
    <n v="64.900000000000006"/>
    <n v="454.30000000000007"/>
  </r>
  <r>
    <x v="553"/>
    <x v="12"/>
    <x v="23"/>
    <d v="2025-01-24T00:00:00"/>
    <x v="2"/>
    <x v="1"/>
    <x v="1"/>
    <x v="0"/>
    <x v="3"/>
    <n v="0"/>
    <x v="3"/>
    <x v="2"/>
    <n v="1"/>
    <n v="52.9"/>
    <n v="52.9"/>
  </r>
  <r>
    <x v="554"/>
    <x v="8"/>
    <x v="23"/>
    <d v="2025-01-25T00:00:00"/>
    <x v="2"/>
    <x v="1"/>
    <x v="2"/>
    <x v="0"/>
    <x v="3"/>
    <n v="1"/>
    <x v="3"/>
    <x v="2"/>
    <n v="3"/>
    <n v="25.5"/>
    <n v="76.5"/>
  </r>
  <r>
    <x v="555"/>
    <x v="6"/>
    <x v="23"/>
    <d v="2025-01-25T00:00:00"/>
    <x v="2"/>
    <x v="3"/>
    <x v="0"/>
    <x v="0"/>
    <x v="3"/>
    <n v="1"/>
    <x v="3"/>
    <x v="2"/>
    <n v="3"/>
    <n v="51.9"/>
    <n v="155.69999999999999"/>
  </r>
  <r>
    <x v="556"/>
    <x v="5"/>
    <x v="23"/>
    <d v="2025-01-27T00:00:00"/>
    <x v="2"/>
    <x v="4"/>
    <x v="0"/>
    <x v="0"/>
    <x v="3"/>
    <n v="3"/>
    <x v="3"/>
    <x v="2"/>
    <n v="1"/>
    <n v="46.3"/>
    <n v="46.3"/>
  </r>
  <r>
    <x v="557"/>
    <x v="6"/>
    <x v="23"/>
    <d v="2025-01-26T00:00:00"/>
    <x v="2"/>
    <x v="3"/>
    <x v="0"/>
    <x v="0"/>
    <x v="3"/>
    <n v="2"/>
    <x v="3"/>
    <x v="2"/>
    <n v="2"/>
    <n v="68.2"/>
    <n v="136.4"/>
  </r>
  <r>
    <x v="558"/>
    <x v="1"/>
    <x v="23"/>
    <d v="2025-01-25T00:00:00"/>
    <x v="1"/>
    <x v="0"/>
    <x v="1"/>
    <x v="0"/>
    <x v="3"/>
    <n v="1"/>
    <x v="3"/>
    <x v="1"/>
    <n v="1"/>
    <n v="40.299999999999997"/>
    <n v="40.299999999999997"/>
  </r>
  <r>
    <x v="559"/>
    <x v="2"/>
    <x v="23"/>
    <d v="2025-01-29T00:00:00"/>
    <x v="1"/>
    <x v="0"/>
    <x v="2"/>
    <x v="0"/>
    <x v="6"/>
    <n v="5"/>
    <x v="3"/>
    <x v="1"/>
    <n v="3"/>
    <n v="91.3"/>
    <n v="273.89999999999998"/>
  </r>
  <r>
    <x v="560"/>
    <x v="0"/>
    <x v="23"/>
    <d v="2025-01-25T00:00:00"/>
    <x v="2"/>
    <x v="0"/>
    <x v="1"/>
    <x v="0"/>
    <x v="6"/>
    <n v="1"/>
    <x v="3"/>
    <x v="2"/>
    <n v="3"/>
    <n v="11.9"/>
    <n v="35.700000000000003"/>
  </r>
  <r>
    <x v="561"/>
    <x v="2"/>
    <x v="23"/>
    <d v="2025-01-26T00:00:00"/>
    <x v="1"/>
    <x v="1"/>
    <x v="0"/>
    <x v="0"/>
    <x v="6"/>
    <n v="2"/>
    <x v="3"/>
    <x v="1"/>
    <n v="2"/>
    <n v="63.5"/>
    <n v="127"/>
  </r>
  <r>
    <x v="562"/>
    <x v="4"/>
    <x v="23"/>
    <d v="2025-01-27T00:00:00"/>
    <x v="1"/>
    <x v="2"/>
    <x v="2"/>
    <x v="0"/>
    <x v="6"/>
    <n v="3"/>
    <x v="3"/>
    <x v="1"/>
    <n v="2"/>
    <n v="27.1"/>
    <n v="54.2"/>
  </r>
  <r>
    <x v="563"/>
    <x v="1"/>
    <x v="24"/>
    <d v="2025-01-28T00:00:00"/>
    <x v="1"/>
    <x v="1"/>
    <x v="1"/>
    <x v="0"/>
    <x v="7"/>
    <n v="3"/>
    <x v="3"/>
    <x v="1"/>
    <n v="2"/>
    <n v="82.1"/>
    <n v="164.2"/>
  </r>
  <r>
    <x v="564"/>
    <x v="3"/>
    <x v="24"/>
    <d v="2025-01-27T00:00:00"/>
    <x v="2"/>
    <x v="1"/>
    <x v="0"/>
    <x v="0"/>
    <x v="8"/>
    <n v="2"/>
    <x v="3"/>
    <x v="2"/>
    <n v="5"/>
    <n v="42.9"/>
    <n v="214.5"/>
  </r>
  <r>
    <x v="565"/>
    <x v="8"/>
    <x v="24"/>
    <d v="2025-02-01T00:00:00"/>
    <x v="1"/>
    <x v="0"/>
    <x v="0"/>
    <x v="0"/>
    <x v="8"/>
    <n v="7"/>
    <x v="3"/>
    <x v="1"/>
    <n v="11"/>
    <n v="37.9"/>
    <n v="416.9"/>
  </r>
  <r>
    <x v="566"/>
    <x v="0"/>
    <x v="24"/>
    <d v="2025-01-26T00:00:00"/>
    <x v="2"/>
    <x v="0"/>
    <x v="1"/>
    <x v="0"/>
    <x v="17"/>
    <n v="1"/>
    <x v="3"/>
    <x v="2"/>
    <n v="1"/>
    <n v="22.4"/>
    <n v="22.4"/>
  </r>
  <r>
    <x v="567"/>
    <x v="2"/>
    <x v="24"/>
    <d v="2025-02-07T00:00:00"/>
    <x v="2"/>
    <x v="3"/>
    <x v="1"/>
    <x v="0"/>
    <x v="11"/>
    <n v="13"/>
    <x v="3"/>
    <x v="2"/>
    <n v="13"/>
    <n v="79.900000000000006"/>
    <n v="1038.7"/>
  </r>
  <r>
    <x v="568"/>
    <x v="1"/>
    <x v="24"/>
    <d v="2025-01-28T00:00:00"/>
    <x v="2"/>
    <x v="0"/>
    <x v="1"/>
    <x v="0"/>
    <x v="11"/>
    <n v="3"/>
    <x v="3"/>
    <x v="2"/>
    <n v="1"/>
    <n v="70.599999999999994"/>
    <n v="70.599999999999994"/>
  </r>
  <r>
    <x v="569"/>
    <x v="6"/>
    <x v="24"/>
    <d v="2025-01-27T00:00:00"/>
    <x v="1"/>
    <x v="0"/>
    <x v="0"/>
    <x v="0"/>
    <x v="13"/>
    <n v="2"/>
    <x v="3"/>
    <x v="1"/>
    <n v="1"/>
    <n v="49.5"/>
    <n v="49.5"/>
  </r>
  <r>
    <x v="570"/>
    <x v="2"/>
    <x v="24"/>
    <d v="2025-01-27T00:00:00"/>
    <x v="1"/>
    <x v="0"/>
    <x v="0"/>
    <x v="0"/>
    <x v="21"/>
    <n v="2"/>
    <x v="3"/>
    <x v="1"/>
    <n v="2"/>
    <n v="96.6"/>
    <n v="193.2"/>
  </r>
  <r>
    <x v="571"/>
    <x v="6"/>
    <x v="24"/>
    <d v="2025-01-26T00:00:00"/>
    <x v="2"/>
    <x v="1"/>
    <x v="1"/>
    <x v="0"/>
    <x v="21"/>
    <n v="1"/>
    <x v="3"/>
    <x v="2"/>
    <n v="2"/>
    <n v="52.8"/>
    <n v="105.6"/>
  </r>
  <r>
    <x v="572"/>
    <x v="2"/>
    <x v="24"/>
    <d v="2025-01-26T00:00:00"/>
    <x v="1"/>
    <x v="0"/>
    <x v="0"/>
    <x v="0"/>
    <x v="1"/>
    <n v="1"/>
    <x v="3"/>
    <x v="1"/>
    <n v="1"/>
    <n v="101.7"/>
    <n v="101.7"/>
  </r>
  <r>
    <x v="573"/>
    <x v="4"/>
    <x v="24"/>
    <d v="2025-01-30T00:00:00"/>
    <x v="2"/>
    <x v="1"/>
    <x v="1"/>
    <x v="0"/>
    <x v="22"/>
    <n v="5"/>
    <x v="3"/>
    <x v="2"/>
    <n v="5"/>
    <n v="26.9"/>
    <n v="134.5"/>
  </r>
  <r>
    <x v="574"/>
    <x v="2"/>
    <x v="24"/>
    <d v="2025-01-25T00:00:00"/>
    <x v="2"/>
    <x v="1"/>
    <x v="1"/>
    <x v="0"/>
    <x v="3"/>
    <n v="0"/>
    <x v="3"/>
    <x v="2"/>
    <n v="4"/>
    <n v="211"/>
    <n v="844"/>
  </r>
  <r>
    <x v="575"/>
    <x v="0"/>
    <x v="24"/>
    <d v="2025-01-28T00:00:00"/>
    <x v="1"/>
    <x v="4"/>
    <x v="0"/>
    <x v="0"/>
    <x v="3"/>
    <n v="3"/>
    <x v="3"/>
    <x v="1"/>
    <n v="4"/>
    <n v="21.1"/>
    <n v="84.4"/>
  </r>
  <r>
    <x v="576"/>
    <x v="10"/>
    <x v="24"/>
    <d v="2025-01-27T00:00:00"/>
    <x v="1"/>
    <x v="0"/>
    <x v="4"/>
    <x v="0"/>
    <x v="3"/>
    <n v="2"/>
    <x v="3"/>
    <x v="1"/>
    <n v="1"/>
    <n v="26.6"/>
    <n v="26.6"/>
  </r>
  <r>
    <x v="577"/>
    <x v="12"/>
    <x v="24"/>
    <d v="2025-01-26T00:00:00"/>
    <x v="2"/>
    <x v="3"/>
    <x v="0"/>
    <x v="0"/>
    <x v="47"/>
    <n v="1"/>
    <x v="3"/>
    <x v="2"/>
    <n v="4"/>
    <n v="51.2"/>
    <n v="204.8"/>
  </r>
  <r>
    <x v="578"/>
    <x v="0"/>
    <x v="24"/>
    <d v="2025-01-29T00:00:00"/>
    <x v="2"/>
    <x v="0"/>
    <x v="0"/>
    <x v="0"/>
    <x v="8"/>
    <n v="4"/>
    <x v="3"/>
    <x v="2"/>
    <n v="5"/>
    <n v="10.6"/>
    <n v="53"/>
  </r>
  <r>
    <x v="579"/>
    <x v="6"/>
    <x v="24"/>
    <d v="2025-01-28T00:00:00"/>
    <x v="2"/>
    <x v="4"/>
    <x v="0"/>
    <x v="0"/>
    <x v="8"/>
    <n v="3"/>
    <x v="3"/>
    <x v="2"/>
    <n v="3"/>
    <n v="43.4"/>
    <n v="130.19999999999999"/>
  </r>
  <r>
    <x v="580"/>
    <x v="12"/>
    <x v="24"/>
    <d v="2025-01-25T00:00:00"/>
    <x v="2"/>
    <x v="0"/>
    <x v="2"/>
    <x v="0"/>
    <x v="8"/>
    <n v="0"/>
    <x v="3"/>
    <x v="2"/>
    <n v="1"/>
    <n v="80"/>
    <n v="80"/>
  </r>
  <r>
    <x v="581"/>
    <x v="10"/>
    <x v="24"/>
    <d v="2025-01-27T00:00:00"/>
    <x v="2"/>
    <x v="1"/>
    <x v="4"/>
    <x v="0"/>
    <x v="8"/>
    <n v="2"/>
    <x v="3"/>
    <x v="2"/>
    <n v="4"/>
    <n v="64.7"/>
    <n v="258.8"/>
  </r>
  <r>
    <x v="582"/>
    <x v="8"/>
    <x v="25"/>
    <d v="2025-01-26T00:00:00"/>
    <x v="2"/>
    <x v="4"/>
    <x v="1"/>
    <x v="0"/>
    <x v="26"/>
    <n v="0"/>
    <x v="4"/>
    <x v="2"/>
    <n v="11"/>
    <n v="26.3"/>
    <n v="289.3"/>
  </r>
  <r>
    <x v="583"/>
    <x v="10"/>
    <x v="25"/>
    <d v="2025-01-26T00:00:00"/>
    <x v="1"/>
    <x v="0"/>
    <x v="1"/>
    <x v="0"/>
    <x v="9"/>
    <n v="0"/>
    <x v="4"/>
    <x v="1"/>
    <n v="1"/>
    <n v="28.5"/>
    <n v="28.5"/>
  </r>
  <r>
    <x v="584"/>
    <x v="17"/>
    <x v="25"/>
    <d v="2025-01-28T00:00:00"/>
    <x v="2"/>
    <x v="0"/>
    <x v="1"/>
    <x v="0"/>
    <x v="9"/>
    <n v="2"/>
    <x v="4"/>
    <x v="2"/>
    <n v="1"/>
    <n v="47.8"/>
    <n v="47.8"/>
  </r>
  <r>
    <x v="585"/>
    <x v="10"/>
    <x v="25"/>
    <d v="2025-01-29T00:00:00"/>
    <x v="2"/>
    <x v="4"/>
    <x v="1"/>
    <x v="0"/>
    <x v="11"/>
    <n v="3"/>
    <x v="4"/>
    <x v="2"/>
    <n v="3"/>
    <n v="42.8"/>
    <n v="128.39999999999998"/>
  </r>
  <r>
    <x v="586"/>
    <x v="6"/>
    <x v="25"/>
    <d v="2025-01-31T00:00:00"/>
    <x v="2"/>
    <x v="1"/>
    <x v="2"/>
    <x v="0"/>
    <x v="11"/>
    <n v="5"/>
    <x v="4"/>
    <x v="2"/>
    <n v="5"/>
    <n v="46.8"/>
    <n v="234"/>
  </r>
  <r>
    <x v="587"/>
    <x v="1"/>
    <x v="25"/>
    <d v="2025-01-27T00:00:00"/>
    <x v="1"/>
    <x v="1"/>
    <x v="0"/>
    <x v="0"/>
    <x v="11"/>
    <n v="1"/>
    <x v="4"/>
    <x v="1"/>
    <n v="10"/>
    <n v="64.099999999999994"/>
    <n v="641"/>
  </r>
  <r>
    <x v="588"/>
    <x v="2"/>
    <x v="25"/>
    <d v="2025-01-27T00:00:00"/>
    <x v="2"/>
    <x v="0"/>
    <x v="1"/>
    <x v="0"/>
    <x v="20"/>
    <n v="1"/>
    <x v="4"/>
    <x v="2"/>
    <n v="1"/>
    <n v="89.1"/>
    <n v="89.1"/>
  </r>
  <r>
    <x v="589"/>
    <x v="2"/>
    <x v="25"/>
    <d v="2025-01-27T00:00:00"/>
    <x v="2"/>
    <x v="2"/>
    <x v="1"/>
    <x v="0"/>
    <x v="13"/>
    <n v="1"/>
    <x v="4"/>
    <x v="2"/>
    <n v="3"/>
    <n v="83.1"/>
    <n v="249.29999999999998"/>
  </r>
  <r>
    <x v="590"/>
    <x v="8"/>
    <x v="25"/>
    <d v="2025-01-27T00:00:00"/>
    <x v="1"/>
    <x v="0"/>
    <x v="0"/>
    <x v="0"/>
    <x v="1"/>
    <n v="1"/>
    <x v="4"/>
    <x v="1"/>
    <n v="3"/>
    <n v="40.9"/>
    <n v="122.69999999999999"/>
  </r>
  <r>
    <x v="591"/>
    <x v="2"/>
    <x v="25"/>
    <d v="2025-01-27T00:00:00"/>
    <x v="2"/>
    <x v="3"/>
    <x v="0"/>
    <x v="0"/>
    <x v="2"/>
    <n v="1"/>
    <x v="4"/>
    <x v="2"/>
    <n v="2"/>
    <n v="125.7"/>
    <n v="251.4"/>
  </r>
  <r>
    <x v="592"/>
    <x v="3"/>
    <x v="25"/>
    <d v="2025-01-26T00:00:00"/>
    <x v="2"/>
    <x v="2"/>
    <x v="2"/>
    <x v="0"/>
    <x v="22"/>
    <n v="0"/>
    <x v="4"/>
    <x v="2"/>
    <n v="2"/>
    <n v="30.9"/>
    <n v="61.8"/>
  </r>
  <r>
    <x v="593"/>
    <x v="8"/>
    <x v="25"/>
    <d v="2025-01-27T00:00:00"/>
    <x v="2"/>
    <x v="1"/>
    <x v="0"/>
    <x v="0"/>
    <x v="3"/>
    <n v="1"/>
    <x v="4"/>
    <x v="2"/>
    <n v="2"/>
    <n v="18.3"/>
    <n v="36.6"/>
  </r>
  <r>
    <x v="594"/>
    <x v="4"/>
    <x v="25"/>
    <d v="2025-01-30T00:00:00"/>
    <x v="1"/>
    <x v="2"/>
    <x v="2"/>
    <x v="0"/>
    <x v="3"/>
    <n v="4"/>
    <x v="4"/>
    <x v="1"/>
    <n v="2"/>
    <n v="56.5"/>
    <n v="113"/>
  </r>
  <r>
    <x v="595"/>
    <x v="10"/>
    <x v="25"/>
    <d v="2025-01-28T00:00:00"/>
    <x v="1"/>
    <x v="4"/>
    <x v="2"/>
    <x v="0"/>
    <x v="3"/>
    <n v="2"/>
    <x v="4"/>
    <x v="1"/>
    <n v="7"/>
    <n v="29.9"/>
    <n v="209.29999999999998"/>
  </r>
  <r>
    <x v="596"/>
    <x v="5"/>
    <x v="25"/>
    <d v="2025-01-27T00:00:00"/>
    <x v="2"/>
    <x v="2"/>
    <x v="0"/>
    <x v="0"/>
    <x v="3"/>
    <n v="1"/>
    <x v="4"/>
    <x v="2"/>
    <n v="2"/>
    <n v="50.4"/>
    <n v="100.8"/>
  </r>
  <r>
    <x v="597"/>
    <x v="2"/>
    <x v="25"/>
    <d v="2025-01-26T00:00:00"/>
    <x v="2"/>
    <x v="2"/>
    <x v="2"/>
    <x v="0"/>
    <x v="3"/>
    <n v="0"/>
    <x v="4"/>
    <x v="2"/>
    <n v="1"/>
    <n v="85.8"/>
    <n v="85.8"/>
  </r>
  <r>
    <x v="598"/>
    <x v="4"/>
    <x v="25"/>
    <d v="2025-01-28T00:00:00"/>
    <x v="1"/>
    <x v="1"/>
    <x v="0"/>
    <x v="0"/>
    <x v="3"/>
    <n v="2"/>
    <x v="4"/>
    <x v="1"/>
    <n v="16"/>
    <n v="66.599999999999994"/>
    <n v="1065.5999999999999"/>
  </r>
  <r>
    <x v="599"/>
    <x v="6"/>
    <x v="25"/>
    <d v="2025-01-27T00:00:00"/>
    <x v="2"/>
    <x v="0"/>
    <x v="1"/>
    <x v="0"/>
    <x v="3"/>
    <n v="1"/>
    <x v="4"/>
    <x v="2"/>
    <n v="4"/>
    <n v="70.3"/>
    <n v="281.2"/>
  </r>
  <r>
    <x v="600"/>
    <x v="8"/>
    <x v="25"/>
    <d v="2025-01-29T00:00:00"/>
    <x v="1"/>
    <x v="0"/>
    <x v="2"/>
    <x v="0"/>
    <x v="3"/>
    <n v="3"/>
    <x v="4"/>
    <x v="1"/>
    <n v="4"/>
    <n v="31"/>
    <n v="124"/>
  </r>
  <r>
    <x v="601"/>
    <x v="7"/>
    <x v="25"/>
    <d v="2025-01-27T00:00:00"/>
    <x v="2"/>
    <x v="1"/>
    <x v="1"/>
    <x v="0"/>
    <x v="37"/>
    <n v="1"/>
    <x v="4"/>
    <x v="2"/>
    <n v="6"/>
    <n v="81.599999999999994"/>
    <n v="489.59999999999997"/>
  </r>
  <r>
    <x v="602"/>
    <x v="1"/>
    <x v="25"/>
    <d v="2025-01-27T00:00:00"/>
    <x v="2"/>
    <x v="0"/>
    <x v="0"/>
    <x v="0"/>
    <x v="16"/>
    <n v="1"/>
    <x v="4"/>
    <x v="2"/>
    <n v="25"/>
    <n v="58.3"/>
    <n v="1457.5"/>
  </r>
  <r>
    <x v="603"/>
    <x v="1"/>
    <x v="25"/>
    <d v="2025-01-28T00:00:00"/>
    <x v="1"/>
    <x v="0"/>
    <x v="2"/>
    <x v="0"/>
    <x v="8"/>
    <n v="2"/>
    <x v="4"/>
    <x v="1"/>
    <n v="4"/>
    <n v="35.1"/>
    <n v="140.4"/>
  </r>
  <r>
    <x v="604"/>
    <x v="2"/>
    <x v="25"/>
    <d v="2025-01-27T00:00:00"/>
    <x v="1"/>
    <x v="3"/>
    <x v="2"/>
    <x v="0"/>
    <x v="8"/>
    <n v="1"/>
    <x v="4"/>
    <x v="1"/>
    <n v="1"/>
    <n v="80.2"/>
    <n v="80.2"/>
  </r>
  <r>
    <x v="605"/>
    <x v="14"/>
    <x v="25"/>
    <d v="2025-01-28T00:00:00"/>
    <x v="2"/>
    <x v="1"/>
    <x v="0"/>
    <x v="0"/>
    <x v="9"/>
    <n v="2"/>
    <x v="4"/>
    <x v="2"/>
    <n v="3"/>
    <n v="39.200000000000003"/>
    <n v="117.60000000000001"/>
  </r>
  <r>
    <x v="606"/>
    <x v="0"/>
    <x v="25"/>
    <d v="2025-01-26T00:00:00"/>
    <x v="2"/>
    <x v="3"/>
    <x v="0"/>
    <x v="0"/>
    <x v="48"/>
    <n v="0"/>
    <x v="4"/>
    <x v="2"/>
    <n v="2"/>
    <n v="15.4"/>
    <n v="30.8"/>
  </r>
  <r>
    <x v="607"/>
    <x v="3"/>
    <x v="25"/>
    <d v="2025-01-29T00:00:00"/>
    <x v="1"/>
    <x v="3"/>
    <x v="0"/>
    <x v="0"/>
    <x v="18"/>
    <n v="3"/>
    <x v="4"/>
    <x v="1"/>
    <n v="3"/>
    <n v="65.400000000000006"/>
    <n v="196.20000000000002"/>
  </r>
  <r>
    <x v="608"/>
    <x v="1"/>
    <x v="25"/>
    <d v="2025-01-28T00:00:00"/>
    <x v="2"/>
    <x v="1"/>
    <x v="0"/>
    <x v="0"/>
    <x v="19"/>
    <n v="2"/>
    <x v="4"/>
    <x v="2"/>
    <n v="8"/>
    <n v="63.2"/>
    <n v="505.6"/>
  </r>
  <r>
    <x v="609"/>
    <x v="1"/>
    <x v="25"/>
    <d v="2025-01-30T00:00:00"/>
    <x v="2"/>
    <x v="4"/>
    <x v="1"/>
    <x v="0"/>
    <x v="19"/>
    <n v="4"/>
    <x v="4"/>
    <x v="2"/>
    <n v="6"/>
    <n v="35.700000000000003"/>
    <n v="214.20000000000002"/>
  </r>
  <r>
    <x v="610"/>
    <x v="0"/>
    <x v="25"/>
    <d v="2025-01-27T00:00:00"/>
    <x v="2"/>
    <x v="3"/>
    <x v="0"/>
    <x v="0"/>
    <x v="21"/>
    <n v="1"/>
    <x v="4"/>
    <x v="2"/>
    <n v="20"/>
    <n v="26.2"/>
    <n v="524"/>
  </r>
  <r>
    <x v="611"/>
    <x v="7"/>
    <x v="25"/>
    <d v="2025-01-27T00:00:00"/>
    <x v="2"/>
    <x v="0"/>
    <x v="2"/>
    <x v="0"/>
    <x v="1"/>
    <n v="1"/>
    <x v="4"/>
    <x v="2"/>
    <n v="2"/>
    <n v="31"/>
    <n v="62"/>
  </r>
  <r>
    <x v="612"/>
    <x v="8"/>
    <x v="25"/>
    <d v="2025-01-27T00:00:00"/>
    <x v="2"/>
    <x v="1"/>
    <x v="0"/>
    <x v="0"/>
    <x v="22"/>
    <n v="1"/>
    <x v="4"/>
    <x v="2"/>
    <n v="4"/>
    <n v="37.700000000000003"/>
    <n v="150.80000000000001"/>
  </r>
  <r>
    <x v="613"/>
    <x v="10"/>
    <x v="25"/>
    <d v="2025-01-28T00:00:00"/>
    <x v="2"/>
    <x v="4"/>
    <x v="1"/>
    <x v="0"/>
    <x v="3"/>
    <n v="2"/>
    <x v="4"/>
    <x v="2"/>
    <n v="34"/>
    <n v="43.6"/>
    <n v="1482.4"/>
  </r>
  <r>
    <x v="614"/>
    <x v="9"/>
    <x v="25"/>
    <d v="2025-01-28T00:00:00"/>
    <x v="1"/>
    <x v="0"/>
    <x v="4"/>
    <x v="0"/>
    <x v="3"/>
    <n v="2"/>
    <x v="4"/>
    <x v="1"/>
    <n v="4"/>
    <n v="26.5"/>
    <n v="106"/>
  </r>
  <r>
    <x v="615"/>
    <x v="0"/>
    <x v="25"/>
    <d v="2025-01-27T00:00:00"/>
    <x v="1"/>
    <x v="4"/>
    <x v="1"/>
    <x v="0"/>
    <x v="3"/>
    <n v="1"/>
    <x v="4"/>
    <x v="1"/>
    <n v="2"/>
    <n v="34.6"/>
    <n v="69.2"/>
  </r>
  <r>
    <x v="616"/>
    <x v="8"/>
    <x v="25"/>
    <d v="2025-01-27T00:00:00"/>
    <x v="1"/>
    <x v="2"/>
    <x v="2"/>
    <x v="0"/>
    <x v="3"/>
    <n v="1"/>
    <x v="4"/>
    <x v="1"/>
    <n v="2"/>
    <n v="58.2"/>
    <n v="116.4"/>
  </r>
  <r>
    <x v="617"/>
    <x v="7"/>
    <x v="26"/>
    <d v="2025-01-28T00:00:00"/>
    <x v="2"/>
    <x v="2"/>
    <x v="1"/>
    <x v="0"/>
    <x v="3"/>
    <n v="1"/>
    <x v="4"/>
    <x v="2"/>
    <n v="1"/>
    <n v="30.2"/>
    <n v="30.2"/>
  </r>
  <r>
    <x v="618"/>
    <x v="1"/>
    <x v="26"/>
    <d v="2025-01-28T00:00:00"/>
    <x v="1"/>
    <x v="0"/>
    <x v="2"/>
    <x v="0"/>
    <x v="5"/>
    <n v="1"/>
    <x v="4"/>
    <x v="1"/>
    <n v="10"/>
    <n v="53.2"/>
    <n v="532"/>
  </r>
  <r>
    <x v="619"/>
    <x v="12"/>
    <x v="26"/>
    <d v="2025-01-27T00:00:00"/>
    <x v="1"/>
    <x v="1"/>
    <x v="2"/>
    <x v="0"/>
    <x v="5"/>
    <n v="0"/>
    <x v="4"/>
    <x v="1"/>
    <n v="6"/>
    <n v="51.1"/>
    <n v="306.60000000000002"/>
  </r>
  <r>
    <x v="620"/>
    <x v="1"/>
    <x v="26"/>
    <d v="2025-01-31T00:00:00"/>
    <x v="2"/>
    <x v="1"/>
    <x v="2"/>
    <x v="0"/>
    <x v="23"/>
    <n v="4"/>
    <x v="4"/>
    <x v="2"/>
    <n v="1"/>
    <n v="105.4"/>
    <n v="105.4"/>
  </r>
  <r>
    <x v="621"/>
    <x v="7"/>
    <x v="26"/>
    <d v="2025-01-27T00:00:00"/>
    <x v="1"/>
    <x v="0"/>
    <x v="4"/>
    <x v="0"/>
    <x v="8"/>
    <n v="0"/>
    <x v="4"/>
    <x v="1"/>
    <n v="1"/>
    <n v="57.7"/>
    <n v="57.7"/>
  </r>
  <r>
    <x v="622"/>
    <x v="15"/>
    <x v="26"/>
    <d v="2025-02-01T00:00:00"/>
    <x v="2"/>
    <x v="0"/>
    <x v="0"/>
    <x v="0"/>
    <x v="17"/>
    <n v="5"/>
    <x v="4"/>
    <x v="2"/>
    <n v="2"/>
    <n v="72.400000000000006"/>
    <n v="144.80000000000001"/>
  </r>
  <r>
    <x v="623"/>
    <x v="6"/>
    <x v="26"/>
    <d v="2025-01-28T00:00:00"/>
    <x v="0"/>
    <x v="0"/>
    <x v="2"/>
    <x v="0"/>
    <x v="11"/>
    <n v="1"/>
    <x v="4"/>
    <x v="0"/>
    <n v="2"/>
    <n v="62.5"/>
    <n v="125"/>
  </r>
  <r>
    <x v="624"/>
    <x v="0"/>
    <x v="26"/>
    <d v="2025-01-29T00:00:00"/>
    <x v="2"/>
    <x v="3"/>
    <x v="2"/>
    <x v="0"/>
    <x v="18"/>
    <n v="2"/>
    <x v="4"/>
    <x v="2"/>
    <n v="22"/>
    <n v="11.6"/>
    <n v="255.2"/>
  </r>
  <r>
    <x v="625"/>
    <x v="10"/>
    <x v="26"/>
    <d v="2025-01-29T00:00:00"/>
    <x v="2"/>
    <x v="2"/>
    <x v="2"/>
    <x v="0"/>
    <x v="18"/>
    <n v="2"/>
    <x v="4"/>
    <x v="2"/>
    <n v="10"/>
    <n v="39.6"/>
    <n v="396"/>
  </r>
  <r>
    <x v="626"/>
    <x v="8"/>
    <x v="26"/>
    <d v="2025-01-28T00:00:00"/>
    <x v="2"/>
    <x v="2"/>
    <x v="0"/>
    <x v="0"/>
    <x v="18"/>
    <n v="1"/>
    <x v="4"/>
    <x v="2"/>
    <n v="2"/>
    <n v="40.1"/>
    <n v="80.2"/>
  </r>
  <r>
    <x v="627"/>
    <x v="8"/>
    <x v="26"/>
    <d v="2025-01-28T00:00:00"/>
    <x v="2"/>
    <x v="2"/>
    <x v="0"/>
    <x v="0"/>
    <x v="21"/>
    <n v="1"/>
    <x v="4"/>
    <x v="2"/>
    <n v="3"/>
    <n v="18.600000000000001"/>
    <n v="55.800000000000004"/>
  </r>
  <r>
    <x v="628"/>
    <x v="4"/>
    <x v="26"/>
    <d v="2025-01-29T00:00:00"/>
    <x v="2"/>
    <x v="0"/>
    <x v="1"/>
    <x v="0"/>
    <x v="21"/>
    <n v="2"/>
    <x v="4"/>
    <x v="2"/>
    <n v="1"/>
    <n v="58.8"/>
    <n v="58.8"/>
  </r>
  <r>
    <x v="629"/>
    <x v="8"/>
    <x v="26"/>
    <d v="2025-01-30T00:00:00"/>
    <x v="1"/>
    <x v="1"/>
    <x v="2"/>
    <x v="0"/>
    <x v="21"/>
    <n v="3"/>
    <x v="4"/>
    <x v="1"/>
    <n v="2"/>
    <n v="22.1"/>
    <n v="44.2"/>
  </r>
  <r>
    <x v="630"/>
    <x v="2"/>
    <x v="27"/>
    <d v="2025-01-29T00:00:00"/>
    <x v="2"/>
    <x v="1"/>
    <x v="1"/>
    <x v="0"/>
    <x v="22"/>
    <n v="1"/>
    <x v="4"/>
    <x v="2"/>
    <n v="1"/>
    <n v="114.9"/>
    <n v="114.9"/>
  </r>
  <r>
    <x v="631"/>
    <x v="9"/>
    <x v="27"/>
    <d v="2025-01-29T00:00:00"/>
    <x v="1"/>
    <x v="0"/>
    <x v="2"/>
    <x v="0"/>
    <x v="3"/>
    <n v="1"/>
    <x v="4"/>
    <x v="1"/>
    <n v="5"/>
    <n v="75.8"/>
    <n v="379"/>
  </r>
  <r>
    <x v="632"/>
    <x v="14"/>
    <x v="27"/>
    <d v="2025-01-29T00:00:00"/>
    <x v="1"/>
    <x v="2"/>
    <x v="2"/>
    <x v="0"/>
    <x v="3"/>
    <n v="1"/>
    <x v="4"/>
    <x v="1"/>
    <n v="5"/>
    <n v="20.6"/>
    <n v="103"/>
  </r>
  <r>
    <x v="633"/>
    <x v="17"/>
    <x v="27"/>
    <d v="2025-01-29T00:00:00"/>
    <x v="2"/>
    <x v="1"/>
    <x v="1"/>
    <x v="0"/>
    <x v="3"/>
    <n v="1"/>
    <x v="4"/>
    <x v="2"/>
    <n v="3"/>
    <n v="67.900000000000006"/>
    <n v="203.70000000000002"/>
  </r>
  <r>
    <x v="634"/>
    <x v="0"/>
    <x v="27"/>
    <d v="2025-02-04T00:00:00"/>
    <x v="2"/>
    <x v="0"/>
    <x v="2"/>
    <x v="0"/>
    <x v="3"/>
    <n v="7"/>
    <x v="4"/>
    <x v="2"/>
    <n v="5"/>
    <n v="27"/>
    <n v="135"/>
  </r>
  <r>
    <x v="635"/>
    <x v="13"/>
    <x v="27"/>
    <d v="2025-01-28T00:00:00"/>
    <x v="1"/>
    <x v="0"/>
    <x v="1"/>
    <x v="0"/>
    <x v="3"/>
    <n v="0"/>
    <x v="4"/>
    <x v="1"/>
    <n v="1"/>
    <n v="50.6"/>
    <n v="50.6"/>
  </r>
  <r>
    <x v="636"/>
    <x v="4"/>
    <x v="27"/>
    <d v="2025-02-02T00:00:00"/>
    <x v="1"/>
    <x v="0"/>
    <x v="0"/>
    <x v="0"/>
    <x v="3"/>
    <n v="5"/>
    <x v="4"/>
    <x v="1"/>
    <n v="5"/>
    <n v="22.1"/>
    <n v="110.5"/>
  </r>
  <r>
    <x v="637"/>
    <x v="8"/>
    <x v="27"/>
    <d v="2025-01-30T00:00:00"/>
    <x v="2"/>
    <x v="0"/>
    <x v="0"/>
    <x v="0"/>
    <x v="3"/>
    <n v="2"/>
    <x v="4"/>
    <x v="2"/>
    <n v="3"/>
    <n v="42.9"/>
    <n v="128.69999999999999"/>
  </r>
  <r>
    <x v="638"/>
    <x v="1"/>
    <x v="27"/>
    <d v="2025-01-30T00:00:00"/>
    <x v="2"/>
    <x v="2"/>
    <x v="0"/>
    <x v="0"/>
    <x v="3"/>
    <n v="2"/>
    <x v="4"/>
    <x v="2"/>
    <n v="11"/>
    <n v="62.4"/>
    <n v="686.4"/>
  </r>
  <r>
    <x v="639"/>
    <x v="13"/>
    <x v="27"/>
    <d v="2025-01-30T00:00:00"/>
    <x v="2"/>
    <x v="0"/>
    <x v="2"/>
    <x v="0"/>
    <x v="3"/>
    <n v="2"/>
    <x v="4"/>
    <x v="2"/>
    <n v="9"/>
    <n v="36.4"/>
    <n v="327.59999999999997"/>
  </r>
  <r>
    <x v="640"/>
    <x v="0"/>
    <x v="27"/>
    <d v="2025-01-31T00:00:00"/>
    <x v="1"/>
    <x v="0"/>
    <x v="0"/>
    <x v="0"/>
    <x v="3"/>
    <n v="3"/>
    <x v="4"/>
    <x v="1"/>
    <n v="2"/>
    <n v="22.5"/>
    <n v="45"/>
  </r>
  <r>
    <x v="641"/>
    <x v="6"/>
    <x v="27"/>
    <d v="2025-01-30T00:00:00"/>
    <x v="2"/>
    <x v="4"/>
    <x v="0"/>
    <x v="0"/>
    <x v="3"/>
    <n v="2"/>
    <x v="4"/>
    <x v="2"/>
    <n v="4"/>
    <n v="70.8"/>
    <n v="283.2"/>
  </r>
  <r>
    <x v="642"/>
    <x v="6"/>
    <x v="27"/>
    <d v="2025-01-30T00:00:00"/>
    <x v="1"/>
    <x v="0"/>
    <x v="1"/>
    <x v="0"/>
    <x v="4"/>
    <n v="2"/>
    <x v="4"/>
    <x v="1"/>
    <n v="5"/>
    <n v="56.6"/>
    <n v="283"/>
  </r>
  <r>
    <x v="643"/>
    <x v="6"/>
    <x v="27"/>
    <d v="2025-01-29T00:00:00"/>
    <x v="2"/>
    <x v="0"/>
    <x v="0"/>
    <x v="0"/>
    <x v="6"/>
    <n v="1"/>
    <x v="4"/>
    <x v="2"/>
    <n v="2"/>
    <n v="47.9"/>
    <n v="95.8"/>
  </r>
  <r>
    <x v="644"/>
    <x v="6"/>
    <x v="27"/>
    <d v="2025-01-30T00:00:00"/>
    <x v="2"/>
    <x v="1"/>
    <x v="0"/>
    <x v="0"/>
    <x v="6"/>
    <n v="2"/>
    <x v="4"/>
    <x v="2"/>
    <n v="8"/>
    <n v="78.400000000000006"/>
    <n v="627.20000000000005"/>
  </r>
  <r>
    <x v="645"/>
    <x v="2"/>
    <x v="27"/>
    <d v="2025-02-02T00:00:00"/>
    <x v="2"/>
    <x v="0"/>
    <x v="2"/>
    <x v="0"/>
    <x v="6"/>
    <n v="5"/>
    <x v="4"/>
    <x v="2"/>
    <n v="14"/>
    <n v="122.1"/>
    <n v="1709.3999999999999"/>
  </r>
  <r>
    <x v="646"/>
    <x v="2"/>
    <x v="28"/>
    <d v="2025-01-29T00:00:00"/>
    <x v="0"/>
    <x v="1"/>
    <x v="2"/>
    <x v="0"/>
    <x v="7"/>
    <n v="0"/>
    <x v="4"/>
    <x v="0"/>
    <n v="2"/>
    <n v="83.7"/>
    <n v="167.4"/>
  </r>
  <r>
    <x v="647"/>
    <x v="3"/>
    <x v="28"/>
    <d v="2025-02-02T00:00:00"/>
    <x v="2"/>
    <x v="3"/>
    <x v="2"/>
    <x v="0"/>
    <x v="7"/>
    <n v="4"/>
    <x v="4"/>
    <x v="2"/>
    <n v="4"/>
    <n v="97.9"/>
    <n v="391.6"/>
  </r>
  <r>
    <x v="648"/>
    <x v="14"/>
    <x v="28"/>
    <d v="2025-02-03T00:00:00"/>
    <x v="2"/>
    <x v="3"/>
    <x v="0"/>
    <x v="0"/>
    <x v="8"/>
    <n v="5"/>
    <x v="4"/>
    <x v="2"/>
    <n v="1"/>
    <n v="15"/>
    <n v="15"/>
  </r>
  <r>
    <x v="649"/>
    <x v="12"/>
    <x v="28"/>
    <d v="2025-01-30T00:00:00"/>
    <x v="1"/>
    <x v="2"/>
    <x v="1"/>
    <x v="0"/>
    <x v="8"/>
    <n v="1"/>
    <x v="4"/>
    <x v="1"/>
    <n v="3"/>
    <n v="94.6"/>
    <n v="283.79999999999995"/>
  </r>
  <r>
    <x v="650"/>
    <x v="0"/>
    <x v="28"/>
    <d v="2025-02-09T00:00:00"/>
    <x v="2"/>
    <x v="0"/>
    <x v="2"/>
    <x v="0"/>
    <x v="8"/>
    <n v="11"/>
    <x v="4"/>
    <x v="2"/>
    <n v="6"/>
    <n v="19.7"/>
    <n v="118.19999999999999"/>
  </r>
  <r>
    <x v="651"/>
    <x v="7"/>
    <x v="28"/>
    <d v="2025-02-01T00:00:00"/>
    <x v="2"/>
    <x v="2"/>
    <x v="0"/>
    <x v="0"/>
    <x v="17"/>
    <n v="3"/>
    <x v="4"/>
    <x v="2"/>
    <n v="1"/>
    <n v="46.7"/>
    <n v="46.7"/>
  </r>
  <r>
    <x v="652"/>
    <x v="1"/>
    <x v="28"/>
    <d v="2025-01-30T00:00:00"/>
    <x v="1"/>
    <x v="2"/>
    <x v="2"/>
    <x v="0"/>
    <x v="17"/>
    <n v="1"/>
    <x v="4"/>
    <x v="1"/>
    <n v="4"/>
    <n v="43"/>
    <n v="172"/>
  </r>
  <r>
    <x v="653"/>
    <x v="6"/>
    <x v="28"/>
    <d v="2025-02-04T00:00:00"/>
    <x v="2"/>
    <x v="0"/>
    <x v="0"/>
    <x v="0"/>
    <x v="9"/>
    <n v="6"/>
    <x v="4"/>
    <x v="2"/>
    <n v="3"/>
    <n v="68.2"/>
    <n v="204.60000000000002"/>
  </r>
  <r>
    <x v="654"/>
    <x v="10"/>
    <x v="28"/>
    <d v="2025-01-30T00:00:00"/>
    <x v="1"/>
    <x v="0"/>
    <x v="2"/>
    <x v="0"/>
    <x v="10"/>
    <n v="1"/>
    <x v="4"/>
    <x v="1"/>
    <n v="10"/>
    <n v="24.3"/>
    <n v="243"/>
  </r>
  <r>
    <x v="655"/>
    <x v="7"/>
    <x v="28"/>
    <d v="2025-02-02T00:00:00"/>
    <x v="2"/>
    <x v="4"/>
    <x v="2"/>
    <x v="0"/>
    <x v="11"/>
    <n v="4"/>
    <x v="4"/>
    <x v="2"/>
    <n v="2"/>
    <n v="86.8"/>
    <n v="173.6"/>
  </r>
  <r>
    <x v="656"/>
    <x v="0"/>
    <x v="28"/>
    <d v="2025-01-31T00:00:00"/>
    <x v="1"/>
    <x v="1"/>
    <x v="0"/>
    <x v="0"/>
    <x v="11"/>
    <n v="2"/>
    <x v="4"/>
    <x v="1"/>
    <n v="2"/>
    <n v="15.8"/>
    <n v="31.6"/>
  </r>
  <r>
    <x v="657"/>
    <x v="2"/>
    <x v="28"/>
    <d v="2025-01-30T00:00:00"/>
    <x v="1"/>
    <x v="2"/>
    <x v="0"/>
    <x v="0"/>
    <x v="11"/>
    <n v="1"/>
    <x v="4"/>
    <x v="1"/>
    <n v="4"/>
    <n v="61.6"/>
    <n v="246.4"/>
  </r>
  <r>
    <x v="658"/>
    <x v="6"/>
    <x v="28"/>
    <d v="2025-02-04T00:00:00"/>
    <x v="2"/>
    <x v="1"/>
    <x v="2"/>
    <x v="0"/>
    <x v="45"/>
    <n v="6"/>
    <x v="4"/>
    <x v="2"/>
    <n v="3"/>
    <n v="48.7"/>
    <n v="146.10000000000002"/>
  </r>
  <r>
    <x v="659"/>
    <x v="8"/>
    <x v="28"/>
    <d v="2025-01-31T00:00:00"/>
    <x v="2"/>
    <x v="1"/>
    <x v="2"/>
    <x v="0"/>
    <x v="21"/>
    <n v="2"/>
    <x v="4"/>
    <x v="2"/>
    <n v="4"/>
    <n v="24.3"/>
    <n v="97.2"/>
  </r>
  <r>
    <x v="660"/>
    <x v="2"/>
    <x v="28"/>
    <d v="2025-01-30T00:00:00"/>
    <x v="2"/>
    <x v="2"/>
    <x v="0"/>
    <x v="0"/>
    <x v="44"/>
    <n v="1"/>
    <x v="4"/>
    <x v="2"/>
    <n v="2"/>
    <n v="130.69999999999999"/>
    <n v="261.39999999999998"/>
  </r>
  <r>
    <x v="661"/>
    <x v="10"/>
    <x v="28"/>
    <d v="2025-01-31T00:00:00"/>
    <x v="1"/>
    <x v="0"/>
    <x v="0"/>
    <x v="0"/>
    <x v="3"/>
    <n v="2"/>
    <x v="4"/>
    <x v="1"/>
    <n v="1"/>
    <n v="26"/>
    <n v="26"/>
  </r>
  <r>
    <x v="662"/>
    <x v="2"/>
    <x v="28"/>
    <d v="2025-01-30T00:00:00"/>
    <x v="2"/>
    <x v="0"/>
    <x v="0"/>
    <x v="0"/>
    <x v="3"/>
    <n v="1"/>
    <x v="4"/>
    <x v="2"/>
    <n v="5"/>
    <n v="94.4"/>
    <n v="472"/>
  </r>
  <r>
    <x v="663"/>
    <x v="0"/>
    <x v="28"/>
    <d v="2025-01-31T00:00:00"/>
    <x v="1"/>
    <x v="2"/>
    <x v="2"/>
    <x v="0"/>
    <x v="3"/>
    <n v="2"/>
    <x v="4"/>
    <x v="1"/>
    <n v="6"/>
    <n v="23.7"/>
    <n v="142.19999999999999"/>
  </r>
  <r>
    <x v="664"/>
    <x v="9"/>
    <x v="28"/>
    <d v="2025-01-31T00:00:00"/>
    <x v="1"/>
    <x v="2"/>
    <x v="0"/>
    <x v="0"/>
    <x v="3"/>
    <n v="2"/>
    <x v="4"/>
    <x v="1"/>
    <n v="12"/>
    <n v="37.4"/>
    <n v="448.79999999999995"/>
  </r>
  <r>
    <x v="665"/>
    <x v="1"/>
    <x v="28"/>
    <d v="2025-01-29T00:00:00"/>
    <x v="2"/>
    <x v="3"/>
    <x v="1"/>
    <x v="0"/>
    <x v="3"/>
    <n v="0"/>
    <x v="4"/>
    <x v="2"/>
    <n v="36"/>
    <n v="55.2"/>
    <n v="1987.2"/>
  </r>
  <r>
    <x v="666"/>
    <x v="2"/>
    <x v="28"/>
    <d v="2025-01-31T00:00:00"/>
    <x v="1"/>
    <x v="0"/>
    <x v="2"/>
    <x v="0"/>
    <x v="3"/>
    <n v="2"/>
    <x v="4"/>
    <x v="1"/>
    <n v="9"/>
    <n v="57.1"/>
    <n v="513.9"/>
  </r>
  <r>
    <x v="667"/>
    <x v="12"/>
    <x v="28"/>
    <d v="2025-01-30T00:00:00"/>
    <x v="2"/>
    <x v="2"/>
    <x v="2"/>
    <x v="0"/>
    <x v="3"/>
    <n v="1"/>
    <x v="4"/>
    <x v="2"/>
    <n v="1"/>
    <n v="55.3"/>
    <n v="55.3"/>
  </r>
  <r>
    <x v="668"/>
    <x v="15"/>
    <x v="28"/>
    <d v="2025-01-30T00:00:00"/>
    <x v="2"/>
    <x v="4"/>
    <x v="1"/>
    <x v="0"/>
    <x v="3"/>
    <n v="1"/>
    <x v="4"/>
    <x v="2"/>
    <n v="7"/>
    <n v="23.9"/>
    <n v="167.29999999999998"/>
  </r>
  <r>
    <x v="669"/>
    <x v="0"/>
    <x v="28"/>
    <d v="2025-02-05T00:00:00"/>
    <x v="2"/>
    <x v="2"/>
    <x v="0"/>
    <x v="0"/>
    <x v="3"/>
    <n v="7"/>
    <x v="4"/>
    <x v="2"/>
    <n v="1"/>
    <n v="34.1"/>
    <n v="34.1"/>
  </r>
  <r>
    <x v="670"/>
    <x v="12"/>
    <x v="28"/>
    <d v="2025-02-09T00:00:00"/>
    <x v="2"/>
    <x v="0"/>
    <x v="0"/>
    <x v="0"/>
    <x v="3"/>
    <n v="11"/>
    <x v="4"/>
    <x v="2"/>
    <n v="4"/>
    <n v="38.5"/>
    <n v="154"/>
  </r>
  <r>
    <x v="671"/>
    <x v="7"/>
    <x v="28"/>
    <d v="2025-02-04T00:00:00"/>
    <x v="2"/>
    <x v="0"/>
    <x v="2"/>
    <x v="0"/>
    <x v="3"/>
    <n v="6"/>
    <x v="4"/>
    <x v="2"/>
    <n v="2"/>
    <n v="105"/>
    <n v="210"/>
  </r>
  <r>
    <x v="672"/>
    <x v="8"/>
    <x v="28"/>
    <d v="2025-01-31T00:00:00"/>
    <x v="2"/>
    <x v="0"/>
    <x v="2"/>
    <x v="0"/>
    <x v="3"/>
    <n v="2"/>
    <x v="4"/>
    <x v="2"/>
    <n v="5"/>
    <n v="45.2"/>
    <n v="226"/>
  </r>
  <r>
    <x v="673"/>
    <x v="17"/>
    <x v="28"/>
    <d v="2025-01-29T00:00:00"/>
    <x v="0"/>
    <x v="0"/>
    <x v="1"/>
    <x v="0"/>
    <x v="3"/>
    <n v="0"/>
    <x v="4"/>
    <x v="0"/>
    <n v="3"/>
    <n v="24.8"/>
    <n v="74.400000000000006"/>
  </r>
  <r>
    <x v="674"/>
    <x v="11"/>
    <x v="28"/>
    <d v="2025-02-05T00:00:00"/>
    <x v="2"/>
    <x v="1"/>
    <x v="2"/>
    <x v="0"/>
    <x v="6"/>
    <n v="7"/>
    <x v="4"/>
    <x v="2"/>
    <n v="4"/>
    <n v="43.8"/>
    <n v="175.2"/>
  </r>
  <r>
    <x v="675"/>
    <x v="1"/>
    <x v="28"/>
    <d v="2025-01-31T00:00:00"/>
    <x v="2"/>
    <x v="4"/>
    <x v="1"/>
    <x v="0"/>
    <x v="6"/>
    <n v="2"/>
    <x v="4"/>
    <x v="2"/>
    <n v="1"/>
    <n v="75"/>
    <n v="75"/>
  </r>
  <r>
    <x v="676"/>
    <x v="2"/>
    <x v="28"/>
    <d v="2025-01-30T00:00:00"/>
    <x v="1"/>
    <x v="2"/>
    <x v="0"/>
    <x v="0"/>
    <x v="6"/>
    <n v="1"/>
    <x v="4"/>
    <x v="1"/>
    <n v="1"/>
    <n v="169.9"/>
    <n v="169.9"/>
  </r>
  <r>
    <x v="677"/>
    <x v="9"/>
    <x v="28"/>
    <d v="2025-01-31T00:00:00"/>
    <x v="2"/>
    <x v="4"/>
    <x v="1"/>
    <x v="0"/>
    <x v="6"/>
    <n v="2"/>
    <x v="4"/>
    <x v="2"/>
    <n v="2"/>
    <n v="72.2"/>
    <n v="144.4"/>
  </r>
  <r>
    <x v="678"/>
    <x v="0"/>
    <x v="29"/>
    <d v="2025-02-02T00:00:00"/>
    <x v="2"/>
    <x v="2"/>
    <x v="1"/>
    <x v="0"/>
    <x v="7"/>
    <n v="3"/>
    <x v="4"/>
    <x v="2"/>
    <n v="1"/>
    <n v="20"/>
    <n v="20"/>
  </r>
  <r>
    <x v="679"/>
    <x v="9"/>
    <x v="29"/>
    <d v="2025-02-01T00:00:00"/>
    <x v="2"/>
    <x v="3"/>
    <x v="2"/>
    <x v="0"/>
    <x v="8"/>
    <n v="2"/>
    <x v="4"/>
    <x v="2"/>
    <n v="2"/>
    <n v="40.799999999999997"/>
    <n v="81.599999999999994"/>
  </r>
  <r>
    <x v="680"/>
    <x v="10"/>
    <x v="29"/>
    <d v="2025-02-03T00:00:00"/>
    <x v="2"/>
    <x v="0"/>
    <x v="0"/>
    <x v="0"/>
    <x v="8"/>
    <n v="4"/>
    <x v="4"/>
    <x v="2"/>
    <n v="4"/>
    <n v="58"/>
    <n v="232"/>
  </r>
  <r>
    <x v="681"/>
    <x v="12"/>
    <x v="29"/>
    <d v="2025-01-31T00:00:00"/>
    <x v="2"/>
    <x v="1"/>
    <x v="2"/>
    <x v="0"/>
    <x v="8"/>
    <n v="1"/>
    <x v="4"/>
    <x v="2"/>
    <n v="2"/>
    <n v="43.1"/>
    <n v="86.2"/>
  </r>
  <r>
    <x v="682"/>
    <x v="6"/>
    <x v="29"/>
    <d v="2025-02-01T00:00:00"/>
    <x v="1"/>
    <x v="0"/>
    <x v="2"/>
    <x v="0"/>
    <x v="8"/>
    <n v="2"/>
    <x v="4"/>
    <x v="1"/>
    <n v="9"/>
    <n v="74.7"/>
    <n v="672.30000000000007"/>
  </r>
  <r>
    <x v="683"/>
    <x v="6"/>
    <x v="29"/>
    <d v="2025-01-30T00:00:00"/>
    <x v="1"/>
    <x v="1"/>
    <x v="0"/>
    <x v="0"/>
    <x v="8"/>
    <n v="0"/>
    <x v="4"/>
    <x v="1"/>
    <n v="1"/>
    <n v="128.19999999999999"/>
    <n v="128.19999999999999"/>
  </r>
  <r>
    <x v="684"/>
    <x v="14"/>
    <x v="29"/>
    <d v="2025-01-31T00:00:00"/>
    <x v="1"/>
    <x v="1"/>
    <x v="0"/>
    <x v="0"/>
    <x v="8"/>
    <n v="1"/>
    <x v="4"/>
    <x v="1"/>
    <n v="4"/>
    <n v="26.7"/>
    <n v="106.8"/>
  </r>
  <r>
    <x v="685"/>
    <x v="17"/>
    <x v="29"/>
    <d v="2025-01-31T00:00:00"/>
    <x v="2"/>
    <x v="2"/>
    <x v="0"/>
    <x v="0"/>
    <x v="17"/>
    <n v="1"/>
    <x v="4"/>
    <x v="2"/>
    <n v="6"/>
    <n v="31.5"/>
    <n v="189"/>
  </r>
  <r>
    <x v="686"/>
    <x v="3"/>
    <x v="29"/>
    <d v="2025-01-31T00:00:00"/>
    <x v="2"/>
    <x v="0"/>
    <x v="2"/>
    <x v="0"/>
    <x v="9"/>
    <n v="1"/>
    <x v="4"/>
    <x v="2"/>
    <n v="7"/>
    <n v="64.7"/>
    <n v="452.90000000000003"/>
  </r>
  <r>
    <x v="687"/>
    <x v="5"/>
    <x v="29"/>
    <d v="2025-02-02T00:00:00"/>
    <x v="2"/>
    <x v="3"/>
    <x v="0"/>
    <x v="0"/>
    <x v="11"/>
    <n v="3"/>
    <x v="4"/>
    <x v="2"/>
    <n v="2"/>
    <n v="55.6"/>
    <n v="111.2"/>
  </r>
  <r>
    <x v="688"/>
    <x v="3"/>
    <x v="29"/>
    <d v="2025-01-31T00:00:00"/>
    <x v="2"/>
    <x v="3"/>
    <x v="0"/>
    <x v="0"/>
    <x v="11"/>
    <n v="1"/>
    <x v="4"/>
    <x v="2"/>
    <n v="2"/>
    <n v="36.200000000000003"/>
    <n v="72.400000000000006"/>
  </r>
  <r>
    <x v="689"/>
    <x v="0"/>
    <x v="29"/>
    <d v="2025-01-31T00:00:00"/>
    <x v="0"/>
    <x v="1"/>
    <x v="1"/>
    <x v="0"/>
    <x v="19"/>
    <n v="1"/>
    <x v="4"/>
    <x v="0"/>
    <n v="1"/>
    <n v="26.6"/>
    <n v="26.6"/>
  </r>
  <r>
    <x v="690"/>
    <x v="10"/>
    <x v="29"/>
    <d v="2025-02-01T00:00:00"/>
    <x v="1"/>
    <x v="0"/>
    <x v="0"/>
    <x v="0"/>
    <x v="31"/>
    <n v="2"/>
    <x v="4"/>
    <x v="1"/>
    <n v="4"/>
    <n v="31.5"/>
    <n v="126"/>
  </r>
  <r>
    <x v="691"/>
    <x v="10"/>
    <x v="29"/>
    <d v="2025-02-01T00:00:00"/>
    <x v="2"/>
    <x v="1"/>
    <x v="2"/>
    <x v="0"/>
    <x v="13"/>
    <n v="2"/>
    <x v="4"/>
    <x v="2"/>
    <n v="1"/>
    <n v="27"/>
    <n v="27"/>
  </r>
  <r>
    <x v="692"/>
    <x v="4"/>
    <x v="29"/>
    <d v="2025-02-02T00:00:00"/>
    <x v="1"/>
    <x v="3"/>
    <x v="0"/>
    <x v="0"/>
    <x v="21"/>
    <n v="3"/>
    <x v="4"/>
    <x v="1"/>
    <n v="1"/>
    <n v="32"/>
    <n v="32"/>
  </r>
  <r>
    <x v="693"/>
    <x v="1"/>
    <x v="29"/>
    <d v="2025-02-01T00:00:00"/>
    <x v="1"/>
    <x v="2"/>
    <x v="1"/>
    <x v="0"/>
    <x v="1"/>
    <n v="2"/>
    <x v="4"/>
    <x v="1"/>
    <n v="3"/>
    <n v="48.1"/>
    <n v="144.30000000000001"/>
  </r>
  <r>
    <x v="694"/>
    <x v="9"/>
    <x v="29"/>
    <d v="2025-01-31T00:00:00"/>
    <x v="1"/>
    <x v="1"/>
    <x v="1"/>
    <x v="0"/>
    <x v="22"/>
    <n v="1"/>
    <x v="4"/>
    <x v="1"/>
    <n v="2"/>
    <n v="43.4"/>
    <n v="86.8"/>
  </r>
  <r>
    <x v="695"/>
    <x v="6"/>
    <x v="29"/>
    <d v="2025-02-02T00:00:00"/>
    <x v="2"/>
    <x v="3"/>
    <x v="0"/>
    <x v="0"/>
    <x v="22"/>
    <n v="3"/>
    <x v="4"/>
    <x v="2"/>
    <n v="2"/>
    <n v="42.6"/>
    <n v="85.2"/>
  </r>
  <r>
    <x v="696"/>
    <x v="8"/>
    <x v="29"/>
    <d v="2025-01-31T00:00:00"/>
    <x v="2"/>
    <x v="0"/>
    <x v="0"/>
    <x v="0"/>
    <x v="34"/>
    <n v="1"/>
    <x v="4"/>
    <x v="2"/>
    <n v="2"/>
    <n v="15.9"/>
    <n v="31.8"/>
  </r>
  <r>
    <x v="697"/>
    <x v="9"/>
    <x v="29"/>
    <d v="2025-01-31T00:00:00"/>
    <x v="1"/>
    <x v="1"/>
    <x v="0"/>
    <x v="0"/>
    <x v="3"/>
    <n v="1"/>
    <x v="4"/>
    <x v="1"/>
    <n v="2"/>
    <n v="63.2"/>
    <n v="126.4"/>
  </r>
  <r>
    <x v="698"/>
    <x v="7"/>
    <x v="29"/>
    <d v="2025-02-01T00:00:00"/>
    <x v="0"/>
    <x v="4"/>
    <x v="1"/>
    <x v="0"/>
    <x v="3"/>
    <n v="2"/>
    <x v="4"/>
    <x v="0"/>
    <n v="4"/>
    <n v="64.8"/>
    <n v="259.2"/>
  </r>
  <r>
    <x v="699"/>
    <x v="7"/>
    <x v="29"/>
    <d v="2025-01-31T00:00:00"/>
    <x v="1"/>
    <x v="0"/>
    <x v="0"/>
    <x v="0"/>
    <x v="3"/>
    <n v="1"/>
    <x v="4"/>
    <x v="1"/>
    <n v="3"/>
    <n v="79.8"/>
    <n v="239.39999999999998"/>
  </r>
  <r>
    <x v="700"/>
    <x v="9"/>
    <x v="29"/>
    <d v="2025-02-01T00:00:00"/>
    <x v="2"/>
    <x v="4"/>
    <x v="2"/>
    <x v="0"/>
    <x v="3"/>
    <n v="2"/>
    <x v="4"/>
    <x v="2"/>
    <n v="1"/>
    <n v="54.4"/>
    <n v="54.4"/>
  </r>
  <r>
    <x v="701"/>
    <x v="6"/>
    <x v="29"/>
    <d v="2025-01-31T00:00:00"/>
    <x v="1"/>
    <x v="1"/>
    <x v="0"/>
    <x v="0"/>
    <x v="3"/>
    <n v="1"/>
    <x v="4"/>
    <x v="1"/>
    <n v="1"/>
    <n v="87.3"/>
    <n v="87.3"/>
  </r>
  <r>
    <x v="702"/>
    <x v="8"/>
    <x v="29"/>
    <d v="2025-01-30T00:00:00"/>
    <x v="1"/>
    <x v="1"/>
    <x v="0"/>
    <x v="0"/>
    <x v="3"/>
    <n v="0"/>
    <x v="4"/>
    <x v="1"/>
    <n v="4"/>
    <n v="32.4"/>
    <n v="129.6"/>
  </r>
  <r>
    <x v="703"/>
    <x v="2"/>
    <x v="29"/>
    <d v="2025-02-03T00:00:00"/>
    <x v="1"/>
    <x v="0"/>
    <x v="2"/>
    <x v="0"/>
    <x v="3"/>
    <n v="4"/>
    <x v="4"/>
    <x v="1"/>
    <n v="1"/>
    <n v="177.4"/>
    <n v="177.4"/>
  </r>
  <r>
    <x v="704"/>
    <x v="7"/>
    <x v="29"/>
    <d v="2025-01-31T00:00:00"/>
    <x v="1"/>
    <x v="3"/>
    <x v="1"/>
    <x v="0"/>
    <x v="3"/>
    <n v="1"/>
    <x v="4"/>
    <x v="1"/>
    <n v="2"/>
    <n v="70.099999999999994"/>
    <n v="140.19999999999999"/>
  </r>
  <r>
    <x v="705"/>
    <x v="9"/>
    <x v="29"/>
    <d v="2025-01-31T00:00:00"/>
    <x v="2"/>
    <x v="0"/>
    <x v="0"/>
    <x v="0"/>
    <x v="3"/>
    <n v="1"/>
    <x v="4"/>
    <x v="2"/>
    <n v="6"/>
    <n v="51.1"/>
    <n v="306.60000000000002"/>
  </r>
  <r>
    <x v="706"/>
    <x v="2"/>
    <x v="29"/>
    <d v="2025-02-01T00:00:00"/>
    <x v="1"/>
    <x v="3"/>
    <x v="2"/>
    <x v="0"/>
    <x v="24"/>
    <n v="2"/>
    <x v="4"/>
    <x v="1"/>
    <n v="5"/>
    <n v="79.900000000000006"/>
    <n v="399.5"/>
  </r>
  <r>
    <x v="707"/>
    <x v="6"/>
    <x v="30"/>
    <d v="2025-02-05T00:00:00"/>
    <x v="1"/>
    <x v="0"/>
    <x v="2"/>
    <x v="0"/>
    <x v="49"/>
    <n v="5"/>
    <x v="4"/>
    <x v="1"/>
    <n v="1"/>
    <n v="57.6"/>
    <n v="57.6"/>
  </r>
  <r>
    <x v="708"/>
    <x v="8"/>
    <x v="30"/>
    <d v="2025-02-04T00:00:00"/>
    <x v="1"/>
    <x v="2"/>
    <x v="0"/>
    <x v="0"/>
    <x v="25"/>
    <n v="4"/>
    <x v="4"/>
    <x v="1"/>
    <n v="10"/>
    <n v="59.7"/>
    <n v="597"/>
  </r>
  <r>
    <x v="709"/>
    <x v="8"/>
    <x v="30"/>
    <d v="2025-02-02T00:00:00"/>
    <x v="1"/>
    <x v="1"/>
    <x v="0"/>
    <x v="0"/>
    <x v="6"/>
    <n v="2"/>
    <x v="4"/>
    <x v="1"/>
    <n v="5"/>
    <n v="30"/>
    <n v="150"/>
  </r>
  <r>
    <x v="710"/>
    <x v="10"/>
    <x v="30"/>
    <d v="2025-02-02T00:00:00"/>
    <x v="0"/>
    <x v="2"/>
    <x v="1"/>
    <x v="0"/>
    <x v="6"/>
    <n v="2"/>
    <x v="4"/>
    <x v="0"/>
    <n v="2"/>
    <n v="69.2"/>
    <n v="138.4"/>
  </r>
  <r>
    <x v="711"/>
    <x v="0"/>
    <x v="30"/>
    <d v="2025-02-01T00:00:00"/>
    <x v="2"/>
    <x v="0"/>
    <x v="2"/>
    <x v="0"/>
    <x v="6"/>
    <n v="1"/>
    <x v="4"/>
    <x v="2"/>
    <n v="8"/>
    <n v="10.9"/>
    <n v="87.2"/>
  </r>
  <r>
    <x v="712"/>
    <x v="16"/>
    <x v="30"/>
    <d v="2025-02-04T00:00:00"/>
    <x v="1"/>
    <x v="1"/>
    <x v="2"/>
    <x v="0"/>
    <x v="6"/>
    <n v="4"/>
    <x v="4"/>
    <x v="1"/>
    <n v="2"/>
    <n v="48.6"/>
    <n v="97.2"/>
  </r>
  <r>
    <x v="713"/>
    <x v="2"/>
    <x v="30"/>
    <d v="2025-02-03T00:00:00"/>
    <x v="2"/>
    <x v="1"/>
    <x v="2"/>
    <x v="0"/>
    <x v="7"/>
    <n v="3"/>
    <x v="4"/>
    <x v="2"/>
    <n v="2"/>
    <n v="61.1"/>
    <n v="122.2"/>
  </r>
  <r>
    <x v="714"/>
    <x v="8"/>
    <x v="30"/>
    <d v="2025-02-01T00:00:00"/>
    <x v="1"/>
    <x v="3"/>
    <x v="2"/>
    <x v="0"/>
    <x v="8"/>
    <n v="1"/>
    <x v="4"/>
    <x v="1"/>
    <n v="2"/>
    <n v="23.2"/>
    <n v="46.4"/>
  </r>
  <r>
    <x v="715"/>
    <x v="12"/>
    <x v="30"/>
    <d v="2025-02-01T00:00:00"/>
    <x v="1"/>
    <x v="0"/>
    <x v="0"/>
    <x v="0"/>
    <x v="8"/>
    <n v="1"/>
    <x v="4"/>
    <x v="1"/>
    <n v="4"/>
    <n v="55.8"/>
    <n v="223.2"/>
  </r>
  <r>
    <x v="716"/>
    <x v="9"/>
    <x v="30"/>
    <d v="2025-02-01T00:00:00"/>
    <x v="2"/>
    <x v="0"/>
    <x v="2"/>
    <x v="0"/>
    <x v="8"/>
    <n v="1"/>
    <x v="4"/>
    <x v="2"/>
    <n v="4"/>
    <n v="24.8"/>
    <n v="99.2"/>
  </r>
  <r>
    <x v="717"/>
    <x v="10"/>
    <x v="30"/>
    <d v="2025-01-31T00:00:00"/>
    <x v="1"/>
    <x v="2"/>
    <x v="2"/>
    <x v="0"/>
    <x v="8"/>
    <n v="0"/>
    <x v="4"/>
    <x v="1"/>
    <n v="2"/>
    <n v="27.9"/>
    <n v="55.8"/>
  </r>
  <r>
    <x v="718"/>
    <x v="10"/>
    <x v="30"/>
    <d v="2025-01-31T00:00:00"/>
    <x v="2"/>
    <x v="3"/>
    <x v="0"/>
    <x v="0"/>
    <x v="8"/>
    <n v="0"/>
    <x v="4"/>
    <x v="2"/>
    <n v="6"/>
    <n v="51.1"/>
    <n v="306.60000000000002"/>
  </r>
  <r>
    <x v="719"/>
    <x v="17"/>
    <x v="30"/>
    <d v="2025-02-01T00:00:00"/>
    <x v="1"/>
    <x v="4"/>
    <x v="2"/>
    <x v="0"/>
    <x v="17"/>
    <n v="1"/>
    <x v="4"/>
    <x v="1"/>
    <n v="11"/>
    <n v="32.700000000000003"/>
    <n v="359.70000000000005"/>
  </r>
  <r>
    <x v="720"/>
    <x v="8"/>
    <x v="30"/>
    <d v="2025-01-31T00:00:00"/>
    <x v="1"/>
    <x v="0"/>
    <x v="2"/>
    <x v="0"/>
    <x v="26"/>
    <n v="0"/>
    <x v="4"/>
    <x v="1"/>
    <n v="4"/>
    <n v="22.5"/>
    <n v="90"/>
  </r>
  <r>
    <x v="721"/>
    <x v="0"/>
    <x v="30"/>
    <d v="2025-02-01T00:00:00"/>
    <x v="2"/>
    <x v="2"/>
    <x v="0"/>
    <x v="0"/>
    <x v="41"/>
    <n v="1"/>
    <x v="4"/>
    <x v="2"/>
    <n v="7"/>
    <n v="14.6"/>
    <n v="102.2"/>
  </r>
  <r>
    <x v="722"/>
    <x v="5"/>
    <x v="30"/>
    <d v="2025-02-03T00:00:00"/>
    <x v="1"/>
    <x v="0"/>
    <x v="0"/>
    <x v="0"/>
    <x v="10"/>
    <n v="3"/>
    <x v="4"/>
    <x v="1"/>
    <n v="3"/>
    <n v="32.5"/>
    <n v="97.5"/>
  </r>
  <r>
    <x v="723"/>
    <x v="18"/>
    <x v="30"/>
    <d v="2025-02-03T00:00:00"/>
    <x v="1"/>
    <x v="0"/>
    <x v="2"/>
    <x v="0"/>
    <x v="11"/>
    <n v="3"/>
    <x v="4"/>
    <x v="1"/>
    <n v="1"/>
    <n v="78.099999999999994"/>
    <n v="78.099999999999994"/>
  </r>
  <r>
    <x v="724"/>
    <x v="12"/>
    <x v="30"/>
    <d v="2025-01-31T00:00:00"/>
    <x v="1"/>
    <x v="1"/>
    <x v="4"/>
    <x v="0"/>
    <x v="13"/>
    <n v="0"/>
    <x v="4"/>
    <x v="1"/>
    <n v="6"/>
    <n v="110.2"/>
    <n v="661.2"/>
  </r>
  <r>
    <x v="725"/>
    <x v="6"/>
    <x v="30"/>
    <d v="2025-02-02T00:00:00"/>
    <x v="2"/>
    <x v="3"/>
    <x v="0"/>
    <x v="0"/>
    <x v="21"/>
    <n v="2"/>
    <x v="4"/>
    <x v="2"/>
    <n v="3"/>
    <n v="86.3"/>
    <n v="258.89999999999998"/>
  </r>
  <r>
    <x v="726"/>
    <x v="1"/>
    <x v="30"/>
    <d v="2025-02-02T00:00:00"/>
    <x v="3"/>
    <x v="3"/>
    <x v="4"/>
    <x v="0"/>
    <x v="44"/>
    <n v="2"/>
    <x v="4"/>
    <x v="3"/>
    <n v="6"/>
    <n v="73.599999999999994"/>
    <n v="441.59999999999997"/>
  </r>
  <r>
    <x v="727"/>
    <x v="6"/>
    <x v="30"/>
    <d v="2025-02-02T00:00:00"/>
    <x v="2"/>
    <x v="0"/>
    <x v="2"/>
    <x v="0"/>
    <x v="3"/>
    <n v="2"/>
    <x v="4"/>
    <x v="2"/>
    <n v="13"/>
    <n v="67.7"/>
    <n v="880.1"/>
  </r>
  <r>
    <x v="728"/>
    <x v="7"/>
    <x v="30"/>
    <d v="2025-02-01T00:00:00"/>
    <x v="2"/>
    <x v="2"/>
    <x v="4"/>
    <x v="0"/>
    <x v="3"/>
    <n v="1"/>
    <x v="4"/>
    <x v="2"/>
    <n v="6"/>
    <n v="142.19999999999999"/>
    <n v="853.19999999999993"/>
  </r>
  <r>
    <x v="729"/>
    <x v="1"/>
    <x v="30"/>
    <d v="2025-02-02T00:00:00"/>
    <x v="2"/>
    <x v="1"/>
    <x v="2"/>
    <x v="0"/>
    <x v="3"/>
    <n v="2"/>
    <x v="4"/>
    <x v="2"/>
    <n v="9"/>
    <n v="45.8"/>
    <n v="412.2"/>
  </r>
  <r>
    <x v="730"/>
    <x v="10"/>
    <x v="31"/>
    <d v="2025-02-04T00:00:00"/>
    <x v="2"/>
    <x v="3"/>
    <x v="2"/>
    <x v="0"/>
    <x v="3"/>
    <n v="3"/>
    <x v="4"/>
    <x v="2"/>
    <n v="2"/>
    <n v="24.2"/>
    <n v="48.4"/>
  </r>
  <r>
    <x v="731"/>
    <x v="2"/>
    <x v="31"/>
    <d v="2025-02-02T00:00:00"/>
    <x v="3"/>
    <x v="2"/>
    <x v="2"/>
    <x v="0"/>
    <x v="3"/>
    <n v="1"/>
    <x v="4"/>
    <x v="3"/>
    <n v="3"/>
    <n v="144.9"/>
    <n v="434.70000000000005"/>
  </r>
  <r>
    <x v="732"/>
    <x v="11"/>
    <x v="31"/>
    <d v="2025-02-04T00:00:00"/>
    <x v="2"/>
    <x v="2"/>
    <x v="0"/>
    <x v="0"/>
    <x v="23"/>
    <n v="3"/>
    <x v="4"/>
    <x v="2"/>
    <n v="5"/>
    <n v="32.799999999999997"/>
    <n v="164"/>
  </r>
  <r>
    <x v="733"/>
    <x v="7"/>
    <x v="31"/>
    <d v="2025-02-01T00:00:00"/>
    <x v="2"/>
    <x v="0"/>
    <x v="1"/>
    <x v="0"/>
    <x v="6"/>
    <n v="0"/>
    <x v="4"/>
    <x v="2"/>
    <n v="10"/>
    <n v="35.700000000000003"/>
    <n v="357"/>
  </r>
  <r>
    <x v="734"/>
    <x v="9"/>
    <x v="31"/>
    <d v="2025-02-02T00:00:00"/>
    <x v="2"/>
    <x v="2"/>
    <x v="0"/>
    <x v="0"/>
    <x v="6"/>
    <n v="1"/>
    <x v="4"/>
    <x v="2"/>
    <n v="2"/>
    <n v="54.6"/>
    <n v="109.2"/>
  </r>
  <r>
    <x v="735"/>
    <x v="8"/>
    <x v="31"/>
    <d v="2025-02-04T00:00:00"/>
    <x v="0"/>
    <x v="0"/>
    <x v="1"/>
    <x v="0"/>
    <x v="6"/>
    <n v="3"/>
    <x v="4"/>
    <x v="0"/>
    <n v="2"/>
    <n v="35.700000000000003"/>
    <n v="71.400000000000006"/>
  </r>
  <r>
    <x v="736"/>
    <x v="10"/>
    <x v="31"/>
    <d v="2025-02-01T00:00:00"/>
    <x v="2"/>
    <x v="0"/>
    <x v="3"/>
    <x v="0"/>
    <x v="6"/>
    <n v="0"/>
    <x v="4"/>
    <x v="2"/>
    <n v="2"/>
    <n v="52.4"/>
    <n v="104.8"/>
  </r>
  <r>
    <x v="737"/>
    <x v="8"/>
    <x v="31"/>
    <d v="2025-02-02T00:00:00"/>
    <x v="0"/>
    <x v="0"/>
    <x v="1"/>
    <x v="0"/>
    <x v="8"/>
    <n v="1"/>
    <x v="4"/>
    <x v="0"/>
    <n v="14"/>
    <n v="16.2"/>
    <n v="226.79999999999998"/>
  </r>
  <r>
    <x v="738"/>
    <x v="6"/>
    <x v="31"/>
    <d v="2025-02-02T00:00:00"/>
    <x v="2"/>
    <x v="0"/>
    <x v="0"/>
    <x v="0"/>
    <x v="8"/>
    <n v="1"/>
    <x v="4"/>
    <x v="2"/>
    <n v="47"/>
    <n v="42.8"/>
    <n v="2011.6"/>
  </r>
  <r>
    <x v="739"/>
    <x v="6"/>
    <x v="31"/>
    <d v="2025-02-04T00:00:00"/>
    <x v="2"/>
    <x v="4"/>
    <x v="0"/>
    <x v="0"/>
    <x v="8"/>
    <n v="3"/>
    <x v="4"/>
    <x v="2"/>
    <n v="9"/>
    <n v="144.4"/>
    <n v="1299.6000000000001"/>
  </r>
  <r>
    <x v="740"/>
    <x v="3"/>
    <x v="31"/>
    <d v="2025-02-05T00:00:00"/>
    <x v="2"/>
    <x v="2"/>
    <x v="2"/>
    <x v="0"/>
    <x v="11"/>
    <n v="4"/>
    <x v="4"/>
    <x v="2"/>
    <n v="36"/>
    <n v="30.6"/>
    <n v="1101.6000000000001"/>
  </r>
  <r>
    <x v="741"/>
    <x v="2"/>
    <x v="31"/>
    <d v="2025-02-02T00:00:00"/>
    <x v="1"/>
    <x v="0"/>
    <x v="0"/>
    <x v="0"/>
    <x v="19"/>
    <n v="1"/>
    <x v="4"/>
    <x v="1"/>
    <n v="2"/>
    <n v="117.5"/>
    <n v="235"/>
  </r>
  <r>
    <x v="742"/>
    <x v="6"/>
    <x v="31"/>
    <d v="2025-02-02T00:00:00"/>
    <x v="2"/>
    <x v="2"/>
    <x v="2"/>
    <x v="0"/>
    <x v="21"/>
    <n v="1"/>
    <x v="4"/>
    <x v="2"/>
    <n v="2"/>
    <n v="105.7"/>
    <n v="211.4"/>
  </r>
  <r>
    <x v="743"/>
    <x v="3"/>
    <x v="31"/>
    <d v="2025-02-02T00:00:00"/>
    <x v="0"/>
    <x v="4"/>
    <x v="2"/>
    <x v="0"/>
    <x v="21"/>
    <n v="1"/>
    <x v="4"/>
    <x v="0"/>
    <n v="3"/>
    <n v="133.69999999999999"/>
    <n v="401.09999999999997"/>
  </r>
  <r>
    <x v="744"/>
    <x v="4"/>
    <x v="32"/>
    <d v="2025-02-10T00:00:00"/>
    <x v="2"/>
    <x v="0"/>
    <x v="1"/>
    <x v="0"/>
    <x v="21"/>
    <n v="8"/>
    <x v="5"/>
    <x v="2"/>
    <n v="5"/>
    <n v="46.8"/>
    <n v="234"/>
  </r>
  <r>
    <x v="745"/>
    <x v="10"/>
    <x v="32"/>
    <d v="2025-02-04T00:00:00"/>
    <x v="2"/>
    <x v="0"/>
    <x v="0"/>
    <x v="0"/>
    <x v="1"/>
    <n v="2"/>
    <x v="5"/>
    <x v="2"/>
    <n v="3"/>
    <n v="58.4"/>
    <n v="175.2"/>
  </r>
  <r>
    <x v="746"/>
    <x v="6"/>
    <x v="32"/>
    <d v="2025-02-06T00:00:00"/>
    <x v="1"/>
    <x v="1"/>
    <x v="2"/>
    <x v="0"/>
    <x v="22"/>
    <n v="4"/>
    <x v="5"/>
    <x v="1"/>
    <n v="9"/>
    <n v="65.099999999999994"/>
    <n v="585.9"/>
  </r>
  <r>
    <x v="747"/>
    <x v="8"/>
    <x v="32"/>
    <d v="2025-02-05T00:00:00"/>
    <x v="2"/>
    <x v="0"/>
    <x v="4"/>
    <x v="0"/>
    <x v="22"/>
    <n v="3"/>
    <x v="5"/>
    <x v="2"/>
    <n v="1"/>
    <n v="18.600000000000001"/>
    <n v="18.600000000000001"/>
  </r>
  <r>
    <x v="748"/>
    <x v="1"/>
    <x v="32"/>
    <d v="2025-02-04T00:00:00"/>
    <x v="1"/>
    <x v="1"/>
    <x v="0"/>
    <x v="0"/>
    <x v="3"/>
    <n v="2"/>
    <x v="5"/>
    <x v="1"/>
    <n v="11"/>
    <n v="92.3"/>
    <n v="1015.3"/>
  </r>
  <r>
    <x v="749"/>
    <x v="6"/>
    <x v="32"/>
    <d v="2025-02-03T00:00:00"/>
    <x v="0"/>
    <x v="4"/>
    <x v="4"/>
    <x v="0"/>
    <x v="3"/>
    <n v="1"/>
    <x v="5"/>
    <x v="0"/>
    <n v="3"/>
    <n v="81.7"/>
    <n v="245.10000000000002"/>
  </r>
  <r>
    <x v="750"/>
    <x v="8"/>
    <x v="32"/>
    <d v="2025-02-04T00:00:00"/>
    <x v="1"/>
    <x v="0"/>
    <x v="1"/>
    <x v="0"/>
    <x v="3"/>
    <n v="2"/>
    <x v="5"/>
    <x v="1"/>
    <n v="2"/>
    <n v="40.9"/>
    <n v="81.8"/>
  </r>
  <r>
    <x v="751"/>
    <x v="6"/>
    <x v="32"/>
    <d v="2025-02-08T00:00:00"/>
    <x v="2"/>
    <x v="0"/>
    <x v="1"/>
    <x v="0"/>
    <x v="3"/>
    <n v="6"/>
    <x v="5"/>
    <x v="2"/>
    <n v="4"/>
    <n v="43.2"/>
    <n v="172.8"/>
  </r>
  <r>
    <x v="752"/>
    <x v="8"/>
    <x v="32"/>
    <d v="2025-02-05T00:00:00"/>
    <x v="1"/>
    <x v="2"/>
    <x v="1"/>
    <x v="0"/>
    <x v="3"/>
    <n v="3"/>
    <x v="5"/>
    <x v="1"/>
    <n v="11"/>
    <n v="25.8"/>
    <n v="283.8"/>
  </r>
  <r>
    <x v="753"/>
    <x v="15"/>
    <x v="32"/>
    <d v="2025-02-03T00:00:00"/>
    <x v="1"/>
    <x v="0"/>
    <x v="0"/>
    <x v="0"/>
    <x v="3"/>
    <n v="1"/>
    <x v="5"/>
    <x v="1"/>
    <n v="4"/>
    <n v="36.4"/>
    <n v="145.6"/>
  </r>
  <r>
    <x v="754"/>
    <x v="10"/>
    <x v="32"/>
    <d v="2025-02-03T00:00:00"/>
    <x v="2"/>
    <x v="2"/>
    <x v="0"/>
    <x v="0"/>
    <x v="7"/>
    <n v="1"/>
    <x v="5"/>
    <x v="2"/>
    <n v="1"/>
    <n v="59.1"/>
    <n v="59.1"/>
  </r>
  <r>
    <x v="755"/>
    <x v="2"/>
    <x v="32"/>
    <d v="2025-02-04T00:00:00"/>
    <x v="1"/>
    <x v="4"/>
    <x v="0"/>
    <x v="0"/>
    <x v="18"/>
    <n v="2"/>
    <x v="5"/>
    <x v="1"/>
    <n v="17"/>
    <n v="74.5"/>
    <n v="1266.5"/>
  </r>
  <r>
    <x v="756"/>
    <x v="5"/>
    <x v="32"/>
    <d v="2025-02-03T00:00:00"/>
    <x v="2"/>
    <x v="0"/>
    <x v="1"/>
    <x v="0"/>
    <x v="19"/>
    <n v="1"/>
    <x v="5"/>
    <x v="2"/>
    <n v="1"/>
    <n v="72.8"/>
    <n v="72.8"/>
  </r>
  <r>
    <x v="757"/>
    <x v="6"/>
    <x v="32"/>
    <d v="2025-02-05T00:00:00"/>
    <x v="2"/>
    <x v="0"/>
    <x v="0"/>
    <x v="0"/>
    <x v="13"/>
    <n v="3"/>
    <x v="5"/>
    <x v="2"/>
    <n v="4"/>
    <n v="137.30000000000001"/>
    <n v="549.20000000000005"/>
  </r>
  <r>
    <x v="758"/>
    <x v="1"/>
    <x v="32"/>
    <d v="2025-02-07T00:00:00"/>
    <x v="2"/>
    <x v="0"/>
    <x v="1"/>
    <x v="0"/>
    <x v="21"/>
    <n v="5"/>
    <x v="5"/>
    <x v="2"/>
    <n v="3"/>
    <n v="48.7"/>
    <n v="146.10000000000002"/>
  </r>
  <r>
    <x v="759"/>
    <x v="6"/>
    <x v="32"/>
    <d v="2025-02-06T00:00:00"/>
    <x v="1"/>
    <x v="1"/>
    <x v="4"/>
    <x v="0"/>
    <x v="2"/>
    <n v="4"/>
    <x v="5"/>
    <x v="1"/>
    <n v="4"/>
    <n v="53.7"/>
    <n v="214.8"/>
  </r>
  <r>
    <x v="760"/>
    <x v="2"/>
    <x v="32"/>
    <d v="2025-02-04T00:00:00"/>
    <x v="2"/>
    <x v="0"/>
    <x v="1"/>
    <x v="0"/>
    <x v="2"/>
    <n v="2"/>
    <x v="5"/>
    <x v="2"/>
    <n v="7"/>
    <n v="100.9"/>
    <n v="706.30000000000007"/>
  </r>
  <r>
    <x v="761"/>
    <x v="10"/>
    <x v="32"/>
    <d v="2025-02-06T00:00:00"/>
    <x v="1"/>
    <x v="3"/>
    <x v="2"/>
    <x v="0"/>
    <x v="22"/>
    <n v="4"/>
    <x v="5"/>
    <x v="1"/>
    <n v="2"/>
    <n v="41.8"/>
    <n v="83.6"/>
  </r>
  <r>
    <x v="762"/>
    <x v="4"/>
    <x v="32"/>
    <d v="2025-02-04T00:00:00"/>
    <x v="1"/>
    <x v="2"/>
    <x v="1"/>
    <x v="0"/>
    <x v="3"/>
    <n v="2"/>
    <x v="5"/>
    <x v="1"/>
    <n v="8"/>
    <n v="28.5"/>
    <n v="228"/>
  </r>
  <r>
    <x v="763"/>
    <x v="7"/>
    <x v="32"/>
    <d v="2025-02-05T00:00:00"/>
    <x v="2"/>
    <x v="0"/>
    <x v="2"/>
    <x v="0"/>
    <x v="3"/>
    <n v="3"/>
    <x v="5"/>
    <x v="2"/>
    <n v="4"/>
    <n v="88.9"/>
    <n v="355.6"/>
  </r>
  <r>
    <x v="764"/>
    <x v="6"/>
    <x v="32"/>
    <d v="2025-02-11T00:00:00"/>
    <x v="2"/>
    <x v="0"/>
    <x v="2"/>
    <x v="0"/>
    <x v="3"/>
    <n v="9"/>
    <x v="5"/>
    <x v="2"/>
    <n v="1"/>
    <n v="62.5"/>
    <n v="62.5"/>
  </r>
  <r>
    <x v="765"/>
    <x v="1"/>
    <x v="32"/>
    <d v="2025-02-03T00:00:00"/>
    <x v="1"/>
    <x v="0"/>
    <x v="2"/>
    <x v="0"/>
    <x v="3"/>
    <n v="1"/>
    <x v="5"/>
    <x v="1"/>
    <n v="3"/>
    <n v="46.9"/>
    <n v="140.69999999999999"/>
  </r>
  <r>
    <x v="766"/>
    <x v="8"/>
    <x v="32"/>
    <d v="2025-02-16T00:00:00"/>
    <x v="1"/>
    <x v="1"/>
    <x v="0"/>
    <x v="0"/>
    <x v="3"/>
    <n v="14"/>
    <x v="5"/>
    <x v="1"/>
    <n v="3"/>
    <n v="45"/>
    <n v="135"/>
  </r>
  <r>
    <x v="767"/>
    <x v="6"/>
    <x v="32"/>
    <d v="2025-02-04T00:00:00"/>
    <x v="1"/>
    <x v="4"/>
    <x v="2"/>
    <x v="0"/>
    <x v="3"/>
    <n v="2"/>
    <x v="5"/>
    <x v="1"/>
    <n v="3"/>
    <n v="45.2"/>
    <n v="135.60000000000002"/>
  </r>
  <r>
    <x v="768"/>
    <x v="4"/>
    <x v="32"/>
    <d v="2025-02-03T00:00:00"/>
    <x v="2"/>
    <x v="0"/>
    <x v="2"/>
    <x v="0"/>
    <x v="3"/>
    <n v="1"/>
    <x v="5"/>
    <x v="2"/>
    <n v="2"/>
    <n v="60.1"/>
    <n v="120.2"/>
  </r>
  <r>
    <x v="769"/>
    <x v="12"/>
    <x v="32"/>
    <d v="2025-02-04T00:00:00"/>
    <x v="2"/>
    <x v="0"/>
    <x v="0"/>
    <x v="0"/>
    <x v="3"/>
    <n v="2"/>
    <x v="5"/>
    <x v="2"/>
    <n v="4"/>
    <n v="118.7"/>
    <n v="474.8"/>
  </r>
  <r>
    <x v="770"/>
    <x v="9"/>
    <x v="32"/>
    <d v="2025-02-11T00:00:00"/>
    <x v="2"/>
    <x v="1"/>
    <x v="0"/>
    <x v="0"/>
    <x v="3"/>
    <n v="9"/>
    <x v="5"/>
    <x v="2"/>
    <n v="1"/>
    <n v="57.8"/>
    <n v="57.8"/>
  </r>
  <r>
    <x v="771"/>
    <x v="4"/>
    <x v="32"/>
    <d v="2025-02-03T00:00:00"/>
    <x v="1"/>
    <x v="1"/>
    <x v="1"/>
    <x v="0"/>
    <x v="3"/>
    <n v="1"/>
    <x v="5"/>
    <x v="1"/>
    <n v="1"/>
    <n v="19.5"/>
    <n v="19.5"/>
  </r>
  <r>
    <x v="772"/>
    <x v="12"/>
    <x v="32"/>
    <d v="2025-02-03T00:00:00"/>
    <x v="1"/>
    <x v="0"/>
    <x v="1"/>
    <x v="0"/>
    <x v="3"/>
    <n v="1"/>
    <x v="5"/>
    <x v="1"/>
    <n v="1"/>
    <n v="42.6"/>
    <n v="42.6"/>
  </r>
  <r>
    <x v="773"/>
    <x v="6"/>
    <x v="32"/>
    <d v="2025-02-03T00:00:00"/>
    <x v="2"/>
    <x v="3"/>
    <x v="2"/>
    <x v="0"/>
    <x v="37"/>
    <n v="1"/>
    <x v="5"/>
    <x v="2"/>
    <n v="2"/>
    <n v="74.8"/>
    <n v="149.6"/>
  </r>
  <r>
    <x v="774"/>
    <x v="8"/>
    <x v="32"/>
    <d v="2025-02-03T00:00:00"/>
    <x v="1"/>
    <x v="2"/>
    <x v="4"/>
    <x v="0"/>
    <x v="16"/>
    <n v="1"/>
    <x v="5"/>
    <x v="1"/>
    <n v="3"/>
    <n v="32.5"/>
    <n v="97.5"/>
  </r>
  <r>
    <x v="775"/>
    <x v="2"/>
    <x v="32"/>
    <d v="2025-02-02T00:00:00"/>
    <x v="2"/>
    <x v="1"/>
    <x v="2"/>
    <x v="0"/>
    <x v="25"/>
    <n v="0"/>
    <x v="5"/>
    <x v="2"/>
    <n v="3"/>
    <n v="60.5"/>
    <n v="181.5"/>
  </r>
  <r>
    <x v="776"/>
    <x v="1"/>
    <x v="32"/>
    <d v="2025-02-04T00:00:00"/>
    <x v="0"/>
    <x v="2"/>
    <x v="0"/>
    <x v="0"/>
    <x v="25"/>
    <n v="2"/>
    <x v="5"/>
    <x v="0"/>
    <n v="7"/>
    <n v="57.2"/>
    <n v="400.40000000000003"/>
  </r>
  <r>
    <x v="777"/>
    <x v="16"/>
    <x v="32"/>
    <d v="2025-02-03T00:00:00"/>
    <x v="2"/>
    <x v="1"/>
    <x v="1"/>
    <x v="0"/>
    <x v="5"/>
    <n v="1"/>
    <x v="5"/>
    <x v="2"/>
    <n v="2"/>
    <n v="112"/>
    <n v="224"/>
  </r>
  <r>
    <x v="778"/>
    <x v="7"/>
    <x v="32"/>
    <d v="2025-02-03T00:00:00"/>
    <x v="3"/>
    <x v="2"/>
    <x v="1"/>
    <x v="0"/>
    <x v="6"/>
    <n v="1"/>
    <x v="5"/>
    <x v="3"/>
    <n v="10"/>
    <n v="49"/>
    <n v="490"/>
  </r>
  <r>
    <x v="779"/>
    <x v="0"/>
    <x v="32"/>
    <d v="2025-02-06T00:00:00"/>
    <x v="2"/>
    <x v="3"/>
    <x v="0"/>
    <x v="0"/>
    <x v="6"/>
    <n v="4"/>
    <x v="5"/>
    <x v="2"/>
    <n v="2"/>
    <n v="33.700000000000003"/>
    <n v="67.400000000000006"/>
  </r>
  <r>
    <x v="780"/>
    <x v="4"/>
    <x v="32"/>
    <d v="2025-02-05T00:00:00"/>
    <x v="2"/>
    <x v="0"/>
    <x v="2"/>
    <x v="0"/>
    <x v="6"/>
    <n v="3"/>
    <x v="5"/>
    <x v="2"/>
    <n v="3"/>
    <n v="35.6"/>
    <n v="106.80000000000001"/>
  </r>
  <r>
    <x v="781"/>
    <x v="4"/>
    <x v="33"/>
    <d v="2025-02-03T00:00:00"/>
    <x v="2"/>
    <x v="0"/>
    <x v="1"/>
    <x v="0"/>
    <x v="7"/>
    <n v="0"/>
    <x v="5"/>
    <x v="2"/>
    <n v="35"/>
    <n v="30.4"/>
    <n v="1064"/>
  </r>
  <r>
    <x v="782"/>
    <x v="10"/>
    <x v="33"/>
    <d v="2025-02-04T00:00:00"/>
    <x v="1"/>
    <x v="4"/>
    <x v="0"/>
    <x v="0"/>
    <x v="8"/>
    <n v="1"/>
    <x v="5"/>
    <x v="1"/>
    <n v="12"/>
    <n v="50.2"/>
    <n v="602.40000000000009"/>
  </r>
  <r>
    <x v="783"/>
    <x v="1"/>
    <x v="33"/>
    <d v="2025-02-05T00:00:00"/>
    <x v="2"/>
    <x v="0"/>
    <x v="0"/>
    <x v="0"/>
    <x v="8"/>
    <n v="2"/>
    <x v="5"/>
    <x v="2"/>
    <n v="2"/>
    <n v="43.7"/>
    <n v="87.4"/>
  </r>
  <r>
    <x v="784"/>
    <x v="10"/>
    <x v="33"/>
    <d v="2025-02-04T00:00:00"/>
    <x v="2"/>
    <x v="2"/>
    <x v="1"/>
    <x v="0"/>
    <x v="8"/>
    <n v="1"/>
    <x v="5"/>
    <x v="2"/>
    <n v="1"/>
    <n v="33.299999999999997"/>
    <n v="33.299999999999997"/>
  </r>
  <r>
    <x v="785"/>
    <x v="8"/>
    <x v="33"/>
    <d v="2025-02-05T00:00:00"/>
    <x v="2"/>
    <x v="4"/>
    <x v="2"/>
    <x v="0"/>
    <x v="8"/>
    <n v="2"/>
    <x v="5"/>
    <x v="2"/>
    <n v="4"/>
    <n v="15.1"/>
    <n v="60.4"/>
  </r>
  <r>
    <x v="786"/>
    <x v="6"/>
    <x v="33"/>
    <d v="2025-02-04T00:00:00"/>
    <x v="2"/>
    <x v="3"/>
    <x v="4"/>
    <x v="0"/>
    <x v="8"/>
    <n v="1"/>
    <x v="5"/>
    <x v="2"/>
    <n v="5"/>
    <n v="118.2"/>
    <n v="591"/>
  </r>
  <r>
    <x v="787"/>
    <x v="10"/>
    <x v="33"/>
    <d v="2025-02-05T00:00:00"/>
    <x v="2"/>
    <x v="2"/>
    <x v="1"/>
    <x v="0"/>
    <x v="8"/>
    <n v="2"/>
    <x v="5"/>
    <x v="2"/>
    <n v="3"/>
    <n v="28.9"/>
    <n v="86.699999999999989"/>
  </r>
  <r>
    <x v="788"/>
    <x v="4"/>
    <x v="33"/>
    <d v="2025-02-04T00:00:00"/>
    <x v="1"/>
    <x v="0"/>
    <x v="1"/>
    <x v="0"/>
    <x v="8"/>
    <n v="1"/>
    <x v="5"/>
    <x v="1"/>
    <n v="3"/>
    <n v="55.6"/>
    <n v="166.8"/>
  </r>
  <r>
    <x v="789"/>
    <x v="9"/>
    <x v="33"/>
    <d v="2025-02-05T00:00:00"/>
    <x v="2"/>
    <x v="0"/>
    <x v="1"/>
    <x v="0"/>
    <x v="8"/>
    <n v="2"/>
    <x v="5"/>
    <x v="2"/>
    <n v="4"/>
    <n v="25.6"/>
    <n v="102.4"/>
  </r>
  <r>
    <x v="790"/>
    <x v="7"/>
    <x v="33"/>
    <d v="2025-02-04T00:00:00"/>
    <x v="1"/>
    <x v="0"/>
    <x v="0"/>
    <x v="0"/>
    <x v="17"/>
    <n v="1"/>
    <x v="5"/>
    <x v="1"/>
    <n v="3"/>
    <n v="31.3"/>
    <n v="93.9"/>
  </r>
  <r>
    <x v="791"/>
    <x v="0"/>
    <x v="33"/>
    <d v="2025-02-07T00:00:00"/>
    <x v="1"/>
    <x v="0"/>
    <x v="0"/>
    <x v="0"/>
    <x v="17"/>
    <n v="4"/>
    <x v="5"/>
    <x v="1"/>
    <n v="3"/>
    <n v="22.1"/>
    <n v="66.300000000000011"/>
  </r>
  <r>
    <x v="792"/>
    <x v="2"/>
    <x v="33"/>
    <d v="2025-02-04T00:00:00"/>
    <x v="1"/>
    <x v="1"/>
    <x v="0"/>
    <x v="0"/>
    <x v="11"/>
    <n v="1"/>
    <x v="5"/>
    <x v="1"/>
    <n v="14"/>
    <n v="99.4"/>
    <n v="1391.6000000000001"/>
  </r>
  <r>
    <x v="793"/>
    <x v="7"/>
    <x v="33"/>
    <d v="2025-02-04T00:00:00"/>
    <x v="2"/>
    <x v="0"/>
    <x v="0"/>
    <x v="0"/>
    <x v="11"/>
    <n v="1"/>
    <x v="5"/>
    <x v="2"/>
    <n v="6"/>
    <n v="66.599999999999994"/>
    <n v="399.59999999999997"/>
  </r>
  <r>
    <x v="794"/>
    <x v="8"/>
    <x v="33"/>
    <d v="2025-02-06T00:00:00"/>
    <x v="1"/>
    <x v="0"/>
    <x v="0"/>
    <x v="0"/>
    <x v="11"/>
    <n v="3"/>
    <x v="5"/>
    <x v="1"/>
    <n v="2"/>
    <n v="22.6"/>
    <n v="45.2"/>
  </r>
  <r>
    <x v="795"/>
    <x v="2"/>
    <x v="33"/>
    <d v="2025-02-04T00:00:00"/>
    <x v="2"/>
    <x v="0"/>
    <x v="4"/>
    <x v="0"/>
    <x v="13"/>
    <n v="1"/>
    <x v="5"/>
    <x v="2"/>
    <n v="18"/>
    <n v="66.8"/>
    <n v="1202.3999999999999"/>
  </r>
  <r>
    <x v="796"/>
    <x v="0"/>
    <x v="33"/>
    <d v="2025-02-10T00:00:00"/>
    <x v="1"/>
    <x v="1"/>
    <x v="4"/>
    <x v="0"/>
    <x v="1"/>
    <n v="7"/>
    <x v="5"/>
    <x v="1"/>
    <n v="4"/>
    <n v="20.8"/>
    <n v="83.2"/>
  </r>
  <r>
    <x v="797"/>
    <x v="2"/>
    <x v="33"/>
    <d v="2025-02-04T00:00:00"/>
    <x v="2"/>
    <x v="4"/>
    <x v="2"/>
    <x v="0"/>
    <x v="3"/>
    <n v="1"/>
    <x v="5"/>
    <x v="2"/>
    <n v="7"/>
    <n v="102.5"/>
    <n v="717.5"/>
  </r>
  <r>
    <x v="798"/>
    <x v="0"/>
    <x v="33"/>
    <d v="2025-02-07T00:00:00"/>
    <x v="2"/>
    <x v="0"/>
    <x v="0"/>
    <x v="0"/>
    <x v="3"/>
    <n v="4"/>
    <x v="5"/>
    <x v="2"/>
    <n v="18"/>
    <n v="24.8"/>
    <n v="446.40000000000003"/>
  </r>
  <r>
    <x v="799"/>
    <x v="4"/>
    <x v="33"/>
    <d v="2025-02-04T00:00:00"/>
    <x v="2"/>
    <x v="3"/>
    <x v="0"/>
    <x v="0"/>
    <x v="3"/>
    <n v="1"/>
    <x v="5"/>
    <x v="2"/>
    <n v="31"/>
    <n v="31.4"/>
    <n v="973.4"/>
  </r>
  <r>
    <x v="800"/>
    <x v="9"/>
    <x v="33"/>
    <d v="2025-02-06T00:00:00"/>
    <x v="1"/>
    <x v="1"/>
    <x v="2"/>
    <x v="0"/>
    <x v="43"/>
    <n v="3"/>
    <x v="5"/>
    <x v="1"/>
    <n v="5"/>
    <n v="59.3"/>
    <n v="296.5"/>
  </r>
  <r>
    <x v="801"/>
    <x v="11"/>
    <x v="33"/>
    <d v="2025-02-06T00:00:00"/>
    <x v="1"/>
    <x v="1"/>
    <x v="0"/>
    <x v="0"/>
    <x v="6"/>
    <n v="3"/>
    <x v="5"/>
    <x v="1"/>
    <n v="6"/>
    <n v="39"/>
    <n v="234"/>
  </r>
  <r>
    <x v="802"/>
    <x v="5"/>
    <x v="33"/>
    <d v="2025-02-05T00:00:00"/>
    <x v="2"/>
    <x v="1"/>
    <x v="0"/>
    <x v="0"/>
    <x v="6"/>
    <n v="2"/>
    <x v="5"/>
    <x v="2"/>
    <n v="6"/>
    <n v="98.6"/>
    <n v="591.59999999999991"/>
  </r>
  <r>
    <x v="803"/>
    <x v="8"/>
    <x v="34"/>
    <d v="2025-02-05T00:00:00"/>
    <x v="1"/>
    <x v="3"/>
    <x v="2"/>
    <x v="0"/>
    <x v="8"/>
    <n v="1"/>
    <x v="5"/>
    <x v="1"/>
    <n v="1"/>
    <n v="20"/>
    <n v="20"/>
  </r>
  <r>
    <x v="804"/>
    <x v="1"/>
    <x v="34"/>
    <d v="2025-02-06T00:00:00"/>
    <x v="2"/>
    <x v="0"/>
    <x v="2"/>
    <x v="0"/>
    <x v="8"/>
    <n v="2"/>
    <x v="5"/>
    <x v="2"/>
    <n v="2"/>
    <n v="42.9"/>
    <n v="85.8"/>
  </r>
  <r>
    <x v="805"/>
    <x v="7"/>
    <x v="34"/>
    <d v="2025-02-06T00:00:00"/>
    <x v="2"/>
    <x v="2"/>
    <x v="1"/>
    <x v="0"/>
    <x v="8"/>
    <n v="2"/>
    <x v="5"/>
    <x v="2"/>
    <n v="7"/>
    <n v="55.6"/>
    <n v="389.2"/>
  </r>
  <r>
    <x v="806"/>
    <x v="8"/>
    <x v="34"/>
    <d v="2025-02-09T00:00:00"/>
    <x v="2"/>
    <x v="0"/>
    <x v="0"/>
    <x v="0"/>
    <x v="41"/>
    <n v="5"/>
    <x v="5"/>
    <x v="2"/>
    <n v="4"/>
    <n v="19.2"/>
    <n v="76.8"/>
  </r>
  <r>
    <x v="807"/>
    <x v="5"/>
    <x v="34"/>
    <d v="2025-02-06T00:00:00"/>
    <x v="1"/>
    <x v="1"/>
    <x v="0"/>
    <x v="0"/>
    <x v="18"/>
    <n v="2"/>
    <x v="5"/>
    <x v="1"/>
    <n v="2"/>
    <n v="28.8"/>
    <n v="57.6"/>
  </r>
  <r>
    <x v="808"/>
    <x v="4"/>
    <x v="34"/>
    <d v="2025-02-06T00:00:00"/>
    <x v="2"/>
    <x v="2"/>
    <x v="4"/>
    <x v="0"/>
    <x v="20"/>
    <n v="2"/>
    <x v="5"/>
    <x v="2"/>
    <n v="1"/>
    <n v="29.7"/>
    <n v="29.7"/>
  </r>
  <r>
    <x v="809"/>
    <x v="6"/>
    <x v="34"/>
    <d v="2025-02-05T00:00:00"/>
    <x v="0"/>
    <x v="0"/>
    <x v="2"/>
    <x v="0"/>
    <x v="21"/>
    <n v="1"/>
    <x v="5"/>
    <x v="0"/>
    <n v="6"/>
    <n v="63.3"/>
    <n v="379.79999999999995"/>
  </r>
  <r>
    <x v="810"/>
    <x v="4"/>
    <x v="34"/>
    <d v="2025-02-05T00:00:00"/>
    <x v="2"/>
    <x v="0"/>
    <x v="2"/>
    <x v="0"/>
    <x v="21"/>
    <n v="1"/>
    <x v="5"/>
    <x v="2"/>
    <n v="1"/>
    <n v="46"/>
    <n v="46"/>
  </r>
  <r>
    <x v="811"/>
    <x v="11"/>
    <x v="34"/>
    <d v="2025-02-06T00:00:00"/>
    <x v="2"/>
    <x v="1"/>
    <x v="2"/>
    <x v="0"/>
    <x v="21"/>
    <n v="2"/>
    <x v="5"/>
    <x v="2"/>
    <n v="3"/>
    <n v="38"/>
    <n v="114"/>
  </r>
  <r>
    <x v="812"/>
    <x v="10"/>
    <x v="34"/>
    <d v="2025-02-06T00:00:00"/>
    <x v="2"/>
    <x v="0"/>
    <x v="1"/>
    <x v="0"/>
    <x v="21"/>
    <n v="2"/>
    <x v="5"/>
    <x v="2"/>
    <n v="13"/>
    <n v="34.6"/>
    <n v="449.8"/>
  </r>
  <r>
    <x v="813"/>
    <x v="3"/>
    <x v="34"/>
    <d v="2025-02-05T00:00:00"/>
    <x v="2"/>
    <x v="4"/>
    <x v="1"/>
    <x v="0"/>
    <x v="21"/>
    <n v="1"/>
    <x v="5"/>
    <x v="2"/>
    <n v="10"/>
    <n v="79.7"/>
    <n v="797"/>
  </r>
  <r>
    <x v="814"/>
    <x v="8"/>
    <x v="34"/>
    <d v="2025-02-08T00:00:00"/>
    <x v="1"/>
    <x v="3"/>
    <x v="0"/>
    <x v="0"/>
    <x v="1"/>
    <n v="4"/>
    <x v="5"/>
    <x v="1"/>
    <n v="8"/>
    <n v="30.5"/>
    <n v="244"/>
  </r>
  <r>
    <x v="815"/>
    <x v="0"/>
    <x v="34"/>
    <d v="2025-02-05T00:00:00"/>
    <x v="2"/>
    <x v="0"/>
    <x v="0"/>
    <x v="0"/>
    <x v="2"/>
    <n v="1"/>
    <x v="5"/>
    <x v="2"/>
    <n v="2"/>
    <n v="20.8"/>
    <n v="41.6"/>
  </r>
  <r>
    <x v="816"/>
    <x v="11"/>
    <x v="34"/>
    <d v="2025-02-08T00:00:00"/>
    <x v="2"/>
    <x v="2"/>
    <x v="2"/>
    <x v="0"/>
    <x v="2"/>
    <n v="4"/>
    <x v="5"/>
    <x v="2"/>
    <n v="7"/>
    <n v="48.5"/>
    <n v="339.5"/>
  </r>
  <r>
    <x v="817"/>
    <x v="2"/>
    <x v="34"/>
    <d v="2025-02-08T00:00:00"/>
    <x v="2"/>
    <x v="4"/>
    <x v="0"/>
    <x v="0"/>
    <x v="22"/>
    <n v="4"/>
    <x v="5"/>
    <x v="2"/>
    <n v="4"/>
    <n v="61.8"/>
    <n v="247.2"/>
  </r>
  <r>
    <x v="818"/>
    <x v="10"/>
    <x v="34"/>
    <d v="2025-02-05T00:00:00"/>
    <x v="3"/>
    <x v="2"/>
    <x v="0"/>
    <x v="0"/>
    <x v="3"/>
    <n v="1"/>
    <x v="5"/>
    <x v="3"/>
    <n v="1"/>
    <n v="46.1"/>
    <n v="46.1"/>
  </r>
  <r>
    <x v="819"/>
    <x v="4"/>
    <x v="34"/>
    <d v="2025-02-05T00:00:00"/>
    <x v="2"/>
    <x v="0"/>
    <x v="0"/>
    <x v="0"/>
    <x v="3"/>
    <n v="1"/>
    <x v="5"/>
    <x v="2"/>
    <n v="6"/>
    <n v="44"/>
    <n v="264"/>
  </r>
  <r>
    <x v="820"/>
    <x v="18"/>
    <x v="34"/>
    <d v="2025-02-10T00:00:00"/>
    <x v="2"/>
    <x v="3"/>
    <x v="2"/>
    <x v="0"/>
    <x v="3"/>
    <n v="6"/>
    <x v="5"/>
    <x v="2"/>
    <n v="2"/>
    <n v="95.7"/>
    <n v="191.4"/>
  </r>
  <r>
    <x v="821"/>
    <x v="7"/>
    <x v="34"/>
    <d v="2025-02-07T00:00:00"/>
    <x v="2"/>
    <x v="0"/>
    <x v="0"/>
    <x v="0"/>
    <x v="3"/>
    <n v="3"/>
    <x v="5"/>
    <x v="2"/>
    <n v="5"/>
    <n v="46.4"/>
    <n v="232"/>
  </r>
  <r>
    <x v="822"/>
    <x v="6"/>
    <x v="34"/>
    <d v="2025-02-06T00:00:00"/>
    <x v="2"/>
    <x v="0"/>
    <x v="2"/>
    <x v="0"/>
    <x v="3"/>
    <n v="2"/>
    <x v="5"/>
    <x v="2"/>
    <n v="2"/>
    <n v="47.2"/>
    <n v="94.4"/>
  </r>
  <r>
    <x v="823"/>
    <x v="7"/>
    <x v="34"/>
    <d v="2025-02-05T00:00:00"/>
    <x v="2"/>
    <x v="2"/>
    <x v="1"/>
    <x v="0"/>
    <x v="3"/>
    <n v="1"/>
    <x v="5"/>
    <x v="2"/>
    <n v="2"/>
    <n v="58.6"/>
    <n v="117.2"/>
  </r>
  <r>
    <x v="824"/>
    <x v="4"/>
    <x v="34"/>
    <d v="2025-02-05T00:00:00"/>
    <x v="1"/>
    <x v="0"/>
    <x v="2"/>
    <x v="0"/>
    <x v="3"/>
    <n v="1"/>
    <x v="5"/>
    <x v="1"/>
    <n v="3"/>
    <n v="57"/>
    <n v="171"/>
  </r>
  <r>
    <x v="825"/>
    <x v="8"/>
    <x v="34"/>
    <d v="2025-02-08T00:00:00"/>
    <x v="1"/>
    <x v="2"/>
    <x v="0"/>
    <x v="0"/>
    <x v="3"/>
    <n v="4"/>
    <x v="5"/>
    <x v="1"/>
    <n v="4"/>
    <n v="28.9"/>
    <n v="115.6"/>
  </r>
  <r>
    <x v="826"/>
    <x v="12"/>
    <x v="34"/>
    <d v="2025-02-08T00:00:00"/>
    <x v="0"/>
    <x v="1"/>
    <x v="1"/>
    <x v="0"/>
    <x v="3"/>
    <n v="4"/>
    <x v="5"/>
    <x v="0"/>
    <n v="5"/>
    <n v="60.7"/>
    <n v="303.5"/>
  </r>
  <r>
    <x v="827"/>
    <x v="6"/>
    <x v="34"/>
    <d v="2025-02-08T00:00:00"/>
    <x v="1"/>
    <x v="0"/>
    <x v="1"/>
    <x v="0"/>
    <x v="3"/>
    <n v="4"/>
    <x v="5"/>
    <x v="1"/>
    <n v="5"/>
    <n v="60.8"/>
    <n v="304"/>
  </r>
  <r>
    <x v="828"/>
    <x v="6"/>
    <x v="34"/>
    <d v="2025-02-05T00:00:00"/>
    <x v="2"/>
    <x v="3"/>
    <x v="0"/>
    <x v="0"/>
    <x v="3"/>
    <n v="1"/>
    <x v="5"/>
    <x v="2"/>
    <n v="5"/>
    <n v="64.599999999999994"/>
    <n v="323"/>
  </r>
  <r>
    <x v="829"/>
    <x v="8"/>
    <x v="34"/>
    <d v="2025-02-07T00:00:00"/>
    <x v="1"/>
    <x v="1"/>
    <x v="2"/>
    <x v="0"/>
    <x v="4"/>
    <n v="3"/>
    <x v="5"/>
    <x v="1"/>
    <n v="1"/>
    <n v="21.9"/>
    <n v="21.9"/>
  </r>
  <r>
    <x v="830"/>
    <x v="4"/>
    <x v="34"/>
    <d v="2025-02-06T00:00:00"/>
    <x v="2"/>
    <x v="0"/>
    <x v="0"/>
    <x v="0"/>
    <x v="23"/>
    <n v="2"/>
    <x v="5"/>
    <x v="2"/>
    <n v="12"/>
    <n v="33.4"/>
    <n v="400.79999999999995"/>
  </r>
  <r>
    <x v="831"/>
    <x v="2"/>
    <x v="34"/>
    <d v="2025-02-05T00:00:00"/>
    <x v="0"/>
    <x v="0"/>
    <x v="0"/>
    <x v="0"/>
    <x v="6"/>
    <n v="1"/>
    <x v="5"/>
    <x v="0"/>
    <n v="1"/>
    <n v="51.7"/>
    <n v="51.7"/>
  </r>
  <r>
    <x v="832"/>
    <x v="1"/>
    <x v="34"/>
    <d v="2025-02-05T00:00:00"/>
    <x v="2"/>
    <x v="1"/>
    <x v="1"/>
    <x v="0"/>
    <x v="6"/>
    <n v="1"/>
    <x v="5"/>
    <x v="2"/>
    <n v="4"/>
    <n v="84.9"/>
    <n v="339.6"/>
  </r>
  <r>
    <x v="833"/>
    <x v="1"/>
    <x v="34"/>
    <d v="2025-02-05T00:00:00"/>
    <x v="2"/>
    <x v="2"/>
    <x v="2"/>
    <x v="0"/>
    <x v="7"/>
    <n v="1"/>
    <x v="5"/>
    <x v="2"/>
    <n v="11"/>
    <n v="62.3"/>
    <n v="685.3"/>
  </r>
  <r>
    <x v="834"/>
    <x v="4"/>
    <x v="34"/>
    <d v="2025-02-06T00:00:00"/>
    <x v="1"/>
    <x v="2"/>
    <x v="2"/>
    <x v="0"/>
    <x v="8"/>
    <n v="2"/>
    <x v="5"/>
    <x v="1"/>
    <n v="1"/>
    <n v="50.7"/>
    <n v="50.7"/>
  </r>
  <r>
    <x v="835"/>
    <x v="18"/>
    <x v="34"/>
    <d v="2025-02-05T00:00:00"/>
    <x v="1"/>
    <x v="4"/>
    <x v="1"/>
    <x v="0"/>
    <x v="8"/>
    <n v="1"/>
    <x v="5"/>
    <x v="1"/>
    <n v="1"/>
    <n v="39.5"/>
    <n v="39.5"/>
  </r>
  <r>
    <x v="836"/>
    <x v="12"/>
    <x v="34"/>
    <d v="2025-02-05T00:00:00"/>
    <x v="0"/>
    <x v="4"/>
    <x v="2"/>
    <x v="0"/>
    <x v="8"/>
    <n v="1"/>
    <x v="5"/>
    <x v="0"/>
    <n v="3"/>
    <n v="30.9"/>
    <n v="92.699999999999989"/>
  </r>
  <r>
    <x v="837"/>
    <x v="1"/>
    <x v="34"/>
    <d v="2025-02-07T00:00:00"/>
    <x v="2"/>
    <x v="0"/>
    <x v="2"/>
    <x v="0"/>
    <x v="8"/>
    <n v="3"/>
    <x v="5"/>
    <x v="2"/>
    <n v="7"/>
    <n v="36.4"/>
    <n v="254.79999999999998"/>
  </r>
  <r>
    <x v="838"/>
    <x v="6"/>
    <x v="34"/>
    <d v="2025-02-14T00:00:00"/>
    <x v="2"/>
    <x v="0"/>
    <x v="0"/>
    <x v="0"/>
    <x v="8"/>
    <n v="10"/>
    <x v="5"/>
    <x v="2"/>
    <n v="8"/>
    <n v="105.6"/>
    <n v="844.8"/>
  </r>
  <r>
    <x v="839"/>
    <x v="8"/>
    <x v="34"/>
    <d v="2025-02-05T00:00:00"/>
    <x v="2"/>
    <x v="0"/>
    <x v="2"/>
    <x v="0"/>
    <x v="17"/>
    <n v="1"/>
    <x v="5"/>
    <x v="2"/>
    <n v="2"/>
    <n v="22.1"/>
    <n v="44.2"/>
  </r>
  <r>
    <x v="840"/>
    <x v="0"/>
    <x v="34"/>
    <d v="2025-02-05T00:00:00"/>
    <x v="2"/>
    <x v="2"/>
    <x v="0"/>
    <x v="0"/>
    <x v="17"/>
    <n v="1"/>
    <x v="5"/>
    <x v="2"/>
    <n v="3"/>
    <n v="22.6"/>
    <n v="67.800000000000011"/>
  </r>
  <r>
    <x v="841"/>
    <x v="10"/>
    <x v="34"/>
    <d v="2025-02-04T00:00:00"/>
    <x v="2"/>
    <x v="2"/>
    <x v="0"/>
    <x v="0"/>
    <x v="9"/>
    <n v="0"/>
    <x v="5"/>
    <x v="2"/>
    <n v="6"/>
    <n v="26.3"/>
    <n v="157.80000000000001"/>
  </r>
  <r>
    <x v="842"/>
    <x v="1"/>
    <x v="34"/>
    <d v="2025-02-05T00:00:00"/>
    <x v="2"/>
    <x v="0"/>
    <x v="2"/>
    <x v="0"/>
    <x v="11"/>
    <n v="1"/>
    <x v="5"/>
    <x v="2"/>
    <n v="4"/>
    <n v="37.799999999999997"/>
    <n v="151.19999999999999"/>
  </r>
  <r>
    <x v="843"/>
    <x v="6"/>
    <x v="34"/>
    <d v="2025-02-07T00:00:00"/>
    <x v="2"/>
    <x v="4"/>
    <x v="1"/>
    <x v="0"/>
    <x v="18"/>
    <n v="3"/>
    <x v="5"/>
    <x v="2"/>
    <n v="17"/>
    <n v="96"/>
    <n v="1632"/>
  </r>
  <r>
    <x v="844"/>
    <x v="1"/>
    <x v="34"/>
    <d v="2025-02-07T00:00:00"/>
    <x v="2"/>
    <x v="2"/>
    <x v="1"/>
    <x v="0"/>
    <x v="19"/>
    <n v="3"/>
    <x v="5"/>
    <x v="2"/>
    <n v="1"/>
    <n v="83.6"/>
    <n v="83.6"/>
  </r>
  <r>
    <x v="845"/>
    <x v="2"/>
    <x v="34"/>
    <d v="2025-02-05T00:00:00"/>
    <x v="2"/>
    <x v="0"/>
    <x v="0"/>
    <x v="0"/>
    <x v="21"/>
    <n v="1"/>
    <x v="5"/>
    <x v="2"/>
    <n v="6"/>
    <n v="72.599999999999994"/>
    <n v="435.59999999999997"/>
  </r>
  <r>
    <x v="846"/>
    <x v="5"/>
    <x v="35"/>
    <d v="2025-02-11T00:00:00"/>
    <x v="1"/>
    <x v="0"/>
    <x v="2"/>
    <x v="0"/>
    <x v="21"/>
    <n v="6"/>
    <x v="5"/>
    <x v="1"/>
    <n v="20"/>
    <n v="69.099999999999994"/>
    <n v="1382"/>
  </r>
  <r>
    <x v="847"/>
    <x v="4"/>
    <x v="35"/>
    <d v="2025-02-07T00:00:00"/>
    <x v="2"/>
    <x v="1"/>
    <x v="2"/>
    <x v="0"/>
    <x v="21"/>
    <n v="2"/>
    <x v="5"/>
    <x v="2"/>
    <n v="2"/>
    <n v="22.6"/>
    <n v="45.2"/>
  </r>
  <r>
    <x v="848"/>
    <x v="6"/>
    <x v="35"/>
    <d v="2025-02-09T00:00:00"/>
    <x v="1"/>
    <x v="4"/>
    <x v="2"/>
    <x v="0"/>
    <x v="21"/>
    <n v="4"/>
    <x v="5"/>
    <x v="1"/>
    <n v="2"/>
    <n v="45.3"/>
    <n v="90.6"/>
  </r>
  <r>
    <x v="849"/>
    <x v="2"/>
    <x v="35"/>
    <d v="2025-02-06T00:00:00"/>
    <x v="2"/>
    <x v="1"/>
    <x v="0"/>
    <x v="0"/>
    <x v="1"/>
    <n v="1"/>
    <x v="5"/>
    <x v="2"/>
    <n v="2"/>
    <n v="115.1"/>
    <n v="230.2"/>
  </r>
  <r>
    <x v="850"/>
    <x v="18"/>
    <x v="35"/>
    <d v="2025-02-07T00:00:00"/>
    <x v="1"/>
    <x v="2"/>
    <x v="4"/>
    <x v="0"/>
    <x v="1"/>
    <n v="2"/>
    <x v="5"/>
    <x v="1"/>
    <n v="4"/>
    <n v="79"/>
    <n v="316"/>
  </r>
  <r>
    <x v="851"/>
    <x v="6"/>
    <x v="35"/>
    <d v="2025-02-06T00:00:00"/>
    <x v="2"/>
    <x v="0"/>
    <x v="0"/>
    <x v="0"/>
    <x v="42"/>
    <n v="1"/>
    <x v="5"/>
    <x v="2"/>
    <n v="5"/>
    <n v="52.8"/>
    <n v="264"/>
  </r>
  <r>
    <x v="852"/>
    <x v="8"/>
    <x v="35"/>
    <d v="2025-02-06T00:00:00"/>
    <x v="1"/>
    <x v="3"/>
    <x v="2"/>
    <x v="0"/>
    <x v="44"/>
    <n v="1"/>
    <x v="5"/>
    <x v="1"/>
    <n v="2"/>
    <n v="34.1"/>
    <n v="68.2"/>
  </r>
  <r>
    <x v="853"/>
    <x v="6"/>
    <x v="35"/>
    <d v="2025-02-05T00:00:00"/>
    <x v="2"/>
    <x v="0"/>
    <x v="2"/>
    <x v="0"/>
    <x v="50"/>
    <n v="0"/>
    <x v="5"/>
    <x v="2"/>
    <n v="5"/>
    <n v="107.9"/>
    <n v="539.5"/>
  </r>
  <r>
    <x v="854"/>
    <x v="8"/>
    <x v="35"/>
    <d v="2025-02-05T00:00:00"/>
    <x v="1"/>
    <x v="2"/>
    <x v="2"/>
    <x v="0"/>
    <x v="3"/>
    <n v="0"/>
    <x v="5"/>
    <x v="1"/>
    <n v="13"/>
    <n v="48.5"/>
    <n v="630.5"/>
  </r>
  <r>
    <x v="855"/>
    <x v="5"/>
    <x v="35"/>
    <d v="2025-02-06T00:00:00"/>
    <x v="0"/>
    <x v="4"/>
    <x v="1"/>
    <x v="0"/>
    <x v="3"/>
    <n v="1"/>
    <x v="5"/>
    <x v="0"/>
    <n v="3"/>
    <n v="34.700000000000003"/>
    <n v="104.10000000000001"/>
  </r>
  <r>
    <x v="856"/>
    <x v="8"/>
    <x v="35"/>
    <d v="2025-02-07T00:00:00"/>
    <x v="2"/>
    <x v="3"/>
    <x v="0"/>
    <x v="0"/>
    <x v="3"/>
    <n v="2"/>
    <x v="5"/>
    <x v="2"/>
    <n v="1"/>
    <n v="16.8"/>
    <n v="16.8"/>
  </r>
  <r>
    <x v="857"/>
    <x v="8"/>
    <x v="35"/>
    <d v="2025-02-08T00:00:00"/>
    <x v="2"/>
    <x v="0"/>
    <x v="0"/>
    <x v="0"/>
    <x v="3"/>
    <n v="3"/>
    <x v="5"/>
    <x v="2"/>
    <n v="6"/>
    <n v="18.3"/>
    <n v="109.80000000000001"/>
  </r>
  <r>
    <x v="858"/>
    <x v="18"/>
    <x v="35"/>
    <d v="2025-02-11T00:00:00"/>
    <x v="1"/>
    <x v="3"/>
    <x v="1"/>
    <x v="0"/>
    <x v="3"/>
    <n v="6"/>
    <x v="5"/>
    <x v="1"/>
    <n v="3"/>
    <n v="55.9"/>
    <n v="167.7"/>
  </r>
  <r>
    <x v="859"/>
    <x v="8"/>
    <x v="35"/>
    <d v="2025-02-07T00:00:00"/>
    <x v="2"/>
    <x v="0"/>
    <x v="1"/>
    <x v="0"/>
    <x v="3"/>
    <n v="2"/>
    <x v="5"/>
    <x v="2"/>
    <n v="3"/>
    <n v="39.200000000000003"/>
    <n v="117.60000000000001"/>
  </r>
  <r>
    <x v="860"/>
    <x v="15"/>
    <x v="35"/>
    <d v="2025-02-07T00:00:00"/>
    <x v="0"/>
    <x v="3"/>
    <x v="1"/>
    <x v="0"/>
    <x v="3"/>
    <n v="2"/>
    <x v="5"/>
    <x v="0"/>
    <n v="4"/>
    <n v="66.5"/>
    <n v="266"/>
  </r>
  <r>
    <x v="861"/>
    <x v="6"/>
    <x v="35"/>
    <d v="2025-02-07T00:00:00"/>
    <x v="1"/>
    <x v="1"/>
    <x v="1"/>
    <x v="0"/>
    <x v="16"/>
    <n v="2"/>
    <x v="5"/>
    <x v="1"/>
    <n v="6"/>
    <n v="52.1"/>
    <n v="312.60000000000002"/>
  </r>
  <r>
    <x v="862"/>
    <x v="8"/>
    <x v="35"/>
    <d v="2025-02-06T00:00:00"/>
    <x v="1"/>
    <x v="4"/>
    <x v="2"/>
    <x v="0"/>
    <x v="6"/>
    <n v="1"/>
    <x v="5"/>
    <x v="1"/>
    <n v="2"/>
    <n v="19"/>
    <n v="38"/>
  </r>
  <r>
    <x v="863"/>
    <x v="7"/>
    <x v="35"/>
    <d v="2025-02-07T00:00:00"/>
    <x v="2"/>
    <x v="2"/>
    <x v="0"/>
    <x v="0"/>
    <x v="8"/>
    <n v="2"/>
    <x v="5"/>
    <x v="2"/>
    <n v="3"/>
    <n v="84.8"/>
    <n v="254.39999999999998"/>
  </r>
  <r>
    <x v="864"/>
    <x v="2"/>
    <x v="35"/>
    <d v="2025-02-08T00:00:00"/>
    <x v="2"/>
    <x v="0"/>
    <x v="0"/>
    <x v="0"/>
    <x v="8"/>
    <n v="3"/>
    <x v="5"/>
    <x v="2"/>
    <n v="4"/>
    <n v="63.9"/>
    <n v="255.6"/>
  </r>
  <r>
    <x v="865"/>
    <x v="2"/>
    <x v="35"/>
    <d v="2025-02-05T00:00:00"/>
    <x v="2"/>
    <x v="1"/>
    <x v="1"/>
    <x v="0"/>
    <x v="8"/>
    <n v="0"/>
    <x v="5"/>
    <x v="2"/>
    <n v="3"/>
    <n v="65.5"/>
    <n v="196.5"/>
  </r>
  <r>
    <x v="866"/>
    <x v="12"/>
    <x v="35"/>
    <d v="2025-02-11T00:00:00"/>
    <x v="1"/>
    <x v="3"/>
    <x v="0"/>
    <x v="0"/>
    <x v="17"/>
    <n v="6"/>
    <x v="5"/>
    <x v="1"/>
    <n v="2"/>
    <n v="116.2"/>
    <n v="232.4"/>
  </r>
  <r>
    <x v="867"/>
    <x v="10"/>
    <x v="35"/>
    <d v="2025-02-07T00:00:00"/>
    <x v="2"/>
    <x v="2"/>
    <x v="1"/>
    <x v="0"/>
    <x v="38"/>
    <n v="2"/>
    <x v="5"/>
    <x v="2"/>
    <n v="4"/>
    <n v="22.9"/>
    <n v="91.6"/>
  </r>
  <r>
    <x v="868"/>
    <x v="10"/>
    <x v="35"/>
    <d v="2025-02-06T00:00:00"/>
    <x v="1"/>
    <x v="0"/>
    <x v="4"/>
    <x v="0"/>
    <x v="18"/>
    <n v="1"/>
    <x v="5"/>
    <x v="1"/>
    <n v="3"/>
    <n v="53.7"/>
    <n v="161.10000000000002"/>
  </r>
  <r>
    <x v="869"/>
    <x v="6"/>
    <x v="35"/>
    <d v="2025-02-07T00:00:00"/>
    <x v="2"/>
    <x v="0"/>
    <x v="0"/>
    <x v="0"/>
    <x v="19"/>
    <n v="2"/>
    <x v="5"/>
    <x v="2"/>
    <n v="5"/>
    <n v="43.2"/>
    <n v="216"/>
  </r>
  <r>
    <x v="870"/>
    <x v="1"/>
    <x v="35"/>
    <d v="2025-02-07T00:00:00"/>
    <x v="1"/>
    <x v="2"/>
    <x v="2"/>
    <x v="0"/>
    <x v="51"/>
    <n v="2"/>
    <x v="5"/>
    <x v="1"/>
    <n v="3"/>
    <n v="84.5"/>
    <n v="253.5"/>
  </r>
  <r>
    <x v="871"/>
    <x v="3"/>
    <x v="35"/>
    <d v="2025-02-06T00:00:00"/>
    <x v="2"/>
    <x v="1"/>
    <x v="2"/>
    <x v="0"/>
    <x v="1"/>
    <n v="1"/>
    <x v="5"/>
    <x v="2"/>
    <n v="2"/>
    <n v="42.2"/>
    <n v="84.4"/>
  </r>
  <r>
    <x v="872"/>
    <x v="2"/>
    <x v="35"/>
    <d v="2025-02-08T00:00:00"/>
    <x v="2"/>
    <x v="1"/>
    <x v="2"/>
    <x v="0"/>
    <x v="2"/>
    <n v="3"/>
    <x v="5"/>
    <x v="2"/>
    <n v="6"/>
    <n v="94.7"/>
    <n v="568.20000000000005"/>
  </r>
  <r>
    <x v="873"/>
    <x v="8"/>
    <x v="35"/>
    <d v="2025-02-17T00:00:00"/>
    <x v="2"/>
    <x v="0"/>
    <x v="2"/>
    <x v="0"/>
    <x v="2"/>
    <n v="12"/>
    <x v="5"/>
    <x v="2"/>
    <n v="18"/>
    <n v="16.7"/>
    <n v="300.59999999999997"/>
  </r>
  <r>
    <x v="874"/>
    <x v="2"/>
    <x v="35"/>
    <d v="2025-02-11T00:00:00"/>
    <x v="2"/>
    <x v="1"/>
    <x v="0"/>
    <x v="0"/>
    <x v="3"/>
    <n v="6"/>
    <x v="5"/>
    <x v="2"/>
    <n v="2"/>
    <n v="83.6"/>
    <n v="167.2"/>
  </r>
  <r>
    <x v="875"/>
    <x v="7"/>
    <x v="36"/>
    <d v="2025-02-07T00:00:00"/>
    <x v="2"/>
    <x v="3"/>
    <x v="0"/>
    <x v="0"/>
    <x v="3"/>
    <n v="1"/>
    <x v="5"/>
    <x v="2"/>
    <n v="6"/>
    <n v="33.6"/>
    <n v="201.60000000000002"/>
  </r>
  <r>
    <x v="876"/>
    <x v="7"/>
    <x v="36"/>
    <d v="2025-02-08T00:00:00"/>
    <x v="1"/>
    <x v="1"/>
    <x v="2"/>
    <x v="0"/>
    <x v="3"/>
    <n v="2"/>
    <x v="5"/>
    <x v="1"/>
    <n v="2"/>
    <n v="64.7"/>
    <n v="129.4"/>
  </r>
  <r>
    <x v="877"/>
    <x v="0"/>
    <x v="36"/>
    <d v="2025-02-12T00:00:00"/>
    <x v="2"/>
    <x v="0"/>
    <x v="0"/>
    <x v="0"/>
    <x v="3"/>
    <n v="6"/>
    <x v="5"/>
    <x v="2"/>
    <n v="3"/>
    <n v="15.7"/>
    <n v="47.099999999999994"/>
  </r>
  <r>
    <x v="878"/>
    <x v="15"/>
    <x v="36"/>
    <d v="2025-02-06T00:00:00"/>
    <x v="1"/>
    <x v="1"/>
    <x v="0"/>
    <x v="0"/>
    <x v="3"/>
    <n v="0"/>
    <x v="5"/>
    <x v="1"/>
    <n v="6"/>
    <n v="49.4"/>
    <n v="296.39999999999998"/>
  </r>
  <r>
    <x v="879"/>
    <x v="10"/>
    <x v="36"/>
    <d v="2025-02-09T00:00:00"/>
    <x v="2"/>
    <x v="1"/>
    <x v="2"/>
    <x v="0"/>
    <x v="3"/>
    <n v="3"/>
    <x v="5"/>
    <x v="2"/>
    <n v="6"/>
    <n v="37"/>
    <n v="222"/>
  </r>
  <r>
    <x v="880"/>
    <x v="2"/>
    <x v="36"/>
    <d v="2025-02-08T00:00:00"/>
    <x v="2"/>
    <x v="3"/>
    <x v="2"/>
    <x v="0"/>
    <x v="3"/>
    <n v="2"/>
    <x v="5"/>
    <x v="2"/>
    <n v="2"/>
    <n v="83.7"/>
    <n v="167.4"/>
  </r>
  <r>
    <x v="881"/>
    <x v="1"/>
    <x v="36"/>
    <d v="2025-02-07T00:00:00"/>
    <x v="2"/>
    <x v="0"/>
    <x v="0"/>
    <x v="0"/>
    <x v="3"/>
    <n v="1"/>
    <x v="5"/>
    <x v="2"/>
    <n v="5"/>
    <n v="35.1"/>
    <n v="175.5"/>
  </r>
  <r>
    <x v="882"/>
    <x v="16"/>
    <x v="36"/>
    <d v="2025-02-07T00:00:00"/>
    <x v="2"/>
    <x v="4"/>
    <x v="0"/>
    <x v="0"/>
    <x v="37"/>
    <n v="1"/>
    <x v="5"/>
    <x v="2"/>
    <n v="8"/>
    <n v="74"/>
    <n v="592"/>
  </r>
  <r>
    <x v="883"/>
    <x v="6"/>
    <x v="36"/>
    <d v="2025-02-09T00:00:00"/>
    <x v="1"/>
    <x v="3"/>
    <x v="0"/>
    <x v="0"/>
    <x v="49"/>
    <n v="3"/>
    <x v="5"/>
    <x v="1"/>
    <n v="24"/>
    <n v="55.5"/>
    <n v="1332"/>
  </r>
  <r>
    <x v="884"/>
    <x v="11"/>
    <x v="36"/>
    <d v="2025-02-08T00:00:00"/>
    <x v="2"/>
    <x v="1"/>
    <x v="2"/>
    <x v="0"/>
    <x v="25"/>
    <n v="2"/>
    <x v="5"/>
    <x v="2"/>
    <n v="2"/>
    <n v="38.9"/>
    <n v="77.8"/>
  </r>
  <r>
    <x v="885"/>
    <x v="16"/>
    <x v="36"/>
    <d v="2025-02-13T00:00:00"/>
    <x v="1"/>
    <x v="2"/>
    <x v="1"/>
    <x v="0"/>
    <x v="25"/>
    <n v="7"/>
    <x v="5"/>
    <x v="1"/>
    <n v="2"/>
    <n v="64.599999999999994"/>
    <n v="129.19999999999999"/>
  </r>
  <r>
    <x v="886"/>
    <x v="2"/>
    <x v="36"/>
    <d v="2025-02-07T00:00:00"/>
    <x v="1"/>
    <x v="0"/>
    <x v="0"/>
    <x v="0"/>
    <x v="5"/>
    <n v="1"/>
    <x v="5"/>
    <x v="1"/>
    <n v="3"/>
    <n v="95.3"/>
    <n v="285.89999999999998"/>
  </r>
  <r>
    <x v="887"/>
    <x v="13"/>
    <x v="36"/>
    <d v="2025-02-07T00:00:00"/>
    <x v="2"/>
    <x v="1"/>
    <x v="1"/>
    <x v="0"/>
    <x v="6"/>
    <n v="1"/>
    <x v="5"/>
    <x v="2"/>
    <n v="3"/>
    <n v="25.8"/>
    <n v="77.400000000000006"/>
  </r>
  <r>
    <x v="888"/>
    <x v="0"/>
    <x v="36"/>
    <d v="2025-02-10T00:00:00"/>
    <x v="2"/>
    <x v="1"/>
    <x v="1"/>
    <x v="0"/>
    <x v="6"/>
    <n v="4"/>
    <x v="5"/>
    <x v="2"/>
    <n v="2"/>
    <n v="11.6"/>
    <n v="23.2"/>
  </r>
  <r>
    <x v="889"/>
    <x v="7"/>
    <x v="36"/>
    <d v="2025-02-07T00:00:00"/>
    <x v="2"/>
    <x v="1"/>
    <x v="0"/>
    <x v="0"/>
    <x v="8"/>
    <n v="1"/>
    <x v="5"/>
    <x v="2"/>
    <n v="1"/>
    <n v="52.3"/>
    <n v="52.3"/>
  </r>
  <r>
    <x v="890"/>
    <x v="2"/>
    <x v="36"/>
    <d v="2025-02-07T00:00:00"/>
    <x v="2"/>
    <x v="1"/>
    <x v="1"/>
    <x v="0"/>
    <x v="8"/>
    <n v="1"/>
    <x v="5"/>
    <x v="2"/>
    <n v="10"/>
    <n v="112.2"/>
    <n v="1122"/>
  </r>
  <r>
    <x v="891"/>
    <x v="4"/>
    <x v="36"/>
    <d v="2025-02-08T00:00:00"/>
    <x v="1"/>
    <x v="2"/>
    <x v="0"/>
    <x v="0"/>
    <x v="8"/>
    <n v="2"/>
    <x v="5"/>
    <x v="1"/>
    <n v="5"/>
    <n v="34.6"/>
    <n v="173"/>
  </r>
  <r>
    <x v="892"/>
    <x v="14"/>
    <x v="36"/>
    <d v="2025-02-12T00:00:00"/>
    <x v="1"/>
    <x v="1"/>
    <x v="2"/>
    <x v="0"/>
    <x v="8"/>
    <n v="6"/>
    <x v="5"/>
    <x v="1"/>
    <n v="4"/>
    <n v="20.100000000000001"/>
    <n v="80.400000000000006"/>
  </r>
  <r>
    <x v="893"/>
    <x v="2"/>
    <x v="36"/>
    <d v="2025-02-08T00:00:00"/>
    <x v="2"/>
    <x v="2"/>
    <x v="0"/>
    <x v="0"/>
    <x v="10"/>
    <n v="2"/>
    <x v="5"/>
    <x v="2"/>
    <n v="4"/>
    <n v="56.4"/>
    <n v="225.6"/>
  </r>
  <r>
    <x v="894"/>
    <x v="13"/>
    <x v="36"/>
    <d v="2025-02-08T00:00:00"/>
    <x v="2"/>
    <x v="1"/>
    <x v="4"/>
    <x v="0"/>
    <x v="11"/>
    <n v="2"/>
    <x v="5"/>
    <x v="2"/>
    <n v="9"/>
    <n v="55.3"/>
    <n v="497.7"/>
  </r>
  <r>
    <x v="895"/>
    <x v="2"/>
    <x v="36"/>
    <d v="2025-02-07T00:00:00"/>
    <x v="2"/>
    <x v="0"/>
    <x v="0"/>
    <x v="0"/>
    <x v="11"/>
    <n v="1"/>
    <x v="5"/>
    <x v="2"/>
    <n v="28"/>
    <n v="75.5"/>
    <n v="2114"/>
  </r>
  <r>
    <x v="896"/>
    <x v="8"/>
    <x v="36"/>
    <d v="2025-02-11T00:00:00"/>
    <x v="2"/>
    <x v="0"/>
    <x v="0"/>
    <x v="0"/>
    <x v="19"/>
    <n v="5"/>
    <x v="5"/>
    <x v="2"/>
    <n v="1"/>
    <n v="23.6"/>
    <n v="23.6"/>
  </r>
  <r>
    <x v="897"/>
    <x v="9"/>
    <x v="36"/>
    <d v="2025-02-08T00:00:00"/>
    <x v="2"/>
    <x v="2"/>
    <x v="0"/>
    <x v="0"/>
    <x v="19"/>
    <n v="2"/>
    <x v="5"/>
    <x v="2"/>
    <n v="2"/>
    <n v="70.7"/>
    <n v="141.4"/>
  </r>
  <r>
    <x v="898"/>
    <x v="12"/>
    <x v="36"/>
    <d v="2025-02-07T00:00:00"/>
    <x v="2"/>
    <x v="2"/>
    <x v="0"/>
    <x v="0"/>
    <x v="31"/>
    <n v="1"/>
    <x v="5"/>
    <x v="2"/>
    <n v="2"/>
    <n v="43.2"/>
    <n v="86.4"/>
  </r>
  <r>
    <x v="899"/>
    <x v="9"/>
    <x v="36"/>
    <d v="2025-02-07T00:00:00"/>
    <x v="0"/>
    <x v="1"/>
    <x v="0"/>
    <x v="0"/>
    <x v="52"/>
    <n v="1"/>
    <x v="5"/>
    <x v="0"/>
    <n v="9"/>
    <n v="70"/>
    <n v="630"/>
  </r>
  <r>
    <x v="900"/>
    <x v="0"/>
    <x v="36"/>
    <d v="2025-02-08T00:00:00"/>
    <x v="2"/>
    <x v="2"/>
    <x v="4"/>
    <x v="0"/>
    <x v="13"/>
    <n v="2"/>
    <x v="5"/>
    <x v="2"/>
    <n v="2"/>
    <n v="20.5"/>
    <n v="41"/>
  </r>
  <r>
    <x v="901"/>
    <x v="0"/>
    <x v="36"/>
    <d v="2025-02-07T00:00:00"/>
    <x v="2"/>
    <x v="3"/>
    <x v="0"/>
    <x v="0"/>
    <x v="28"/>
    <n v="1"/>
    <x v="5"/>
    <x v="2"/>
    <n v="4"/>
    <n v="29.1"/>
    <n v="116.4"/>
  </r>
  <r>
    <x v="902"/>
    <x v="6"/>
    <x v="36"/>
    <d v="2025-02-07T00:00:00"/>
    <x v="1"/>
    <x v="2"/>
    <x v="1"/>
    <x v="0"/>
    <x v="3"/>
    <n v="1"/>
    <x v="5"/>
    <x v="1"/>
    <n v="9"/>
    <n v="53.6"/>
    <n v="482.40000000000003"/>
  </r>
  <r>
    <x v="903"/>
    <x v="6"/>
    <x v="36"/>
    <d v="2025-02-08T00:00:00"/>
    <x v="2"/>
    <x v="1"/>
    <x v="0"/>
    <x v="0"/>
    <x v="3"/>
    <n v="2"/>
    <x v="5"/>
    <x v="2"/>
    <n v="5"/>
    <n v="72.3"/>
    <n v="361.5"/>
  </r>
  <r>
    <x v="904"/>
    <x v="13"/>
    <x v="36"/>
    <d v="2025-02-09T00:00:00"/>
    <x v="3"/>
    <x v="0"/>
    <x v="1"/>
    <x v="0"/>
    <x v="3"/>
    <n v="3"/>
    <x v="5"/>
    <x v="3"/>
    <n v="4"/>
    <n v="22.6"/>
    <n v="90.4"/>
  </r>
  <r>
    <x v="905"/>
    <x v="9"/>
    <x v="36"/>
    <d v="2025-02-10T00:00:00"/>
    <x v="0"/>
    <x v="2"/>
    <x v="4"/>
    <x v="0"/>
    <x v="3"/>
    <n v="4"/>
    <x v="5"/>
    <x v="0"/>
    <n v="2"/>
    <n v="44.2"/>
    <n v="88.4"/>
  </r>
  <r>
    <x v="906"/>
    <x v="9"/>
    <x v="36"/>
    <d v="2025-02-19T00:00:00"/>
    <x v="2"/>
    <x v="2"/>
    <x v="2"/>
    <x v="0"/>
    <x v="3"/>
    <n v="13"/>
    <x v="5"/>
    <x v="2"/>
    <n v="3"/>
    <n v="94.1"/>
    <n v="282.29999999999995"/>
  </r>
  <r>
    <x v="907"/>
    <x v="8"/>
    <x v="36"/>
    <d v="2025-02-08T00:00:00"/>
    <x v="1"/>
    <x v="1"/>
    <x v="1"/>
    <x v="0"/>
    <x v="3"/>
    <n v="2"/>
    <x v="5"/>
    <x v="1"/>
    <n v="3"/>
    <n v="17.899999999999999"/>
    <n v="53.699999999999996"/>
  </r>
  <r>
    <x v="908"/>
    <x v="12"/>
    <x v="36"/>
    <d v="2025-02-07T00:00:00"/>
    <x v="1"/>
    <x v="1"/>
    <x v="1"/>
    <x v="0"/>
    <x v="3"/>
    <n v="1"/>
    <x v="5"/>
    <x v="1"/>
    <n v="7"/>
    <n v="52.7"/>
    <n v="368.90000000000003"/>
  </r>
  <r>
    <x v="909"/>
    <x v="8"/>
    <x v="36"/>
    <d v="2025-02-06T00:00:00"/>
    <x v="0"/>
    <x v="0"/>
    <x v="2"/>
    <x v="0"/>
    <x v="3"/>
    <n v="0"/>
    <x v="5"/>
    <x v="0"/>
    <n v="1"/>
    <n v="36.799999999999997"/>
    <n v="36.799999999999997"/>
  </r>
  <r>
    <x v="910"/>
    <x v="4"/>
    <x v="36"/>
    <d v="2025-02-07T00:00:00"/>
    <x v="1"/>
    <x v="0"/>
    <x v="1"/>
    <x v="0"/>
    <x v="6"/>
    <n v="1"/>
    <x v="5"/>
    <x v="1"/>
    <n v="1"/>
    <n v="52.5"/>
    <n v="52.5"/>
  </r>
  <r>
    <x v="911"/>
    <x v="2"/>
    <x v="36"/>
    <d v="2025-02-08T00:00:00"/>
    <x v="1"/>
    <x v="0"/>
    <x v="1"/>
    <x v="0"/>
    <x v="7"/>
    <n v="2"/>
    <x v="5"/>
    <x v="1"/>
    <n v="2"/>
    <n v="133.80000000000001"/>
    <n v="267.60000000000002"/>
  </r>
  <r>
    <x v="912"/>
    <x v="6"/>
    <x v="36"/>
    <d v="2025-02-08T00:00:00"/>
    <x v="1"/>
    <x v="0"/>
    <x v="0"/>
    <x v="0"/>
    <x v="17"/>
    <n v="2"/>
    <x v="5"/>
    <x v="1"/>
    <n v="2"/>
    <n v="53.2"/>
    <n v="106.4"/>
  </r>
  <r>
    <x v="913"/>
    <x v="14"/>
    <x v="36"/>
    <d v="2025-02-08T00:00:00"/>
    <x v="0"/>
    <x v="0"/>
    <x v="1"/>
    <x v="0"/>
    <x v="10"/>
    <n v="2"/>
    <x v="5"/>
    <x v="0"/>
    <n v="6"/>
    <n v="18.7"/>
    <n v="112.19999999999999"/>
  </r>
  <r>
    <x v="914"/>
    <x v="6"/>
    <x v="36"/>
    <d v="2025-02-07T00:00:00"/>
    <x v="2"/>
    <x v="3"/>
    <x v="2"/>
    <x v="0"/>
    <x v="11"/>
    <n v="1"/>
    <x v="5"/>
    <x v="2"/>
    <n v="4"/>
    <n v="108.8"/>
    <n v="435.2"/>
  </r>
  <r>
    <x v="915"/>
    <x v="15"/>
    <x v="36"/>
    <d v="2025-02-10T00:00:00"/>
    <x v="2"/>
    <x v="0"/>
    <x v="1"/>
    <x v="0"/>
    <x v="14"/>
    <n v="4"/>
    <x v="5"/>
    <x v="2"/>
    <n v="5"/>
    <n v="38.5"/>
    <n v="192.5"/>
  </r>
  <r>
    <x v="916"/>
    <x v="10"/>
    <x v="36"/>
    <d v="2025-02-08T00:00:00"/>
    <x v="1"/>
    <x v="2"/>
    <x v="1"/>
    <x v="0"/>
    <x v="2"/>
    <n v="2"/>
    <x v="5"/>
    <x v="1"/>
    <n v="10"/>
    <n v="46.5"/>
    <n v="465"/>
  </r>
  <r>
    <x v="917"/>
    <x v="2"/>
    <x v="36"/>
    <d v="2025-02-10T00:00:00"/>
    <x v="2"/>
    <x v="1"/>
    <x v="4"/>
    <x v="0"/>
    <x v="44"/>
    <n v="4"/>
    <x v="5"/>
    <x v="2"/>
    <n v="3"/>
    <n v="75.8"/>
    <n v="227.39999999999998"/>
  </r>
  <r>
    <x v="918"/>
    <x v="8"/>
    <x v="36"/>
    <d v="2025-02-10T00:00:00"/>
    <x v="1"/>
    <x v="0"/>
    <x v="0"/>
    <x v="0"/>
    <x v="22"/>
    <n v="4"/>
    <x v="5"/>
    <x v="1"/>
    <n v="1"/>
    <n v="20.9"/>
    <n v="20.9"/>
  </r>
  <r>
    <x v="919"/>
    <x v="18"/>
    <x v="36"/>
    <d v="2025-02-09T00:00:00"/>
    <x v="2"/>
    <x v="0"/>
    <x v="0"/>
    <x v="0"/>
    <x v="3"/>
    <n v="3"/>
    <x v="5"/>
    <x v="2"/>
    <n v="3"/>
    <n v="47.4"/>
    <n v="142.19999999999999"/>
  </r>
  <r>
    <x v="920"/>
    <x v="9"/>
    <x v="36"/>
    <d v="2025-02-07T00:00:00"/>
    <x v="0"/>
    <x v="0"/>
    <x v="1"/>
    <x v="0"/>
    <x v="3"/>
    <n v="1"/>
    <x v="5"/>
    <x v="0"/>
    <n v="2"/>
    <n v="53.8"/>
    <n v="107.6"/>
  </r>
  <r>
    <x v="921"/>
    <x v="8"/>
    <x v="36"/>
    <d v="2025-02-08T00:00:00"/>
    <x v="3"/>
    <x v="1"/>
    <x v="2"/>
    <x v="0"/>
    <x v="3"/>
    <n v="2"/>
    <x v="5"/>
    <x v="3"/>
    <n v="3"/>
    <n v="24.6"/>
    <n v="73.800000000000011"/>
  </r>
  <r>
    <x v="922"/>
    <x v="9"/>
    <x v="36"/>
    <d v="2025-02-11T00:00:00"/>
    <x v="2"/>
    <x v="2"/>
    <x v="2"/>
    <x v="0"/>
    <x v="3"/>
    <n v="5"/>
    <x v="5"/>
    <x v="2"/>
    <n v="3"/>
    <n v="70.900000000000006"/>
    <n v="212.70000000000002"/>
  </r>
  <r>
    <x v="923"/>
    <x v="17"/>
    <x v="36"/>
    <d v="2025-02-08T00:00:00"/>
    <x v="2"/>
    <x v="2"/>
    <x v="2"/>
    <x v="0"/>
    <x v="3"/>
    <n v="2"/>
    <x v="5"/>
    <x v="2"/>
    <n v="3"/>
    <n v="31.9"/>
    <n v="95.699999999999989"/>
  </r>
  <r>
    <x v="924"/>
    <x v="0"/>
    <x v="36"/>
    <d v="2025-02-10T00:00:00"/>
    <x v="1"/>
    <x v="3"/>
    <x v="2"/>
    <x v="0"/>
    <x v="3"/>
    <n v="4"/>
    <x v="5"/>
    <x v="1"/>
    <n v="2"/>
    <n v="20.399999999999999"/>
    <n v="40.799999999999997"/>
  </r>
  <r>
    <x v="925"/>
    <x v="8"/>
    <x v="36"/>
    <d v="2025-02-08T00:00:00"/>
    <x v="0"/>
    <x v="0"/>
    <x v="1"/>
    <x v="0"/>
    <x v="3"/>
    <n v="2"/>
    <x v="5"/>
    <x v="0"/>
    <n v="2"/>
    <n v="18.600000000000001"/>
    <n v="37.200000000000003"/>
  </r>
  <r>
    <x v="926"/>
    <x v="4"/>
    <x v="36"/>
    <d v="2025-02-08T00:00:00"/>
    <x v="2"/>
    <x v="1"/>
    <x v="0"/>
    <x v="0"/>
    <x v="3"/>
    <n v="2"/>
    <x v="5"/>
    <x v="2"/>
    <n v="5"/>
    <n v="48.3"/>
    <n v="241.5"/>
  </r>
  <r>
    <x v="927"/>
    <x v="0"/>
    <x v="36"/>
    <d v="2025-02-08T00:00:00"/>
    <x v="2"/>
    <x v="0"/>
    <x v="0"/>
    <x v="0"/>
    <x v="3"/>
    <n v="2"/>
    <x v="5"/>
    <x v="2"/>
    <n v="4"/>
    <n v="27.7"/>
    <n v="110.8"/>
  </r>
  <r>
    <x v="928"/>
    <x v="4"/>
    <x v="36"/>
    <d v="2025-02-08T00:00:00"/>
    <x v="2"/>
    <x v="4"/>
    <x v="2"/>
    <x v="0"/>
    <x v="3"/>
    <n v="2"/>
    <x v="5"/>
    <x v="2"/>
    <n v="5"/>
    <n v="22.5"/>
    <n v="112.5"/>
  </r>
  <r>
    <x v="929"/>
    <x v="17"/>
    <x v="36"/>
    <d v="2025-02-14T00:00:00"/>
    <x v="2"/>
    <x v="0"/>
    <x v="1"/>
    <x v="0"/>
    <x v="3"/>
    <n v="8"/>
    <x v="5"/>
    <x v="2"/>
    <n v="5"/>
    <n v="21.6"/>
    <n v="108"/>
  </r>
  <r>
    <x v="930"/>
    <x v="10"/>
    <x v="36"/>
    <d v="2025-02-06T00:00:00"/>
    <x v="2"/>
    <x v="2"/>
    <x v="1"/>
    <x v="0"/>
    <x v="3"/>
    <n v="0"/>
    <x v="5"/>
    <x v="2"/>
    <n v="7"/>
    <n v="26.3"/>
    <n v="184.1"/>
  </r>
  <r>
    <x v="931"/>
    <x v="6"/>
    <x v="37"/>
    <d v="2025-02-08T00:00:00"/>
    <x v="1"/>
    <x v="0"/>
    <x v="2"/>
    <x v="0"/>
    <x v="6"/>
    <n v="1"/>
    <x v="5"/>
    <x v="1"/>
    <n v="7"/>
    <n v="103"/>
    <n v="721"/>
  </r>
  <r>
    <x v="932"/>
    <x v="5"/>
    <x v="37"/>
    <d v="2025-02-08T00:00:00"/>
    <x v="2"/>
    <x v="0"/>
    <x v="1"/>
    <x v="0"/>
    <x v="6"/>
    <n v="1"/>
    <x v="5"/>
    <x v="2"/>
    <n v="15"/>
    <n v="46.6"/>
    <n v="699"/>
  </r>
  <r>
    <x v="933"/>
    <x v="0"/>
    <x v="37"/>
    <d v="2025-02-10T00:00:00"/>
    <x v="2"/>
    <x v="0"/>
    <x v="2"/>
    <x v="0"/>
    <x v="36"/>
    <n v="3"/>
    <x v="5"/>
    <x v="2"/>
    <n v="5"/>
    <n v="32.200000000000003"/>
    <n v="161"/>
  </r>
  <r>
    <x v="934"/>
    <x v="8"/>
    <x v="37"/>
    <d v="2025-02-14T00:00:00"/>
    <x v="1"/>
    <x v="1"/>
    <x v="0"/>
    <x v="0"/>
    <x v="7"/>
    <n v="7"/>
    <x v="5"/>
    <x v="1"/>
    <n v="3"/>
    <n v="22"/>
    <n v="66"/>
  </r>
  <r>
    <x v="935"/>
    <x v="0"/>
    <x v="37"/>
    <d v="2025-02-11T00:00:00"/>
    <x v="2"/>
    <x v="0"/>
    <x v="0"/>
    <x v="0"/>
    <x v="7"/>
    <n v="4"/>
    <x v="5"/>
    <x v="2"/>
    <n v="2"/>
    <n v="25.2"/>
    <n v="50.4"/>
  </r>
  <r>
    <x v="936"/>
    <x v="1"/>
    <x v="37"/>
    <d v="2025-02-09T00:00:00"/>
    <x v="1"/>
    <x v="4"/>
    <x v="0"/>
    <x v="0"/>
    <x v="8"/>
    <n v="2"/>
    <x v="5"/>
    <x v="1"/>
    <n v="6"/>
    <n v="68.7"/>
    <n v="412.20000000000005"/>
  </r>
  <r>
    <x v="937"/>
    <x v="0"/>
    <x v="37"/>
    <d v="2025-02-10T00:00:00"/>
    <x v="1"/>
    <x v="2"/>
    <x v="2"/>
    <x v="0"/>
    <x v="8"/>
    <n v="3"/>
    <x v="5"/>
    <x v="1"/>
    <n v="3"/>
    <n v="22.2"/>
    <n v="66.599999999999994"/>
  </r>
  <r>
    <x v="938"/>
    <x v="1"/>
    <x v="37"/>
    <d v="2025-02-08T00:00:00"/>
    <x v="2"/>
    <x v="1"/>
    <x v="0"/>
    <x v="0"/>
    <x v="8"/>
    <n v="1"/>
    <x v="5"/>
    <x v="2"/>
    <n v="7"/>
    <n v="36"/>
    <n v="252"/>
  </r>
  <r>
    <x v="939"/>
    <x v="18"/>
    <x v="37"/>
    <d v="2025-02-09T00:00:00"/>
    <x v="2"/>
    <x v="0"/>
    <x v="1"/>
    <x v="0"/>
    <x v="8"/>
    <n v="2"/>
    <x v="5"/>
    <x v="2"/>
    <n v="1"/>
    <n v="50.6"/>
    <n v="50.6"/>
  </r>
  <r>
    <x v="940"/>
    <x v="15"/>
    <x v="37"/>
    <d v="2025-02-09T00:00:00"/>
    <x v="1"/>
    <x v="0"/>
    <x v="1"/>
    <x v="0"/>
    <x v="8"/>
    <n v="2"/>
    <x v="5"/>
    <x v="1"/>
    <n v="2"/>
    <n v="44.9"/>
    <n v="89.8"/>
  </r>
  <r>
    <x v="941"/>
    <x v="6"/>
    <x v="37"/>
    <d v="2025-02-11T00:00:00"/>
    <x v="1"/>
    <x v="1"/>
    <x v="2"/>
    <x v="0"/>
    <x v="10"/>
    <n v="4"/>
    <x v="5"/>
    <x v="1"/>
    <n v="3"/>
    <n v="71.599999999999994"/>
    <n v="214.79999999999998"/>
  </r>
  <r>
    <x v="942"/>
    <x v="6"/>
    <x v="37"/>
    <d v="2025-02-09T00:00:00"/>
    <x v="0"/>
    <x v="4"/>
    <x v="0"/>
    <x v="0"/>
    <x v="11"/>
    <n v="2"/>
    <x v="5"/>
    <x v="0"/>
    <n v="6"/>
    <n v="51.5"/>
    <n v="309"/>
  </r>
  <r>
    <x v="943"/>
    <x v="7"/>
    <x v="37"/>
    <d v="2025-02-08T00:00:00"/>
    <x v="1"/>
    <x v="1"/>
    <x v="1"/>
    <x v="0"/>
    <x v="11"/>
    <n v="1"/>
    <x v="5"/>
    <x v="1"/>
    <n v="5"/>
    <n v="55.5"/>
    <n v="277.5"/>
  </r>
  <r>
    <x v="944"/>
    <x v="6"/>
    <x v="37"/>
    <d v="2025-02-21T00:00:00"/>
    <x v="1"/>
    <x v="2"/>
    <x v="0"/>
    <x v="0"/>
    <x v="19"/>
    <n v="14"/>
    <x v="5"/>
    <x v="1"/>
    <n v="1"/>
    <n v="51.7"/>
    <n v="51.7"/>
  </r>
  <r>
    <x v="945"/>
    <x v="8"/>
    <x v="37"/>
    <d v="2025-02-08T00:00:00"/>
    <x v="2"/>
    <x v="3"/>
    <x v="2"/>
    <x v="0"/>
    <x v="19"/>
    <n v="1"/>
    <x v="5"/>
    <x v="2"/>
    <n v="21"/>
    <n v="45.5"/>
    <n v="955.5"/>
  </r>
  <r>
    <x v="946"/>
    <x v="8"/>
    <x v="37"/>
    <d v="2025-02-13T00:00:00"/>
    <x v="2"/>
    <x v="3"/>
    <x v="0"/>
    <x v="0"/>
    <x v="20"/>
    <n v="6"/>
    <x v="5"/>
    <x v="2"/>
    <n v="2"/>
    <n v="33.799999999999997"/>
    <n v="67.599999999999994"/>
  </r>
  <r>
    <x v="947"/>
    <x v="3"/>
    <x v="37"/>
    <d v="2025-02-08T00:00:00"/>
    <x v="2"/>
    <x v="0"/>
    <x v="1"/>
    <x v="0"/>
    <x v="21"/>
    <n v="1"/>
    <x v="5"/>
    <x v="2"/>
    <n v="3"/>
    <n v="76.5"/>
    <n v="229.5"/>
  </r>
  <r>
    <x v="948"/>
    <x v="9"/>
    <x v="37"/>
    <d v="2025-02-13T00:00:00"/>
    <x v="2"/>
    <x v="2"/>
    <x v="2"/>
    <x v="0"/>
    <x v="2"/>
    <n v="6"/>
    <x v="5"/>
    <x v="2"/>
    <n v="3"/>
    <n v="42.6"/>
    <n v="127.80000000000001"/>
  </r>
  <r>
    <x v="949"/>
    <x v="6"/>
    <x v="37"/>
    <d v="2025-02-09T00:00:00"/>
    <x v="2"/>
    <x v="1"/>
    <x v="1"/>
    <x v="0"/>
    <x v="22"/>
    <n v="2"/>
    <x v="5"/>
    <x v="2"/>
    <n v="3"/>
    <n v="44.1"/>
    <n v="132.30000000000001"/>
  </r>
  <r>
    <x v="950"/>
    <x v="8"/>
    <x v="37"/>
    <d v="2025-02-11T00:00:00"/>
    <x v="1"/>
    <x v="0"/>
    <x v="0"/>
    <x v="0"/>
    <x v="3"/>
    <n v="4"/>
    <x v="5"/>
    <x v="1"/>
    <n v="2"/>
    <n v="40.9"/>
    <n v="81.8"/>
  </r>
  <r>
    <x v="951"/>
    <x v="9"/>
    <x v="37"/>
    <d v="2025-02-11T00:00:00"/>
    <x v="2"/>
    <x v="3"/>
    <x v="1"/>
    <x v="0"/>
    <x v="3"/>
    <n v="4"/>
    <x v="5"/>
    <x v="2"/>
    <n v="3"/>
    <n v="49.1"/>
    <n v="147.30000000000001"/>
  </r>
  <r>
    <x v="952"/>
    <x v="18"/>
    <x v="37"/>
    <d v="2025-02-11T00:00:00"/>
    <x v="1"/>
    <x v="1"/>
    <x v="1"/>
    <x v="0"/>
    <x v="3"/>
    <n v="4"/>
    <x v="5"/>
    <x v="1"/>
    <n v="1"/>
    <n v="85.3"/>
    <n v="85.3"/>
  </r>
  <r>
    <x v="953"/>
    <x v="6"/>
    <x v="38"/>
    <d v="2025-02-11T00:00:00"/>
    <x v="1"/>
    <x v="0"/>
    <x v="0"/>
    <x v="0"/>
    <x v="3"/>
    <n v="3"/>
    <x v="5"/>
    <x v="1"/>
    <n v="4"/>
    <n v="43.1"/>
    <n v="172.4"/>
  </r>
  <r>
    <x v="954"/>
    <x v="4"/>
    <x v="38"/>
    <d v="2025-02-09T00:00:00"/>
    <x v="1"/>
    <x v="2"/>
    <x v="0"/>
    <x v="0"/>
    <x v="3"/>
    <n v="1"/>
    <x v="5"/>
    <x v="1"/>
    <n v="4"/>
    <n v="46.2"/>
    <n v="184.8"/>
  </r>
  <r>
    <x v="955"/>
    <x v="1"/>
    <x v="38"/>
    <d v="2025-02-10T00:00:00"/>
    <x v="1"/>
    <x v="4"/>
    <x v="2"/>
    <x v="0"/>
    <x v="3"/>
    <n v="2"/>
    <x v="5"/>
    <x v="1"/>
    <n v="1"/>
    <n v="74.400000000000006"/>
    <n v="74.400000000000006"/>
  </r>
  <r>
    <x v="956"/>
    <x v="17"/>
    <x v="38"/>
    <d v="2025-02-09T00:00:00"/>
    <x v="1"/>
    <x v="1"/>
    <x v="0"/>
    <x v="0"/>
    <x v="3"/>
    <n v="1"/>
    <x v="5"/>
    <x v="1"/>
    <n v="2"/>
    <n v="51.2"/>
    <n v="102.4"/>
  </r>
  <r>
    <x v="957"/>
    <x v="14"/>
    <x v="38"/>
    <d v="2025-02-08T00:00:00"/>
    <x v="1"/>
    <x v="2"/>
    <x v="0"/>
    <x v="0"/>
    <x v="3"/>
    <n v="0"/>
    <x v="5"/>
    <x v="1"/>
    <n v="4"/>
    <n v="11.8"/>
    <n v="47.2"/>
  </r>
  <r>
    <x v="958"/>
    <x v="10"/>
    <x v="38"/>
    <d v="2025-02-09T00:00:00"/>
    <x v="2"/>
    <x v="3"/>
    <x v="2"/>
    <x v="0"/>
    <x v="3"/>
    <n v="1"/>
    <x v="5"/>
    <x v="2"/>
    <n v="27"/>
    <n v="40.799999999999997"/>
    <n v="1101.5999999999999"/>
  </r>
  <r>
    <x v="959"/>
    <x v="8"/>
    <x v="38"/>
    <d v="2025-02-10T00:00:00"/>
    <x v="2"/>
    <x v="2"/>
    <x v="1"/>
    <x v="0"/>
    <x v="3"/>
    <n v="2"/>
    <x v="5"/>
    <x v="2"/>
    <n v="1"/>
    <n v="24.7"/>
    <n v="24.7"/>
  </r>
  <r>
    <x v="960"/>
    <x v="8"/>
    <x v="38"/>
    <d v="2025-02-08T00:00:00"/>
    <x v="2"/>
    <x v="2"/>
    <x v="4"/>
    <x v="0"/>
    <x v="3"/>
    <n v="0"/>
    <x v="5"/>
    <x v="2"/>
    <n v="7"/>
    <n v="22.1"/>
    <n v="154.70000000000002"/>
  </r>
  <r>
    <x v="961"/>
    <x v="8"/>
    <x v="38"/>
    <d v="2025-02-12T00:00:00"/>
    <x v="1"/>
    <x v="3"/>
    <x v="2"/>
    <x v="0"/>
    <x v="3"/>
    <n v="4"/>
    <x v="5"/>
    <x v="1"/>
    <n v="1"/>
    <n v="18.100000000000001"/>
    <n v="18.100000000000001"/>
  </r>
  <r>
    <x v="962"/>
    <x v="17"/>
    <x v="38"/>
    <d v="2025-02-11T00:00:00"/>
    <x v="2"/>
    <x v="0"/>
    <x v="0"/>
    <x v="0"/>
    <x v="25"/>
    <n v="3"/>
    <x v="5"/>
    <x v="2"/>
    <n v="2"/>
    <n v="58.8"/>
    <n v="117.6"/>
  </r>
  <r>
    <x v="963"/>
    <x v="18"/>
    <x v="38"/>
    <d v="2025-02-09T00:00:00"/>
    <x v="2"/>
    <x v="0"/>
    <x v="0"/>
    <x v="0"/>
    <x v="6"/>
    <n v="1"/>
    <x v="5"/>
    <x v="2"/>
    <n v="2"/>
    <n v="30.8"/>
    <n v="61.6"/>
  </r>
  <r>
    <x v="964"/>
    <x v="0"/>
    <x v="38"/>
    <d v="2025-02-12T00:00:00"/>
    <x v="2"/>
    <x v="0"/>
    <x v="0"/>
    <x v="0"/>
    <x v="6"/>
    <n v="4"/>
    <x v="5"/>
    <x v="2"/>
    <n v="2"/>
    <n v="12"/>
    <n v="24"/>
  </r>
  <r>
    <x v="965"/>
    <x v="0"/>
    <x v="38"/>
    <d v="2025-02-11T00:00:00"/>
    <x v="1"/>
    <x v="2"/>
    <x v="0"/>
    <x v="0"/>
    <x v="6"/>
    <n v="3"/>
    <x v="5"/>
    <x v="1"/>
    <n v="4"/>
    <n v="13.6"/>
    <n v="54.4"/>
  </r>
  <r>
    <x v="966"/>
    <x v="0"/>
    <x v="38"/>
    <d v="2025-02-09T00:00:00"/>
    <x v="1"/>
    <x v="3"/>
    <x v="0"/>
    <x v="0"/>
    <x v="6"/>
    <n v="1"/>
    <x v="5"/>
    <x v="1"/>
    <n v="1"/>
    <n v="17.899999999999999"/>
    <n v="17.899999999999999"/>
  </r>
  <r>
    <x v="967"/>
    <x v="9"/>
    <x v="38"/>
    <d v="2025-02-12T00:00:00"/>
    <x v="2"/>
    <x v="4"/>
    <x v="0"/>
    <x v="0"/>
    <x v="7"/>
    <n v="4"/>
    <x v="5"/>
    <x v="2"/>
    <n v="2"/>
    <n v="38.6"/>
    <n v="77.2"/>
  </r>
  <r>
    <x v="968"/>
    <x v="5"/>
    <x v="38"/>
    <d v="2025-02-09T00:00:00"/>
    <x v="1"/>
    <x v="2"/>
    <x v="2"/>
    <x v="0"/>
    <x v="8"/>
    <n v="1"/>
    <x v="5"/>
    <x v="1"/>
    <n v="5"/>
    <n v="32.700000000000003"/>
    <n v="163.5"/>
  </r>
  <r>
    <x v="969"/>
    <x v="3"/>
    <x v="38"/>
    <d v="2025-02-09T00:00:00"/>
    <x v="2"/>
    <x v="1"/>
    <x v="0"/>
    <x v="0"/>
    <x v="8"/>
    <n v="1"/>
    <x v="5"/>
    <x v="2"/>
    <n v="2"/>
    <n v="111.4"/>
    <n v="222.8"/>
  </r>
  <r>
    <x v="970"/>
    <x v="2"/>
    <x v="38"/>
    <d v="2025-02-10T00:00:00"/>
    <x v="2"/>
    <x v="1"/>
    <x v="0"/>
    <x v="0"/>
    <x v="8"/>
    <n v="2"/>
    <x v="5"/>
    <x v="2"/>
    <n v="6"/>
    <n v="80.3"/>
    <n v="481.79999999999995"/>
  </r>
  <r>
    <x v="971"/>
    <x v="6"/>
    <x v="38"/>
    <d v="2025-02-09T00:00:00"/>
    <x v="1"/>
    <x v="1"/>
    <x v="0"/>
    <x v="0"/>
    <x v="8"/>
    <n v="1"/>
    <x v="5"/>
    <x v="1"/>
    <n v="2"/>
    <n v="58.9"/>
    <n v="117.8"/>
  </r>
  <r>
    <x v="972"/>
    <x v="6"/>
    <x v="38"/>
    <d v="2025-02-10T00:00:00"/>
    <x v="2"/>
    <x v="1"/>
    <x v="4"/>
    <x v="0"/>
    <x v="8"/>
    <n v="2"/>
    <x v="5"/>
    <x v="2"/>
    <n v="3"/>
    <n v="51.9"/>
    <n v="155.69999999999999"/>
  </r>
  <r>
    <x v="973"/>
    <x v="2"/>
    <x v="38"/>
    <d v="2025-02-09T00:00:00"/>
    <x v="1"/>
    <x v="2"/>
    <x v="0"/>
    <x v="0"/>
    <x v="17"/>
    <n v="1"/>
    <x v="5"/>
    <x v="1"/>
    <n v="3"/>
    <n v="50.3"/>
    <n v="150.89999999999998"/>
  </r>
  <r>
    <x v="974"/>
    <x v="11"/>
    <x v="38"/>
    <d v="2025-02-14T00:00:00"/>
    <x v="2"/>
    <x v="3"/>
    <x v="0"/>
    <x v="0"/>
    <x v="9"/>
    <n v="6"/>
    <x v="5"/>
    <x v="2"/>
    <n v="6"/>
    <n v="45"/>
    <n v="270"/>
  </r>
  <r>
    <x v="975"/>
    <x v="10"/>
    <x v="38"/>
    <d v="2025-02-10T00:00:00"/>
    <x v="2"/>
    <x v="2"/>
    <x v="0"/>
    <x v="0"/>
    <x v="11"/>
    <n v="2"/>
    <x v="5"/>
    <x v="2"/>
    <n v="6"/>
    <n v="44.7"/>
    <n v="268.20000000000005"/>
  </r>
  <r>
    <x v="976"/>
    <x v="18"/>
    <x v="38"/>
    <d v="2025-02-09T00:00:00"/>
    <x v="2"/>
    <x v="2"/>
    <x v="0"/>
    <x v="0"/>
    <x v="11"/>
    <n v="1"/>
    <x v="5"/>
    <x v="2"/>
    <n v="15"/>
    <n v="33"/>
    <n v="495"/>
  </r>
  <r>
    <x v="977"/>
    <x v="1"/>
    <x v="38"/>
    <d v="2025-02-11T00:00:00"/>
    <x v="2"/>
    <x v="2"/>
    <x v="2"/>
    <x v="0"/>
    <x v="18"/>
    <n v="3"/>
    <x v="5"/>
    <x v="2"/>
    <n v="5"/>
    <n v="44.9"/>
    <n v="224.5"/>
  </r>
  <r>
    <x v="978"/>
    <x v="10"/>
    <x v="38"/>
    <d v="2025-02-12T00:00:00"/>
    <x v="2"/>
    <x v="0"/>
    <x v="1"/>
    <x v="0"/>
    <x v="19"/>
    <n v="4"/>
    <x v="5"/>
    <x v="2"/>
    <n v="2"/>
    <n v="34.6"/>
    <n v="69.2"/>
  </r>
  <r>
    <x v="979"/>
    <x v="7"/>
    <x v="38"/>
    <d v="2025-02-13T00:00:00"/>
    <x v="2"/>
    <x v="0"/>
    <x v="0"/>
    <x v="0"/>
    <x v="13"/>
    <n v="5"/>
    <x v="5"/>
    <x v="2"/>
    <n v="7"/>
    <n v="47.1"/>
    <n v="329.7"/>
  </r>
  <r>
    <x v="980"/>
    <x v="4"/>
    <x v="38"/>
    <d v="2025-02-13T00:00:00"/>
    <x v="1"/>
    <x v="0"/>
    <x v="2"/>
    <x v="0"/>
    <x v="21"/>
    <n v="5"/>
    <x v="5"/>
    <x v="1"/>
    <n v="5"/>
    <n v="26.1"/>
    <n v="130.5"/>
  </r>
  <r>
    <x v="981"/>
    <x v="12"/>
    <x v="38"/>
    <d v="2025-02-11T00:00:00"/>
    <x v="2"/>
    <x v="0"/>
    <x v="0"/>
    <x v="0"/>
    <x v="21"/>
    <n v="3"/>
    <x v="5"/>
    <x v="2"/>
    <n v="5"/>
    <n v="66.8"/>
    <n v="334"/>
  </r>
  <r>
    <x v="982"/>
    <x v="2"/>
    <x v="38"/>
    <d v="2025-02-09T00:00:00"/>
    <x v="2"/>
    <x v="3"/>
    <x v="2"/>
    <x v="0"/>
    <x v="21"/>
    <n v="1"/>
    <x v="5"/>
    <x v="2"/>
    <n v="2"/>
    <n v="167.9"/>
    <n v="335.8"/>
  </r>
  <r>
    <x v="983"/>
    <x v="10"/>
    <x v="38"/>
    <d v="2025-02-09T00:00:00"/>
    <x v="2"/>
    <x v="2"/>
    <x v="1"/>
    <x v="0"/>
    <x v="21"/>
    <n v="1"/>
    <x v="5"/>
    <x v="2"/>
    <n v="9"/>
    <n v="34.6"/>
    <n v="311.40000000000003"/>
  </r>
  <r>
    <x v="984"/>
    <x v="8"/>
    <x v="39"/>
    <d v="2025-02-13T00:00:00"/>
    <x v="1"/>
    <x v="4"/>
    <x v="2"/>
    <x v="0"/>
    <x v="1"/>
    <n v="4"/>
    <x v="6"/>
    <x v="1"/>
    <n v="3"/>
    <n v="35.1"/>
    <n v="105.30000000000001"/>
  </r>
  <r>
    <x v="985"/>
    <x v="6"/>
    <x v="39"/>
    <d v="2025-02-10T00:00:00"/>
    <x v="1"/>
    <x v="1"/>
    <x v="1"/>
    <x v="0"/>
    <x v="1"/>
    <n v="1"/>
    <x v="6"/>
    <x v="1"/>
    <n v="4"/>
    <n v="104.5"/>
    <n v="418"/>
  </r>
  <r>
    <x v="986"/>
    <x v="8"/>
    <x v="39"/>
    <d v="2025-02-11T00:00:00"/>
    <x v="0"/>
    <x v="1"/>
    <x v="2"/>
    <x v="0"/>
    <x v="2"/>
    <n v="2"/>
    <x v="6"/>
    <x v="0"/>
    <n v="1"/>
    <n v="37.9"/>
    <n v="37.9"/>
  </r>
  <r>
    <x v="987"/>
    <x v="4"/>
    <x v="39"/>
    <d v="2025-02-12T00:00:00"/>
    <x v="1"/>
    <x v="3"/>
    <x v="0"/>
    <x v="0"/>
    <x v="2"/>
    <n v="3"/>
    <x v="6"/>
    <x v="1"/>
    <n v="3"/>
    <n v="25.5"/>
    <n v="76.5"/>
  </r>
  <r>
    <x v="988"/>
    <x v="0"/>
    <x v="39"/>
    <d v="2025-02-13T00:00:00"/>
    <x v="2"/>
    <x v="1"/>
    <x v="0"/>
    <x v="0"/>
    <x v="22"/>
    <n v="4"/>
    <x v="6"/>
    <x v="2"/>
    <n v="3"/>
    <n v="32"/>
    <n v="96"/>
  </r>
  <r>
    <x v="989"/>
    <x v="1"/>
    <x v="39"/>
    <d v="2025-02-10T00:00:00"/>
    <x v="2"/>
    <x v="0"/>
    <x v="0"/>
    <x v="0"/>
    <x v="34"/>
    <n v="1"/>
    <x v="6"/>
    <x v="2"/>
    <n v="1"/>
    <n v="47.1"/>
    <n v="47.1"/>
  </r>
  <r>
    <x v="990"/>
    <x v="6"/>
    <x v="39"/>
    <d v="2025-02-15T00:00:00"/>
    <x v="0"/>
    <x v="0"/>
    <x v="0"/>
    <x v="0"/>
    <x v="3"/>
    <n v="6"/>
    <x v="6"/>
    <x v="0"/>
    <n v="2"/>
    <n v="50.6"/>
    <n v="101.2"/>
  </r>
  <r>
    <x v="991"/>
    <x v="6"/>
    <x v="39"/>
    <d v="2025-02-10T00:00:00"/>
    <x v="2"/>
    <x v="1"/>
    <x v="2"/>
    <x v="0"/>
    <x v="3"/>
    <n v="1"/>
    <x v="6"/>
    <x v="2"/>
    <n v="5"/>
    <n v="81.7"/>
    <n v="408.5"/>
  </r>
  <r>
    <x v="992"/>
    <x v="5"/>
    <x v="39"/>
    <d v="2025-02-10T00:00:00"/>
    <x v="3"/>
    <x v="2"/>
    <x v="2"/>
    <x v="0"/>
    <x v="3"/>
    <n v="1"/>
    <x v="6"/>
    <x v="3"/>
    <n v="2"/>
    <n v="50.7"/>
    <n v="101.4"/>
  </r>
  <r>
    <x v="993"/>
    <x v="2"/>
    <x v="39"/>
    <d v="2025-02-13T00:00:00"/>
    <x v="2"/>
    <x v="2"/>
    <x v="0"/>
    <x v="0"/>
    <x v="3"/>
    <n v="4"/>
    <x v="6"/>
    <x v="2"/>
    <n v="19"/>
    <n v="67.3"/>
    <n v="1278.7"/>
  </r>
  <r>
    <x v="994"/>
    <x v="2"/>
    <x v="39"/>
    <d v="2025-02-12T00:00:00"/>
    <x v="2"/>
    <x v="3"/>
    <x v="0"/>
    <x v="0"/>
    <x v="3"/>
    <n v="3"/>
    <x v="6"/>
    <x v="2"/>
    <n v="4"/>
    <n v="64.8"/>
    <n v="259.2"/>
  </r>
  <r>
    <x v="995"/>
    <x v="5"/>
    <x v="39"/>
    <d v="2025-02-10T00:00:00"/>
    <x v="2"/>
    <x v="0"/>
    <x v="2"/>
    <x v="0"/>
    <x v="3"/>
    <n v="1"/>
    <x v="6"/>
    <x v="2"/>
    <n v="22"/>
    <n v="61.3"/>
    <n v="1348.6"/>
  </r>
  <r>
    <x v="996"/>
    <x v="14"/>
    <x v="39"/>
    <d v="2025-02-12T00:00:00"/>
    <x v="2"/>
    <x v="4"/>
    <x v="0"/>
    <x v="0"/>
    <x v="3"/>
    <n v="3"/>
    <x v="6"/>
    <x v="2"/>
    <n v="1"/>
    <n v="32.9"/>
    <n v="32.9"/>
  </r>
  <r>
    <x v="997"/>
    <x v="6"/>
    <x v="39"/>
    <d v="2025-02-12T00:00:00"/>
    <x v="2"/>
    <x v="0"/>
    <x v="0"/>
    <x v="0"/>
    <x v="3"/>
    <n v="3"/>
    <x v="6"/>
    <x v="2"/>
    <n v="2"/>
    <n v="100.8"/>
    <n v="201.6"/>
  </r>
  <r>
    <x v="998"/>
    <x v="8"/>
    <x v="39"/>
    <d v="2025-02-11T00:00:00"/>
    <x v="2"/>
    <x v="1"/>
    <x v="0"/>
    <x v="0"/>
    <x v="3"/>
    <n v="2"/>
    <x v="6"/>
    <x v="2"/>
    <n v="4"/>
    <n v="25.1"/>
    <n v="100.4"/>
  </r>
  <r>
    <x v="999"/>
    <x v="17"/>
    <x v="39"/>
    <d v="2025-02-10T00:00:00"/>
    <x v="2"/>
    <x v="0"/>
    <x v="1"/>
    <x v="0"/>
    <x v="3"/>
    <n v="1"/>
    <x v="6"/>
    <x v="2"/>
    <n v="1"/>
    <n v="48.5"/>
    <n v="48.5"/>
  </r>
  <r>
    <x v="1000"/>
    <x v="7"/>
    <x v="39"/>
    <d v="2025-02-13T00:00:00"/>
    <x v="2"/>
    <x v="2"/>
    <x v="2"/>
    <x v="0"/>
    <x v="3"/>
    <n v="4"/>
    <x v="6"/>
    <x v="2"/>
    <n v="2"/>
    <n v="33.6"/>
    <n v="67.2"/>
  </r>
  <r>
    <x v="1001"/>
    <x v="8"/>
    <x v="39"/>
    <d v="2025-02-20T00:00:00"/>
    <x v="2"/>
    <x v="1"/>
    <x v="1"/>
    <x v="0"/>
    <x v="49"/>
    <n v="11"/>
    <x v="6"/>
    <x v="2"/>
    <n v="1"/>
    <n v="39.299999999999997"/>
    <n v="39.299999999999997"/>
  </r>
  <r>
    <x v="1002"/>
    <x v="4"/>
    <x v="39"/>
    <d v="2025-02-11T00:00:00"/>
    <x v="2"/>
    <x v="3"/>
    <x v="1"/>
    <x v="0"/>
    <x v="25"/>
    <n v="2"/>
    <x v="6"/>
    <x v="2"/>
    <n v="10"/>
    <n v="48.8"/>
    <n v="488"/>
  </r>
  <r>
    <x v="1003"/>
    <x v="6"/>
    <x v="39"/>
    <d v="2025-02-11T00:00:00"/>
    <x v="1"/>
    <x v="1"/>
    <x v="2"/>
    <x v="0"/>
    <x v="5"/>
    <n v="2"/>
    <x v="6"/>
    <x v="1"/>
    <n v="8"/>
    <n v="72.8"/>
    <n v="582.4"/>
  </r>
  <r>
    <x v="1004"/>
    <x v="10"/>
    <x v="39"/>
    <d v="2025-02-10T00:00:00"/>
    <x v="1"/>
    <x v="3"/>
    <x v="4"/>
    <x v="0"/>
    <x v="5"/>
    <n v="1"/>
    <x v="6"/>
    <x v="1"/>
    <n v="8"/>
    <n v="46.2"/>
    <n v="369.6"/>
  </r>
  <r>
    <x v="1005"/>
    <x v="4"/>
    <x v="39"/>
    <d v="2025-02-10T00:00:00"/>
    <x v="2"/>
    <x v="2"/>
    <x v="3"/>
    <x v="0"/>
    <x v="6"/>
    <n v="1"/>
    <x v="6"/>
    <x v="2"/>
    <n v="2"/>
    <n v="20.7"/>
    <n v="41.4"/>
  </r>
  <r>
    <x v="1006"/>
    <x v="0"/>
    <x v="39"/>
    <d v="2025-02-11T00:00:00"/>
    <x v="2"/>
    <x v="3"/>
    <x v="0"/>
    <x v="0"/>
    <x v="6"/>
    <n v="2"/>
    <x v="6"/>
    <x v="2"/>
    <n v="1"/>
    <n v="35.700000000000003"/>
    <n v="35.700000000000003"/>
  </r>
  <r>
    <x v="1007"/>
    <x v="2"/>
    <x v="39"/>
    <d v="2025-02-11T00:00:00"/>
    <x v="0"/>
    <x v="2"/>
    <x v="0"/>
    <x v="0"/>
    <x v="7"/>
    <n v="2"/>
    <x v="6"/>
    <x v="0"/>
    <n v="16"/>
    <n v="166.2"/>
    <n v="2659.2"/>
  </r>
  <r>
    <x v="1008"/>
    <x v="6"/>
    <x v="39"/>
    <d v="2025-02-10T00:00:00"/>
    <x v="2"/>
    <x v="1"/>
    <x v="1"/>
    <x v="0"/>
    <x v="7"/>
    <n v="1"/>
    <x v="6"/>
    <x v="2"/>
    <n v="4"/>
    <n v="85.8"/>
    <n v="343.2"/>
  </r>
  <r>
    <x v="1009"/>
    <x v="8"/>
    <x v="39"/>
    <d v="2025-02-11T00:00:00"/>
    <x v="3"/>
    <x v="1"/>
    <x v="0"/>
    <x v="0"/>
    <x v="7"/>
    <n v="2"/>
    <x v="6"/>
    <x v="3"/>
    <n v="3"/>
    <n v="26"/>
    <n v="78"/>
  </r>
  <r>
    <x v="1010"/>
    <x v="2"/>
    <x v="39"/>
    <d v="2025-02-12T00:00:00"/>
    <x v="2"/>
    <x v="0"/>
    <x v="0"/>
    <x v="0"/>
    <x v="8"/>
    <n v="3"/>
    <x v="6"/>
    <x v="2"/>
    <n v="13"/>
    <n v="116.6"/>
    <n v="1515.8"/>
  </r>
  <r>
    <x v="1011"/>
    <x v="9"/>
    <x v="39"/>
    <d v="2025-02-12T00:00:00"/>
    <x v="3"/>
    <x v="0"/>
    <x v="2"/>
    <x v="0"/>
    <x v="8"/>
    <n v="3"/>
    <x v="6"/>
    <x v="3"/>
    <n v="7"/>
    <n v="53.9"/>
    <n v="377.3"/>
  </r>
  <r>
    <x v="1012"/>
    <x v="12"/>
    <x v="39"/>
    <d v="2025-02-11T00:00:00"/>
    <x v="0"/>
    <x v="2"/>
    <x v="2"/>
    <x v="0"/>
    <x v="8"/>
    <n v="2"/>
    <x v="6"/>
    <x v="0"/>
    <n v="5"/>
    <n v="72.3"/>
    <n v="361.5"/>
  </r>
  <r>
    <x v="1013"/>
    <x v="5"/>
    <x v="39"/>
    <d v="2025-02-11T00:00:00"/>
    <x v="2"/>
    <x v="0"/>
    <x v="0"/>
    <x v="0"/>
    <x v="8"/>
    <n v="2"/>
    <x v="6"/>
    <x v="2"/>
    <n v="2"/>
    <n v="31.4"/>
    <n v="62.8"/>
  </r>
  <r>
    <x v="1014"/>
    <x v="13"/>
    <x v="39"/>
    <d v="2025-02-12T00:00:00"/>
    <x v="1"/>
    <x v="1"/>
    <x v="0"/>
    <x v="0"/>
    <x v="8"/>
    <n v="3"/>
    <x v="6"/>
    <x v="1"/>
    <n v="2"/>
    <n v="53.1"/>
    <n v="106.2"/>
  </r>
  <r>
    <x v="1015"/>
    <x v="2"/>
    <x v="39"/>
    <d v="2025-02-10T00:00:00"/>
    <x v="2"/>
    <x v="0"/>
    <x v="0"/>
    <x v="0"/>
    <x v="8"/>
    <n v="1"/>
    <x v="6"/>
    <x v="2"/>
    <n v="4"/>
    <n v="56.2"/>
    <n v="224.8"/>
  </r>
  <r>
    <x v="1016"/>
    <x v="1"/>
    <x v="39"/>
    <d v="2025-02-10T00:00:00"/>
    <x v="2"/>
    <x v="2"/>
    <x v="0"/>
    <x v="0"/>
    <x v="11"/>
    <n v="1"/>
    <x v="6"/>
    <x v="2"/>
    <n v="10"/>
    <n v="77.3"/>
    <n v="773"/>
  </r>
  <r>
    <x v="1017"/>
    <x v="6"/>
    <x v="39"/>
    <d v="2025-02-10T00:00:00"/>
    <x v="0"/>
    <x v="0"/>
    <x v="0"/>
    <x v="0"/>
    <x v="53"/>
    <n v="1"/>
    <x v="6"/>
    <x v="0"/>
    <n v="13"/>
    <n v="57.8"/>
    <n v="751.4"/>
  </r>
  <r>
    <x v="1018"/>
    <x v="12"/>
    <x v="39"/>
    <d v="2025-02-11T00:00:00"/>
    <x v="2"/>
    <x v="1"/>
    <x v="1"/>
    <x v="0"/>
    <x v="53"/>
    <n v="2"/>
    <x v="6"/>
    <x v="2"/>
    <n v="15"/>
    <n v="42.1"/>
    <n v="631.5"/>
  </r>
  <r>
    <x v="1019"/>
    <x v="8"/>
    <x v="39"/>
    <d v="2025-02-13T00:00:00"/>
    <x v="1"/>
    <x v="2"/>
    <x v="2"/>
    <x v="0"/>
    <x v="19"/>
    <n v="4"/>
    <x v="6"/>
    <x v="1"/>
    <n v="9"/>
    <n v="22.8"/>
    <n v="205.20000000000002"/>
  </r>
  <r>
    <x v="1020"/>
    <x v="2"/>
    <x v="40"/>
    <d v="2025-02-17T00:00:00"/>
    <x v="2"/>
    <x v="2"/>
    <x v="1"/>
    <x v="0"/>
    <x v="19"/>
    <n v="7"/>
    <x v="6"/>
    <x v="2"/>
    <n v="3"/>
    <n v="171.1"/>
    <n v="513.29999999999995"/>
  </r>
  <r>
    <x v="1021"/>
    <x v="8"/>
    <x v="40"/>
    <d v="2025-02-12T00:00:00"/>
    <x v="1"/>
    <x v="2"/>
    <x v="2"/>
    <x v="0"/>
    <x v="21"/>
    <n v="2"/>
    <x v="6"/>
    <x v="1"/>
    <n v="1"/>
    <n v="28"/>
    <n v="28"/>
  </r>
  <r>
    <x v="1022"/>
    <x v="6"/>
    <x v="40"/>
    <d v="2025-02-12T00:00:00"/>
    <x v="1"/>
    <x v="2"/>
    <x v="0"/>
    <x v="0"/>
    <x v="21"/>
    <n v="2"/>
    <x v="6"/>
    <x v="1"/>
    <n v="7"/>
    <n v="50.2"/>
    <n v="351.40000000000003"/>
  </r>
  <r>
    <x v="1023"/>
    <x v="6"/>
    <x v="40"/>
    <d v="2025-02-10T00:00:00"/>
    <x v="1"/>
    <x v="0"/>
    <x v="2"/>
    <x v="0"/>
    <x v="22"/>
    <n v="0"/>
    <x v="6"/>
    <x v="1"/>
    <n v="2"/>
    <n v="56"/>
    <n v="112"/>
  </r>
  <r>
    <x v="1024"/>
    <x v="1"/>
    <x v="40"/>
    <d v="2025-02-11T00:00:00"/>
    <x v="2"/>
    <x v="1"/>
    <x v="0"/>
    <x v="0"/>
    <x v="3"/>
    <n v="1"/>
    <x v="6"/>
    <x v="2"/>
    <n v="2"/>
    <n v="38.299999999999997"/>
    <n v="76.599999999999994"/>
  </r>
  <r>
    <x v="1025"/>
    <x v="0"/>
    <x v="40"/>
    <d v="2025-02-14T00:00:00"/>
    <x v="2"/>
    <x v="2"/>
    <x v="1"/>
    <x v="0"/>
    <x v="3"/>
    <n v="4"/>
    <x v="6"/>
    <x v="2"/>
    <n v="5"/>
    <n v="22.3"/>
    <n v="111.5"/>
  </r>
  <r>
    <x v="1026"/>
    <x v="0"/>
    <x v="40"/>
    <d v="2025-02-13T00:00:00"/>
    <x v="2"/>
    <x v="2"/>
    <x v="0"/>
    <x v="0"/>
    <x v="3"/>
    <n v="3"/>
    <x v="6"/>
    <x v="2"/>
    <n v="3"/>
    <n v="22.3"/>
    <n v="66.900000000000006"/>
  </r>
  <r>
    <x v="1027"/>
    <x v="1"/>
    <x v="40"/>
    <d v="2025-02-15T00:00:00"/>
    <x v="2"/>
    <x v="0"/>
    <x v="0"/>
    <x v="0"/>
    <x v="3"/>
    <n v="5"/>
    <x v="6"/>
    <x v="2"/>
    <n v="1"/>
    <n v="32.9"/>
    <n v="32.9"/>
  </r>
  <r>
    <x v="1028"/>
    <x v="10"/>
    <x v="40"/>
    <d v="2025-02-15T00:00:00"/>
    <x v="2"/>
    <x v="0"/>
    <x v="0"/>
    <x v="0"/>
    <x v="3"/>
    <n v="5"/>
    <x v="6"/>
    <x v="2"/>
    <n v="3"/>
    <n v="31.9"/>
    <n v="95.699999999999989"/>
  </r>
  <r>
    <x v="1029"/>
    <x v="6"/>
    <x v="40"/>
    <d v="2025-02-11T00:00:00"/>
    <x v="1"/>
    <x v="2"/>
    <x v="2"/>
    <x v="0"/>
    <x v="3"/>
    <n v="1"/>
    <x v="6"/>
    <x v="1"/>
    <n v="2"/>
    <n v="94"/>
    <n v="188"/>
  </r>
  <r>
    <x v="1030"/>
    <x v="10"/>
    <x v="40"/>
    <d v="2025-02-11T00:00:00"/>
    <x v="2"/>
    <x v="0"/>
    <x v="1"/>
    <x v="0"/>
    <x v="3"/>
    <n v="1"/>
    <x v="6"/>
    <x v="2"/>
    <n v="2"/>
    <n v="30.7"/>
    <n v="61.4"/>
  </r>
  <r>
    <x v="1031"/>
    <x v="5"/>
    <x v="40"/>
    <d v="2025-02-17T00:00:00"/>
    <x v="1"/>
    <x v="0"/>
    <x v="2"/>
    <x v="0"/>
    <x v="3"/>
    <n v="7"/>
    <x v="6"/>
    <x v="1"/>
    <n v="5"/>
    <n v="90.5"/>
    <n v="452.5"/>
  </r>
  <r>
    <x v="1032"/>
    <x v="8"/>
    <x v="40"/>
    <d v="2025-02-14T00:00:00"/>
    <x v="2"/>
    <x v="0"/>
    <x v="2"/>
    <x v="0"/>
    <x v="3"/>
    <n v="4"/>
    <x v="6"/>
    <x v="2"/>
    <n v="5"/>
    <n v="25.3"/>
    <n v="126.5"/>
  </r>
  <r>
    <x v="1033"/>
    <x v="6"/>
    <x v="40"/>
    <d v="2025-02-14T00:00:00"/>
    <x v="0"/>
    <x v="0"/>
    <x v="2"/>
    <x v="0"/>
    <x v="3"/>
    <n v="4"/>
    <x v="6"/>
    <x v="0"/>
    <n v="3"/>
    <n v="58.1"/>
    <n v="174.3"/>
  </r>
  <r>
    <x v="1034"/>
    <x v="2"/>
    <x v="40"/>
    <d v="2025-02-11T00:00:00"/>
    <x v="2"/>
    <x v="4"/>
    <x v="0"/>
    <x v="0"/>
    <x v="3"/>
    <n v="1"/>
    <x v="6"/>
    <x v="2"/>
    <n v="3"/>
    <n v="74.900000000000006"/>
    <n v="224.70000000000002"/>
  </r>
  <r>
    <x v="1035"/>
    <x v="4"/>
    <x v="40"/>
    <d v="2025-02-11T00:00:00"/>
    <x v="1"/>
    <x v="2"/>
    <x v="2"/>
    <x v="0"/>
    <x v="43"/>
    <n v="1"/>
    <x v="6"/>
    <x v="1"/>
    <n v="2"/>
    <n v="32.5"/>
    <n v="65"/>
  </r>
  <r>
    <x v="1036"/>
    <x v="4"/>
    <x v="40"/>
    <d v="2025-02-11T00:00:00"/>
    <x v="1"/>
    <x v="4"/>
    <x v="2"/>
    <x v="0"/>
    <x v="25"/>
    <n v="1"/>
    <x v="6"/>
    <x v="1"/>
    <n v="5"/>
    <n v="62"/>
    <n v="310"/>
  </r>
  <r>
    <x v="1037"/>
    <x v="13"/>
    <x v="40"/>
    <d v="2025-02-13T00:00:00"/>
    <x v="2"/>
    <x v="0"/>
    <x v="1"/>
    <x v="0"/>
    <x v="6"/>
    <n v="3"/>
    <x v="6"/>
    <x v="2"/>
    <n v="6"/>
    <n v="28.9"/>
    <n v="173.39999999999998"/>
  </r>
  <r>
    <x v="1038"/>
    <x v="6"/>
    <x v="40"/>
    <d v="2025-02-12T00:00:00"/>
    <x v="2"/>
    <x v="0"/>
    <x v="2"/>
    <x v="0"/>
    <x v="6"/>
    <n v="2"/>
    <x v="6"/>
    <x v="2"/>
    <n v="8"/>
    <n v="42.8"/>
    <n v="342.4"/>
  </r>
  <r>
    <x v="1039"/>
    <x v="8"/>
    <x v="40"/>
    <d v="2025-02-12T00:00:00"/>
    <x v="1"/>
    <x v="0"/>
    <x v="0"/>
    <x v="0"/>
    <x v="36"/>
    <n v="2"/>
    <x v="6"/>
    <x v="1"/>
    <n v="8"/>
    <n v="39.4"/>
    <n v="315.2"/>
  </r>
  <r>
    <x v="1040"/>
    <x v="18"/>
    <x v="40"/>
    <d v="2025-02-11T00:00:00"/>
    <x v="0"/>
    <x v="2"/>
    <x v="1"/>
    <x v="0"/>
    <x v="7"/>
    <n v="1"/>
    <x v="6"/>
    <x v="0"/>
    <n v="3"/>
    <n v="66.400000000000006"/>
    <n v="199.20000000000002"/>
  </r>
  <r>
    <x v="1041"/>
    <x v="17"/>
    <x v="40"/>
    <d v="2025-02-17T00:00:00"/>
    <x v="2"/>
    <x v="1"/>
    <x v="0"/>
    <x v="0"/>
    <x v="7"/>
    <n v="7"/>
    <x v="6"/>
    <x v="2"/>
    <n v="4"/>
    <n v="35.9"/>
    <n v="143.6"/>
  </r>
  <r>
    <x v="1042"/>
    <x v="0"/>
    <x v="40"/>
    <d v="2025-02-11T00:00:00"/>
    <x v="1"/>
    <x v="1"/>
    <x v="0"/>
    <x v="0"/>
    <x v="7"/>
    <n v="1"/>
    <x v="6"/>
    <x v="1"/>
    <n v="4"/>
    <n v="26.9"/>
    <n v="107.6"/>
  </r>
  <r>
    <x v="1043"/>
    <x v="2"/>
    <x v="40"/>
    <d v="2025-02-11T00:00:00"/>
    <x v="2"/>
    <x v="0"/>
    <x v="0"/>
    <x v="0"/>
    <x v="7"/>
    <n v="1"/>
    <x v="6"/>
    <x v="2"/>
    <n v="1"/>
    <n v="55.1"/>
    <n v="55.1"/>
  </r>
  <r>
    <x v="1044"/>
    <x v="4"/>
    <x v="40"/>
    <d v="2025-02-11T00:00:00"/>
    <x v="1"/>
    <x v="0"/>
    <x v="2"/>
    <x v="0"/>
    <x v="8"/>
    <n v="1"/>
    <x v="6"/>
    <x v="1"/>
    <n v="2"/>
    <n v="23.9"/>
    <n v="47.8"/>
  </r>
  <r>
    <x v="1045"/>
    <x v="9"/>
    <x v="40"/>
    <d v="2025-02-18T00:00:00"/>
    <x v="2"/>
    <x v="0"/>
    <x v="1"/>
    <x v="0"/>
    <x v="8"/>
    <n v="8"/>
    <x v="6"/>
    <x v="2"/>
    <n v="13"/>
    <n v="21.1"/>
    <n v="274.3"/>
  </r>
  <r>
    <x v="1046"/>
    <x v="8"/>
    <x v="40"/>
    <d v="2025-02-12T00:00:00"/>
    <x v="2"/>
    <x v="0"/>
    <x v="0"/>
    <x v="0"/>
    <x v="8"/>
    <n v="2"/>
    <x v="6"/>
    <x v="2"/>
    <n v="5"/>
    <n v="33.799999999999997"/>
    <n v="169"/>
  </r>
  <r>
    <x v="1047"/>
    <x v="2"/>
    <x v="40"/>
    <d v="2025-02-10T00:00:00"/>
    <x v="2"/>
    <x v="3"/>
    <x v="2"/>
    <x v="0"/>
    <x v="9"/>
    <n v="0"/>
    <x v="6"/>
    <x v="2"/>
    <n v="4"/>
    <n v="56.1"/>
    <n v="224.4"/>
  </r>
  <r>
    <x v="1048"/>
    <x v="3"/>
    <x v="41"/>
    <d v="2025-02-15T00:00:00"/>
    <x v="2"/>
    <x v="1"/>
    <x v="2"/>
    <x v="0"/>
    <x v="9"/>
    <n v="4"/>
    <x v="6"/>
    <x v="2"/>
    <n v="1"/>
    <n v="58.5"/>
    <n v="58.5"/>
  </r>
  <r>
    <x v="1049"/>
    <x v="6"/>
    <x v="41"/>
    <d v="2025-02-13T00:00:00"/>
    <x v="1"/>
    <x v="3"/>
    <x v="0"/>
    <x v="0"/>
    <x v="11"/>
    <n v="2"/>
    <x v="6"/>
    <x v="1"/>
    <n v="1"/>
    <n v="84.2"/>
    <n v="84.2"/>
  </r>
  <r>
    <x v="1050"/>
    <x v="11"/>
    <x v="41"/>
    <d v="2025-02-14T00:00:00"/>
    <x v="1"/>
    <x v="0"/>
    <x v="0"/>
    <x v="0"/>
    <x v="11"/>
    <n v="3"/>
    <x v="6"/>
    <x v="1"/>
    <n v="4"/>
    <n v="52"/>
    <n v="208"/>
  </r>
  <r>
    <x v="1051"/>
    <x v="4"/>
    <x v="41"/>
    <d v="2025-02-12T00:00:00"/>
    <x v="2"/>
    <x v="0"/>
    <x v="2"/>
    <x v="0"/>
    <x v="11"/>
    <n v="1"/>
    <x v="6"/>
    <x v="2"/>
    <n v="5"/>
    <n v="31.5"/>
    <n v="157.5"/>
  </r>
  <r>
    <x v="1052"/>
    <x v="16"/>
    <x v="41"/>
    <d v="2025-02-12T00:00:00"/>
    <x v="1"/>
    <x v="0"/>
    <x v="0"/>
    <x v="0"/>
    <x v="53"/>
    <n v="1"/>
    <x v="6"/>
    <x v="1"/>
    <n v="3"/>
    <n v="46.2"/>
    <n v="138.60000000000002"/>
  </r>
  <r>
    <x v="1053"/>
    <x v="2"/>
    <x v="41"/>
    <d v="2025-02-12T00:00:00"/>
    <x v="2"/>
    <x v="1"/>
    <x v="2"/>
    <x v="0"/>
    <x v="18"/>
    <n v="1"/>
    <x v="6"/>
    <x v="2"/>
    <n v="6"/>
    <n v="135"/>
    <n v="810"/>
  </r>
  <r>
    <x v="1054"/>
    <x v="12"/>
    <x v="41"/>
    <d v="2025-02-15T00:00:00"/>
    <x v="1"/>
    <x v="0"/>
    <x v="0"/>
    <x v="0"/>
    <x v="21"/>
    <n v="4"/>
    <x v="6"/>
    <x v="1"/>
    <n v="3"/>
    <n v="92.2"/>
    <n v="276.60000000000002"/>
  </r>
  <r>
    <x v="1055"/>
    <x v="8"/>
    <x v="41"/>
    <d v="2025-02-13T00:00:00"/>
    <x v="1"/>
    <x v="2"/>
    <x v="2"/>
    <x v="0"/>
    <x v="21"/>
    <n v="2"/>
    <x v="6"/>
    <x v="1"/>
    <n v="1"/>
    <n v="36.6"/>
    <n v="36.6"/>
  </r>
  <r>
    <x v="1056"/>
    <x v="9"/>
    <x v="41"/>
    <d v="2025-02-14T00:00:00"/>
    <x v="2"/>
    <x v="0"/>
    <x v="0"/>
    <x v="0"/>
    <x v="2"/>
    <n v="3"/>
    <x v="6"/>
    <x v="2"/>
    <n v="2"/>
    <n v="50.6"/>
    <n v="101.2"/>
  </r>
  <r>
    <x v="1057"/>
    <x v="18"/>
    <x v="41"/>
    <d v="2025-02-14T00:00:00"/>
    <x v="2"/>
    <x v="0"/>
    <x v="0"/>
    <x v="0"/>
    <x v="2"/>
    <n v="3"/>
    <x v="6"/>
    <x v="2"/>
    <n v="7"/>
    <n v="56.7"/>
    <n v="396.90000000000003"/>
  </r>
  <r>
    <x v="1058"/>
    <x v="9"/>
    <x v="41"/>
    <d v="2025-02-12T00:00:00"/>
    <x v="2"/>
    <x v="0"/>
    <x v="1"/>
    <x v="0"/>
    <x v="44"/>
    <n v="1"/>
    <x v="6"/>
    <x v="2"/>
    <n v="13"/>
    <n v="22.9"/>
    <n v="297.7"/>
  </r>
  <r>
    <x v="1059"/>
    <x v="15"/>
    <x v="41"/>
    <d v="2025-02-12T00:00:00"/>
    <x v="1"/>
    <x v="0"/>
    <x v="0"/>
    <x v="0"/>
    <x v="22"/>
    <n v="1"/>
    <x v="6"/>
    <x v="1"/>
    <n v="19"/>
    <n v="53.6"/>
    <n v="1018.4"/>
  </r>
  <r>
    <x v="1060"/>
    <x v="18"/>
    <x v="41"/>
    <d v="2025-02-13T00:00:00"/>
    <x v="0"/>
    <x v="2"/>
    <x v="2"/>
    <x v="0"/>
    <x v="3"/>
    <n v="2"/>
    <x v="6"/>
    <x v="0"/>
    <n v="2"/>
    <n v="30.2"/>
    <n v="60.4"/>
  </r>
  <r>
    <x v="1061"/>
    <x v="15"/>
    <x v="41"/>
    <d v="2025-02-12T00:00:00"/>
    <x v="1"/>
    <x v="1"/>
    <x v="2"/>
    <x v="0"/>
    <x v="3"/>
    <n v="1"/>
    <x v="6"/>
    <x v="1"/>
    <n v="6"/>
    <n v="83.4"/>
    <n v="500.40000000000003"/>
  </r>
  <r>
    <x v="1062"/>
    <x v="13"/>
    <x v="41"/>
    <d v="2025-02-13T00:00:00"/>
    <x v="1"/>
    <x v="1"/>
    <x v="0"/>
    <x v="0"/>
    <x v="3"/>
    <n v="2"/>
    <x v="6"/>
    <x v="1"/>
    <n v="12"/>
    <n v="16.600000000000001"/>
    <n v="199.20000000000002"/>
  </r>
  <r>
    <x v="1063"/>
    <x v="8"/>
    <x v="41"/>
    <d v="2025-02-13T00:00:00"/>
    <x v="2"/>
    <x v="4"/>
    <x v="1"/>
    <x v="0"/>
    <x v="3"/>
    <n v="2"/>
    <x v="6"/>
    <x v="2"/>
    <n v="17"/>
    <n v="21.9"/>
    <n v="372.29999999999995"/>
  </r>
  <r>
    <x v="1064"/>
    <x v="8"/>
    <x v="41"/>
    <d v="2025-02-13T00:00:00"/>
    <x v="1"/>
    <x v="2"/>
    <x v="4"/>
    <x v="0"/>
    <x v="3"/>
    <n v="2"/>
    <x v="6"/>
    <x v="1"/>
    <n v="28"/>
    <n v="33.799999999999997"/>
    <n v="946.39999999999986"/>
  </r>
  <r>
    <x v="1065"/>
    <x v="18"/>
    <x v="41"/>
    <d v="2025-02-11T00:00:00"/>
    <x v="1"/>
    <x v="1"/>
    <x v="0"/>
    <x v="0"/>
    <x v="3"/>
    <n v="0"/>
    <x v="6"/>
    <x v="1"/>
    <n v="2"/>
    <n v="53.2"/>
    <n v="106.4"/>
  </r>
  <r>
    <x v="1066"/>
    <x v="2"/>
    <x v="41"/>
    <d v="2025-02-14T00:00:00"/>
    <x v="2"/>
    <x v="2"/>
    <x v="0"/>
    <x v="0"/>
    <x v="3"/>
    <n v="3"/>
    <x v="6"/>
    <x v="2"/>
    <n v="2"/>
    <n v="176.7"/>
    <n v="353.4"/>
  </r>
  <r>
    <x v="1067"/>
    <x v="12"/>
    <x v="41"/>
    <d v="2025-02-14T00:00:00"/>
    <x v="1"/>
    <x v="0"/>
    <x v="1"/>
    <x v="0"/>
    <x v="3"/>
    <n v="3"/>
    <x v="6"/>
    <x v="1"/>
    <n v="3"/>
    <n v="54"/>
    <n v="162"/>
  </r>
  <r>
    <x v="1068"/>
    <x v="9"/>
    <x v="41"/>
    <d v="2025-02-19T00:00:00"/>
    <x v="2"/>
    <x v="3"/>
    <x v="2"/>
    <x v="0"/>
    <x v="3"/>
    <n v="8"/>
    <x v="6"/>
    <x v="2"/>
    <n v="2"/>
    <n v="70.099999999999994"/>
    <n v="140.19999999999999"/>
  </r>
  <r>
    <x v="1069"/>
    <x v="8"/>
    <x v="41"/>
    <d v="2025-02-13T00:00:00"/>
    <x v="2"/>
    <x v="1"/>
    <x v="0"/>
    <x v="0"/>
    <x v="3"/>
    <n v="2"/>
    <x v="6"/>
    <x v="2"/>
    <n v="1"/>
    <n v="26.5"/>
    <n v="26.5"/>
  </r>
  <r>
    <x v="1070"/>
    <x v="7"/>
    <x v="41"/>
    <d v="2025-02-13T00:00:00"/>
    <x v="1"/>
    <x v="2"/>
    <x v="4"/>
    <x v="0"/>
    <x v="3"/>
    <n v="2"/>
    <x v="6"/>
    <x v="1"/>
    <n v="5"/>
    <n v="89"/>
    <n v="445"/>
  </r>
  <r>
    <x v="1071"/>
    <x v="1"/>
    <x v="41"/>
    <d v="2025-02-14T00:00:00"/>
    <x v="2"/>
    <x v="3"/>
    <x v="0"/>
    <x v="0"/>
    <x v="24"/>
    <n v="3"/>
    <x v="6"/>
    <x v="2"/>
    <n v="6"/>
    <n v="47"/>
    <n v="282"/>
  </r>
  <r>
    <x v="1072"/>
    <x v="3"/>
    <x v="41"/>
    <d v="2025-02-14T00:00:00"/>
    <x v="1"/>
    <x v="1"/>
    <x v="1"/>
    <x v="0"/>
    <x v="6"/>
    <n v="3"/>
    <x v="6"/>
    <x v="1"/>
    <n v="2"/>
    <n v="55.2"/>
    <n v="110.4"/>
  </r>
  <r>
    <x v="1073"/>
    <x v="8"/>
    <x v="41"/>
    <d v="2025-02-25T00:00:00"/>
    <x v="1"/>
    <x v="1"/>
    <x v="2"/>
    <x v="0"/>
    <x v="6"/>
    <n v="14"/>
    <x v="6"/>
    <x v="1"/>
    <n v="42"/>
    <n v="33.299999999999997"/>
    <n v="1398.6"/>
  </r>
  <r>
    <x v="1074"/>
    <x v="2"/>
    <x v="42"/>
    <d v="2025-02-12T00:00:00"/>
    <x v="1"/>
    <x v="2"/>
    <x v="4"/>
    <x v="0"/>
    <x v="6"/>
    <n v="0"/>
    <x v="6"/>
    <x v="1"/>
    <n v="4"/>
    <n v="110.9"/>
    <n v="443.6"/>
  </r>
  <r>
    <x v="1075"/>
    <x v="2"/>
    <x v="42"/>
    <d v="2025-02-13T00:00:00"/>
    <x v="1"/>
    <x v="0"/>
    <x v="0"/>
    <x v="0"/>
    <x v="8"/>
    <n v="1"/>
    <x v="6"/>
    <x v="1"/>
    <n v="6"/>
    <n v="67.3"/>
    <n v="403.79999999999995"/>
  </r>
  <r>
    <x v="1076"/>
    <x v="6"/>
    <x v="42"/>
    <d v="2025-02-13T00:00:00"/>
    <x v="1"/>
    <x v="2"/>
    <x v="1"/>
    <x v="0"/>
    <x v="8"/>
    <n v="1"/>
    <x v="6"/>
    <x v="1"/>
    <n v="3"/>
    <n v="69.7"/>
    <n v="209.10000000000002"/>
  </r>
  <r>
    <x v="1077"/>
    <x v="5"/>
    <x v="42"/>
    <d v="2025-02-17T00:00:00"/>
    <x v="1"/>
    <x v="0"/>
    <x v="1"/>
    <x v="0"/>
    <x v="17"/>
    <n v="5"/>
    <x v="6"/>
    <x v="1"/>
    <n v="1"/>
    <n v="39.1"/>
    <n v="39.1"/>
  </r>
  <r>
    <x v="1078"/>
    <x v="2"/>
    <x v="42"/>
    <d v="2025-02-12T00:00:00"/>
    <x v="1"/>
    <x v="4"/>
    <x v="2"/>
    <x v="0"/>
    <x v="17"/>
    <n v="0"/>
    <x v="6"/>
    <x v="1"/>
    <n v="3"/>
    <n v="208.6"/>
    <n v="625.79999999999995"/>
  </r>
  <r>
    <x v="1079"/>
    <x v="15"/>
    <x v="42"/>
    <d v="2025-02-13T00:00:00"/>
    <x v="1"/>
    <x v="3"/>
    <x v="1"/>
    <x v="0"/>
    <x v="11"/>
    <n v="1"/>
    <x v="6"/>
    <x v="1"/>
    <n v="3"/>
    <n v="27.8"/>
    <n v="83.4"/>
  </r>
  <r>
    <x v="1080"/>
    <x v="10"/>
    <x v="42"/>
    <d v="2025-02-14T00:00:00"/>
    <x v="2"/>
    <x v="0"/>
    <x v="0"/>
    <x v="0"/>
    <x v="11"/>
    <n v="2"/>
    <x v="6"/>
    <x v="2"/>
    <n v="5"/>
    <n v="29.4"/>
    <n v="147"/>
  </r>
  <r>
    <x v="1081"/>
    <x v="9"/>
    <x v="42"/>
    <d v="2025-02-14T00:00:00"/>
    <x v="2"/>
    <x v="1"/>
    <x v="2"/>
    <x v="0"/>
    <x v="20"/>
    <n v="2"/>
    <x v="6"/>
    <x v="2"/>
    <n v="2"/>
    <n v="29.2"/>
    <n v="58.4"/>
  </r>
  <r>
    <x v="1082"/>
    <x v="10"/>
    <x v="42"/>
    <d v="2025-02-14T00:00:00"/>
    <x v="2"/>
    <x v="0"/>
    <x v="0"/>
    <x v="0"/>
    <x v="52"/>
    <n v="2"/>
    <x v="6"/>
    <x v="2"/>
    <n v="5"/>
    <n v="26.5"/>
    <n v="132.5"/>
  </r>
  <r>
    <x v="1083"/>
    <x v="5"/>
    <x v="42"/>
    <d v="2025-02-13T00:00:00"/>
    <x v="2"/>
    <x v="4"/>
    <x v="1"/>
    <x v="0"/>
    <x v="13"/>
    <n v="1"/>
    <x v="6"/>
    <x v="2"/>
    <n v="1"/>
    <n v="30.3"/>
    <n v="30.3"/>
  </r>
  <r>
    <x v="1084"/>
    <x v="16"/>
    <x v="42"/>
    <d v="2025-02-13T00:00:00"/>
    <x v="2"/>
    <x v="0"/>
    <x v="0"/>
    <x v="0"/>
    <x v="21"/>
    <n v="1"/>
    <x v="6"/>
    <x v="2"/>
    <n v="12"/>
    <n v="39.700000000000003"/>
    <n v="476.40000000000003"/>
  </r>
  <r>
    <x v="1085"/>
    <x v="7"/>
    <x v="42"/>
    <d v="2025-02-14T00:00:00"/>
    <x v="2"/>
    <x v="1"/>
    <x v="4"/>
    <x v="0"/>
    <x v="21"/>
    <n v="2"/>
    <x v="6"/>
    <x v="2"/>
    <n v="10"/>
    <n v="58.9"/>
    <n v="589"/>
  </r>
  <r>
    <x v="1086"/>
    <x v="2"/>
    <x v="42"/>
    <d v="2025-02-14T00:00:00"/>
    <x v="2"/>
    <x v="0"/>
    <x v="1"/>
    <x v="0"/>
    <x v="46"/>
    <n v="2"/>
    <x v="6"/>
    <x v="2"/>
    <n v="2"/>
    <n v="174.1"/>
    <n v="348.2"/>
  </r>
  <r>
    <x v="1087"/>
    <x v="6"/>
    <x v="42"/>
    <d v="2025-02-15T00:00:00"/>
    <x v="1"/>
    <x v="2"/>
    <x v="0"/>
    <x v="0"/>
    <x v="22"/>
    <n v="3"/>
    <x v="6"/>
    <x v="1"/>
    <n v="2"/>
    <n v="70.8"/>
    <n v="141.6"/>
  </r>
  <r>
    <x v="1088"/>
    <x v="7"/>
    <x v="42"/>
    <d v="2025-02-14T00:00:00"/>
    <x v="2"/>
    <x v="1"/>
    <x v="1"/>
    <x v="0"/>
    <x v="34"/>
    <n v="2"/>
    <x v="6"/>
    <x v="2"/>
    <n v="2"/>
    <n v="57.4"/>
    <n v="114.8"/>
  </r>
  <r>
    <x v="1089"/>
    <x v="0"/>
    <x v="42"/>
    <d v="2025-02-14T00:00:00"/>
    <x v="1"/>
    <x v="3"/>
    <x v="1"/>
    <x v="0"/>
    <x v="3"/>
    <n v="2"/>
    <x v="6"/>
    <x v="1"/>
    <n v="2"/>
    <n v="28.5"/>
    <n v="57"/>
  </r>
  <r>
    <x v="1090"/>
    <x v="2"/>
    <x v="42"/>
    <d v="2025-02-13T00:00:00"/>
    <x v="0"/>
    <x v="1"/>
    <x v="4"/>
    <x v="0"/>
    <x v="3"/>
    <n v="1"/>
    <x v="6"/>
    <x v="0"/>
    <n v="20"/>
    <n v="106.6"/>
    <n v="2132"/>
  </r>
  <r>
    <x v="1091"/>
    <x v="2"/>
    <x v="42"/>
    <d v="2025-02-13T00:00:00"/>
    <x v="2"/>
    <x v="1"/>
    <x v="4"/>
    <x v="0"/>
    <x v="3"/>
    <n v="1"/>
    <x v="6"/>
    <x v="2"/>
    <n v="3"/>
    <n v="119.7"/>
    <n v="359.1"/>
  </r>
  <r>
    <x v="1092"/>
    <x v="18"/>
    <x v="42"/>
    <d v="2025-02-17T00:00:00"/>
    <x v="2"/>
    <x v="0"/>
    <x v="2"/>
    <x v="0"/>
    <x v="3"/>
    <n v="5"/>
    <x v="6"/>
    <x v="2"/>
    <n v="1"/>
    <n v="73.3"/>
    <n v="73.3"/>
  </r>
  <r>
    <x v="1093"/>
    <x v="0"/>
    <x v="42"/>
    <d v="2025-02-26T00:00:00"/>
    <x v="1"/>
    <x v="2"/>
    <x v="0"/>
    <x v="0"/>
    <x v="3"/>
    <n v="14"/>
    <x v="6"/>
    <x v="1"/>
    <n v="2"/>
    <n v="25.8"/>
    <n v="51.6"/>
  </r>
  <r>
    <x v="1094"/>
    <x v="17"/>
    <x v="42"/>
    <d v="2025-02-14T00:00:00"/>
    <x v="2"/>
    <x v="0"/>
    <x v="0"/>
    <x v="0"/>
    <x v="24"/>
    <n v="2"/>
    <x v="6"/>
    <x v="2"/>
    <n v="3"/>
    <n v="49.1"/>
    <n v="147.30000000000001"/>
  </r>
  <r>
    <x v="1095"/>
    <x v="1"/>
    <x v="42"/>
    <d v="2025-02-15T00:00:00"/>
    <x v="2"/>
    <x v="3"/>
    <x v="2"/>
    <x v="0"/>
    <x v="6"/>
    <n v="3"/>
    <x v="6"/>
    <x v="2"/>
    <n v="1"/>
    <n v="44.9"/>
    <n v="44.9"/>
  </r>
  <r>
    <x v="1096"/>
    <x v="15"/>
    <x v="42"/>
    <d v="2025-02-13T00:00:00"/>
    <x v="2"/>
    <x v="0"/>
    <x v="0"/>
    <x v="0"/>
    <x v="6"/>
    <n v="1"/>
    <x v="6"/>
    <x v="2"/>
    <n v="7"/>
    <n v="29.9"/>
    <n v="209.29999999999998"/>
  </r>
  <r>
    <x v="1097"/>
    <x v="7"/>
    <x v="43"/>
    <d v="2025-02-14T00:00:00"/>
    <x v="1"/>
    <x v="3"/>
    <x v="0"/>
    <x v="0"/>
    <x v="36"/>
    <n v="1"/>
    <x v="6"/>
    <x v="1"/>
    <n v="2"/>
    <n v="54.3"/>
    <n v="108.6"/>
  </r>
  <r>
    <x v="1098"/>
    <x v="9"/>
    <x v="43"/>
    <d v="2025-02-15T00:00:00"/>
    <x v="2"/>
    <x v="0"/>
    <x v="0"/>
    <x v="0"/>
    <x v="8"/>
    <n v="2"/>
    <x v="6"/>
    <x v="2"/>
    <n v="4"/>
    <n v="57"/>
    <n v="228"/>
  </r>
  <r>
    <x v="1099"/>
    <x v="2"/>
    <x v="43"/>
    <d v="2025-02-14T00:00:00"/>
    <x v="2"/>
    <x v="3"/>
    <x v="2"/>
    <x v="0"/>
    <x v="8"/>
    <n v="1"/>
    <x v="6"/>
    <x v="2"/>
    <n v="1"/>
    <n v="139.19999999999999"/>
    <n v="139.19999999999999"/>
  </r>
  <r>
    <x v="1100"/>
    <x v="10"/>
    <x v="43"/>
    <d v="2025-02-16T00:00:00"/>
    <x v="2"/>
    <x v="0"/>
    <x v="2"/>
    <x v="0"/>
    <x v="8"/>
    <n v="3"/>
    <x v="6"/>
    <x v="2"/>
    <n v="1"/>
    <n v="33"/>
    <n v="33"/>
  </r>
  <r>
    <x v="1101"/>
    <x v="11"/>
    <x v="43"/>
    <d v="2025-02-15T00:00:00"/>
    <x v="1"/>
    <x v="1"/>
    <x v="4"/>
    <x v="0"/>
    <x v="8"/>
    <n v="2"/>
    <x v="6"/>
    <x v="1"/>
    <n v="6"/>
    <n v="80.2"/>
    <n v="481.20000000000005"/>
  </r>
  <r>
    <x v="1102"/>
    <x v="18"/>
    <x v="43"/>
    <d v="2025-02-14T00:00:00"/>
    <x v="0"/>
    <x v="2"/>
    <x v="1"/>
    <x v="0"/>
    <x v="9"/>
    <n v="1"/>
    <x v="6"/>
    <x v="0"/>
    <n v="8"/>
    <n v="49"/>
    <n v="392"/>
  </r>
  <r>
    <x v="1103"/>
    <x v="1"/>
    <x v="43"/>
    <d v="2025-02-13T00:00:00"/>
    <x v="2"/>
    <x v="0"/>
    <x v="0"/>
    <x v="0"/>
    <x v="9"/>
    <n v="0"/>
    <x v="6"/>
    <x v="2"/>
    <n v="4"/>
    <n v="104.4"/>
    <n v="417.6"/>
  </r>
  <r>
    <x v="1104"/>
    <x v="3"/>
    <x v="43"/>
    <d v="2025-02-16T00:00:00"/>
    <x v="1"/>
    <x v="3"/>
    <x v="0"/>
    <x v="0"/>
    <x v="11"/>
    <n v="3"/>
    <x v="6"/>
    <x v="1"/>
    <n v="1"/>
    <n v="41.6"/>
    <n v="41.6"/>
  </r>
  <r>
    <x v="1105"/>
    <x v="19"/>
    <x v="43"/>
    <d v="2025-02-14T00:00:00"/>
    <x v="3"/>
    <x v="0"/>
    <x v="2"/>
    <x v="0"/>
    <x v="11"/>
    <n v="1"/>
    <x v="6"/>
    <x v="3"/>
    <n v="2"/>
    <n v="16.399999999999999"/>
    <n v="32.799999999999997"/>
  </r>
  <r>
    <x v="1106"/>
    <x v="8"/>
    <x v="43"/>
    <d v="2025-02-14T00:00:00"/>
    <x v="1"/>
    <x v="2"/>
    <x v="2"/>
    <x v="0"/>
    <x v="53"/>
    <n v="1"/>
    <x v="6"/>
    <x v="1"/>
    <n v="2"/>
    <n v="22"/>
    <n v="44"/>
  </r>
  <r>
    <x v="1107"/>
    <x v="15"/>
    <x v="43"/>
    <d v="2025-02-18T00:00:00"/>
    <x v="2"/>
    <x v="0"/>
    <x v="0"/>
    <x v="0"/>
    <x v="21"/>
    <n v="5"/>
    <x v="6"/>
    <x v="2"/>
    <n v="2"/>
    <n v="33.6"/>
    <n v="67.2"/>
  </r>
  <r>
    <x v="1108"/>
    <x v="11"/>
    <x v="43"/>
    <d v="2025-02-14T00:00:00"/>
    <x v="2"/>
    <x v="2"/>
    <x v="0"/>
    <x v="0"/>
    <x v="21"/>
    <n v="1"/>
    <x v="6"/>
    <x v="2"/>
    <n v="6"/>
    <n v="43"/>
    <n v="258"/>
  </r>
  <r>
    <x v="1109"/>
    <x v="6"/>
    <x v="43"/>
    <d v="2025-02-16T00:00:00"/>
    <x v="2"/>
    <x v="4"/>
    <x v="2"/>
    <x v="0"/>
    <x v="21"/>
    <n v="3"/>
    <x v="6"/>
    <x v="2"/>
    <n v="5"/>
    <n v="108.8"/>
    <n v="544"/>
  </r>
  <r>
    <x v="1110"/>
    <x v="0"/>
    <x v="43"/>
    <d v="2025-02-15T00:00:00"/>
    <x v="1"/>
    <x v="4"/>
    <x v="2"/>
    <x v="0"/>
    <x v="21"/>
    <n v="2"/>
    <x v="6"/>
    <x v="1"/>
    <n v="9"/>
    <n v="29.3"/>
    <n v="263.7"/>
  </r>
  <r>
    <x v="1111"/>
    <x v="2"/>
    <x v="43"/>
    <d v="2025-02-16T00:00:00"/>
    <x v="3"/>
    <x v="0"/>
    <x v="2"/>
    <x v="0"/>
    <x v="1"/>
    <n v="3"/>
    <x v="6"/>
    <x v="3"/>
    <n v="1"/>
    <n v="122.7"/>
    <n v="122.7"/>
  </r>
  <r>
    <x v="1112"/>
    <x v="4"/>
    <x v="43"/>
    <d v="2025-02-14T00:00:00"/>
    <x v="2"/>
    <x v="0"/>
    <x v="0"/>
    <x v="0"/>
    <x v="42"/>
    <n v="1"/>
    <x v="6"/>
    <x v="2"/>
    <n v="7"/>
    <n v="22.9"/>
    <n v="160.29999999999998"/>
  </r>
  <r>
    <x v="1113"/>
    <x v="8"/>
    <x v="43"/>
    <d v="2025-02-20T00:00:00"/>
    <x v="2"/>
    <x v="0"/>
    <x v="0"/>
    <x v="0"/>
    <x v="33"/>
    <n v="7"/>
    <x v="6"/>
    <x v="2"/>
    <n v="10"/>
    <n v="25.5"/>
    <n v="255"/>
  </r>
  <r>
    <x v="1114"/>
    <x v="17"/>
    <x v="43"/>
    <d v="2025-02-17T00:00:00"/>
    <x v="2"/>
    <x v="0"/>
    <x v="2"/>
    <x v="0"/>
    <x v="3"/>
    <n v="4"/>
    <x v="6"/>
    <x v="2"/>
    <n v="3"/>
    <n v="23.4"/>
    <n v="70.199999999999989"/>
  </r>
  <r>
    <x v="1115"/>
    <x v="5"/>
    <x v="43"/>
    <d v="2025-02-16T00:00:00"/>
    <x v="2"/>
    <x v="2"/>
    <x v="0"/>
    <x v="0"/>
    <x v="3"/>
    <n v="3"/>
    <x v="6"/>
    <x v="2"/>
    <n v="8"/>
    <n v="27.4"/>
    <n v="219.2"/>
  </r>
  <r>
    <x v="1116"/>
    <x v="5"/>
    <x v="43"/>
    <d v="2025-02-14T00:00:00"/>
    <x v="2"/>
    <x v="0"/>
    <x v="0"/>
    <x v="0"/>
    <x v="3"/>
    <n v="1"/>
    <x v="6"/>
    <x v="2"/>
    <n v="5"/>
    <n v="68.400000000000006"/>
    <n v="342"/>
  </r>
  <r>
    <x v="1117"/>
    <x v="6"/>
    <x v="43"/>
    <d v="2025-02-13T00:00:00"/>
    <x v="2"/>
    <x v="0"/>
    <x v="0"/>
    <x v="0"/>
    <x v="3"/>
    <n v="0"/>
    <x v="6"/>
    <x v="2"/>
    <n v="1"/>
    <n v="51.9"/>
    <n v="51.9"/>
  </r>
  <r>
    <x v="1118"/>
    <x v="0"/>
    <x v="43"/>
    <d v="2025-02-16T00:00:00"/>
    <x v="2"/>
    <x v="0"/>
    <x v="2"/>
    <x v="0"/>
    <x v="3"/>
    <n v="3"/>
    <x v="6"/>
    <x v="2"/>
    <n v="5"/>
    <n v="26.4"/>
    <n v="132"/>
  </r>
  <r>
    <x v="1119"/>
    <x v="12"/>
    <x v="43"/>
    <d v="2025-02-14T00:00:00"/>
    <x v="2"/>
    <x v="1"/>
    <x v="1"/>
    <x v="0"/>
    <x v="3"/>
    <n v="1"/>
    <x v="6"/>
    <x v="2"/>
    <n v="2"/>
    <n v="117"/>
    <n v="234"/>
  </r>
  <r>
    <x v="1120"/>
    <x v="7"/>
    <x v="44"/>
    <d v="2025-02-16T00:00:00"/>
    <x v="2"/>
    <x v="0"/>
    <x v="0"/>
    <x v="0"/>
    <x v="3"/>
    <n v="2"/>
    <x v="6"/>
    <x v="2"/>
    <n v="3"/>
    <n v="49.6"/>
    <n v="148.80000000000001"/>
  </r>
  <r>
    <x v="1121"/>
    <x v="4"/>
    <x v="44"/>
    <d v="2025-02-17T00:00:00"/>
    <x v="1"/>
    <x v="2"/>
    <x v="4"/>
    <x v="0"/>
    <x v="3"/>
    <n v="3"/>
    <x v="6"/>
    <x v="1"/>
    <n v="3"/>
    <n v="38"/>
    <n v="114"/>
  </r>
  <r>
    <x v="1122"/>
    <x v="0"/>
    <x v="44"/>
    <d v="2025-02-16T00:00:00"/>
    <x v="2"/>
    <x v="4"/>
    <x v="2"/>
    <x v="0"/>
    <x v="3"/>
    <n v="2"/>
    <x v="6"/>
    <x v="2"/>
    <n v="3"/>
    <n v="20.6"/>
    <n v="61.800000000000004"/>
  </r>
  <r>
    <x v="1123"/>
    <x v="0"/>
    <x v="44"/>
    <d v="2025-02-15T00:00:00"/>
    <x v="1"/>
    <x v="1"/>
    <x v="1"/>
    <x v="0"/>
    <x v="49"/>
    <n v="1"/>
    <x v="6"/>
    <x v="1"/>
    <n v="2"/>
    <n v="16"/>
    <n v="32"/>
  </r>
  <r>
    <x v="1124"/>
    <x v="15"/>
    <x v="44"/>
    <d v="2025-02-15T00:00:00"/>
    <x v="2"/>
    <x v="2"/>
    <x v="0"/>
    <x v="0"/>
    <x v="23"/>
    <n v="1"/>
    <x v="6"/>
    <x v="2"/>
    <n v="4"/>
    <n v="49.3"/>
    <n v="197.2"/>
  </r>
  <r>
    <x v="1125"/>
    <x v="9"/>
    <x v="44"/>
    <d v="2025-02-18T00:00:00"/>
    <x v="2"/>
    <x v="0"/>
    <x v="0"/>
    <x v="0"/>
    <x v="6"/>
    <n v="4"/>
    <x v="6"/>
    <x v="2"/>
    <n v="2"/>
    <n v="24.1"/>
    <n v="48.2"/>
  </r>
  <r>
    <x v="1126"/>
    <x v="15"/>
    <x v="44"/>
    <d v="2025-02-15T00:00:00"/>
    <x v="2"/>
    <x v="1"/>
    <x v="0"/>
    <x v="0"/>
    <x v="6"/>
    <n v="1"/>
    <x v="6"/>
    <x v="2"/>
    <n v="8"/>
    <n v="32.700000000000003"/>
    <n v="261.60000000000002"/>
  </r>
  <r>
    <x v="1127"/>
    <x v="6"/>
    <x v="44"/>
    <d v="2025-02-15T00:00:00"/>
    <x v="2"/>
    <x v="3"/>
    <x v="2"/>
    <x v="0"/>
    <x v="8"/>
    <n v="1"/>
    <x v="6"/>
    <x v="2"/>
    <n v="3"/>
    <n v="74.400000000000006"/>
    <n v="223.20000000000002"/>
  </r>
  <r>
    <x v="1128"/>
    <x v="12"/>
    <x v="44"/>
    <d v="2025-02-18T00:00:00"/>
    <x v="2"/>
    <x v="4"/>
    <x v="0"/>
    <x v="0"/>
    <x v="8"/>
    <n v="4"/>
    <x v="6"/>
    <x v="2"/>
    <n v="1"/>
    <n v="45.6"/>
    <n v="45.6"/>
  </r>
  <r>
    <x v="1129"/>
    <x v="8"/>
    <x v="44"/>
    <d v="2025-02-27T00:00:00"/>
    <x v="2"/>
    <x v="0"/>
    <x v="0"/>
    <x v="0"/>
    <x v="8"/>
    <n v="13"/>
    <x v="6"/>
    <x v="2"/>
    <n v="8"/>
    <n v="19.600000000000001"/>
    <n v="156.80000000000001"/>
  </r>
  <r>
    <x v="1130"/>
    <x v="9"/>
    <x v="44"/>
    <d v="2025-02-15T00:00:00"/>
    <x v="2"/>
    <x v="1"/>
    <x v="0"/>
    <x v="0"/>
    <x v="8"/>
    <n v="1"/>
    <x v="6"/>
    <x v="2"/>
    <n v="1"/>
    <n v="51.8"/>
    <n v="51.8"/>
  </r>
  <r>
    <x v="1131"/>
    <x v="6"/>
    <x v="44"/>
    <d v="2025-02-15T00:00:00"/>
    <x v="1"/>
    <x v="0"/>
    <x v="1"/>
    <x v="0"/>
    <x v="8"/>
    <n v="1"/>
    <x v="6"/>
    <x v="1"/>
    <n v="1"/>
    <n v="74.7"/>
    <n v="74.7"/>
  </r>
  <r>
    <x v="1132"/>
    <x v="19"/>
    <x v="44"/>
    <d v="2025-02-15T00:00:00"/>
    <x v="2"/>
    <x v="1"/>
    <x v="2"/>
    <x v="0"/>
    <x v="9"/>
    <n v="1"/>
    <x v="6"/>
    <x v="2"/>
    <n v="3"/>
    <n v="22.4"/>
    <n v="67.199999999999989"/>
  </r>
  <r>
    <x v="1133"/>
    <x v="1"/>
    <x v="44"/>
    <d v="2025-02-15T00:00:00"/>
    <x v="2"/>
    <x v="1"/>
    <x v="0"/>
    <x v="0"/>
    <x v="9"/>
    <n v="1"/>
    <x v="6"/>
    <x v="2"/>
    <n v="4"/>
    <n v="31.4"/>
    <n v="125.6"/>
  </r>
  <r>
    <x v="1134"/>
    <x v="6"/>
    <x v="44"/>
    <d v="2025-02-14T00:00:00"/>
    <x v="2"/>
    <x v="1"/>
    <x v="2"/>
    <x v="0"/>
    <x v="10"/>
    <n v="0"/>
    <x v="6"/>
    <x v="2"/>
    <n v="1"/>
    <n v="94"/>
    <n v="94"/>
  </r>
  <r>
    <x v="1135"/>
    <x v="10"/>
    <x v="44"/>
    <d v="2025-02-15T00:00:00"/>
    <x v="1"/>
    <x v="4"/>
    <x v="0"/>
    <x v="0"/>
    <x v="20"/>
    <n v="1"/>
    <x v="6"/>
    <x v="1"/>
    <n v="1"/>
    <n v="22.3"/>
    <n v="22.3"/>
  </r>
  <r>
    <x v="1136"/>
    <x v="0"/>
    <x v="44"/>
    <d v="2025-02-17T00:00:00"/>
    <x v="2"/>
    <x v="2"/>
    <x v="0"/>
    <x v="0"/>
    <x v="21"/>
    <n v="3"/>
    <x v="6"/>
    <x v="2"/>
    <n v="1"/>
    <n v="21.9"/>
    <n v="21.9"/>
  </r>
  <r>
    <x v="1137"/>
    <x v="17"/>
    <x v="44"/>
    <d v="2025-02-16T00:00:00"/>
    <x v="2"/>
    <x v="4"/>
    <x v="2"/>
    <x v="0"/>
    <x v="2"/>
    <n v="2"/>
    <x v="6"/>
    <x v="2"/>
    <n v="3"/>
    <n v="27"/>
    <n v="81"/>
  </r>
  <r>
    <x v="1138"/>
    <x v="2"/>
    <x v="44"/>
    <d v="2025-02-14T00:00:00"/>
    <x v="2"/>
    <x v="4"/>
    <x v="0"/>
    <x v="0"/>
    <x v="22"/>
    <n v="0"/>
    <x v="6"/>
    <x v="2"/>
    <n v="4"/>
    <n v="149.6"/>
    <n v="598.4"/>
  </r>
  <r>
    <x v="1139"/>
    <x v="2"/>
    <x v="44"/>
    <d v="2025-02-24T00:00:00"/>
    <x v="1"/>
    <x v="0"/>
    <x v="1"/>
    <x v="0"/>
    <x v="3"/>
    <n v="10"/>
    <x v="6"/>
    <x v="1"/>
    <n v="4"/>
    <n v="129.1"/>
    <n v="516.4"/>
  </r>
  <r>
    <x v="1140"/>
    <x v="1"/>
    <x v="44"/>
    <d v="2025-02-15T00:00:00"/>
    <x v="1"/>
    <x v="1"/>
    <x v="1"/>
    <x v="0"/>
    <x v="3"/>
    <n v="1"/>
    <x v="6"/>
    <x v="1"/>
    <n v="12"/>
    <n v="40.4"/>
    <n v="484.79999999999995"/>
  </r>
  <r>
    <x v="1141"/>
    <x v="4"/>
    <x v="44"/>
    <d v="2025-02-16T00:00:00"/>
    <x v="2"/>
    <x v="0"/>
    <x v="4"/>
    <x v="0"/>
    <x v="3"/>
    <n v="2"/>
    <x v="6"/>
    <x v="2"/>
    <n v="3"/>
    <n v="48.5"/>
    <n v="145.5"/>
  </r>
  <r>
    <x v="1142"/>
    <x v="9"/>
    <x v="44"/>
    <d v="2025-02-16T00:00:00"/>
    <x v="2"/>
    <x v="1"/>
    <x v="2"/>
    <x v="0"/>
    <x v="3"/>
    <n v="2"/>
    <x v="6"/>
    <x v="2"/>
    <n v="2"/>
    <n v="37.6"/>
    <n v="75.2"/>
  </r>
  <r>
    <x v="1143"/>
    <x v="8"/>
    <x v="44"/>
    <d v="2025-02-15T00:00:00"/>
    <x v="1"/>
    <x v="3"/>
    <x v="4"/>
    <x v="0"/>
    <x v="43"/>
    <n v="1"/>
    <x v="6"/>
    <x v="1"/>
    <n v="2"/>
    <n v="19.600000000000001"/>
    <n v="39.200000000000003"/>
  </r>
  <r>
    <x v="1144"/>
    <x v="8"/>
    <x v="44"/>
    <d v="2025-02-15T00:00:00"/>
    <x v="2"/>
    <x v="2"/>
    <x v="1"/>
    <x v="0"/>
    <x v="6"/>
    <n v="1"/>
    <x v="6"/>
    <x v="2"/>
    <n v="5"/>
    <n v="18.5"/>
    <n v="92.5"/>
  </r>
  <r>
    <x v="1145"/>
    <x v="5"/>
    <x v="44"/>
    <d v="2025-02-16T00:00:00"/>
    <x v="2"/>
    <x v="4"/>
    <x v="1"/>
    <x v="0"/>
    <x v="6"/>
    <n v="2"/>
    <x v="6"/>
    <x v="2"/>
    <n v="3"/>
    <n v="25.5"/>
    <n v="76.5"/>
  </r>
  <r>
    <x v="1146"/>
    <x v="2"/>
    <x v="44"/>
    <d v="2025-02-15T00:00:00"/>
    <x v="2"/>
    <x v="2"/>
    <x v="0"/>
    <x v="0"/>
    <x v="36"/>
    <n v="1"/>
    <x v="6"/>
    <x v="2"/>
    <n v="2"/>
    <n v="94.7"/>
    <n v="189.4"/>
  </r>
  <r>
    <x v="1147"/>
    <x v="1"/>
    <x v="44"/>
    <d v="2025-02-19T00:00:00"/>
    <x v="2"/>
    <x v="2"/>
    <x v="2"/>
    <x v="0"/>
    <x v="8"/>
    <n v="5"/>
    <x v="6"/>
    <x v="2"/>
    <n v="6"/>
    <n v="38.799999999999997"/>
    <n v="232.79999999999998"/>
  </r>
  <r>
    <x v="1148"/>
    <x v="9"/>
    <x v="45"/>
    <d v="2025-02-23T00:00:00"/>
    <x v="1"/>
    <x v="4"/>
    <x v="1"/>
    <x v="0"/>
    <x v="8"/>
    <n v="8"/>
    <x v="6"/>
    <x v="1"/>
    <n v="2"/>
    <n v="49.4"/>
    <n v="98.8"/>
  </r>
  <r>
    <x v="1149"/>
    <x v="7"/>
    <x v="45"/>
    <d v="2025-02-18T00:00:00"/>
    <x v="1"/>
    <x v="0"/>
    <x v="2"/>
    <x v="0"/>
    <x v="8"/>
    <n v="3"/>
    <x v="6"/>
    <x v="1"/>
    <n v="3"/>
    <n v="68"/>
    <n v="204"/>
  </r>
  <r>
    <x v="1150"/>
    <x v="15"/>
    <x v="45"/>
    <d v="2025-02-16T00:00:00"/>
    <x v="2"/>
    <x v="2"/>
    <x v="2"/>
    <x v="0"/>
    <x v="8"/>
    <n v="1"/>
    <x v="6"/>
    <x v="2"/>
    <n v="7"/>
    <n v="63.7"/>
    <n v="445.90000000000003"/>
  </r>
  <r>
    <x v="1151"/>
    <x v="10"/>
    <x v="45"/>
    <d v="2025-02-16T00:00:00"/>
    <x v="2"/>
    <x v="4"/>
    <x v="2"/>
    <x v="0"/>
    <x v="17"/>
    <n v="1"/>
    <x v="6"/>
    <x v="2"/>
    <n v="2"/>
    <n v="66.2"/>
    <n v="132.4"/>
  </r>
  <r>
    <x v="1152"/>
    <x v="12"/>
    <x v="45"/>
    <d v="2025-02-16T00:00:00"/>
    <x v="3"/>
    <x v="2"/>
    <x v="1"/>
    <x v="0"/>
    <x v="9"/>
    <n v="1"/>
    <x v="6"/>
    <x v="3"/>
    <n v="3"/>
    <n v="32.299999999999997"/>
    <n v="96.899999999999991"/>
  </r>
  <r>
    <x v="1153"/>
    <x v="4"/>
    <x v="45"/>
    <d v="2025-02-18T00:00:00"/>
    <x v="1"/>
    <x v="1"/>
    <x v="0"/>
    <x v="0"/>
    <x v="11"/>
    <n v="3"/>
    <x v="6"/>
    <x v="1"/>
    <n v="2"/>
    <n v="66.900000000000006"/>
    <n v="133.80000000000001"/>
  </r>
  <r>
    <x v="1154"/>
    <x v="4"/>
    <x v="45"/>
    <d v="2025-02-19T00:00:00"/>
    <x v="2"/>
    <x v="0"/>
    <x v="1"/>
    <x v="0"/>
    <x v="11"/>
    <n v="4"/>
    <x v="6"/>
    <x v="2"/>
    <n v="12"/>
    <n v="25.2"/>
    <n v="302.39999999999998"/>
  </r>
  <r>
    <x v="1155"/>
    <x v="10"/>
    <x v="45"/>
    <d v="2025-02-16T00:00:00"/>
    <x v="1"/>
    <x v="2"/>
    <x v="0"/>
    <x v="0"/>
    <x v="11"/>
    <n v="1"/>
    <x v="6"/>
    <x v="1"/>
    <n v="6"/>
    <n v="29.5"/>
    <n v="177"/>
  </r>
  <r>
    <x v="1156"/>
    <x v="8"/>
    <x v="45"/>
    <d v="2025-02-17T00:00:00"/>
    <x v="2"/>
    <x v="0"/>
    <x v="2"/>
    <x v="0"/>
    <x v="32"/>
    <n v="2"/>
    <x v="6"/>
    <x v="2"/>
    <n v="5"/>
    <n v="21.6"/>
    <n v="108"/>
  </r>
  <r>
    <x v="1157"/>
    <x v="12"/>
    <x v="45"/>
    <d v="2025-02-16T00:00:00"/>
    <x v="2"/>
    <x v="0"/>
    <x v="0"/>
    <x v="0"/>
    <x v="18"/>
    <n v="1"/>
    <x v="6"/>
    <x v="2"/>
    <n v="3"/>
    <n v="69"/>
    <n v="207"/>
  </r>
  <r>
    <x v="1158"/>
    <x v="7"/>
    <x v="45"/>
    <d v="2025-02-19T00:00:00"/>
    <x v="1"/>
    <x v="0"/>
    <x v="2"/>
    <x v="0"/>
    <x v="18"/>
    <n v="4"/>
    <x v="6"/>
    <x v="1"/>
    <n v="2"/>
    <n v="115"/>
    <n v="230"/>
  </r>
  <r>
    <x v="1159"/>
    <x v="2"/>
    <x v="45"/>
    <d v="2025-02-17T00:00:00"/>
    <x v="0"/>
    <x v="3"/>
    <x v="1"/>
    <x v="0"/>
    <x v="19"/>
    <n v="2"/>
    <x v="6"/>
    <x v="0"/>
    <n v="2"/>
    <n v="109.3"/>
    <n v="218.6"/>
  </r>
  <r>
    <x v="1160"/>
    <x v="9"/>
    <x v="45"/>
    <d v="2025-02-18T00:00:00"/>
    <x v="0"/>
    <x v="4"/>
    <x v="1"/>
    <x v="0"/>
    <x v="19"/>
    <n v="3"/>
    <x v="6"/>
    <x v="0"/>
    <n v="2"/>
    <n v="66.599999999999994"/>
    <n v="133.19999999999999"/>
  </r>
  <r>
    <x v="1161"/>
    <x v="12"/>
    <x v="45"/>
    <d v="2025-02-16T00:00:00"/>
    <x v="1"/>
    <x v="3"/>
    <x v="2"/>
    <x v="0"/>
    <x v="21"/>
    <n v="1"/>
    <x v="6"/>
    <x v="1"/>
    <n v="5"/>
    <n v="47.7"/>
    <n v="238.5"/>
  </r>
  <r>
    <x v="1162"/>
    <x v="8"/>
    <x v="45"/>
    <d v="2025-02-16T00:00:00"/>
    <x v="2"/>
    <x v="4"/>
    <x v="4"/>
    <x v="0"/>
    <x v="22"/>
    <n v="1"/>
    <x v="6"/>
    <x v="2"/>
    <n v="2"/>
    <n v="46"/>
    <n v="92"/>
  </r>
  <r>
    <x v="1163"/>
    <x v="1"/>
    <x v="45"/>
    <d v="2025-02-17T00:00:00"/>
    <x v="1"/>
    <x v="3"/>
    <x v="2"/>
    <x v="0"/>
    <x v="3"/>
    <n v="2"/>
    <x v="6"/>
    <x v="1"/>
    <n v="6"/>
    <n v="39.299999999999997"/>
    <n v="235.79999999999998"/>
  </r>
  <r>
    <x v="1164"/>
    <x v="9"/>
    <x v="45"/>
    <d v="2025-02-16T00:00:00"/>
    <x v="2"/>
    <x v="0"/>
    <x v="4"/>
    <x v="0"/>
    <x v="3"/>
    <n v="1"/>
    <x v="6"/>
    <x v="2"/>
    <n v="1"/>
    <n v="70.2"/>
    <n v="70.2"/>
  </r>
  <r>
    <x v="1165"/>
    <x v="3"/>
    <x v="45"/>
    <d v="2025-02-15T00:00:00"/>
    <x v="2"/>
    <x v="1"/>
    <x v="2"/>
    <x v="0"/>
    <x v="3"/>
    <n v="0"/>
    <x v="6"/>
    <x v="2"/>
    <n v="4"/>
    <n v="71.5"/>
    <n v="286"/>
  </r>
  <r>
    <x v="1166"/>
    <x v="10"/>
    <x v="45"/>
    <d v="2025-02-22T00:00:00"/>
    <x v="2"/>
    <x v="3"/>
    <x v="2"/>
    <x v="0"/>
    <x v="3"/>
    <n v="7"/>
    <x v="6"/>
    <x v="2"/>
    <n v="7"/>
    <n v="31"/>
    <n v="217"/>
  </r>
  <r>
    <x v="1167"/>
    <x v="2"/>
    <x v="45"/>
    <d v="2025-02-20T00:00:00"/>
    <x v="2"/>
    <x v="0"/>
    <x v="2"/>
    <x v="0"/>
    <x v="3"/>
    <n v="5"/>
    <x v="6"/>
    <x v="2"/>
    <n v="5"/>
    <n v="68.2"/>
    <n v="341"/>
  </r>
  <r>
    <x v="1168"/>
    <x v="2"/>
    <x v="45"/>
    <d v="2025-02-19T00:00:00"/>
    <x v="2"/>
    <x v="1"/>
    <x v="2"/>
    <x v="0"/>
    <x v="6"/>
    <n v="4"/>
    <x v="6"/>
    <x v="2"/>
    <n v="1"/>
    <n v="91.4"/>
    <n v="91.4"/>
  </r>
  <r>
    <x v="1169"/>
    <x v="6"/>
    <x v="45"/>
    <d v="2025-02-16T00:00:00"/>
    <x v="2"/>
    <x v="0"/>
    <x v="0"/>
    <x v="0"/>
    <x v="6"/>
    <n v="1"/>
    <x v="6"/>
    <x v="2"/>
    <n v="10"/>
    <n v="112.9"/>
    <n v="1129"/>
  </r>
  <r>
    <x v="1170"/>
    <x v="17"/>
    <x v="45"/>
    <d v="2025-02-16T00:00:00"/>
    <x v="2"/>
    <x v="1"/>
    <x v="2"/>
    <x v="0"/>
    <x v="8"/>
    <n v="1"/>
    <x v="6"/>
    <x v="2"/>
    <n v="9"/>
    <n v="33.700000000000003"/>
    <n v="303.3"/>
  </r>
  <r>
    <x v="1171"/>
    <x v="15"/>
    <x v="45"/>
    <d v="2025-02-17T00:00:00"/>
    <x v="1"/>
    <x v="2"/>
    <x v="0"/>
    <x v="0"/>
    <x v="8"/>
    <n v="2"/>
    <x v="6"/>
    <x v="1"/>
    <n v="10"/>
    <n v="35.299999999999997"/>
    <n v="353"/>
  </r>
  <r>
    <x v="1172"/>
    <x v="18"/>
    <x v="45"/>
    <d v="2025-02-19T00:00:00"/>
    <x v="1"/>
    <x v="3"/>
    <x v="0"/>
    <x v="0"/>
    <x v="8"/>
    <n v="4"/>
    <x v="6"/>
    <x v="1"/>
    <n v="3"/>
    <n v="45.6"/>
    <n v="136.80000000000001"/>
  </r>
  <r>
    <x v="1173"/>
    <x v="7"/>
    <x v="45"/>
    <d v="2025-02-16T00:00:00"/>
    <x v="2"/>
    <x v="4"/>
    <x v="2"/>
    <x v="0"/>
    <x v="9"/>
    <n v="1"/>
    <x v="6"/>
    <x v="2"/>
    <n v="7"/>
    <n v="47.1"/>
    <n v="329.7"/>
  </r>
  <r>
    <x v="1174"/>
    <x v="8"/>
    <x v="45"/>
    <d v="2025-02-17T00:00:00"/>
    <x v="2"/>
    <x v="3"/>
    <x v="2"/>
    <x v="0"/>
    <x v="19"/>
    <n v="2"/>
    <x v="6"/>
    <x v="2"/>
    <n v="5"/>
    <n v="16.2"/>
    <n v="81"/>
  </r>
  <r>
    <x v="1175"/>
    <x v="1"/>
    <x v="46"/>
    <d v="2025-02-17T00:00:00"/>
    <x v="1"/>
    <x v="4"/>
    <x v="0"/>
    <x v="0"/>
    <x v="13"/>
    <n v="1"/>
    <x v="7"/>
    <x v="1"/>
    <n v="2"/>
    <n v="159.69999999999999"/>
    <n v="319.39999999999998"/>
  </r>
  <r>
    <x v="1176"/>
    <x v="8"/>
    <x v="46"/>
    <d v="2025-02-23T00:00:00"/>
    <x v="2"/>
    <x v="2"/>
    <x v="2"/>
    <x v="0"/>
    <x v="21"/>
    <n v="7"/>
    <x v="7"/>
    <x v="2"/>
    <n v="4"/>
    <n v="19"/>
    <n v="76"/>
  </r>
  <r>
    <x v="1177"/>
    <x v="6"/>
    <x v="46"/>
    <d v="2025-02-25T00:00:00"/>
    <x v="2"/>
    <x v="4"/>
    <x v="0"/>
    <x v="0"/>
    <x v="21"/>
    <n v="9"/>
    <x v="7"/>
    <x v="2"/>
    <n v="6"/>
    <n v="91.1"/>
    <n v="546.59999999999991"/>
  </r>
  <r>
    <x v="1178"/>
    <x v="2"/>
    <x v="46"/>
    <d v="2025-02-19T00:00:00"/>
    <x v="0"/>
    <x v="1"/>
    <x v="1"/>
    <x v="0"/>
    <x v="21"/>
    <n v="3"/>
    <x v="7"/>
    <x v="0"/>
    <n v="5"/>
    <n v="94.1"/>
    <n v="470.5"/>
  </r>
  <r>
    <x v="1179"/>
    <x v="9"/>
    <x v="46"/>
    <d v="2025-02-17T00:00:00"/>
    <x v="2"/>
    <x v="4"/>
    <x v="2"/>
    <x v="0"/>
    <x v="51"/>
    <n v="1"/>
    <x v="7"/>
    <x v="2"/>
    <n v="9"/>
    <n v="21.1"/>
    <n v="189.9"/>
  </r>
  <r>
    <x v="1180"/>
    <x v="8"/>
    <x v="46"/>
    <d v="2025-02-24T00:00:00"/>
    <x v="2"/>
    <x v="2"/>
    <x v="0"/>
    <x v="0"/>
    <x v="1"/>
    <n v="8"/>
    <x v="7"/>
    <x v="2"/>
    <n v="7"/>
    <n v="15.3"/>
    <n v="107.10000000000001"/>
  </r>
  <r>
    <x v="1181"/>
    <x v="15"/>
    <x v="46"/>
    <d v="2025-02-19T00:00:00"/>
    <x v="1"/>
    <x v="1"/>
    <x v="0"/>
    <x v="0"/>
    <x v="3"/>
    <n v="3"/>
    <x v="7"/>
    <x v="1"/>
    <n v="4"/>
    <n v="21.3"/>
    <n v="85.2"/>
  </r>
  <r>
    <x v="1182"/>
    <x v="0"/>
    <x v="46"/>
    <d v="2025-02-16T00:00:00"/>
    <x v="0"/>
    <x v="3"/>
    <x v="1"/>
    <x v="0"/>
    <x v="3"/>
    <n v="0"/>
    <x v="7"/>
    <x v="0"/>
    <n v="2"/>
    <n v="23.2"/>
    <n v="46.4"/>
  </r>
  <r>
    <x v="1183"/>
    <x v="4"/>
    <x v="46"/>
    <d v="2025-02-17T00:00:00"/>
    <x v="1"/>
    <x v="4"/>
    <x v="0"/>
    <x v="0"/>
    <x v="3"/>
    <n v="1"/>
    <x v="7"/>
    <x v="1"/>
    <n v="3"/>
    <n v="25.7"/>
    <n v="77.099999999999994"/>
  </r>
  <r>
    <x v="1184"/>
    <x v="0"/>
    <x v="46"/>
    <d v="2025-02-18T00:00:00"/>
    <x v="2"/>
    <x v="0"/>
    <x v="0"/>
    <x v="0"/>
    <x v="3"/>
    <n v="2"/>
    <x v="7"/>
    <x v="2"/>
    <n v="9"/>
    <n v="31.6"/>
    <n v="284.40000000000003"/>
  </r>
  <r>
    <x v="1185"/>
    <x v="6"/>
    <x v="46"/>
    <d v="2025-02-21T00:00:00"/>
    <x v="1"/>
    <x v="0"/>
    <x v="0"/>
    <x v="0"/>
    <x v="3"/>
    <n v="5"/>
    <x v="7"/>
    <x v="1"/>
    <n v="1"/>
    <n v="64.2"/>
    <n v="64.2"/>
  </r>
  <r>
    <x v="1186"/>
    <x v="8"/>
    <x v="46"/>
    <d v="2025-02-18T00:00:00"/>
    <x v="0"/>
    <x v="0"/>
    <x v="0"/>
    <x v="0"/>
    <x v="3"/>
    <n v="2"/>
    <x v="7"/>
    <x v="0"/>
    <n v="2"/>
    <n v="55.8"/>
    <n v="111.6"/>
  </r>
  <r>
    <x v="1187"/>
    <x v="8"/>
    <x v="46"/>
    <d v="2025-02-17T00:00:00"/>
    <x v="2"/>
    <x v="4"/>
    <x v="1"/>
    <x v="0"/>
    <x v="3"/>
    <n v="1"/>
    <x v="7"/>
    <x v="2"/>
    <n v="2"/>
    <n v="28.1"/>
    <n v="56.2"/>
  </r>
  <r>
    <x v="1188"/>
    <x v="0"/>
    <x v="46"/>
    <d v="2025-02-18T00:00:00"/>
    <x v="2"/>
    <x v="1"/>
    <x v="0"/>
    <x v="0"/>
    <x v="24"/>
    <n v="2"/>
    <x v="7"/>
    <x v="2"/>
    <n v="2"/>
    <n v="11.6"/>
    <n v="23.2"/>
  </r>
  <r>
    <x v="1189"/>
    <x v="5"/>
    <x v="46"/>
    <d v="2025-02-17T00:00:00"/>
    <x v="1"/>
    <x v="4"/>
    <x v="2"/>
    <x v="0"/>
    <x v="25"/>
    <n v="1"/>
    <x v="7"/>
    <x v="1"/>
    <n v="3"/>
    <n v="50.4"/>
    <n v="151.19999999999999"/>
  </r>
  <r>
    <x v="1190"/>
    <x v="6"/>
    <x v="46"/>
    <d v="2025-02-20T00:00:00"/>
    <x v="2"/>
    <x v="0"/>
    <x v="0"/>
    <x v="0"/>
    <x v="25"/>
    <n v="4"/>
    <x v="7"/>
    <x v="2"/>
    <n v="6"/>
    <n v="48.3"/>
    <n v="289.79999999999995"/>
  </r>
  <r>
    <x v="1191"/>
    <x v="17"/>
    <x v="46"/>
    <d v="2025-02-18T00:00:00"/>
    <x v="2"/>
    <x v="2"/>
    <x v="0"/>
    <x v="0"/>
    <x v="25"/>
    <n v="2"/>
    <x v="7"/>
    <x v="2"/>
    <n v="7"/>
    <n v="32.200000000000003"/>
    <n v="225.40000000000003"/>
  </r>
  <r>
    <x v="1192"/>
    <x v="7"/>
    <x v="46"/>
    <d v="2025-02-17T00:00:00"/>
    <x v="1"/>
    <x v="0"/>
    <x v="0"/>
    <x v="0"/>
    <x v="5"/>
    <n v="1"/>
    <x v="7"/>
    <x v="1"/>
    <n v="28"/>
    <n v="48.5"/>
    <n v="1358"/>
  </r>
  <r>
    <x v="1193"/>
    <x v="2"/>
    <x v="46"/>
    <d v="2025-02-19T00:00:00"/>
    <x v="2"/>
    <x v="1"/>
    <x v="0"/>
    <x v="0"/>
    <x v="6"/>
    <n v="3"/>
    <x v="7"/>
    <x v="2"/>
    <n v="5"/>
    <n v="62"/>
    <n v="310"/>
  </r>
  <r>
    <x v="1194"/>
    <x v="8"/>
    <x v="47"/>
    <d v="2025-02-19T00:00:00"/>
    <x v="1"/>
    <x v="0"/>
    <x v="0"/>
    <x v="0"/>
    <x v="6"/>
    <n v="2"/>
    <x v="7"/>
    <x v="1"/>
    <n v="3"/>
    <n v="32.1"/>
    <n v="96.300000000000011"/>
  </r>
  <r>
    <x v="1195"/>
    <x v="12"/>
    <x v="47"/>
    <d v="2025-02-19T00:00:00"/>
    <x v="1"/>
    <x v="0"/>
    <x v="1"/>
    <x v="0"/>
    <x v="7"/>
    <n v="2"/>
    <x v="7"/>
    <x v="1"/>
    <n v="3"/>
    <n v="106.1"/>
    <n v="318.29999999999995"/>
  </r>
  <r>
    <x v="1196"/>
    <x v="10"/>
    <x v="47"/>
    <d v="2025-02-20T00:00:00"/>
    <x v="1"/>
    <x v="0"/>
    <x v="4"/>
    <x v="0"/>
    <x v="7"/>
    <n v="3"/>
    <x v="7"/>
    <x v="1"/>
    <n v="3"/>
    <n v="23.5"/>
    <n v="70.5"/>
  </r>
  <r>
    <x v="1197"/>
    <x v="1"/>
    <x v="47"/>
    <d v="2025-02-22T00:00:00"/>
    <x v="1"/>
    <x v="4"/>
    <x v="0"/>
    <x v="0"/>
    <x v="8"/>
    <n v="5"/>
    <x v="7"/>
    <x v="1"/>
    <n v="2"/>
    <n v="35.6"/>
    <n v="71.2"/>
  </r>
  <r>
    <x v="1198"/>
    <x v="1"/>
    <x v="47"/>
    <d v="2025-02-17T00:00:00"/>
    <x v="2"/>
    <x v="1"/>
    <x v="2"/>
    <x v="0"/>
    <x v="8"/>
    <n v="0"/>
    <x v="7"/>
    <x v="2"/>
    <n v="2"/>
    <n v="63.5"/>
    <n v="127"/>
  </r>
  <r>
    <x v="1199"/>
    <x v="6"/>
    <x v="47"/>
    <d v="2025-02-22T00:00:00"/>
    <x v="2"/>
    <x v="4"/>
    <x v="0"/>
    <x v="0"/>
    <x v="9"/>
    <n v="5"/>
    <x v="7"/>
    <x v="2"/>
    <n v="7"/>
    <n v="82.9"/>
    <n v="580.30000000000007"/>
  </r>
  <r>
    <x v="1200"/>
    <x v="6"/>
    <x v="47"/>
    <d v="2025-02-22T00:00:00"/>
    <x v="2"/>
    <x v="0"/>
    <x v="0"/>
    <x v="0"/>
    <x v="11"/>
    <n v="5"/>
    <x v="7"/>
    <x v="2"/>
    <n v="2"/>
    <n v="83.6"/>
    <n v="167.2"/>
  </r>
  <r>
    <x v="1201"/>
    <x v="4"/>
    <x v="47"/>
    <d v="2025-02-17T00:00:00"/>
    <x v="2"/>
    <x v="0"/>
    <x v="1"/>
    <x v="0"/>
    <x v="30"/>
    <n v="0"/>
    <x v="7"/>
    <x v="2"/>
    <n v="2"/>
    <n v="29.4"/>
    <n v="58.8"/>
  </r>
  <r>
    <x v="1202"/>
    <x v="2"/>
    <x v="47"/>
    <d v="2025-02-21T00:00:00"/>
    <x v="2"/>
    <x v="2"/>
    <x v="0"/>
    <x v="0"/>
    <x v="20"/>
    <n v="4"/>
    <x v="7"/>
    <x v="2"/>
    <n v="3"/>
    <n v="107.1"/>
    <n v="321.29999999999995"/>
  </r>
  <r>
    <x v="1203"/>
    <x v="2"/>
    <x v="47"/>
    <d v="2025-02-21T00:00:00"/>
    <x v="1"/>
    <x v="1"/>
    <x v="0"/>
    <x v="0"/>
    <x v="21"/>
    <n v="4"/>
    <x v="7"/>
    <x v="1"/>
    <n v="1"/>
    <n v="62.7"/>
    <n v="62.7"/>
  </r>
  <r>
    <x v="1204"/>
    <x v="11"/>
    <x v="47"/>
    <d v="2025-02-18T00:00:00"/>
    <x v="1"/>
    <x v="0"/>
    <x v="1"/>
    <x v="0"/>
    <x v="1"/>
    <n v="1"/>
    <x v="7"/>
    <x v="1"/>
    <n v="1"/>
    <n v="41.6"/>
    <n v="41.6"/>
  </r>
  <r>
    <x v="1205"/>
    <x v="6"/>
    <x v="47"/>
    <d v="2025-02-18T00:00:00"/>
    <x v="3"/>
    <x v="0"/>
    <x v="1"/>
    <x v="0"/>
    <x v="1"/>
    <n v="1"/>
    <x v="7"/>
    <x v="3"/>
    <n v="1"/>
    <n v="44.2"/>
    <n v="44.2"/>
  </r>
  <r>
    <x v="1206"/>
    <x v="4"/>
    <x v="47"/>
    <d v="2025-03-02T00:00:00"/>
    <x v="2"/>
    <x v="2"/>
    <x v="0"/>
    <x v="0"/>
    <x v="22"/>
    <n v="13"/>
    <x v="7"/>
    <x v="2"/>
    <n v="6"/>
    <n v="40.4"/>
    <n v="242.39999999999998"/>
  </r>
  <r>
    <x v="1207"/>
    <x v="15"/>
    <x v="47"/>
    <d v="2025-02-18T00:00:00"/>
    <x v="2"/>
    <x v="4"/>
    <x v="0"/>
    <x v="0"/>
    <x v="34"/>
    <n v="1"/>
    <x v="7"/>
    <x v="2"/>
    <n v="6"/>
    <n v="59.6"/>
    <n v="357.6"/>
  </r>
  <r>
    <x v="1208"/>
    <x v="17"/>
    <x v="47"/>
    <d v="2025-02-18T00:00:00"/>
    <x v="1"/>
    <x v="1"/>
    <x v="0"/>
    <x v="0"/>
    <x v="3"/>
    <n v="1"/>
    <x v="7"/>
    <x v="1"/>
    <n v="12"/>
    <n v="63.8"/>
    <n v="765.59999999999991"/>
  </r>
  <r>
    <x v="1209"/>
    <x v="9"/>
    <x v="47"/>
    <d v="2025-02-19T00:00:00"/>
    <x v="1"/>
    <x v="4"/>
    <x v="0"/>
    <x v="0"/>
    <x v="3"/>
    <n v="2"/>
    <x v="7"/>
    <x v="1"/>
    <n v="6"/>
    <n v="30.8"/>
    <n v="184.8"/>
  </r>
  <r>
    <x v="1210"/>
    <x v="1"/>
    <x v="47"/>
    <d v="2025-02-20T00:00:00"/>
    <x v="3"/>
    <x v="0"/>
    <x v="0"/>
    <x v="0"/>
    <x v="3"/>
    <n v="3"/>
    <x v="7"/>
    <x v="3"/>
    <n v="2"/>
    <n v="41.5"/>
    <n v="83"/>
  </r>
  <r>
    <x v="1211"/>
    <x v="10"/>
    <x v="47"/>
    <d v="2025-02-19T00:00:00"/>
    <x v="2"/>
    <x v="2"/>
    <x v="1"/>
    <x v="0"/>
    <x v="3"/>
    <n v="2"/>
    <x v="7"/>
    <x v="2"/>
    <n v="4"/>
    <n v="44.7"/>
    <n v="178.8"/>
  </r>
  <r>
    <x v="1212"/>
    <x v="12"/>
    <x v="47"/>
    <d v="2025-02-21T00:00:00"/>
    <x v="2"/>
    <x v="1"/>
    <x v="4"/>
    <x v="0"/>
    <x v="3"/>
    <n v="4"/>
    <x v="7"/>
    <x v="2"/>
    <n v="2"/>
    <n v="64.099999999999994"/>
    <n v="128.19999999999999"/>
  </r>
  <r>
    <x v="1213"/>
    <x v="8"/>
    <x v="47"/>
    <d v="2025-02-20T00:00:00"/>
    <x v="0"/>
    <x v="1"/>
    <x v="0"/>
    <x v="0"/>
    <x v="3"/>
    <n v="3"/>
    <x v="7"/>
    <x v="0"/>
    <n v="1"/>
    <n v="15.9"/>
    <n v="15.9"/>
  </r>
  <r>
    <x v="1214"/>
    <x v="6"/>
    <x v="47"/>
    <d v="2025-02-17T00:00:00"/>
    <x v="2"/>
    <x v="2"/>
    <x v="1"/>
    <x v="0"/>
    <x v="3"/>
    <n v="0"/>
    <x v="7"/>
    <x v="2"/>
    <n v="2"/>
    <n v="78.7"/>
    <n v="157.4"/>
  </r>
  <r>
    <x v="1215"/>
    <x v="5"/>
    <x v="47"/>
    <d v="2025-02-21T00:00:00"/>
    <x v="1"/>
    <x v="2"/>
    <x v="4"/>
    <x v="0"/>
    <x v="3"/>
    <n v="4"/>
    <x v="7"/>
    <x v="1"/>
    <n v="12"/>
    <n v="29.6"/>
    <n v="355.20000000000005"/>
  </r>
  <r>
    <x v="1216"/>
    <x v="8"/>
    <x v="47"/>
    <d v="2025-02-20T00:00:00"/>
    <x v="1"/>
    <x v="1"/>
    <x v="0"/>
    <x v="0"/>
    <x v="3"/>
    <n v="3"/>
    <x v="7"/>
    <x v="1"/>
    <n v="4"/>
    <n v="21.5"/>
    <n v="86"/>
  </r>
  <r>
    <x v="1217"/>
    <x v="9"/>
    <x v="47"/>
    <d v="2025-02-26T00:00:00"/>
    <x v="1"/>
    <x v="3"/>
    <x v="1"/>
    <x v="0"/>
    <x v="3"/>
    <n v="9"/>
    <x v="7"/>
    <x v="1"/>
    <n v="3"/>
    <n v="74.900000000000006"/>
    <n v="224.70000000000002"/>
  </r>
  <r>
    <x v="1218"/>
    <x v="10"/>
    <x v="47"/>
    <d v="2025-02-22T00:00:00"/>
    <x v="2"/>
    <x v="2"/>
    <x v="0"/>
    <x v="0"/>
    <x v="3"/>
    <n v="5"/>
    <x v="7"/>
    <x v="2"/>
    <n v="6"/>
    <n v="45"/>
    <n v="270"/>
  </r>
  <r>
    <x v="1219"/>
    <x v="7"/>
    <x v="47"/>
    <d v="2025-02-18T00:00:00"/>
    <x v="1"/>
    <x v="0"/>
    <x v="0"/>
    <x v="0"/>
    <x v="3"/>
    <n v="1"/>
    <x v="7"/>
    <x v="1"/>
    <n v="34"/>
    <n v="37.9"/>
    <n v="1288.5999999999999"/>
  </r>
  <r>
    <x v="1220"/>
    <x v="6"/>
    <x v="47"/>
    <d v="2025-02-18T00:00:00"/>
    <x v="1"/>
    <x v="3"/>
    <x v="0"/>
    <x v="0"/>
    <x v="3"/>
    <n v="1"/>
    <x v="7"/>
    <x v="1"/>
    <n v="3"/>
    <n v="56.6"/>
    <n v="169.8"/>
  </r>
  <r>
    <x v="1221"/>
    <x v="3"/>
    <x v="47"/>
    <d v="2025-02-20T00:00:00"/>
    <x v="2"/>
    <x v="1"/>
    <x v="4"/>
    <x v="0"/>
    <x v="3"/>
    <n v="3"/>
    <x v="7"/>
    <x v="2"/>
    <n v="13"/>
    <n v="84.5"/>
    <n v="1098.5"/>
  </r>
  <r>
    <x v="1222"/>
    <x v="2"/>
    <x v="47"/>
    <d v="2025-02-19T00:00:00"/>
    <x v="2"/>
    <x v="1"/>
    <x v="1"/>
    <x v="0"/>
    <x v="3"/>
    <n v="2"/>
    <x v="7"/>
    <x v="2"/>
    <n v="5"/>
    <n v="105.4"/>
    <n v="527"/>
  </r>
  <r>
    <x v="1223"/>
    <x v="18"/>
    <x v="48"/>
    <d v="2025-02-18T00:00:00"/>
    <x v="1"/>
    <x v="1"/>
    <x v="0"/>
    <x v="0"/>
    <x v="37"/>
    <n v="0"/>
    <x v="7"/>
    <x v="1"/>
    <n v="7"/>
    <n v="39.4"/>
    <n v="275.8"/>
  </r>
  <r>
    <x v="1224"/>
    <x v="19"/>
    <x v="48"/>
    <d v="2025-02-21T00:00:00"/>
    <x v="1"/>
    <x v="4"/>
    <x v="1"/>
    <x v="0"/>
    <x v="6"/>
    <n v="3"/>
    <x v="7"/>
    <x v="1"/>
    <n v="3"/>
    <n v="38"/>
    <n v="114"/>
  </r>
  <r>
    <x v="1225"/>
    <x v="17"/>
    <x v="48"/>
    <d v="2025-02-20T00:00:00"/>
    <x v="0"/>
    <x v="0"/>
    <x v="0"/>
    <x v="0"/>
    <x v="6"/>
    <n v="2"/>
    <x v="7"/>
    <x v="0"/>
    <n v="4"/>
    <n v="42.5"/>
    <n v="170"/>
  </r>
  <r>
    <x v="1226"/>
    <x v="15"/>
    <x v="48"/>
    <d v="2025-02-27T00:00:00"/>
    <x v="1"/>
    <x v="0"/>
    <x v="2"/>
    <x v="0"/>
    <x v="6"/>
    <n v="9"/>
    <x v="7"/>
    <x v="1"/>
    <n v="1"/>
    <n v="62.3"/>
    <n v="62.3"/>
  </r>
  <r>
    <x v="1227"/>
    <x v="6"/>
    <x v="48"/>
    <d v="2025-02-20T00:00:00"/>
    <x v="2"/>
    <x v="1"/>
    <x v="2"/>
    <x v="0"/>
    <x v="7"/>
    <n v="2"/>
    <x v="7"/>
    <x v="2"/>
    <n v="5"/>
    <n v="49.1"/>
    <n v="245.5"/>
  </r>
  <r>
    <x v="1228"/>
    <x v="3"/>
    <x v="48"/>
    <d v="2025-02-21T00:00:00"/>
    <x v="1"/>
    <x v="0"/>
    <x v="2"/>
    <x v="0"/>
    <x v="8"/>
    <n v="3"/>
    <x v="7"/>
    <x v="1"/>
    <n v="2"/>
    <n v="30.5"/>
    <n v="61"/>
  </r>
  <r>
    <x v="1229"/>
    <x v="2"/>
    <x v="48"/>
    <d v="2025-02-21T00:00:00"/>
    <x v="2"/>
    <x v="1"/>
    <x v="4"/>
    <x v="0"/>
    <x v="8"/>
    <n v="3"/>
    <x v="7"/>
    <x v="2"/>
    <n v="2"/>
    <n v="154.80000000000001"/>
    <n v="309.60000000000002"/>
  </r>
  <r>
    <x v="1230"/>
    <x v="6"/>
    <x v="48"/>
    <d v="2025-02-22T00:00:00"/>
    <x v="1"/>
    <x v="3"/>
    <x v="1"/>
    <x v="0"/>
    <x v="8"/>
    <n v="4"/>
    <x v="7"/>
    <x v="1"/>
    <n v="1"/>
    <n v="45"/>
    <n v="45"/>
  </r>
  <r>
    <x v="1231"/>
    <x v="0"/>
    <x v="48"/>
    <d v="2025-02-19T00:00:00"/>
    <x v="1"/>
    <x v="0"/>
    <x v="2"/>
    <x v="0"/>
    <x v="8"/>
    <n v="1"/>
    <x v="7"/>
    <x v="1"/>
    <n v="7"/>
    <n v="15.3"/>
    <n v="107.10000000000001"/>
  </r>
  <r>
    <x v="1232"/>
    <x v="2"/>
    <x v="48"/>
    <d v="2025-02-21T00:00:00"/>
    <x v="2"/>
    <x v="0"/>
    <x v="4"/>
    <x v="0"/>
    <x v="17"/>
    <n v="3"/>
    <x v="7"/>
    <x v="2"/>
    <n v="11"/>
    <n v="88.6"/>
    <n v="974.59999999999991"/>
  </r>
  <r>
    <x v="1233"/>
    <x v="9"/>
    <x v="48"/>
    <d v="2025-02-20T00:00:00"/>
    <x v="3"/>
    <x v="4"/>
    <x v="0"/>
    <x v="0"/>
    <x v="10"/>
    <n v="2"/>
    <x v="7"/>
    <x v="3"/>
    <n v="2"/>
    <n v="49.7"/>
    <n v="99.4"/>
  </r>
  <r>
    <x v="1234"/>
    <x v="10"/>
    <x v="48"/>
    <d v="2025-02-19T00:00:00"/>
    <x v="1"/>
    <x v="0"/>
    <x v="0"/>
    <x v="0"/>
    <x v="11"/>
    <n v="1"/>
    <x v="7"/>
    <x v="1"/>
    <n v="1"/>
    <n v="29"/>
    <n v="29"/>
  </r>
  <r>
    <x v="1235"/>
    <x v="1"/>
    <x v="48"/>
    <d v="2025-02-19T00:00:00"/>
    <x v="3"/>
    <x v="0"/>
    <x v="1"/>
    <x v="0"/>
    <x v="11"/>
    <n v="1"/>
    <x v="7"/>
    <x v="3"/>
    <n v="1"/>
    <n v="60.7"/>
    <n v="60.7"/>
  </r>
  <r>
    <x v="1236"/>
    <x v="17"/>
    <x v="48"/>
    <d v="2025-02-20T00:00:00"/>
    <x v="0"/>
    <x v="0"/>
    <x v="0"/>
    <x v="0"/>
    <x v="11"/>
    <n v="2"/>
    <x v="7"/>
    <x v="0"/>
    <n v="4"/>
    <n v="87.4"/>
    <n v="349.6"/>
  </r>
  <r>
    <x v="1237"/>
    <x v="4"/>
    <x v="48"/>
    <d v="2025-02-22T00:00:00"/>
    <x v="2"/>
    <x v="2"/>
    <x v="2"/>
    <x v="0"/>
    <x v="19"/>
    <n v="4"/>
    <x v="7"/>
    <x v="2"/>
    <n v="7"/>
    <n v="44.5"/>
    <n v="311.5"/>
  </r>
  <r>
    <x v="1238"/>
    <x v="2"/>
    <x v="48"/>
    <d v="2025-02-19T00:00:00"/>
    <x v="1"/>
    <x v="4"/>
    <x v="2"/>
    <x v="0"/>
    <x v="19"/>
    <n v="1"/>
    <x v="7"/>
    <x v="1"/>
    <n v="1"/>
    <n v="141"/>
    <n v="141"/>
  </r>
  <r>
    <x v="1239"/>
    <x v="0"/>
    <x v="48"/>
    <d v="2025-02-26T00:00:00"/>
    <x v="2"/>
    <x v="0"/>
    <x v="0"/>
    <x v="0"/>
    <x v="20"/>
    <n v="8"/>
    <x v="7"/>
    <x v="2"/>
    <n v="3"/>
    <n v="16.7"/>
    <n v="50.099999999999994"/>
  </r>
  <r>
    <x v="1240"/>
    <x v="1"/>
    <x v="48"/>
    <d v="2025-02-19T00:00:00"/>
    <x v="0"/>
    <x v="2"/>
    <x v="2"/>
    <x v="0"/>
    <x v="13"/>
    <n v="1"/>
    <x v="7"/>
    <x v="0"/>
    <n v="2"/>
    <n v="77.5"/>
    <n v="155"/>
  </r>
  <r>
    <x v="1241"/>
    <x v="2"/>
    <x v="48"/>
    <d v="2025-02-24T00:00:00"/>
    <x v="2"/>
    <x v="4"/>
    <x v="0"/>
    <x v="0"/>
    <x v="21"/>
    <n v="6"/>
    <x v="7"/>
    <x v="2"/>
    <n v="2"/>
    <n v="163"/>
    <n v="326"/>
  </r>
  <r>
    <x v="1242"/>
    <x v="4"/>
    <x v="48"/>
    <d v="2025-02-21T00:00:00"/>
    <x v="2"/>
    <x v="0"/>
    <x v="0"/>
    <x v="0"/>
    <x v="51"/>
    <n v="3"/>
    <x v="7"/>
    <x v="2"/>
    <n v="9"/>
    <n v="21.4"/>
    <n v="192.6"/>
  </r>
  <r>
    <x v="1243"/>
    <x v="10"/>
    <x v="48"/>
    <d v="2025-02-20T00:00:00"/>
    <x v="2"/>
    <x v="3"/>
    <x v="2"/>
    <x v="0"/>
    <x v="1"/>
    <n v="2"/>
    <x v="7"/>
    <x v="2"/>
    <n v="11"/>
    <n v="31"/>
    <n v="341"/>
  </r>
  <r>
    <x v="1244"/>
    <x v="7"/>
    <x v="48"/>
    <d v="2025-02-20T00:00:00"/>
    <x v="2"/>
    <x v="0"/>
    <x v="3"/>
    <x v="0"/>
    <x v="1"/>
    <n v="2"/>
    <x v="7"/>
    <x v="2"/>
    <n v="2"/>
    <n v="34.299999999999997"/>
    <n v="68.599999999999994"/>
  </r>
  <r>
    <x v="1245"/>
    <x v="17"/>
    <x v="48"/>
    <d v="2025-02-19T00:00:00"/>
    <x v="1"/>
    <x v="1"/>
    <x v="1"/>
    <x v="0"/>
    <x v="2"/>
    <n v="1"/>
    <x v="7"/>
    <x v="1"/>
    <n v="5"/>
    <n v="48.2"/>
    <n v="241"/>
  </r>
  <r>
    <x v="1246"/>
    <x v="10"/>
    <x v="48"/>
    <d v="2025-02-19T00:00:00"/>
    <x v="1"/>
    <x v="0"/>
    <x v="0"/>
    <x v="0"/>
    <x v="3"/>
    <n v="1"/>
    <x v="7"/>
    <x v="1"/>
    <n v="1"/>
    <n v="51.4"/>
    <n v="51.4"/>
  </r>
  <r>
    <x v="1247"/>
    <x v="2"/>
    <x v="48"/>
    <d v="2025-02-21T00:00:00"/>
    <x v="2"/>
    <x v="4"/>
    <x v="4"/>
    <x v="0"/>
    <x v="3"/>
    <n v="3"/>
    <x v="7"/>
    <x v="2"/>
    <n v="5"/>
    <n v="117.2"/>
    <n v="586"/>
  </r>
  <r>
    <x v="1248"/>
    <x v="8"/>
    <x v="48"/>
    <d v="2025-02-18T00:00:00"/>
    <x v="1"/>
    <x v="4"/>
    <x v="1"/>
    <x v="0"/>
    <x v="3"/>
    <n v="0"/>
    <x v="7"/>
    <x v="1"/>
    <n v="1"/>
    <n v="38.1"/>
    <n v="38.1"/>
  </r>
  <r>
    <x v="1249"/>
    <x v="0"/>
    <x v="48"/>
    <d v="2025-02-20T00:00:00"/>
    <x v="2"/>
    <x v="2"/>
    <x v="0"/>
    <x v="0"/>
    <x v="3"/>
    <n v="2"/>
    <x v="7"/>
    <x v="2"/>
    <n v="2"/>
    <n v="44.1"/>
    <n v="88.2"/>
  </r>
  <r>
    <x v="1250"/>
    <x v="15"/>
    <x v="48"/>
    <d v="2025-02-23T00:00:00"/>
    <x v="1"/>
    <x v="0"/>
    <x v="0"/>
    <x v="0"/>
    <x v="3"/>
    <n v="5"/>
    <x v="7"/>
    <x v="1"/>
    <n v="4"/>
    <n v="80.5"/>
    <n v="322"/>
  </r>
  <r>
    <x v="1251"/>
    <x v="18"/>
    <x v="48"/>
    <d v="2025-02-23T00:00:00"/>
    <x v="0"/>
    <x v="0"/>
    <x v="2"/>
    <x v="0"/>
    <x v="3"/>
    <n v="5"/>
    <x v="7"/>
    <x v="0"/>
    <n v="4"/>
    <n v="33.6"/>
    <n v="134.4"/>
  </r>
  <r>
    <x v="1252"/>
    <x v="9"/>
    <x v="48"/>
    <d v="2025-02-19T00:00:00"/>
    <x v="2"/>
    <x v="0"/>
    <x v="1"/>
    <x v="0"/>
    <x v="3"/>
    <n v="1"/>
    <x v="7"/>
    <x v="2"/>
    <n v="9"/>
    <n v="41.8"/>
    <n v="376.2"/>
  </r>
  <r>
    <x v="1253"/>
    <x v="1"/>
    <x v="48"/>
    <d v="2025-02-18T00:00:00"/>
    <x v="2"/>
    <x v="4"/>
    <x v="2"/>
    <x v="0"/>
    <x v="3"/>
    <n v="0"/>
    <x v="7"/>
    <x v="2"/>
    <n v="2"/>
    <n v="106.2"/>
    <n v="212.4"/>
  </r>
  <r>
    <x v="1254"/>
    <x v="1"/>
    <x v="48"/>
    <d v="2025-02-19T00:00:00"/>
    <x v="2"/>
    <x v="0"/>
    <x v="2"/>
    <x v="0"/>
    <x v="5"/>
    <n v="1"/>
    <x v="7"/>
    <x v="2"/>
    <n v="2"/>
    <n v="52.6"/>
    <n v="105.2"/>
  </r>
  <r>
    <x v="1255"/>
    <x v="11"/>
    <x v="48"/>
    <d v="2025-02-19T00:00:00"/>
    <x v="2"/>
    <x v="1"/>
    <x v="0"/>
    <x v="0"/>
    <x v="5"/>
    <n v="1"/>
    <x v="7"/>
    <x v="2"/>
    <n v="7"/>
    <n v="68.5"/>
    <n v="479.5"/>
  </r>
  <r>
    <x v="1256"/>
    <x v="1"/>
    <x v="48"/>
    <d v="2025-02-20T00:00:00"/>
    <x v="1"/>
    <x v="1"/>
    <x v="2"/>
    <x v="0"/>
    <x v="6"/>
    <n v="2"/>
    <x v="7"/>
    <x v="1"/>
    <n v="2"/>
    <n v="55.6"/>
    <n v="111.2"/>
  </r>
  <r>
    <x v="1257"/>
    <x v="2"/>
    <x v="48"/>
    <d v="2025-02-19T00:00:00"/>
    <x v="1"/>
    <x v="1"/>
    <x v="1"/>
    <x v="0"/>
    <x v="6"/>
    <n v="1"/>
    <x v="7"/>
    <x v="1"/>
    <n v="3"/>
    <n v="134.9"/>
    <n v="404.70000000000005"/>
  </r>
  <r>
    <x v="1258"/>
    <x v="10"/>
    <x v="48"/>
    <d v="2025-02-19T00:00:00"/>
    <x v="1"/>
    <x v="0"/>
    <x v="0"/>
    <x v="0"/>
    <x v="6"/>
    <n v="1"/>
    <x v="7"/>
    <x v="1"/>
    <n v="5"/>
    <n v="42.6"/>
    <n v="213"/>
  </r>
  <r>
    <x v="1259"/>
    <x v="7"/>
    <x v="48"/>
    <d v="2025-02-20T00:00:00"/>
    <x v="1"/>
    <x v="4"/>
    <x v="0"/>
    <x v="0"/>
    <x v="6"/>
    <n v="2"/>
    <x v="7"/>
    <x v="1"/>
    <n v="5"/>
    <n v="60.6"/>
    <n v="303"/>
  </r>
  <r>
    <x v="1260"/>
    <x v="8"/>
    <x v="48"/>
    <d v="2025-02-19T00:00:00"/>
    <x v="1"/>
    <x v="4"/>
    <x v="0"/>
    <x v="0"/>
    <x v="7"/>
    <n v="1"/>
    <x v="7"/>
    <x v="1"/>
    <n v="2"/>
    <n v="43.5"/>
    <n v="87"/>
  </r>
  <r>
    <x v="1261"/>
    <x v="2"/>
    <x v="48"/>
    <d v="2025-02-19T00:00:00"/>
    <x v="1"/>
    <x v="1"/>
    <x v="2"/>
    <x v="0"/>
    <x v="8"/>
    <n v="1"/>
    <x v="7"/>
    <x v="1"/>
    <n v="2"/>
    <n v="187.1"/>
    <n v="374.2"/>
  </r>
  <r>
    <x v="1262"/>
    <x v="9"/>
    <x v="48"/>
    <d v="2025-02-20T00:00:00"/>
    <x v="1"/>
    <x v="0"/>
    <x v="0"/>
    <x v="0"/>
    <x v="8"/>
    <n v="2"/>
    <x v="7"/>
    <x v="1"/>
    <n v="3"/>
    <n v="32"/>
    <n v="96"/>
  </r>
  <r>
    <x v="1263"/>
    <x v="9"/>
    <x v="48"/>
    <d v="2025-02-18T00:00:00"/>
    <x v="1"/>
    <x v="0"/>
    <x v="2"/>
    <x v="0"/>
    <x v="8"/>
    <n v="0"/>
    <x v="7"/>
    <x v="1"/>
    <n v="2"/>
    <n v="110.8"/>
    <n v="221.6"/>
  </r>
  <r>
    <x v="1264"/>
    <x v="10"/>
    <x v="48"/>
    <d v="2025-02-21T00:00:00"/>
    <x v="2"/>
    <x v="0"/>
    <x v="1"/>
    <x v="0"/>
    <x v="8"/>
    <n v="3"/>
    <x v="7"/>
    <x v="2"/>
    <n v="13"/>
    <n v="36.1"/>
    <n v="469.3"/>
  </r>
  <r>
    <x v="1265"/>
    <x v="0"/>
    <x v="48"/>
    <d v="2025-02-20T00:00:00"/>
    <x v="2"/>
    <x v="4"/>
    <x v="2"/>
    <x v="0"/>
    <x v="8"/>
    <n v="2"/>
    <x v="7"/>
    <x v="2"/>
    <n v="1"/>
    <n v="24.1"/>
    <n v="24.1"/>
  </r>
  <r>
    <x v="1266"/>
    <x v="19"/>
    <x v="48"/>
    <d v="2025-02-20T00:00:00"/>
    <x v="1"/>
    <x v="1"/>
    <x v="0"/>
    <x v="0"/>
    <x v="8"/>
    <n v="2"/>
    <x v="7"/>
    <x v="1"/>
    <n v="3"/>
    <n v="30.5"/>
    <n v="91.5"/>
  </r>
  <r>
    <x v="1267"/>
    <x v="18"/>
    <x v="48"/>
    <d v="2025-02-21T00:00:00"/>
    <x v="1"/>
    <x v="0"/>
    <x v="0"/>
    <x v="0"/>
    <x v="8"/>
    <n v="3"/>
    <x v="7"/>
    <x v="1"/>
    <n v="6"/>
    <n v="68.3"/>
    <n v="409.79999999999995"/>
  </r>
  <r>
    <x v="1268"/>
    <x v="7"/>
    <x v="48"/>
    <d v="2025-02-22T00:00:00"/>
    <x v="2"/>
    <x v="0"/>
    <x v="0"/>
    <x v="0"/>
    <x v="17"/>
    <n v="4"/>
    <x v="7"/>
    <x v="2"/>
    <n v="3"/>
    <n v="43.3"/>
    <n v="129.89999999999998"/>
  </r>
  <r>
    <x v="1269"/>
    <x v="3"/>
    <x v="48"/>
    <d v="2025-02-21T00:00:00"/>
    <x v="2"/>
    <x v="0"/>
    <x v="1"/>
    <x v="0"/>
    <x v="17"/>
    <n v="3"/>
    <x v="7"/>
    <x v="2"/>
    <n v="1"/>
    <n v="101.7"/>
    <n v="101.7"/>
  </r>
  <r>
    <x v="1270"/>
    <x v="11"/>
    <x v="48"/>
    <d v="2025-02-19T00:00:00"/>
    <x v="2"/>
    <x v="0"/>
    <x v="1"/>
    <x v="0"/>
    <x v="17"/>
    <n v="1"/>
    <x v="7"/>
    <x v="2"/>
    <n v="2"/>
    <n v="54.2"/>
    <n v="108.4"/>
  </r>
  <r>
    <x v="1271"/>
    <x v="16"/>
    <x v="48"/>
    <d v="2025-02-18T00:00:00"/>
    <x v="1"/>
    <x v="1"/>
    <x v="0"/>
    <x v="0"/>
    <x v="26"/>
    <n v="0"/>
    <x v="7"/>
    <x v="1"/>
    <n v="2"/>
    <n v="51"/>
    <n v="102"/>
  </r>
  <r>
    <x v="1272"/>
    <x v="4"/>
    <x v="48"/>
    <d v="2025-02-21T00:00:00"/>
    <x v="1"/>
    <x v="1"/>
    <x v="0"/>
    <x v="0"/>
    <x v="10"/>
    <n v="3"/>
    <x v="7"/>
    <x v="1"/>
    <n v="2"/>
    <n v="23.1"/>
    <n v="46.2"/>
  </r>
  <r>
    <x v="1273"/>
    <x v="12"/>
    <x v="48"/>
    <d v="2025-02-18T00:00:00"/>
    <x v="2"/>
    <x v="3"/>
    <x v="0"/>
    <x v="0"/>
    <x v="11"/>
    <n v="0"/>
    <x v="7"/>
    <x v="2"/>
    <n v="6"/>
    <n v="60.1"/>
    <n v="360.6"/>
  </r>
  <r>
    <x v="1274"/>
    <x v="2"/>
    <x v="48"/>
    <d v="2025-02-20T00:00:00"/>
    <x v="2"/>
    <x v="0"/>
    <x v="1"/>
    <x v="0"/>
    <x v="11"/>
    <n v="2"/>
    <x v="7"/>
    <x v="2"/>
    <n v="7"/>
    <n v="87.5"/>
    <n v="612.5"/>
  </r>
  <r>
    <x v="1275"/>
    <x v="1"/>
    <x v="48"/>
    <d v="2025-02-19T00:00:00"/>
    <x v="2"/>
    <x v="1"/>
    <x v="0"/>
    <x v="0"/>
    <x v="11"/>
    <n v="1"/>
    <x v="7"/>
    <x v="2"/>
    <n v="3"/>
    <n v="51"/>
    <n v="153"/>
  </r>
  <r>
    <x v="1276"/>
    <x v="8"/>
    <x v="48"/>
    <d v="2025-02-20T00:00:00"/>
    <x v="2"/>
    <x v="0"/>
    <x v="0"/>
    <x v="0"/>
    <x v="11"/>
    <n v="2"/>
    <x v="7"/>
    <x v="2"/>
    <n v="4"/>
    <n v="19.2"/>
    <n v="76.8"/>
  </r>
  <r>
    <x v="1277"/>
    <x v="5"/>
    <x v="48"/>
    <d v="2025-02-19T00:00:00"/>
    <x v="0"/>
    <x v="3"/>
    <x v="2"/>
    <x v="0"/>
    <x v="11"/>
    <n v="1"/>
    <x v="7"/>
    <x v="0"/>
    <n v="8"/>
    <n v="26.5"/>
    <n v="212"/>
  </r>
  <r>
    <x v="1278"/>
    <x v="2"/>
    <x v="48"/>
    <d v="2025-02-19T00:00:00"/>
    <x v="2"/>
    <x v="1"/>
    <x v="4"/>
    <x v="0"/>
    <x v="53"/>
    <n v="1"/>
    <x v="7"/>
    <x v="2"/>
    <n v="2"/>
    <n v="220.3"/>
    <n v="440.6"/>
  </r>
  <r>
    <x v="1279"/>
    <x v="8"/>
    <x v="48"/>
    <d v="2025-02-19T00:00:00"/>
    <x v="2"/>
    <x v="4"/>
    <x v="0"/>
    <x v="0"/>
    <x v="30"/>
    <n v="1"/>
    <x v="7"/>
    <x v="2"/>
    <n v="3"/>
    <n v="45.7"/>
    <n v="137.10000000000002"/>
  </r>
  <r>
    <x v="1280"/>
    <x v="5"/>
    <x v="48"/>
    <d v="2025-02-22T00:00:00"/>
    <x v="2"/>
    <x v="3"/>
    <x v="0"/>
    <x v="0"/>
    <x v="13"/>
    <n v="4"/>
    <x v="7"/>
    <x v="2"/>
    <n v="5"/>
    <n v="47.1"/>
    <n v="235.5"/>
  </r>
  <r>
    <x v="1281"/>
    <x v="1"/>
    <x v="48"/>
    <d v="2025-02-19T00:00:00"/>
    <x v="2"/>
    <x v="0"/>
    <x v="2"/>
    <x v="0"/>
    <x v="21"/>
    <n v="1"/>
    <x v="7"/>
    <x v="2"/>
    <n v="5"/>
    <n v="81.7"/>
    <n v="408.5"/>
  </r>
  <r>
    <x v="1282"/>
    <x v="6"/>
    <x v="48"/>
    <d v="2025-02-18T00:00:00"/>
    <x v="1"/>
    <x v="1"/>
    <x v="1"/>
    <x v="0"/>
    <x v="21"/>
    <n v="0"/>
    <x v="7"/>
    <x v="1"/>
    <n v="10"/>
    <n v="97.8"/>
    <n v="978"/>
  </r>
  <r>
    <x v="1283"/>
    <x v="6"/>
    <x v="48"/>
    <d v="2025-02-19T00:00:00"/>
    <x v="2"/>
    <x v="0"/>
    <x v="2"/>
    <x v="0"/>
    <x v="54"/>
    <n v="1"/>
    <x v="7"/>
    <x v="2"/>
    <n v="3"/>
    <n v="42.4"/>
    <n v="127.19999999999999"/>
  </r>
  <r>
    <x v="1284"/>
    <x v="2"/>
    <x v="48"/>
    <d v="2025-02-19T00:00:00"/>
    <x v="1"/>
    <x v="2"/>
    <x v="1"/>
    <x v="0"/>
    <x v="1"/>
    <n v="1"/>
    <x v="7"/>
    <x v="1"/>
    <n v="10"/>
    <n v="74.5"/>
    <n v="745"/>
  </r>
  <r>
    <x v="1285"/>
    <x v="17"/>
    <x v="48"/>
    <d v="2025-02-19T00:00:00"/>
    <x v="1"/>
    <x v="1"/>
    <x v="0"/>
    <x v="0"/>
    <x v="1"/>
    <n v="1"/>
    <x v="7"/>
    <x v="1"/>
    <n v="6"/>
    <n v="47.4"/>
    <n v="284.39999999999998"/>
  </r>
  <r>
    <x v="1286"/>
    <x v="14"/>
    <x v="49"/>
    <d v="2025-02-22T00:00:00"/>
    <x v="1"/>
    <x v="2"/>
    <x v="2"/>
    <x v="0"/>
    <x v="1"/>
    <n v="3"/>
    <x v="7"/>
    <x v="1"/>
    <n v="3"/>
    <n v="17.3"/>
    <n v="51.900000000000006"/>
  </r>
  <r>
    <x v="1287"/>
    <x v="12"/>
    <x v="49"/>
    <d v="2025-02-20T00:00:00"/>
    <x v="1"/>
    <x v="1"/>
    <x v="0"/>
    <x v="0"/>
    <x v="2"/>
    <n v="1"/>
    <x v="7"/>
    <x v="1"/>
    <n v="4"/>
    <n v="77.900000000000006"/>
    <n v="311.60000000000002"/>
  </r>
  <r>
    <x v="1288"/>
    <x v="8"/>
    <x v="49"/>
    <d v="2025-02-22T00:00:00"/>
    <x v="1"/>
    <x v="0"/>
    <x v="2"/>
    <x v="0"/>
    <x v="50"/>
    <n v="3"/>
    <x v="7"/>
    <x v="1"/>
    <n v="1"/>
    <n v="29.1"/>
    <n v="29.1"/>
  </r>
  <r>
    <x v="1289"/>
    <x v="8"/>
    <x v="49"/>
    <d v="2025-02-20T00:00:00"/>
    <x v="1"/>
    <x v="1"/>
    <x v="0"/>
    <x v="0"/>
    <x v="3"/>
    <n v="1"/>
    <x v="7"/>
    <x v="1"/>
    <n v="1"/>
    <n v="49"/>
    <n v="49"/>
  </r>
  <r>
    <x v="1290"/>
    <x v="8"/>
    <x v="49"/>
    <d v="2025-02-26T00:00:00"/>
    <x v="1"/>
    <x v="0"/>
    <x v="2"/>
    <x v="0"/>
    <x v="3"/>
    <n v="7"/>
    <x v="7"/>
    <x v="1"/>
    <n v="6"/>
    <n v="21.1"/>
    <n v="126.60000000000001"/>
  </r>
  <r>
    <x v="1291"/>
    <x v="4"/>
    <x v="49"/>
    <d v="2025-02-19T00:00:00"/>
    <x v="2"/>
    <x v="0"/>
    <x v="0"/>
    <x v="0"/>
    <x v="3"/>
    <n v="0"/>
    <x v="7"/>
    <x v="2"/>
    <n v="19"/>
    <n v="36.9"/>
    <n v="701.1"/>
  </r>
  <r>
    <x v="1292"/>
    <x v="1"/>
    <x v="49"/>
    <d v="2025-02-24T00:00:00"/>
    <x v="1"/>
    <x v="4"/>
    <x v="2"/>
    <x v="0"/>
    <x v="3"/>
    <n v="5"/>
    <x v="7"/>
    <x v="1"/>
    <n v="10"/>
    <n v="92.6"/>
    <n v="926"/>
  </r>
  <r>
    <x v="1293"/>
    <x v="10"/>
    <x v="49"/>
    <d v="2025-02-20T00:00:00"/>
    <x v="1"/>
    <x v="1"/>
    <x v="1"/>
    <x v="0"/>
    <x v="3"/>
    <n v="1"/>
    <x v="7"/>
    <x v="1"/>
    <n v="2"/>
    <n v="38"/>
    <n v="76"/>
  </r>
  <r>
    <x v="1294"/>
    <x v="5"/>
    <x v="49"/>
    <d v="2025-02-23T00:00:00"/>
    <x v="0"/>
    <x v="0"/>
    <x v="1"/>
    <x v="0"/>
    <x v="3"/>
    <n v="4"/>
    <x v="7"/>
    <x v="0"/>
    <n v="3"/>
    <n v="54.8"/>
    <n v="164.39999999999998"/>
  </r>
  <r>
    <x v="1295"/>
    <x v="10"/>
    <x v="49"/>
    <d v="2025-02-21T00:00:00"/>
    <x v="1"/>
    <x v="1"/>
    <x v="0"/>
    <x v="0"/>
    <x v="3"/>
    <n v="2"/>
    <x v="7"/>
    <x v="1"/>
    <n v="12"/>
    <n v="56.8"/>
    <n v="681.59999999999991"/>
  </r>
  <r>
    <x v="1296"/>
    <x v="11"/>
    <x v="49"/>
    <d v="2025-02-22T00:00:00"/>
    <x v="2"/>
    <x v="1"/>
    <x v="0"/>
    <x v="0"/>
    <x v="3"/>
    <n v="3"/>
    <x v="7"/>
    <x v="2"/>
    <n v="33"/>
    <n v="47.2"/>
    <n v="1557.6000000000001"/>
  </r>
  <r>
    <x v="1297"/>
    <x v="7"/>
    <x v="49"/>
    <d v="2025-02-20T00:00:00"/>
    <x v="2"/>
    <x v="2"/>
    <x v="0"/>
    <x v="0"/>
    <x v="43"/>
    <n v="1"/>
    <x v="7"/>
    <x v="2"/>
    <n v="6"/>
    <n v="45.1"/>
    <n v="270.60000000000002"/>
  </r>
  <r>
    <x v="1298"/>
    <x v="4"/>
    <x v="49"/>
    <d v="2025-02-24T00:00:00"/>
    <x v="2"/>
    <x v="2"/>
    <x v="0"/>
    <x v="0"/>
    <x v="16"/>
    <n v="5"/>
    <x v="7"/>
    <x v="2"/>
    <n v="12"/>
    <n v="25.2"/>
    <n v="302.39999999999998"/>
  </r>
  <r>
    <x v="1299"/>
    <x v="8"/>
    <x v="49"/>
    <d v="2025-02-20T00:00:00"/>
    <x v="2"/>
    <x v="0"/>
    <x v="0"/>
    <x v="0"/>
    <x v="5"/>
    <n v="1"/>
    <x v="7"/>
    <x v="2"/>
    <n v="1"/>
    <n v="22"/>
    <n v="22"/>
  </r>
  <r>
    <x v="1300"/>
    <x v="6"/>
    <x v="49"/>
    <d v="2025-02-20T00:00:00"/>
    <x v="2"/>
    <x v="1"/>
    <x v="1"/>
    <x v="0"/>
    <x v="23"/>
    <n v="1"/>
    <x v="7"/>
    <x v="2"/>
    <n v="2"/>
    <n v="42.2"/>
    <n v="84.4"/>
  </r>
  <r>
    <x v="1301"/>
    <x v="13"/>
    <x v="49"/>
    <d v="2025-02-20T00:00:00"/>
    <x v="1"/>
    <x v="0"/>
    <x v="1"/>
    <x v="0"/>
    <x v="6"/>
    <n v="1"/>
    <x v="7"/>
    <x v="1"/>
    <n v="3"/>
    <n v="20.5"/>
    <n v="61.5"/>
  </r>
  <r>
    <x v="1302"/>
    <x v="2"/>
    <x v="49"/>
    <d v="2025-02-24T00:00:00"/>
    <x v="1"/>
    <x v="1"/>
    <x v="4"/>
    <x v="0"/>
    <x v="6"/>
    <n v="5"/>
    <x v="7"/>
    <x v="1"/>
    <n v="1"/>
    <n v="190.4"/>
    <n v="190.4"/>
  </r>
  <r>
    <x v="1303"/>
    <x v="2"/>
    <x v="49"/>
    <d v="2025-02-21T00:00:00"/>
    <x v="2"/>
    <x v="1"/>
    <x v="2"/>
    <x v="0"/>
    <x v="6"/>
    <n v="2"/>
    <x v="7"/>
    <x v="2"/>
    <n v="1"/>
    <n v="121.9"/>
    <n v="121.9"/>
  </r>
  <r>
    <x v="1304"/>
    <x v="2"/>
    <x v="49"/>
    <d v="2025-02-20T00:00:00"/>
    <x v="2"/>
    <x v="2"/>
    <x v="2"/>
    <x v="0"/>
    <x v="7"/>
    <n v="1"/>
    <x v="7"/>
    <x v="2"/>
    <n v="6"/>
    <n v="149.19999999999999"/>
    <n v="895.19999999999993"/>
  </r>
  <r>
    <x v="1305"/>
    <x v="2"/>
    <x v="49"/>
    <d v="2025-02-28T00:00:00"/>
    <x v="2"/>
    <x v="2"/>
    <x v="2"/>
    <x v="0"/>
    <x v="7"/>
    <n v="9"/>
    <x v="7"/>
    <x v="2"/>
    <n v="1"/>
    <n v="54.1"/>
    <n v="54.1"/>
  </r>
  <r>
    <x v="1306"/>
    <x v="5"/>
    <x v="49"/>
    <d v="2025-02-21T00:00:00"/>
    <x v="1"/>
    <x v="1"/>
    <x v="0"/>
    <x v="0"/>
    <x v="8"/>
    <n v="2"/>
    <x v="7"/>
    <x v="1"/>
    <n v="2"/>
    <n v="27.4"/>
    <n v="54.8"/>
  </r>
  <r>
    <x v="1307"/>
    <x v="0"/>
    <x v="49"/>
    <d v="2025-02-20T00:00:00"/>
    <x v="2"/>
    <x v="0"/>
    <x v="2"/>
    <x v="0"/>
    <x v="8"/>
    <n v="1"/>
    <x v="7"/>
    <x v="2"/>
    <n v="13"/>
    <n v="30.4"/>
    <n v="395.2"/>
  </r>
  <r>
    <x v="1308"/>
    <x v="12"/>
    <x v="49"/>
    <d v="2025-02-21T00:00:00"/>
    <x v="1"/>
    <x v="2"/>
    <x v="1"/>
    <x v="0"/>
    <x v="17"/>
    <n v="2"/>
    <x v="7"/>
    <x v="1"/>
    <n v="3"/>
    <n v="46.2"/>
    <n v="138.60000000000002"/>
  </r>
  <r>
    <x v="1309"/>
    <x v="7"/>
    <x v="49"/>
    <d v="2025-02-23T00:00:00"/>
    <x v="1"/>
    <x v="3"/>
    <x v="0"/>
    <x v="0"/>
    <x v="17"/>
    <n v="4"/>
    <x v="7"/>
    <x v="1"/>
    <n v="8"/>
    <n v="78.599999999999994"/>
    <n v="628.79999999999995"/>
  </r>
  <r>
    <x v="1310"/>
    <x v="17"/>
    <x v="49"/>
    <d v="2025-02-25T00:00:00"/>
    <x v="1"/>
    <x v="4"/>
    <x v="0"/>
    <x v="0"/>
    <x v="9"/>
    <n v="6"/>
    <x v="7"/>
    <x v="1"/>
    <n v="10"/>
    <n v="25.9"/>
    <n v="259"/>
  </r>
  <r>
    <x v="1311"/>
    <x v="6"/>
    <x v="49"/>
    <d v="2025-02-21T00:00:00"/>
    <x v="1"/>
    <x v="2"/>
    <x v="2"/>
    <x v="0"/>
    <x v="9"/>
    <n v="2"/>
    <x v="7"/>
    <x v="1"/>
    <n v="1"/>
    <n v="134.80000000000001"/>
    <n v="134.80000000000001"/>
  </r>
  <r>
    <x v="1312"/>
    <x v="15"/>
    <x v="49"/>
    <d v="2025-02-21T00:00:00"/>
    <x v="2"/>
    <x v="0"/>
    <x v="0"/>
    <x v="0"/>
    <x v="11"/>
    <n v="2"/>
    <x v="7"/>
    <x v="2"/>
    <n v="5"/>
    <n v="43.1"/>
    <n v="215.5"/>
  </r>
  <r>
    <x v="1313"/>
    <x v="2"/>
    <x v="49"/>
    <d v="2025-02-20T00:00:00"/>
    <x v="2"/>
    <x v="2"/>
    <x v="0"/>
    <x v="0"/>
    <x v="18"/>
    <n v="1"/>
    <x v="7"/>
    <x v="2"/>
    <n v="2"/>
    <n v="215.6"/>
    <n v="431.2"/>
  </r>
  <r>
    <x v="1314"/>
    <x v="6"/>
    <x v="49"/>
    <d v="2025-02-22T00:00:00"/>
    <x v="2"/>
    <x v="3"/>
    <x v="0"/>
    <x v="0"/>
    <x v="18"/>
    <n v="3"/>
    <x v="7"/>
    <x v="2"/>
    <n v="2"/>
    <n v="80.7"/>
    <n v="161.4"/>
  </r>
  <r>
    <x v="1315"/>
    <x v="10"/>
    <x v="49"/>
    <d v="2025-02-24T00:00:00"/>
    <x v="0"/>
    <x v="2"/>
    <x v="1"/>
    <x v="0"/>
    <x v="19"/>
    <n v="5"/>
    <x v="7"/>
    <x v="0"/>
    <n v="7"/>
    <n v="20.6"/>
    <n v="144.20000000000002"/>
  </r>
  <r>
    <x v="1316"/>
    <x v="12"/>
    <x v="49"/>
    <d v="2025-02-20T00:00:00"/>
    <x v="2"/>
    <x v="0"/>
    <x v="0"/>
    <x v="0"/>
    <x v="52"/>
    <n v="1"/>
    <x v="7"/>
    <x v="2"/>
    <n v="3"/>
    <n v="37.1"/>
    <n v="111.30000000000001"/>
  </r>
  <r>
    <x v="1317"/>
    <x v="12"/>
    <x v="50"/>
    <d v="2025-02-22T00:00:00"/>
    <x v="2"/>
    <x v="0"/>
    <x v="0"/>
    <x v="0"/>
    <x v="13"/>
    <n v="2"/>
    <x v="7"/>
    <x v="2"/>
    <n v="1"/>
    <n v="104.8"/>
    <n v="104.8"/>
  </r>
  <r>
    <x v="1318"/>
    <x v="8"/>
    <x v="50"/>
    <d v="2025-02-21T00:00:00"/>
    <x v="1"/>
    <x v="1"/>
    <x v="0"/>
    <x v="0"/>
    <x v="21"/>
    <n v="1"/>
    <x v="7"/>
    <x v="1"/>
    <n v="2"/>
    <n v="59"/>
    <n v="118"/>
  </r>
  <r>
    <x v="1319"/>
    <x v="8"/>
    <x v="50"/>
    <d v="2025-02-21T00:00:00"/>
    <x v="1"/>
    <x v="0"/>
    <x v="2"/>
    <x v="0"/>
    <x v="21"/>
    <n v="1"/>
    <x v="7"/>
    <x v="1"/>
    <n v="2"/>
    <n v="32.299999999999997"/>
    <n v="64.599999999999994"/>
  </r>
  <r>
    <x v="1320"/>
    <x v="8"/>
    <x v="50"/>
    <d v="2025-02-27T00:00:00"/>
    <x v="1"/>
    <x v="0"/>
    <x v="0"/>
    <x v="0"/>
    <x v="1"/>
    <n v="7"/>
    <x v="7"/>
    <x v="1"/>
    <n v="4"/>
    <n v="28.9"/>
    <n v="115.6"/>
  </r>
  <r>
    <x v="1321"/>
    <x v="0"/>
    <x v="50"/>
    <d v="2025-02-22T00:00:00"/>
    <x v="1"/>
    <x v="0"/>
    <x v="0"/>
    <x v="0"/>
    <x v="1"/>
    <n v="2"/>
    <x v="7"/>
    <x v="1"/>
    <n v="2"/>
    <n v="29.6"/>
    <n v="59.2"/>
  </r>
  <r>
    <x v="1322"/>
    <x v="0"/>
    <x v="50"/>
    <d v="2025-02-23T00:00:00"/>
    <x v="2"/>
    <x v="0"/>
    <x v="0"/>
    <x v="0"/>
    <x v="1"/>
    <n v="3"/>
    <x v="7"/>
    <x v="2"/>
    <n v="5"/>
    <n v="29.4"/>
    <n v="147"/>
  </r>
  <r>
    <x v="1323"/>
    <x v="1"/>
    <x v="50"/>
    <d v="2025-02-21T00:00:00"/>
    <x v="1"/>
    <x v="0"/>
    <x v="4"/>
    <x v="0"/>
    <x v="2"/>
    <n v="1"/>
    <x v="7"/>
    <x v="1"/>
    <n v="2"/>
    <n v="40.6"/>
    <n v="81.2"/>
  </r>
  <r>
    <x v="1324"/>
    <x v="0"/>
    <x v="50"/>
    <d v="2025-02-21T00:00:00"/>
    <x v="1"/>
    <x v="3"/>
    <x v="2"/>
    <x v="0"/>
    <x v="22"/>
    <n v="1"/>
    <x v="7"/>
    <x v="1"/>
    <n v="3"/>
    <n v="32.5"/>
    <n v="97.5"/>
  </r>
  <r>
    <x v="1325"/>
    <x v="15"/>
    <x v="50"/>
    <d v="2025-02-22T00:00:00"/>
    <x v="1"/>
    <x v="2"/>
    <x v="0"/>
    <x v="0"/>
    <x v="55"/>
    <n v="2"/>
    <x v="7"/>
    <x v="1"/>
    <n v="1"/>
    <n v="26.2"/>
    <n v="26.2"/>
  </r>
  <r>
    <x v="1326"/>
    <x v="10"/>
    <x v="50"/>
    <d v="2025-02-26T00:00:00"/>
    <x v="1"/>
    <x v="4"/>
    <x v="0"/>
    <x v="0"/>
    <x v="3"/>
    <n v="6"/>
    <x v="7"/>
    <x v="1"/>
    <n v="30"/>
    <n v="44"/>
    <n v="1320"/>
  </r>
  <r>
    <x v="1327"/>
    <x v="7"/>
    <x v="50"/>
    <d v="2025-02-21T00:00:00"/>
    <x v="2"/>
    <x v="1"/>
    <x v="1"/>
    <x v="0"/>
    <x v="3"/>
    <n v="1"/>
    <x v="7"/>
    <x v="2"/>
    <n v="4"/>
    <n v="65.599999999999994"/>
    <n v="262.39999999999998"/>
  </r>
  <r>
    <x v="1328"/>
    <x v="5"/>
    <x v="50"/>
    <d v="2025-02-21T00:00:00"/>
    <x v="1"/>
    <x v="4"/>
    <x v="0"/>
    <x v="0"/>
    <x v="3"/>
    <n v="1"/>
    <x v="7"/>
    <x v="1"/>
    <n v="12"/>
    <n v="32.6"/>
    <n v="391.20000000000005"/>
  </r>
  <r>
    <x v="1329"/>
    <x v="16"/>
    <x v="50"/>
    <d v="2025-02-21T00:00:00"/>
    <x v="0"/>
    <x v="3"/>
    <x v="2"/>
    <x v="0"/>
    <x v="3"/>
    <n v="1"/>
    <x v="7"/>
    <x v="0"/>
    <n v="2"/>
    <n v="88.7"/>
    <n v="177.4"/>
  </r>
  <r>
    <x v="1330"/>
    <x v="4"/>
    <x v="50"/>
    <d v="2025-02-21T00:00:00"/>
    <x v="1"/>
    <x v="0"/>
    <x v="0"/>
    <x v="0"/>
    <x v="3"/>
    <n v="1"/>
    <x v="7"/>
    <x v="1"/>
    <n v="2"/>
    <n v="21.3"/>
    <n v="42.6"/>
  </r>
  <r>
    <x v="1331"/>
    <x v="4"/>
    <x v="50"/>
    <d v="2025-02-24T00:00:00"/>
    <x v="2"/>
    <x v="2"/>
    <x v="0"/>
    <x v="0"/>
    <x v="3"/>
    <n v="4"/>
    <x v="7"/>
    <x v="2"/>
    <n v="6"/>
    <n v="50.6"/>
    <n v="303.60000000000002"/>
  </r>
  <r>
    <x v="1332"/>
    <x v="9"/>
    <x v="50"/>
    <d v="2025-02-23T00:00:00"/>
    <x v="2"/>
    <x v="0"/>
    <x v="1"/>
    <x v="0"/>
    <x v="3"/>
    <n v="3"/>
    <x v="7"/>
    <x v="2"/>
    <n v="21"/>
    <n v="86.9"/>
    <n v="1824.9"/>
  </r>
  <r>
    <x v="1333"/>
    <x v="11"/>
    <x v="50"/>
    <d v="2025-02-22T00:00:00"/>
    <x v="1"/>
    <x v="0"/>
    <x v="2"/>
    <x v="0"/>
    <x v="3"/>
    <n v="2"/>
    <x v="7"/>
    <x v="1"/>
    <n v="3"/>
    <n v="31.8"/>
    <n v="95.4"/>
  </r>
  <r>
    <x v="1334"/>
    <x v="8"/>
    <x v="50"/>
    <d v="2025-02-21T00:00:00"/>
    <x v="2"/>
    <x v="0"/>
    <x v="2"/>
    <x v="0"/>
    <x v="3"/>
    <n v="1"/>
    <x v="7"/>
    <x v="2"/>
    <n v="1"/>
    <n v="19"/>
    <n v="19"/>
  </r>
  <r>
    <x v="1335"/>
    <x v="5"/>
    <x v="50"/>
    <d v="2025-02-22T00:00:00"/>
    <x v="1"/>
    <x v="0"/>
    <x v="0"/>
    <x v="0"/>
    <x v="3"/>
    <n v="2"/>
    <x v="7"/>
    <x v="1"/>
    <n v="1"/>
    <n v="54.5"/>
    <n v="54.5"/>
  </r>
  <r>
    <x v="1336"/>
    <x v="9"/>
    <x v="50"/>
    <d v="2025-02-22T00:00:00"/>
    <x v="1"/>
    <x v="4"/>
    <x v="1"/>
    <x v="0"/>
    <x v="3"/>
    <n v="2"/>
    <x v="7"/>
    <x v="1"/>
    <n v="5"/>
    <n v="68.900000000000006"/>
    <n v="344.5"/>
  </r>
  <r>
    <x v="1337"/>
    <x v="6"/>
    <x v="50"/>
    <d v="2025-02-21T00:00:00"/>
    <x v="1"/>
    <x v="1"/>
    <x v="4"/>
    <x v="0"/>
    <x v="16"/>
    <n v="1"/>
    <x v="7"/>
    <x v="1"/>
    <n v="3"/>
    <n v="84"/>
    <n v="252"/>
  </r>
  <r>
    <x v="1338"/>
    <x v="15"/>
    <x v="50"/>
    <d v="2025-02-25T00:00:00"/>
    <x v="1"/>
    <x v="0"/>
    <x v="2"/>
    <x v="0"/>
    <x v="23"/>
    <n v="5"/>
    <x v="7"/>
    <x v="1"/>
    <n v="8"/>
    <n v="23.1"/>
    <n v="184.8"/>
  </r>
  <r>
    <x v="1339"/>
    <x v="7"/>
    <x v="50"/>
    <d v="2025-02-21T00:00:00"/>
    <x v="2"/>
    <x v="0"/>
    <x v="1"/>
    <x v="0"/>
    <x v="6"/>
    <n v="1"/>
    <x v="7"/>
    <x v="2"/>
    <n v="2"/>
    <n v="62.4"/>
    <n v="124.8"/>
  </r>
  <r>
    <x v="1340"/>
    <x v="6"/>
    <x v="50"/>
    <d v="2025-02-22T00:00:00"/>
    <x v="1"/>
    <x v="1"/>
    <x v="2"/>
    <x v="0"/>
    <x v="6"/>
    <n v="2"/>
    <x v="7"/>
    <x v="1"/>
    <n v="12"/>
    <n v="40.700000000000003"/>
    <n v="488.40000000000003"/>
  </r>
  <r>
    <x v="1341"/>
    <x v="6"/>
    <x v="50"/>
    <d v="2025-02-23T00:00:00"/>
    <x v="1"/>
    <x v="2"/>
    <x v="0"/>
    <x v="0"/>
    <x v="7"/>
    <n v="3"/>
    <x v="7"/>
    <x v="1"/>
    <n v="1"/>
    <n v="49.6"/>
    <n v="49.6"/>
  </r>
  <r>
    <x v="1342"/>
    <x v="7"/>
    <x v="50"/>
    <d v="2025-02-23T00:00:00"/>
    <x v="1"/>
    <x v="2"/>
    <x v="0"/>
    <x v="0"/>
    <x v="8"/>
    <n v="3"/>
    <x v="7"/>
    <x v="1"/>
    <n v="45"/>
    <n v="66.599999999999994"/>
    <n v="2996.9999999999995"/>
  </r>
  <r>
    <x v="1343"/>
    <x v="8"/>
    <x v="50"/>
    <d v="2025-02-21T00:00:00"/>
    <x v="2"/>
    <x v="1"/>
    <x v="1"/>
    <x v="0"/>
    <x v="8"/>
    <n v="1"/>
    <x v="7"/>
    <x v="2"/>
    <n v="3"/>
    <n v="26.4"/>
    <n v="79.199999999999989"/>
  </r>
  <r>
    <x v="1344"/>
    <x v="0"/>
    <x v="50"/>
    <d v="2025-02-23T00:00:00"/>
    <x v="1"/>
    <x v="2"/>
    <x v="1"/>
    <x v="0"/>
    <x v="8"/>
    <n v="3"/>
    <x v="7"/>
    <x v="1"/>
    <n v="2"/>
    <n v="17.2"/>
    <n v="34.4"/>
  </r>
  <r>
    <x v="1345"/>
    <x v="5"/>
    <x v="50"/>
    <d v="2025-02-23T00:00:00"/>
    <x v="2"/>
    <x v="4"/>
    <x v="0"/>
    <x v="0"/>
    <x v="8"/>
    <n v="3"/>
    <x v="7"/>
    <x v="2"/>
    <n v="8"/>
    <n v="58.1"/>
    <n v="464.8"/>
  </r>
  <r>
    <x v="1346"/>
    <x v="15"/>
    <x v="50"/>
    <d v="2025-02-23T00:00:00"/>
    <x v="2"/>
    <x v="4"/>
    <x v="4"/>
    <x v="0"/>
    <x v="8"/>
    <n v="3"/>
    <x v="7"/>
    <x v="2"/>
    <n v="4"/>
    <n v="31.5"/>
    <n v="126"/>
  </r>
  <r>
    <x v="1347"/>
    <x v="0"/>
    <x v="50"/>
    <d v="2025-02-22T00:00:00"/>
    <x v="2"/>
    <x v="0"/>
    <x v="1"/>
    <x v="0"/>
    <x v="17"/>
    <n v="2"/>
    <x v="7"/>
    <x v="2"/>
    <n v="1"/>
    <n v="27.1"/>
    <n v="27.1"/>
  </r>
  <r>
    <x v="1348"/>
    <x v="18"/>
    <x v="50"/>
    <d v="2025-02-22T00:00:00"/>
    <x v="1"/>
    <x v="1"/>
    <x v="2"/>
    <x v="0"/>
    <x v="9"/>
    <n v="2"/>
    <x v="7"/>
    <x v="1"/>
    <n v="4"/>
    <n v="28.5"/>
    <n v="114"/>
  </r>
  <r>
    <x v="1349"/>
    <x v="10"/>
    <x v="51"/>
    <d v="2025-02-23T00:00:00"/>
    <x v="3"/>
    <x v="2"/>
    <x v="0"/>
    <x v="0"/>
    <x v="9"/>
    <n v="2"/>
    <x v="7"/>
    <x v="3"/>
    <n v="1"/>
    <n v="40.5"/>
    <n v="40.5"/>
  </r>
  <r>
    <x v="1350"/>
    <x v="2"/>
    <x v="51"/>
    <d v="2025-02-25T00:00:00"/>
    <x v="2"/>
    <x v="1"/>
    <x v="2"/>
    <x v="0"/>
    <x v="19"/>
    <n v="4"/>
    <x v="7"/>
    <x v="2"/>
    <n v="3"/>
    <n v="77.900000000000006"/>
    <n v="233.70000000000002"/>
  </r>
  <r>
    <x v="1351"/>
    <x v="18"/>
    <x v="51"/>
    <d v="2025-02-23T00:00:00"/>
    <x v="1"/>
    <x v="4"/>
    <x v="2"/>
    <x v="0"/>
    <x v="19"/>
    <n v="2"/>
    <x v="7"/>
    <x v="1"/>
    <n v="4"/>
    <n v="37.1"/>
    <n v="148.4"/>
  </r>
  <r>
    <x v="1352"/>
    <x v="16"/>
    <x v="51"/>
    <d v="2025-03-01T00:00:00"/>
    <x v="2"/>
    <x v="0"/>
    <x v="4"/>
    <x v="0"/>
    <x v="19"/>
    <n v="8"/>
    <x v="7"/>
    <x v="2"/>
    <n v="3"/>
    <n v="51.6"/>
    <n v="154.80000000000001"/>
  </r>
  <r>
    <x v="1353"/>
    <x v="7"/>
    <x v="51"/>
    <d v="2025-02-22T00:00:00"/>
    <x v="1"/>
    <x v="1"/>
    <x v="1"/>
    <x v="0"/>
    <x v="19"/>
    <n v="1"/>
    <x v="7"/>
    <x v="1"/>
    <n v="3"/>
    <n v="98"/>
    <n v="294"/>
  </r>
  <r>
    <x v="1354"/>
    <x v="6"/>
    <x v="51"/>
    <d v="2025-02-22T00:00:00"/>
    <x v="1"/>
    <x v="1"/>
    <x v="0"/>
    <x v="0"/>
    <x v="20"/>
    <n v="1"/>
    <x v="7"/>
    <x v="1"/>
    <n v="7"/>
    <n v="41.4"/>
    <n v="289.8"/>
  </r>
  <r>
    <x v="1355"/>
    <x v="11"/>
    <x v="51"/>
    <d v="2025-02-26T00:00:00"/>
    <x v="2"/>
    <x v="0"/>
    <x v="2"/>
    <x v="0"/>
    <x v="52"/>
    <n v="5"/>
    <x v="7"/>
    <x v="2"/>
    <n v="8"/>
    <n v="34"/>
    <n v="272"/>
  </r>
  <r>
    <x v="1356"/>
    <x v="6"/>
    <x v="51"/>
    <d v="2025-02-22T00:00:00"/>
    <x v="2"/>
    <x v="1"/>
    <x v="0"/>
    <x v="0"/>
    <x v="13"/>
    <n v="1"/>
    <x v="7"/>
    <x v="2"/>
    <n v="1"/>
    <n v="66.3"/>
    <n v="66.3"/>
  </r>
  <r>
    <x v="1357"/>
    <x v="7"/>
    <x v="51"/>
    <d v="2025-02-25T00:00:00"/>
    <x v="1"/>
    <x v="2"/>
    <x v="0"/>
    <x v="0"/>
    <x v="13"/>
    <n v="4"/>
    <x v="7"/>
    <x v="1"/>
    <n v="1"/>
    <n v="33.5"/>
    <n v="33.5"/>
  </r>
  <r>
    <x v="1358"/>
    <x v="12"/>
    <x v="51"/>
    <d v="2025-02-22T00:00:00"/>
    <x v="0"/>
    <x v="0"/>
    <x v="0"/>
    <x v="0"/>
    <x v="28"/>
    <n v="1"/>
    <x v="7"/>
    <x v="0"/>
    <n v="2"/>
    <n v="70.8"/>
    <n v="141.6"/>
  </r>
  <r>
    <x v="1359"/>
    <x v="6"/>
    <x v="51"/>
    <d v="2025-02-22T00:00:00"/>
    <x v="1"/>
    <x v="0"/>
    <x v="0"/>
    <x v="0"/>
    <x v="21"/>
    <n v="1"/>
    <x v="7"/>
    <x v="1"/>
    <n v="2"/>
    <n v="127.6"/>
    <n v="255.2"/>
  </r>
  <r>
    <x v="1360"/>
    <x v="6"/>
    <x v="51"/>
    <d v="2025-02-22T00:00:00"/>
    <x v="2"/>
    <x v="1"/>
    <x v="1"/>
    <x v="0"/>
    <x v="21"/>
    <n v="1"/>
    <x v="7"/>
    <x v="2"/>
    <n v="3"/>
    <n v="95.9"/>
    <n v="287.70000000000005"/>
  </r>
  <r>
    <x v="1361"/>
    <x v="2"/>
    <x v="51"/>
    <d v="2025-02-22T00:00:00"/>
    <x v="1"/>
    <x v="0"/>
    <x v="0"/>
    <x v="0"/>
    <x v="1"/>
    <n v="1"/>
    <x v="7"/>
    <x v="1"/>
    <n v="2"/>
    <n v="78.099999999999994"/>
    <n v="156.19999999999999"/>
  </r>
  <r>
    <x v="1362"/>
    <x v="13"/>
    <x v="51"/>
    <d v="2025-02-22T00:00:00"/>
    <x v="0"/>
    <x v="1"/>
    <x v="1"/>
    <x v="0"/>
    <x v="1"/>
    <n v="1"/>
    <x v="7"/>
    <x v="0"/>
    <n v="2"/>
    <n v="43.2"/>
    <n v="86.4"/>
  </r>
  <r>
    <x v="1363"/>
    <x v="8"/>
    <x v="51"/>
    <d v="2025-02-27T00:00:00"/>
    <x v="1"/>
    <x v="2"/>
    <x v="0"/>
    <x v="0"/>
    <x v="3"/>
    <n v="6"/>
    <x v="7"/>
    <x v="1"/>
    <n v="4"/>
    <n v="28.4"/>
    <n v="113.6"/>
  </r>
  <r>
    <x v="1364"/>
    <x v="2"/>
    <x v="51"/>
    <d v="2025-02-21T00:00:00"/>
    <x v="1"/>
    <x v="0"/>
    <x v="0"/>
    <x v="0"/>
    <x v="3"/>
    <n v="0"/>
    <x v="7"/>
    <x v="1"/>
    <n v="2"/>
    <n v="81.7"/>
    <n v="163.4"/>
  </r>
  <r>
    <x v="1365"/>
    <x v="18"/>
    <x v="51"/>
    <d v="2025-02-23T00:00:00"/>
    <x v="0"/>
    <x v="0"/>
    <x v="2"/>
    <x v="0"/>
    <x v="3"/>
    <n v="2"/>
    <x v="7"/>
    <x v="0"/>
    <n v="2"/>
    <n v="56.7"/>
    <n v="113.4"/>
  </r>
  <r>
    <x v="1366"/>
    <x v="3"/>
    <x v="51"/>
    <d v="2025-02-21T00:00:00"/>
    <x v="2"/>
    <x v="0"/>
    <x v="2"/>
    <x v="0"/>
    <x v="3"/>
    <n v="0"/>
    <x v="7"/>
    <x v="2"/>
    <n v="4"/>
    <n v="66.5"/>
    <n v="266"/>
  </r>
  <r>
    <x v="1367"/>
    <x v="1"/>
    <x v="51"/>
    <d v="2025-02-25T00:00:00"/>
    <x v="1"/>
    <x v="0"/>
    <x v="1"/>
    <x v="0"/>
    <x v="3"/>
    <n v="4"/>
    <x v="7"/>
    <x v="1"/>
    <n v="2"/>
    <n v="105.3"/>
    <n v="210.6"/>
  </r>
  <r>
    <x v="1368"/>
    <x v="10"/>
    <x v="51"/>
    <d v="2025-02-26T00:00:00"/>
    <x v="1"/>
    <x v="0"/>
    <x v="0"/>
    <x v="0"/>
    <x v="3"/>
    <n v="5"/>
    <x v="7"/>
    <x v="1"/>
    <n v="5"/>
    <n v="33.799999999999997"/>
    <n v="169"/>
  </r>
  <r>
    <x v="1369"/>
    <x v="6"/>
    <x v="51"/>
    <d v="2025-02-26T00:00:00"/>
    <x v="1"/>
    <x v="3"/>
    <x v="1"/>
    <x v="0"/>
    <x v="24"/>
    <n v="5"/>
    <x v="7"/>
    <x v="1"/>
    <n v="3"/>
    <n v="63.4"/>
    <n v="190.2"/>
  </r>
  <r>
    <x v="1370"/>
    <x v="6"/>
    <x v="51"/>
    <d v="2025-02-25T00:00:00"/>
    <x v="1"/>
    <x v="3"/>
    <x v="0"/>
    <x v="0"/>
    <x v="49"/>
    <n v="4"/>
    <x v="7"/>
    <x v="1"/>
    <n v="3"/>
    <n v="49"/>
    <n v="147"/>
  </r>
  <r>
    <x v="1371"/>
    <x v="1"/>
    <x v="51"/>
    <d v="2025-02-22T00:00:00"/>
    <x v="2"/>
    <x v="4"/>
    <x v="1"/>
    <x v="0"/>
    <x v="23"/>
    <n v="1"/>
    <x v="7"/>
    <x v="2"/>
    <n v="2"/>
    <n v="40"/>
    <n v="80"/>
  </r>
  <r>
    <x v="1372"/>
    <x v="6"/>
    <x v="51"/>
    <d v="2025-02-22T00:00:00"/>
    <x v="3"/>
    <x v="0"/>
    <x v="0"/>
    <x v="0"/>
    <x v="6"/>
    <n v="1"/>
    <x v="7"/>
    <x v="3"/>
    <n v="4"/>
    <n v="86.3"/>
    <n v="345.2"/>
  </r>
  <r>
    <x v="1373"/>
    <x v="6"/>
    <x v="51"/>
    <d v="2025-02-23T00:00:00"/>
    <x v="2"/>
    <x v="2"/>
    <x v="2"/>
    <x v="0"/>
    <x v="6"/>
    <n v="2"/>
    <x v="7"/>
    <x v="2"/>
    <n v="1"/>
    <n v="51.6"/>
    <n v="51.6"/>
  </r>
  <r>
    <x v="1374"/>
    <x v="10"/>
    <x v="51"/>
    <d v="2025-02-26T00:00:00"/>
    <x v="2"/>
    <x v="2"/>
    <x v="1"/>
    <x v="0"/>
    <x v="6"/>
    <n v="5"/>
    <x v="7"/>
    <x v="2"/>
    <n v="3"/>
    <n v="26.7"/>
    <n v="80.099999999999994"/>
  </r>
  <r>
    <x v="1375"/>
    <x v="18"/>
    <x v="51"/>
    <d v="2025-02-22T00:00:00"/>
    <x v="1"/>
    <x v="0"/>
    <x v="1"/>
    <x v="0"/>
    <x v="6"/>
    <n v="1"/>
    <x v="7"/>
    <x v="1"/>
    <n v="2"/>
    <n v="68.099999999999994"/>
    <n v="136.19999999999999"/>
  </r>
  <r>
    <x v="1376"/>
    <x v="1"/>
    <x v="51"/>
    <d v="2025-02-22T00:00:00"/>
    <x v="1"/>
    <x v="0"/>
    <x v="0"/>
    <x v="0"/>
    <x v="7"/>
    <n v="1"/>
    <x v="7"/>
    <x v="1"/>
    <n v="1"/>
    <n v="81.7"/>
    <n v="81.7"/>
  </r>
  <r>
    <x v="1377"/>
    <x v="18"/>
    <x v="51"/>
    <d v="2025-02-24T00:00:00"/>
    <x v="1"/>
    <x v="3"/>
    <x v="1"/>
    <x v="0"/>
    <x v="8"/>
    <n v="3"/>
    <x v="7"/>
    <x v="1"/>
    <n v="10"/>
    <n v="25.1"/>
    <n v="251"/>
  </r>
  <r>
    <x v="1378"/>
    <x v="8"/>
    <x v="51"/>
    <d v="2025-02-25T00:00:00"/>
    <x v="2"/>
    <x v="0"/>
    <x v="0"/>
    <x v="0"/>
    <x v="8"/>
    <n v="4"/>
    <x v="7"/>
    <x v="2"/>
    <n v="1"/>
    <n v="20.2"/>
    <n v="20.2"/>
  </r>
  <r>
    <x v="1379"/>
    <x v="8"/>
    <x v="51"/>
    <d v="2025-02-22T00:00:00"/>
    <x v="1"/>
    <x v="1"/>
    <x v="2"/>
    <x v="0"/>
    <x v="8"/>
    <n v="1"/>
    <x v="7"/>
    <x v="1"/>
    <n v="3"/>
    <n v="15.4"/>
    <n v="46.2"/>
  </r>
  <r>
    <x v="1380"/>
    <x v="10"/>
    <x v="51"/>
    <d v="2025-02-22T00:00:00"/>
    <x v="1"/>
    <x v="2"/>
    <x v="2"/>
    <x v="0"/>
    <x v="17"/>
    <n v="1"/>
    <x v="7"/>
    <x v="1"/>
    <n v="1"/>
    <n v="59.2"/>
    <n v="59.2"/>
  </r>
  <r>
    <x v="1381"/>
    <x v="0"/>
    <x v="51"/>
    <d v="2025-02-26T00:00:00"/>
    <x v="1"/>
    <x v="0"/>
    <x v="0"/>
    <x v="0"/>
    <x v="17"/>
    <n v="5"/>
    <x v="7"/>
    <x v="1"/>
    <n v="1"/>
    <n v="46.7"/>
    <n v="46.7"/>
  </r>
  <r>
    <x v="1382"/>
    <x v="6"/>
    <x v="51"/>
    <d v="2025-02-23T00:00:00"/>
    <x v="1"/>
    <x v="1"/>
    <x v="0"/>
    <x v="0"/>
    <x v="26"/>
    <n v="2"/>
    <x v="7"/>
    <x v="1"/>
    <n v="15"/>
    <n v="41.6"/>
    <n v="624"/>
  </r>
  <r>
    <x v="1383"/>
    <x v="8"/>
    <x v="51"/>
    <d v="2025-02-24T00:00:00"/>
    <x v="1"/>
    <x v="4"/>
    <x v="2"/>
    <x v="0"/>
    <x v="9"/>
    <n v="3"/>
    <x v="7"/>
    <x v="1"/>
    <n v="2"/>
    <n v="19.2"/>
    <n v="38.4"/>
  </r>
  <r>
    <x v="1384"/>
    <x v="17"/>
    <x v="51"/>
    <d v="2025-02-23T00:00:00"/>
    <x v="2"/>
    <x v="2"/>
    <x v="0"/>
    <x v="0"/>
    <x v="11"/>
    <n v="2"/>
    <x v="7"/>
    <x v="2"/>
    <n v="7"/>
    <n v="41.8"/>
    <n v="292.59999999999997"/>
  </r>
  <r>
    <x v="1385"/>
    <x v="8"/>
    <x v="51"/>
    <d v="2025-02-23T00:00:00"/>
    <x v="1"/>
    <x v="0"/>
    <x v="2"/>
    <x v="0"/>
    <x v="11"/>
    <n v="2"/>
    <x v="7"/>
    <x v="1"/>
    <n v="6"/>
    <n v="37.4"/>
    <n v="224.39999999999998"/>
  </r>
  <r>
    <x v="1386"/>
    <x v="10"/>
    <x v="51"/>
    <d v="2025-02-24T00:00:00"/>
    <x v="1"/>
    <x v="4"/>
    <x v="1"/>
    <x v="0"/>
    <x v="38"/>
    <n v="3"/>
    <x v="7"/>
    <x v="1"/>
    <n v="3"/>
    <n v="60.2"/>
    <n v="180.60000000000002"/>
  </r>
  <r>
    <x v="1387"/>
    <x v="9"/>
    <x v="52"/>
    <d v="2025-02-23T00:00:00"/>
    <x v="1"/>
    <x v="0"/>
    <x v="0"/>
    <x v="0"/>
    <x v="13"/>
    <n v="1"/>
    <x v="7"/>
    <x v="1"/>
    <n v="2"/>
    <n v="91.5"/>
    <n v="183"/>
  </r>
  <r>
    <x v="1388"/>
    <x v="3"/>
    <x v="52"/>
    <d v="2025-02-24T00:00:00"/>
    <x v="0"/>
    <x v="1"/>
    <x v="2"/>
    <x v="0"/>
    <x v="21"/>
    <n v="2"/>
    <x v="7"/>
    <x v="0"/>
    <n v="5"/>
    <n v="55.7"/>
    <n v="278.5"/>
  </r>
  <r>
    <x v="1389"/>
    <x v="7"/>
    <x v="52"/>
    <d v="2025-02-24T00:00:00"/>
    <x v="1"/>
    <x v="0"/>
    <x v="1"/>
    <x v="0"/>
    <x v="21"/>
    <n v="2"/>
    <x v="7"/>
    <x v="1"/>
    <n v="2"/>
    <n v="76.7"/>
    <n v="153.4"/>
  </r>
  <r>
    <x v="1390"/>
    <x v="8"/>
    <x v="52"/>
    <d v="2025-02-27T00:00:00"/>
    <x v="1"/>
    <x v="2"/>
    <x v="0"/>
    <x v="0"/>
    <x v="1"/>
    <n v="5"/>
    <x v="7"/>
    <x v="1"/>
    <n v="21"/>
    <n v="28.2"/>
    <n v="592.19999999999993"/>
  </r>
  <r>
    <x v="1391"/>
    <x v="7"/>
    <x v="52"/>
    <d v="2025-02-24T00:00:00"/>
    <x v="2"/>
    <x v="4"/>
    <x v="2"/>
    <x v="0"/>
    <x v="1"/>
    <n v="2"/>
    <x v="7"/>
    <x v="2"/>
    <n v="5"/>
    <n v="93.2"/>
    <n v="466"/>
  </r>
  <r>
    <x v="1392"/>
    <x v="17"/>
    <x v="52"/>
    <d v="2025-02-23T00:00:00"/>
    <x v="1"/>
    <x v="4"/>
    <x v="0"/>
    <x v="0"/>
    <x v="2"/>
    <n v="1"/>
    <x v="7"/>
    <x v="1"/>
    <n v="1"/>
    <n v="33.299999999999997"/>
    <n v="33.299999999999997"/>
  </r>
  <r>
    <x v="1393"/>
    <x v="10"/>
    <x v="52"/>
    <d v="2025-02-25T00:00:00"/>
    <x v="1"/>
    <x v="0"/>
    <x v="0"/>
    <x v="0"/>
    <x v="44"/>
    <n v="3"/>
    <x v="7"/>
    <x v="1"/>
    <n v="2"/>
    <n v="39.1"/>
    <n v="78.2"/>
  </r>
  <r>
    <x v="1394"/>
    <x v="7"/>
    <x v="52"/>
    <d v="2025-02-23T00:00:00"/>
    <x v="1"/>
    <x v="2"/>
    <x v="0"/>
    <x v="0"/>
    <x v="33"/>
    <n v="1"/>
    <x v="7"/>
    <x v="1"/>
    <n v="12"/>
    <n v="45.3"/>
    <n v="543.59999999999991"/>
  </r>
  <r>
    <x v="1395"/>
    <x v="9"/>
    <x v="52"/>
    <d v="2025-02-23T00:00:00"/>
    <x v="1"/>
    <x v="4"/>
    <x v="0"/>
    <x v="0"/>
    <x v="33"/>
    <n v="1"/>
    <x v="7"/>
    <x v="1"/>
    <n v="7"/>
    <n v="33.9"/>
    <n v="237.29999999999998"/>
  </r>
  <r>
    <x v="1396"/>
    <x v="8"/>
    <x v="52"/>
    <d v="2025-02-23T00:00:00"/>
    <x v="1"/>
    <x v="0"/>
    <x v="2"/>
    <x v="0"/>
    <x v="15"/>
    <n v="1"/>
    <x v="7"/>
    <x v="1"/>
    <n v="3"/>
    <n v="19"/>
    <n v="57"/>
  </r>
  <r>
    <x v="1397"/>
    <x v="4"/>
    <x v="52"/>
    <d v="2025-02-25T00:00:00"/>
    <x v="2"/>
    <x v="2"/>
    <x v="0"/>
    <x v="0"/>
    <x v="22"/>
    <n v="3"/>
    <x v="7"/>
    <x v="2"/>
    <n v="1"/>
    <n v="41.9"/>
    <n v="41.9"/>
  </r>
  <r>
    <x v="1398"/>
    <x v="1"/>
    <x v="52"/>
    <d v="2025-02-22T00:00:00"/>
    <x v="2"/>
    <x v="0"/>
    <x v="0"/>
    <x v="0"/>
    <x v="3"/>
    <n v="0"/>
    <x v="7"/>
    <x v="2"/>
    <n v="4"/>
    <n v="37.5"/>
    <n v="150"/>
  </r>
  <r>
    <x v="1399"/>
    <x v="0"/>
    <x v="52"/>
    <d v="2025-02-25T00:00:00"/>
    <x v="1"/>
    <x v="0"/>
    <x v="0"/>
    <x v="0"/>
    <x v="3"/>
    <n v="3"/>
    <x v="7"/>
    <x v="1"/>
    <n v="2"/>
    <n v="40.799999999999997"/>
    <n v="81.599999999999994"/>
  </r>
  <r>
    <x v="1400"/>
    <x v="0"/>
    <x v="52"/>
    <d v="2025-02-23T00:00:00"/>
    <x v="2"/>
    <x v="4"/>
    <x v="0"/>
    <x v="0"/>
    <x v="3"/>
    <n v="1"/>
    <x v="7"/>
    <x v="2"/>
    <n v="4"/>
    <n v="23.1"/>
    <n v="92.4"/>
  </r>
  <r>
    <x v="1401"/>
    <x v="8"/>
    <x v="52"/>
    <d v="2025-02-23T00:00:00"/>
    <x v="2"/>
    <x v="0"/>
    <x v="0"/>
    <x v="0"/>
    <x v="3"/>
    <n v="1"/>
    <x v="7"/>
    <x v="2"/>
    <n v="5"/>
    <n v="39.299999999999997"/>
    <n v="196.5"/>
  </r>
  <r>
    <x v="1402"/>
    <x v="2"/>
    <x v="52"/>
    <d v="2025-02-27T00:00:00"/>
    <x v="1"/>
    <x v="2"/>
    <x v="0"/>
    <x v="0"/>
    <x v="3"/>
    <n v="5"/>
    <x v="7"/>
    <x v="1"/>
    <n v="4"/>
    <n v="85.2"/>
    <n v="340.8"/>
  </r>
  <r>
    <x v="1403"/>
    <x v="8"/>
    <x v="52"/>
    <d v="2025-02-25T00:00:00"/>
    <x v="1"/>
    <x v="1"/>
    <x v="0"/>
    <x v="0"/>
    <x v="3"/>
    <n v="3"/>
    <x v="7"/>
    <x v="1"/>
    <n v="6"/>
    <n v="16"/>
    <n v="96"/>
  </r>
  <r>
    <x v="1404"/>
    <x v="1"/>
    <x v="52"/>
    <d v="2025-02-26T00:00:00"/>
    <x v="2"/>
    <x v="1"/>
    <x v="0"/>
    <x v="0"/>
    <x v="3"/>
    <n v="4"/>
    <x v="7"/>
    <x v="2"/>
    <n v="2"/>
    <n v="33.799999999999997"/>
    <n v="67.599999999999994"/>
  </r>
  <r>
    <x v="1405"/>
    <x v="3"/>
    <x v="52"/>
    <d v="2025-02-23T00:00:00"/>
    <x v="2"/>
    <x v="0"/>
    <x v="0"/>
    <x v="0"/>
    <x v="3"/>
    <n v="1"/>
    <x v="7"/>
    <x v="2"/>
    <n v="1"/>
    <n v="70"/>
    <n v="70"/>
  </r>
  <r>
    <x v="1406"/>
    <x v="9"/>
    <x v="52"/>
    <d v="2025-02-27T00:00:00"/>
    <x v="2"/>
    <x v="3"/>
    <x v="0"/>
    <x v="0"/>
    <x v="3"/>
    <n v="5"/>
    <x v="7"/>
    <x v="2"/>
    <n v="1"/>
    <n v="88"/>
    <n v="88"/>
  </r>
  <r>
    <x v="1407"/>
    <x v="2"/>
    <x v="52"/>
    <d v="2025-02-22T00:00:00"/>
    <x v="1"/>
    <x v="4"/>
    <x v="1"/>
    <x v="0"/>
    <x v="3"/>
    <n v="0"/>
    <x v="7"/>
    <x v="1"/>
    <n v="3"/>
    <n v="74.099999999999994"/>
    <n v="222.29999999999998"/>
  </r>
  <r>
    <x v="1408"/>
    <x v="2"/>
    <x v="52"/>
    <d v="2025-02-24T00:00:00"/>
    <x v="1"/>
    <x v="2"/>
    <x v="0"/>
    <x v="0"/>
    <x v="3"/>
    <n v="2"/>
    <x v="7"/>
    <x v="1"/>
    <n v="1"/>
    <n v="161.9"/>
    <n v="161.9"/>
  </r>
  <r>
    <x v="1409"/>
    <x v="4"/>
    <x v="52"/>
    <d v="2025-02-23T00:00:00"/>
    <x v="3"/>
    <x v="4"/>
    <x v="1"/>
    <x v="0"/>
    <x v="3"/>
    <n v="1"/>
    <x v="7"/>
    <x v="3"/>
    <n v="2"/>
    <n v="44"/>
    <n v="88"/>
  </r>
  <r>
    <x v="1410"/>
    <x v="11"/>
    <x v="52"/>
    <d v="2025-02-22T00:00:00"/>
    <x v="2"/>
    <x v="3"/>
    <x v="3"/>
    <x v="0"/>
    <x v="3"/>
    <n v="0"/>
    <x v="7"/>
    <x v="2"/>
    <n v="1"/>
    <n v="32.1"/>
    <n v="32.1"/>
  </r>
  <r>
    <x v="1411"/>
    <x v="2"/>
    <x v="53"/>
    <d v="2025-02-25T00:00:00"/>
    <x v="3"/>
    <x v="0"/>
    <x v="0"/>
    <x v="0"/>
    <x v="3"/>
    <n v="2"/>
    <x v="8"/>
    <x v="3"/>
    <n v="4"/>
    <n v="104.8"/>
    <n v="419.2"/>
  </r>
  <r>
    <x v="1412"/>
    <x v="9"/>
    <x v="53"/>
    <d v="2025-02-24T00:00:00"/>
    <x v="2"/>
    <x v="3"/>
    <x v="0"/>
    <x v="0"/>
    <x v="3"/>
    <n v="1"/>
    <x v="8"/>
    <x v="2"/>
    <n v="6"/>
    <n v="67.400000000000006"/>
    <n v="404.40000000000003"/>
  </r>
  <r>
    <x v="1413"/>
    <x v="6"/>
    <x v="53"/>
    <d v="2025-02-24T00:00:00"/>
    <x v="2"/>
    <x v="1"/>
    <x v="0"/>
    <x v="0"/>
    <x v="4"/>
    <n v="1"/>
    <x v="8"/>
    <x v="2"/>
    <n v="2"/>
    <n v="115.2"/>
    <n v="230.4"/>
  </r>
  <r>
    <x v="1414"/>
    <x v="8"/>
    <x v="53"/>
    <d v="2025-02-25T00:00:00"/>
    <x v="2"/>
    <x v="0"/>
    <x v="1"/>
    <x v="0"/>
    <x v="23"/>
    <n v="2"/>
    <x v="8"/>
    <x v="2"/>
    <n v="29"/>
    <n v="15.5"/>
    <n v="449.5"/>
  </r>
  <r>
    <x v="1415"/>
    <x v="6"/>
    <x v="53"/>
    <d v="2025-02-25T00:00:00"/>
    <x v="2"/>
    <x v="0"/>
    <x v="0"/>
    <x v="0"/>
    <x v="6"/>
    <n v="2"/>
    <x v="8"/>
    <x v="2"/>
    <n v="11"/>
    <n v="66.400000000000006"/>
    <n v="730.40000000000009"/>
  </r>
  <r>
    <x v="1416"/>
    <x v="9"/>
    <x v="53"/>
    <d v="2025-02-24T00:00:00"/>
    <x v="2"/>
    <x v="2"/>
    <x v="0"/>
    <x v="0"/>
    <x v="8"/>
    <n v="1"/>
    <x v="8"/>
    <x v="2"/>
    <n v="12"/>
    <n v="68.099999999999994"/>
    <n v="817.19999999999993"/>
  </r>
  <r>
    <x v="1417"/>
    <x v="8"/>
    <x v="53"/>
    <d v="2025-02-27T00:00:00"/>
    <x v="1"/>
    <x v="2"/>
    <x v="1"/>
    <x v="0"/>
    <x v="8"/>
    <n v="4"/>
    <x v="8"/>
    <x v="1"/>
    <n v="5"/>
    <n v="32.5"/>
    <n v="162.5"/>
  </r>
  <r>
    <x v="1418"/>
    <x v="15"/>
    <x v="53"/>
    <d v="2025-02-25T00:00:00"/>
    <x v="2"/>
    <x v="1"/>
    <x v="1"/>
    <x v="0"/>
    <x v="8"/>
    <n v="2"/>
    <x v="8"/>
    <x v="2"/>
    <n v="3"/>
    <n v="61.2"/>
    <n v="183.60000000000002"/>
  </r>
  <r>
    <x v="1419"/>
    <x v="9"/>
    <x v="53"/>
    <d v="2025-02-24T00:00:00"/>
    <x v="2"/>
    <x v="1"/>
    <x v="0"/>
    <x v="0"/>
    <x v="8"/>
    <n v="1"/>
    <x v="8"/>
    <x v="2"/>
    <n v="2"/>
    <n v="54.2"/>
    <n v="108.4"/>
  </r>
  <r>
    <x v="1420"/>
    <x v="11"/>
    <x v="53"/>
    <d v="2025-02-25T00:00:00"/>
    <x v="1"/>
    <x v="1"/>
    <x v="0"/>
    <x v="0"/>
    <x v="9"/>
    <n v="2"/>
    <x v="8"/>
    <x v="1"/>
    <n v="8"/>
    <n v="28.7"/>
    <n v="229.6"/>
  </r>
  <r>
    <x v="1421"/>
    <x v="12"/>
    <x v="53"/>
    <d v="2025-02-27T00:00:00"/>
    <x v="2"/>
    <x v="0"/>
    <x v="1"/>
    <x v="0"/>
    <x v="9"/>
    <n v="4"/>
    <x v="8"/>
    <x v="2"/>
    <n v="6"/>
    <n v="38.200000000000003"/>
    <n v="229.20000000000002"/>
  </r>
  <r>
    <x v="1422"/>
    <x v="8"/>
    <x v="53"/>
    <d v="2025-02-24T00:00:00"/>
    <x v="2"/>
    <x v="2"/>
    <x v="1"/>
    <x v="0"/>
    <x v="9"/>
    <n v="1"/>
    <x v="8"/>
    <x v="2"/>
    <n v="12"/>
    <n v="17.600000000000001"/>
    <n v="211.20000000000002"/>
  </r>
  <r>
    <x v="1423"/>
    <x v="10"/>
    <x v="53"/>
    <d v="2025-02-23T00:00:00"/>
    <x v="2"/>
    <x v="2"/>
    <x v="0"/>
    <x v="0"/>
    <x v="11"/>
    <n v="0"/>
    <x v="8"/>
    <x v="2"/>
    <n v="3"/>
    <n v="74.599999999999994"/>
    <n v="223.79999999999998"/>
  </r>
  <r>
    <x v="1424"/>
    <x v="16"/>
    <x v="53"/>
    <d v="2025-02-23T00:00:00"/>
    <x v="0"/>
    <x v="1"/>
    <x v="1"/>
    <x v="0"/>
    <x v="11"/>
    <n v="0"/>
    <x v="8"/>
    <x v="0"/>
    <n v="15"/>
    <n v="72.599999999999994"/>
    <n v="1089"/>
  </r>
  <r>
    <x v="1425"/>
    <x v="7"/>
    <x v="53"/>
    <d v="2025-02-24T00:00:00"/>
    <x v="2"/>
    <x v="1"/>
    <x v="0"/>
    <x v="0"/>
    <x v="11"/>
    <n v="1"/>
    <x v="8"/>
    <x v="2"/>
    <n v="1"/>
    <n v="62.3"/>
    <n v="62.3"/>
  </r>
  <r>
    <x v="1426"/>
    <x v="3"/>
    <x v="53"/>
    <d v="2025-02-25T00:00:00"/>
    <x v="1"/>
    <x v="0"/>
    <x v="2"/>
    <x v="0"/>
    <x v="20"/>
    <n v="2"/>
    <x v="8"/>
    <x v="1"/>
    <n v="3"/>
    <n v="33.799999999999997"/>
    <n v="101.39999999999999"/>
  </r>
  <r>
    <x v="1427"/>
    <x v="9"/>
    <x v="53"/>
    <d v="2025-02-26T00:00:00"/>
    <x v="1"/>
    <x v="3"/>
    <x v="1"/>
    <x v="0"/>
    <x v="21"/>
    <n v="3"/>
    <x v="8"/>
    <x v="1"/>
    <n v="1"/>
    <n v="85.7"/>
    <n v="85.7"/>
  </r>
  <r>
    <x v="1428"/>
    <x v="6"/>
    <x v="53"/>
    <d v="2025-02-25T00:00:00"/>
    <x v="1"/>
    <x v="1"/>
    <x v="0"/>
    <x v="0"/>
    <x v="21"/>
    <n v="2"/>
    <x v="8"/>
    <x v="1"/>
    <n v="2"/>
    <n v="92.1"/>
    <n v="184.2"/>
  </r>
  <r>
    <x v="1429"/>
    <x v="16"/>
    <x v="53"/>
    <d v="2025-02-26T00:00:00"/>
    <x v="1"/>
    <x v="0"/>
    <x v="0"/>
    <x v="0"/>
    <x v="1"/>
    <n v="3"/>
    <x v="8"/>
    <x v="1"/>
    <n v="3"/>
    <n v="65.099999999999994"/>
    <n v="195.29999999999998"/>
  </r>
  <r>
    <x v="1430"/>
    <x v="9"/>
    <x v="53"/>
    <d v="2025-02-24T00:00:00"/>
    <x v="2"/>
    <x v="2"/>
    <x v="2"/>
    <x v="0"/>
    <x v="2"/>
    <n v="1"/>
    <x v="8"/>
    <x v="2"/>
    <n v="7"/>
    <n v="20.3"/>
    <n v="142.1"/>
  </r>
  <r>
    <x v="1431"/>
    <x v="19"/>
    <x v="53"/>
    <d v="2025-02-25T00:00:00"/>
    <x v="2"/>
    <x v="1"/>
    <x v="2"/>
    <x v="0"/>
    <x v="34"/>
    <n v="2"/>
    <x v="8"/>
    <x v="2"/>
    <n v="2"/>
    <n v="29.8"/>
    <n v="59.6"/>
  </r>
  <r>
    <x v="1432"/>
    <x v="0"/>
    <x v="53"/>
    <d v="2025-02-25T00:00:00"/>
    <x v="2"/>
    <x v="3"/>
    <x v="2"/>
    <x v="0"/>
    <x v="3"/>
    <n v="2"/>
    <x v="8"/>
    <x v="2"/>
    <n v="2"/>
    <n v="24.2"/>
    <n v="48.4"/>
  </r>
  <r>
    <x v="1433"/>
    <x v="3"/>
    <x v="53"/>
    <d v="2025-02-25T00:00:00"/>
    <x v="1"/>
    <x v="0"/>
    <x v="0"/>
    <x v="0"/>
    <x v="3"/>
    <n v="2"/>
    <x v="8"/>
    <x v="1"/>
    <n v="1"/>
    <n v="57.3"/>
    <n v="57.3"/>
  </r>
  <r>
    <x v="1434"/>
    <x v="2"/>
    <x v="53"/>
    <d v="2025-02-25T00:00:00"/>
    <x v="2"/>
    <x v="1"/>
    <x v="0"/>
    <x v="0"/>
    <x v="3"/>
    <n v="2"/>
    <x v="8"/>
    <x v="2"/>
    <n v="1"/>
    <n v="108.9"/>
    <n v="108.9"/>
  </r>
  <r>
    <x v="1435"/>
    <x v="7"/>
    <x v="53"/>
    <d v="2025-02-24T00:00:00"/>
    <x v="2"/>
    <x v="0"/>
    <x v="0"/>
    <x v="0"/>
    <x v="3"/>
    <n v="1"/>
    <x v="8"/>
    <x v="2"/>
    <n v="5"/>
    <n v="50.7"/>
    <n v="253.5"/>
  </r>
  <r>
    <x v="1436"/>
    <x v="7"/>
    <x v="53"/>
    <d v="2025-03-09T00:00:00"/>
    <x v="2"/>
    <x v="1"/>
    <x v="0"/>
    <x v="0"/>
    <x v="3"/>
    <n v="14"/>
    <x v="8"/>
    <x v="2"/>
    <n v="9"/>
    <n v="66.099999999999994"/>
    <n v="594.9"/>
  </r>
  <r>
    <x v="1437"/>
    <x v="12"/>
    <x v="53"/>
    <d v="2025-02-27T00:00:00"/>
    <x v="2"/>
    <x v="4"/>
    <x v="0"/>
    <x v="0"/>
    <x v="3"/>
    <n v="4"/>
    <x v="8"/>
    <x v="2"/>
    <n v="5"/>
    <n v="36.700000000000003"/>
    <n v="183.5"/>
  </r>
  <r>
    <x v="1438"/>
    <x v="8"/>
    <x v="53"/>
    <d v="2025-02-25T00:00:00"/>
    <x v="1"/>
    <x v="0"/>
    <x v="0"/>
    <x v="0"/>
    <x v="43"/>
    <n v="2"/>
    <x v="8"/>
    <x v="1"/>
    <n v="17"/>
    <n v="19.3"/>
    <n v="328.1"/>
  </r>
  <r>
    <x v="1439"/>
    <x v="8"/>
    <x v="53"/>
    <d v="2025-02-24T00:00:00"/>
    <x v="1"/>
    <x v="1"/>
    <x v="2"/>
    <x v="0"/>
    <x v="6"/>
    <n v="1"/>
    <x v="8"/>
    <x v="1"/>
    <n v="4"/>
    <n v="20.7"/>
    <n v="82.8"/>
  </r>
  <r>
    <x v="1440"/>
    <x v="5"/>
    <x v="53"/>
    <d v="2025-02-23T00:00:00"/>
    <x v="3"/>
    <x v="1"/>
    <x v="4"/>
    <x v="0"/>
    <x v="6"/>
    <n v="0"/>
    <x v="8"/>
    <x v="3"/>
    <n v="3"/>
    <n v="54.7"/>
    <n v="164.10000000000002"/>
  </r>
  <r>
    <x v="1441"/>
    <x v="4"/>
    <x v="53"/>
    <d v="2025-02-27T00:00:00"/>
    <x v="2"/>
    <x v="4"/>
    <x v="1"/>
    <x v="0"/>
    <x v="8"/>
    <n v="4"/>
    <x v="8"/>
    <x v="2"/>
    <n v="2"/>
    <n v="19.8"/>
    <n v="39.6"/>
  </r>
  <r>
    <x v="1442"/>
    <x v="7"/>
    <x v="53"/>
    <d v="2025-02-25T00:00:00"/>
    <x v="2"/>
    <x v="0"/>
    <x v="2"/>
    <x v="0"/>
    <x v="8"/>
    <n v="2"/>
    <x v="8"/>
    <x v="2"/>
    <n v="1"/>
    <n v="41.1"/>
    <n v="41.1"/>
  </r>
  <r>
    <x v="1443"/>
    <x v="11"/>
    <x v="53"/>
    <d v="2025-02-27T00:00:00"/>
    <x v="2"/>
    <x v="3"/>
    <x v="0"/>
    <x v="0"/>
    <x v="8"/>
    <n v="4"/>
    <x v="8"/>
    <x v="2"/>
    <n v="8"/>
    <n v="43.5"/>
    <n v="348"/>
  </r>
  <r>
    <x v="1444"/>
    <x v="8"/>
    <x v="53"/>
    <d v="2025-02-24T00:00:00"/>
    <x v="1"/>
    <x v="0"/>
    <x v="0"/>
    <x v="0"/>
    <x v="26"/>
    <n v="1"/>
    <x v="8"/>
    <x v="1"/>
    <n v="14"/>
    <n v="19"/>
    <n v="266"/>
  </r>
  <r>
    <x v="1445"/>
    <x v="2"/>
    <x v="53"/>
    <d v="2025-02-23T00:00:00"/>
    <x v="2"/>
    <x v="0"/>
    <x v="0"/>
    <x v="0"/>
    <x v="26"/>
    <n v="0"/>
    <x v="8"/>
    <x v="2"/>
    <n v="4"/>
    <n v="51.4"/>
    <n v="205.6"/>
  </r>
  <r>
    <x v="1446"/>
    <x v="10"/>
    <x v="53"/>
    <d v="2025-02-26T00:00:00"/>
    <x v="1"/>
    <x v="3"/>
    <x v="1"/>
    <x v="0"/>
    <x v="13"/>
    <n v="3"/>
    <x v="8"/>
    <x v="1"/>
    <n v="2"/>
    <n v="39.799999999999997"/>
    <n v="79.599999999999994"/>
  </r>
  <r>
    <x v="1447"/>
    <x v="6"/>
    <x v="53"/>
    <d v="2025-02-24T00:00:00"/>
    <x v="0"/>
    <x v="0"/>
    <x v="2"/>
    <x v="0"/>
    <x v="21"/>
    <n v="1"/>
    <x v="8"/>
    <x v="0"/>
    <n v="5"/>
    <n v="61"/>
    <n v="305"/>
  </r>
  <r>
    <x v="1448"/>
    <x v="8"/>
    <x v="54"/>
    <d v="2025-03-01T00:00:00"/>
    <x v="1"/>
    <x v="3"/>
    <x v="2"/>
    <x v="0"/>
    <x v="2"/>
    <n v="5"/>
    <x v="8"/>
    <x v="1"/>
    <n v="11"/>
    <n v="15.1"/>
    <n v="166.1"/>
  </r>
  <r>
    <x v="1449"/>
    <x v="1"/>
    <x v="54"/>
    <d v="2025-02-25T00:00:00"/>
    <x v="1"/>
    <x v="4"/>
    <x v="0"/>
    <x v="0"/>
    <x v="3"/>
    <n v="1"/>
    <x v="8"/>
    <x v="1"/>
    <n v="7"/>
    <n v="71.3"/>
    <n v="499.09999999999997"/>
  </r>
  <r>
    <x v="1450"/>
    <x v="10"/>
    <x v="54"/>
    <d v="2025-02-26T00:00:00"/>
    <x v="2"/>
    <x v="0"/>
    <x v="2"/>
    <x v="0"/>
    <x v="3"/>
    <n v="2"/>
    <x v="8"/>
    <x v="2"/>
    <n v="1"/>
    <n v="25.8"/>
    <n v="25.8"/>
  </r>
  <r>
    <x v="1451"/>
    <x v="8"/>
    <x v="54"/>
    <d v="2025-02-26T00:00:00"/>
    <x v="1"/>
    <x v="1"/>
    <x v="2"/>
    <x v="0"/>
    <x v="3"/>
    <n v="2"/>
    <x v="8"/>
    <x v="1"/>
    <n v="5"/>
    <n v="39.6"/>
    <n v="198"/>
  </r>
  <r>
    <x v="1452"/>
    <x v="5"/>
    <x v="54"/>
    <d v="2025-02-24T00:00:00"/>
    <x v="1"/>
    <x v="1"/>
    <x v="1"/>
    <x v="0"/>
    <x v="3"/>
    <n v="0"/>
    <x v="8"/>
    <x v="1"/>
    <n v="2"/>
    <n v="64"/>
    <n v="128"/>
  </r>
  <r>
    <x v="1453"/>
    <x v="8"/>
    <x v="54"/>
    <d v="2025-02-27T00:00:00"/>
    <x v="1"/>
    <x v="0"/>
    <x v="2"/>
    <x v="0"/>
    <x v="3"/>
    <n v="3"/>
    <x v="8"/>
    <x v="1"/>
    <n v="2"/>
    <n v="30.6"/>
    <n v="61.2"/>
  </r>
  <r>
    <x v="1454"/>
    <x v="8"/>
    <x v="54"/>
    <d v="2025-02-25T00:00:00"/>
    <x v="1"/>
    <x v="0"/>
    <x v="1"/>
    <x v="0"/>
    <x v="3"/>
    <n v="1"/>
    <x v="8"/>
    <x v="1"/>
    <n v="2"/>
    <n v="21.3"/>
    <n v="42.6"/>
  </r>
  <r>
    <x v="1455"/>
    <x v="7"/>
    <x v="54"/>
    <d v="2025-02-26T00:00:00"/>
    <x v="2"/>
    <x v="4"/>
    <x v="0"/>
    <x v="0"/>
    <x v="3"/>
    <n v="2"/>
    <x v="8"/>
    <x v="2"/>
    <n v="1"/>
    <n v="40.799999999999997"/>
    <n v="40.799999999999997"/>
  </r>
  <r>
    <x v="1456"/>
    <x v="9"/>
    <x v="54"/>
    <d v="2025-02-25T00:00:00"/>
    <x v="2"/>
    <x v="0"/>
    <x v="1"/>
    <x v="0"/>
    <x v="3"/>
    <n v="1"/>
    <x v="8"/>
    <x v="2"/>
    <n v="4"/>
    <n v="27.7"/>
    <n v="110.8"/>
  </r>
  <r>
    <x v="1457"/>
    <x v="6"/>
    <x v="54"/>
    <d v="2025-02-25T00:00:00"/>
    <x v="1"/>
    <x v="0"/>
    <x v="1"/>
    <x v="0"/>
    <x v="3"/>
    <n v="1"/>
    <x v="8"/>
    <x v="1"/>
    <n v="2"/>
    <n v="64.599999999999994"/>
    <n v="129.19999999999999"/>
  </r>
  <r>
    <x v="1458"/>
    <x v="6"/>
    <x v="54"/>
    <d v="2025-02-25T00:00:00"/>
    <x v="2"/>
    <x v="1"/>
    <x v="2"/>
    <x v="0"/>
    <x v="3"/>
    <n v="1"/>
    <x v="8"/>
    <x v="2"/>
    <n v="16"/>
    <n v="91.1"/>
    <n v="1457.6"/>
  </r>
  <r>
    <x v="1459"/>
    <x v="1"/>
    <x v="54"/>
    <d v="2025-03-04T00:00:00"/>
    <x v="2"/>
    <x v="0"/>
    <x v="0"/>
    <x v="0"/>
    <x v="3"/>
    <n v="8"/>
    <x v="8"/>
    <x v="2"/>
    <n v="1"/>
    <n v="39.5"/>
    <n v="39.5"/>
  </r>
  <r>
    <x v="1460"/>
    <x v="9"/>
    <x v="54"/>
    <d v="2025-02-28T00:00:00"/>
    <x v="1"/>
    <x v="4"/>
    <x v="2"/>
    <x v="0"/>
    <x v="3"/>
    <n v="4"/>
    <x v="8"/>
    <x v="1"/>
    <n v="2"/>
    <n v="21.8"/>
    <n v="43.6"/>
  </r>
  <r>
    <x v="1461"/>
    <x v="8"/>
    <x v="54"/>
    <d v="2025-02-27T00:00:00"/>
    <x v="1"/>
    <x v="3"/>
    <x v="2"/>
    <x v="0"/>
    <x v="3"/>
    <n v="3"/>
    <x v="8"/>
    <x v="1"/>
    <n v="2"/>
    <n v="51"/>
    <n v="102"/>
  </r>
  <r>
    <x v="1462"/>
    <x v="2"/>
    <x v="54"/>
    <d v="2025-02-27T00:00:00"/>
    <x v="2"/>
    <x v="0"/>
    <x v="2"/>
    <x v="0"/>
    <x v="35"/>
    <n v="3"/>
    <x v="8"/>
    <x v="2"/>
    <n v="1"/>
    <n v="92.6"/>
    <n v="92.6"/>
  </r>
  <r>
    <x v="1463"/>
    <x v="9"/>
    <x v="54"/>
    <d v="2025-03-01T00:00:00"/>
    <x v="0"/>
    <x v="1"/>
    <x v="3"/>
    <x v="0"/>
    <x v="23"/>
    <n v="5"/>
    <x v="8"/>
    <x v="0"/>
    <n v="2"/>
    <n v="31.1"/>
    <n v="62.2"/>
  </r>
  <r>
    <x v="1464"/>
    <x v="5"/>
    <x v="54"/>
    <d v="2025-02-25T00:00:00"/>
    <x v="0"/>
    <x v="1"/>
    <x v="0"/>
    <x v="0"/>
    <x v="6"/>
    <n v="1"/>
    <x v="8"/>
    <x v="0"/>
    <n v="3"/>
    <n v="56.4"/>
    <n v="169.2"/>
  </r>
  <r>
    <x v="1465"/>
    <x v="9"/>
    <x v="54"/>
    <d v="2025-02-24T00:00:00"/>
    <x v="1"/>
    <x v="1"/>
    <x v="0"/>
    <x v="0"/>
    <x v="6"/>
    <n v="0"/>
    <x v="8"/>
    <x v="1"/>
    <n v="1"/>
    <n v="41.9"/>
    <n v="41.9"/>
  </r>
  <r>
    <x v="1466"/>
    <x v="10"/>
    <x v="54"/>
    <d v="2025-02-25T00:00:00"/>
    <x v="1"/>
    <x v="3"/>
    <x v="2"/>
    <x v="0"/>
    <x v="8"/>
    <n v="1"/>
    <x v="8"/>
    <x v="1"/>
    <n v="7"/>
    <n v="45.9"/>
    <n v="321.3"/>
  </r>
  <r>
    <x v="1467"/>
    <x v="14"/>
    <x v="54"/>
    <d v="2025-02-28T00:00:00"/>
    <x v="1"/>
    <x v="3"/>
    <x v="2"/>
    <x v="0"/>
    <x v="8"/>
    <n v="4"/>
    <x v="8"/>
    <x v="1"/>
    <n v="9"/>
    <n v="24.4"/>
    <n v="219.6"/>
  </r>
  <r>
    <x v="1468"/>
    <x v="8"/>
    <x v="54"/>
    <d v="2025-02-25T00:00:00"/>
    <x v="2"/>
    <x v="2"/>
    <x v="2"/>
    <x v="0"/>
    <x v="8"/>
    <n v="1"/>
    <x v="8"/>
    <x v="2"/>
    <n v="1"/>
    <n v="18.2"/>
    <n v="18.2"/>
  </r>
  <r>
    <x v="1469"/>
    <x v="8"/>
    <x v="54"/>
    <d v="2025-02-25T00:00:00"/>
    <x v="2"/>
    <x v="0"/>
    <x v="0"/>
    <x v="0"/>
    <x v="8"/>
    <n v="1"/>
    <x v="8"/>
    <x v="2"/>
    <n v="4"/>
    <n v="51.2"/>
    <n v="204.8"/>
  </r>
  <r>
    <x v="1470"/>
    <x v="6"/>
    <x v="54"/>
    <d v="2025-02-27T00:00:00"/>
    <x v="1"/>
    <x v="0"/>
    <x v="2"/>
    <x v="0"/>
    <x v="8"/>
    <n v="3"/>
    <x v="8"/>
    <x v="1"/>
    <n v="1"/>
    <n v="59.7"/>
    <n v="59.7"/>
  </r>
  <r>
    <x v="1471"/>
    <x v="4"/>
    <x v="54"/>
    <d v="2025-02-26T00:00:00"/>
    <x v="2"/>
    <x v="0"/>
    <x v="0"/>
    <x v="0"/>
    <x v="17"/>
    <n v="2"/>
    <x v="8"/>
    <x v="2"/>
    <n v="2"/>
    <n v="33.6"/>
    <n v="67.2"/>
  </r>
  <r>
    <x v="1472"/>
    <x v="12"/>
    <x v="54"/>
    <d v="2025-02-28T00:00:00"/>
    <x v="1"/>
    <x v="1"/>
    <x v="2"/>
    <x v="0"/>
    <x v="10"/>
    <n v="4"/>
    <x v="8"/>
    <x v="1"/>
    <n v="1"/>
    <n v="90.4"/>
    <n v="90.4"/>
  </r>
  <r>
    <x v="1473"/>
    <x v="11"/>
    <x v="54"/>
    <d v="2025-02-24T00:00:00"/>
    <x v="1"/>
    <x v="1"/>
    <x v="2"/>
    <x v="0"/>
    <x v="11"/>
    <n v="0"/>
    <x v="8"/>
    <x v="1"/>
    <n v="3"/>
    <n v="70.3"/>
    <n v="210.89999999999998"/>
  </r>
  <r>
    <x v="1474"/>
    <x v="4"/>
    <x v="54"/>
    <d v="2025-02-27T00:00:00"/>
    <x v="2"/>
    <x v="0"/>
    <x v="1"/>
    <x v="0"/>
    <x v="11"/>
    <n v="3"/>
    <x v="8"/>
    <x v="2"/>
    <n v="2"/>
    <n v="20.5"/>
    <n v="41"/>
  </r>
  <r>
    <x v="1475"/>
    <x v="5"/>
    <x v="54"/>
    <d v="2025-02-25T00:00:00"/>
    <x v="1"/>
    <x v="0"/>
    <x v="0"/>
    <x v="0"/>
    <x v="38"/>
    <n v="1"/>
    <x v="8"/>
    <x v="1"/>
    <n v="11"/>
    <n v="37.6"/>
    <n v="413.6"/>
  </r>
  <r>
    <x v="1476"/>
    <x v="5"/>
    <x v="54"/>
    <d v="2025-03-03T00:00:00"/>
    <x v="2"/>
    <x v="1"/>
    <x v="4"/>
    <x v="0"/>
    <x v="13"/>
    <n v="7"/>
    <x v="8"/>
    <x v="2"/>
    <n v="4"/>
    <n v="61.5"/>
    <n v="246"/>
  </r>
  <r>
    <x v="1477"/>
    <x v="9"/>
    <x v="55"/>
    <d v="2025-03-01T00:00:00"/>
    <x v="1"/>
    <x v="4"/>
    <x v="1"/>
    <x v="0"/>
    <x v="21"/>
    <n v="4"/>
    <x v="8"/>
    <x v="1"/>
    <n v="1"/>
    <n v="33.5"/>
    <n v="33.5"/>
  </r>
  <r>
    <x v="1478"/>
    <x v="4"/>
    <x v="55"/>
    <d v="2025-02-27T00:00:00"/>
    <x v="2"/>
    <x v="1"/>
    <x v="2"/>
    <x v="0"/>
    <x v="1"/>
    <n v="2"/>
    <x v="8"/>
    <x v="2"/>
    <n v="3"/>
    <n v="29.3"/>
    <n v="87.9"/>
  </r>
  <r>
    <x v="1479"/>
    <x v="2"/>
    <x v="55"/>
    <d v="2025-03-02T00:00:00"/>
    <x v="2"/>
    <x v="4"/>
    <x v="1"/>
    <x v="0"/>
    <x v="1"/>
    <n v="5"/>
    <x v="8"/>
    <x v="2"/>
    <n v="2"/>
    <n v="125.9"/>
    <n v="251.8"/>
  </r>
  <r>
    <x v="1480"/>
    <x v="5"/>
    <x v="55"/>
    <d v="2025-02-25T00:00:00"/>
    <x v="1"/>
    <x v="2"/>
    <x v="0"/>
    <x v="0"/>
    <x v="44"/>
    <n v="0"/>
    <x v="8"/>
    <x v="1"/>
    <n v="5"/>
    <n v="29.3"/>
    <n v="146.5"/>
  </r>
  <r>
    <x v="1481"/>
    <x v="9"/>
    <x v="55"/>
    <d v="2025-02-28T00:00:00"/>
    <x v="2"/>
    <x v="0"/>
    <x v="2"/>
    <x v="0"/>
    <x v="3"/>
    <n v="3"/>
    <x v="8"/>
    <x v="2"/>
    <n v="1"/>
    <n v="37.799999999999997"/>
    <n v="37.799999999999997"/>
  </r>
  <r>
    <x v="1482"/>
    <x v="0"/>
    <x v="55"/>
    <d v="2025-02-26T00:00:00"/>
    <x v="1"/>
    <x v="2"/>
    <x v="2"/>
    <x v="0"/>
    <x v="3"/>
    <n v="1"/>
    <x v="8"/>
    <x v="1"/>
    <n v="4"/>
    <n v="31.7"/>
    <n v="126.8"/>
  </r>
  <r>
    <x v="1483"/>
    <x v="8"/>
    <x v="55"/>
    <d v="2025-02-26T00:00:00"/>
    <x v="2"/>
    <x v="3"/>
    <x v="2"/>
    <x v="0"/>
    <x v="3"/>
    <n v="1"/>
    <x v="8"/>
    <x v="2"/>
    <n v="5"/>
    <n v="26.3"/>
    <n v="131.5"/>
  </r>
  <r>
    <x v="1484"/>
    <x v="8"/>
    <x v="55"/>
    <d v="2025-02-26T00:00:00"/>
    <x v="3"/>
    <x v="2"/>
    <x v="1"/>
    <x v="0"/>
    <x v="3"/>
    <n v="1"/>
    <x v="8"/>
    <x v="3"/>
    <n v="3"/>
    <n v="23.1"/>
    <n v="69.300000000000011"/>
  </r>
  <r>
    <x v="1485"/>
    <x v="4"/>
    <x v="55"/>
    <d v="2025-02-27T00:00:00"/>
    <x v="2"/>
    <x v="2"/>
    <x v="0"/>
    <x v="0"/>
    <x v="3"/>
    <n v="2"/>
    <x v="8"/>
    <x v="2"/>
    <n v="1"/>
    <n v="22.3"/>
    <n v="22.3"/>
  </r>
  <r>
    <x v="1486"/>
    <x v="12"/>
    <x v="55"/>
    <d v="2025-02-27T00:00:00"/>
    <x v="2"/>
    <x v="2"/>
    <x v="0"/>
    <x v="0"/>
    <x v="3"/>
    <n v="2"/>
    <x v="8"/>
    <x v="2"/>
    <n v="2"/>
    <n v="99.5"/>
    <n v="199"/>
  </r>
  <r>
    <x v="1487"/>
    <x v="12"/>
    <x v="55"/>
    <d v="2025-02-28T00:00:00"/>
    <x v="2"/>
    <x v="1"/>
    <x v="0"/>
    <x v="0"/>
    <x v="3"/>
    <n v="3"/>
    <x v="8"/>
    <x v="2"/>
    <n v="4"/>
    <n v="47.4"/>
    <n v="189.6"/>
  </r>
  <r>
    <x v="1488"/>
    <x v="0"/>
    <x v="55"/>
    <d v="2025-02-27T00:00:00"/>
    <x v="2"/>
    <x v="0"/>
    <x v="3"/>
    <x v="0"/>
    <x v="3"/>
    <n v="2"/>
    <x v="8"/>
    <x v="2"/>
    <n v="11"/>
    <n v="37.5"/>
    <n v="412.5"/>
  </r>
  <r>
    <x v="1489"/>
    <x v="10"/>
    <x v="55"/>
    <d v="2025-03-02T00:00:00"/>
    <x v="1"/>
    <x v="3"/>
    <x v="2"/>
    <x v="0"/>
    <x v="24"/>
    <n v="5"/>
    <x v="8"/>
    <x v="1"/>
    <n v="1"/>
    <n v="45.1"/>
    <n v="45.1"/>
  </r>
  <r>
    <x v="1490"/>
    <x v="5"/>
    <x v="55"/>
    <d v="2025-02-28T00:00:00"/>
    <x v="1"/>
    <x v="2"/>
    <x v="0"/>
    <x v="0"/>
    <x v="16"/>
    <n v="3"/>
    <x v="8"/>
    <x v="1"/>
    <n v="10"/>
    <n v="34.4"/>
    <n v="344"/>
  </r>
  <r>
    <x v="1491"/>
    <x v="4"/>
    <x v="55"/>
    <d v="2025-02-27T00:00:00"/>
    <x v="2"/>
    <x v="1"/>
    <x v="0"/>
    <x v="0"/>
    <x v="5"/>
    <n v="2"/>
    <x v="8"/>
    <x v="2"/>
    <n v="2"/>
    <n v="38"/>
    <n v="76"/>
  </r>
  <r>
    <x v="1492"/>
    <x v="3"/>
    <x v="55"/>
    <d v="2025-02-28T00:00:00"/>
    <x v="1"/>
    <x v="4"/>
    <x v="0"/>
    <x v="0"/>
    <x v="6"/>
    <n v="3"/>
    <x v="8"/>
    <x v="1"/>
    <n v="14"/>
    <n v="32.4"/>
    <n v="453.59999999999997"/>
  </r>
  <r>
    <x v="1493"/>
    <x v="6"/>
    <x v="55"/>
    <d v="2025-02-25T00:00:00"/>
    <x v="0"/>
    <x v="1"/>
    <x v="0"/>
    <x v="0"/>
    <x v="8"/>
    <n v="0"/>
    <x v="8"/>
    <x v="0"/>
    <n v="3"/>
    <n v="40.9"/>
    <n v="122.69999999999999"/>
  </r>
  <r>
    <x v="1494"/>
    <x v="7"/>
    <x v="55"/>
    <d v="2025-02-27T00:00:00"/>
    <x v="2"/>
    <x v="2"/>
    <x v="1"/>
    <x v="0"/>
    <x v="8"/>
    <n v="2"/>
    <x v="8"/>
    <x v="2"/>
    <n v="7"/>
    <n v="76.2"/>
    <n v="533.4"/>
  </r>
  <r>
    <x v="1495"/>
    <x v="2"/>
    <x v="55"/>
    <d v="2025-02-27T00:00:00"/>
    <x v="1"/>
    <x v="2"/>
    <x v="0"/>
    <x v="0"/>
    <x v="8"/>
    <n v="2"/>
    <x v="8"/>
    <x v="1"/>
    <n v="1"/>
    <n v="85.6"/>
    <n v="85.6"/>
  </r>
  <r>
    <x v="1496"/>
    <x v="4"/>
    <x v="55"/>
    <d v="2025-02-27T00:00:00"/>
    <x v="2"/>
    <x v="2"/>
    <x v="2"/>
    <x v="0"/>
    <x v="8"/>
    <n v="2"/>
    <x v="8"/>
    <x v="2"/>
    <n v="4"/>
    <n v="25"/>
    <n v="100"/>
  </r>
  <r>
    <x v="1497"/>
    <x v="2"/>
    <x v="55"/>
    <d v="2025-02-26T00:00:00"/>
    <x v="0"/>
    <x v="0"/>
    <x v="2"/>
    <x v="0"/>
    <x v="8"/>
    <n v="1"/>
    <x v="8"/>
    <x v="0"/>
    <n v="5"/>
    <n v="150.69999999999999"/>
    <n v="753.5"/>
  </r>
  <r>
    <x v="1498"/>
    <x v="8"/>
    <x v="55"/>
    <d v="2025-02-26T00:00:00"/>
    <x v="1"/>
    <x v="1"/>
    <x v="4"/>
    <x v="0"/>
    <x v="8"/>
    <n v="1"/>
    <x v="8"/>
    <x v="1"/>
    <n v="1"/>
    <n v="19.600000000000001"/>
    <n v="19.600000000000001"/>
  </r>
  <r>
    <x v="1499"/>
    <x v="13"/>
    <x v="55"/>
    <d v="2025-02-28T00:00:00"/>
    <x v="2"/>
    <x v="1"/>
    <x v="2"/>
    <x v="0"/>
    <x v="17"/>
    <n v="3"/>
    <x v="8"/>
    <x v="2"/>
    <n v="2"/>
    <n v="37.5"/>
    <n v="75"/>
  </r>
  <r>
    <x v="1500"/>
    <x v="9"/>
    <x v="55"/>
    <d v="2025-03-03T00:00:00"/>
    <x v="2"/>
    <x v="0"/>
    <x v="4"/>
    <x v="0"/>
    <x v="11"/>
    <n v="6"/>
    <x v="8"/>
    <x v="2"/>
    <n v="3"/>
    <n v="51.9"/>
    <n v="155.69999999999999"/>
  </r>
  <r>
    <x v="1501"/>
    <x v="1"/>
    <x v="55"/>
    <d v="2025-02-27T00:00:00"/>
    <x v="2"/>
    <x v="1"/>
    <x v="0"/>
    <x v="0"/>
    <x v="18"/>
    <n v="2"/>
    <x v="8"/>
    <x v="2"/>
    <n v="2"/>
    <n v="30.9"/>
    <n v="61.8"/>
  </r>
  <r>
    <x v="1502"/>
    <x v="4"/>
    <x v="55"/>
    <d v="2025-02-28T00:00:00"/>
    <x v="2"/>
    <x v="1"/>
    <x v="0"/>
    <x v="0"/>
    <x v="19"/>
    <n v="3"/>
    <x v="8"/>
    <x v="2"/>
    <n v="3"/>
    <n v="21.2"/>
    <n v="63.599999999999994"/>
  </r>
  <r>
    <x v="1503"/>
    <x v="13"/>
    <x v="55"/>
    <d v="2025-02-26T00:00:00"/>
    <x v="1"/>
    <x v="1"/>
    <x v="1"/>
    <x v="0"/>
    <x v="13"/>
    <n v="1"/>
    <x v="8"/>
    <x v="1"/>
    <n v="17"/>
    <n v="17.5"/>
    <n v="297.5"/>
  </r>
  <r>
    <x v="1504"/>
    <x v="12"/>
    <x v="55"/>
    <d v="2025-03-02T00:00:00"/>
    <x v="2"/>
    <x v="0"/>
    <x v="2"/>
    <x v="0"/>
    <x v="21"/>
    <n v="5"/>
    <x v="8"/>
    <x v="2"/>
    <n v="2"/>
    <n v="53.8"/>
    <n v="107.6"/>
  </r>
  <r>
    <x v="1505"/>
    <x v="19"/>
    <x v="55"/>
    <d v="2025-02-26T00:00:00"/>
    <x v="1"/>
    <x v="3"/>
    <x v="0"/>
    <x v="0"/>
    <x v="21"/>
    <n v="1"/>
    <x v="8"/>
    <x v="1"/>
    <n v="2"/>
    <n v="17"/>
    <n v="34"/>
  </r>
  <r>
    <x v="1506"/>
    <x v="6"/>
    <x v="55"/>
    <d v="2025-03-05T00:00:00"/>
    <x v="1"/>
    <x v="2"/>
    <x v="1"/>
    <x v="0"/>
    <x v="1"/>
    <n v="8"/>
    <x v="8"/>
    <x v="1"/>
    <n v="1"/>
    <n v="103.2"/>
    <n v="103.2"/>
  </r>
  <r>
    <x v="1507"/>
    <x v="6"/>
    <x v="55"/>
    <d v="2025-02-26T00:00:00"/>
    <x v="1"/>
    <x v="0"/>
    <x v="0"/>
    <x v="0"/>
    <x v="3"/>
    <n v="1"/>
    <x v="8"/>
    <x v="1"/>
    <n v="4"/>
    <n v="70.3"/>
    <n v="281.2"/>
  </r>
  <r>
    <x v="1508"/>
    <x v="2"/>
    <x v="55"/>
    <d v="2025-02-25T00:00:00"/>
    <x v="1"/>
    <x v="3"/>
    <x v="2"/>
    <x v="0"/>
    <x v="3"/>
    <n v="0"/>
    <x v="8"/>
    <x v="1"/>
    <n v="2"/>
    <n v="73.8"/>
    <n v="147.6"/>
  </r>
  <r>
    <x v="1509"/>
    <x v="1"/>
    <x v="55"/>
    <d v="2025-03-01T00:00:00"/>
    <x v="1"/>
    <x v="1"/>
    <x v="1"/>
    <x v="0"/>
    <x v="3"/>
    <n v="4"/>
    <x v="8"/>
    <x v="1"/>
    <n v="12"/>
    <n v="67.7"/>
    <n v="812.40000000000009"/>
  </r>
  <r>
    <x v="1510"/>
    <x v="13"/>
    <x v="55"/>
    <d v="2025-02-27T00:00:00"/>
    <x v="1"/>
    <x v="1"/>
    <x v="0"/>
    <x v="0"/>
    <x v="3"/>
    <n v="2"/>
    <x v="8"/>
    <x v="1"/>
    <n v="7"/>
    <n v="43.8"/>
    <n v="306.59999999999997"/>
  </r>
  <r>
    <x v="1511"/>
    <x v="17"/>
    <x v="55"/>
    <d v="2025-02-26T00:00:00"/>
    <x v="2"/>
    <x v="2"/>
    <x v="0"/>
    <x v="0"/>
    <x v="3"/>
    <n v="1"/>
    <x v="8"/>
    <x v="2"/>
    <n v="6"/>
    <n v="71.900000000000006"/>
    <n v="431.40000000000003"/>
  </r>
  <r>
    <x v="1512"/>
    <x v="8"/>
    <x v="56"/>
    <d v="2025-02-28T00:00:00"/>
    <x v="2"/>
    <x v="0"/>
    <x v="1"/>
    <x v="0"/>
    <x v="3"/>
    <n v="2"/>
    <x v="8"/>
    <x v="2"/>
    <n v="2"/>
    <n v="26.3"/>
    <n v="52.6"/>
  </r>
  <r>
    <x v="1513"/>
    <x v="6"/>
    <x v="56"/>
    <d v="2025-02-28T00:00:00"/>
    <x v="2"/>
    <x v="2"/>
    <x v="1"/>
    <x v="0"/>
    <x v="3"/>
    <n v="2"/>
    <x v="8"/>
    <x v="2"/>
    <n v="4"/>
    <n v="52.6"/>
    <n v="210.4"/>
  </r>
  <r>
    <x v="1514"/>
    <x v="10"/>
    <x v="56"/>
    <d v="2025-03-05T00:00:00"/>
    <x v="2"/>
    <x v="0"/>
    <x v="2"/>
    <x v="0"/>
    <x v="3"/>
    <n v="7"/>
    <x v="8"/>
    <x v="2"/>
    <n v="1"/>
    <n v="32.700000000000003"/>
    <n v="32.700000000000003"/>
  </r>
  <r>
    <x v="1515"/>
    <x v="5"/>
    <x v="56"/>
    <d v="2025-02-27T00:00:00"/>
    <x v="2"/>
    <x v="0"/>
    <x v="0"/>
    <x v="0"/>
    <x v="3"/>
    <n v="1"/>
    <x v="8"/>
    <x v="2"/>
    <n v="4"/>
    <n v="38.9"/>
    <n v="155.6"/>
  </r>
  <r>
    <x v="1516"/>
    <x v="9"/>
    <x v="56"/>
    <d v="2025-02-28T00:00:00"/>
    <x v="1"/>
    <x v="0"/>
    <x v="0"/>
    <x v="0"/>
    <x v="3"/>
    <n v="2"/>
    <x v="8"/>
    <x v="1"/>
    <n v="5"/>
    <n v="35"/>
    <n v="175"/>
  </r>
  <r>
    <x v="1517"/>
    <x v="2"/>
    <x v="56"/>
    <d v="2025-02-27T00:00:00"/>
    <x v="2"/>
    <x v="1"/>
    <x v="1"/>
    <x v="0"/>
    <x v="3"/>
    <n v="1"/>
    <x v="8"/>
    <x v="2"/>
    <n v="2"/>
    <n v="121"/>
    <n v="242"/>
  </r>
  <r>
    <x v="1518"/>
    <x v="6"/>
    <x v="56"/>
    <d v="2025-03-02T00:00:00"/>
    <x v="1"/>
    <x v="2"/>
    <x v="0"/>
    <x v="0"/>
    <x v="36"/>
    <n v="4"/>
    <x v="8"/>
    <x v="1"/>
    <n v="3"/>
    <n v="65.099999999999994"/>
    <n v="195.29999999999998"/>
  </r>
  <r>
    <x v="1519"/>
    <x v="1"/>
    <x v="56"/>
    <d v="2025-02-28T00:00:00"/>
    <x v="2"/>
    <x v="0"/>
    <x v="0"/>
    <x v="0"/>
    <x v="8"/>
    <n v="2"/>
    <x v="8"/>
    <x v="2"/>
    <n v="21"/>
    <n v="63.8"/>
    <n v="1339.8"/>
  </r>
  <r>
    <x v="1520"/>
    <x v="7"/>
    <x v="56"/>
    <d v="2025-02-28T00:00:00"/>
    <x v="1"/>
    <x v="0"/>
    <x v="0"/>
    <x v="0"/>
    <x v="8"/>
    <n v="2"/>
    <x v="8"/>
    <x v="1"/>
    <n v="1"/>
    <n v="77.7"/>
    <n v="77.7"/>
  </r>
  <r>
    <x v="1521"/>
    <x v="5"/>
    <x v="56"/>
    <d v="2025-02-26T00:00:00"/>
    <x v="1"/>
    <x v="0"/>
    <x v="2"/>
    <x v="0"/>
    <x v="8"/>
    <n v="0"/>
    <x v="8"/>
    <x v="1"/>
    <n v="4"/>
    <n v="60.3"/>
    <n v="241.2"/>
  </r>
  <r>
    <x v="1522"/>
    <x v="5"/>
    <x v="56"/>
    <d v="2025-03-01T00:00:00"/>
    <x v="2"/>
    <x v="0"/>
    <x v="2"/>
    <x v="0"/>
    <x v="8"/>
    <n v="3"/>
    <x v="8"/>
    <x v="2"/>
    <n v="2"/>
    <n v="124.1"/>
    <n v="248.2"/>
  </r>
  <r>
    <x v="1523"/>
    <x v="16"/>
    <x v="56"/>
    <d v="2025-02-26T00:00:00"/>
    <x v="0"/>
    <x v="3"/>
    <x v="0"/>
    <x v="0"/>
    <x v="17"/>
    <n v="0"/>
    <x v="8"/>
    <x v="0"/>
    <n v="7"/>
    <n v="66"/>
    <n v="462"/>
  </r>
  <r>
    <x v="1524"/>
    <x v="2"/>
    <x v="56"/>
    <d v="2025-03-03T00:00:00"/>
    <x v="0"/>
    <x v="0"/>
    <x v="0"/>
    <x v="0"/>
    <x v="17"/>
    <n v="5"/>
    <x v="8"/>
    <x v="0"/>
    <n v="63"/>
    <n v="118.2"/>
    <n v="7446.6"/>
  </r>
  <r>
    <x v="1525"/>
    <x v="5"/>
    <x v="56"/>
    <d v="2025-02-27T00:00:00"/>
    <x v="1"/>
    <x v="4"/>
    <x v="4"/>
    <x v="0"/>
    <x v="26"/>
    <n v="1"/>
    <x v="8"/>
    <x v="1"/>
    <n v="5"/>
    <n v="64.3"/>
    <n v="321.5"/>
  </r>
  <r>
    <x v="1526"/>
    <x v="1"/>
    <x v="56"/>
    <d v="2025-02-26T00:00:00"/>
    <x v="1"/>
    <x v="0"/>
    <x v="1"/>
    <x v="0"/>
    <x v="26"/>
    <n v="0"/>
    <x v="8"/>
    <x v="1"/>
    <n v="2"/>
    <n v="54.8"/>
    <n v="109.6"/>
  </r>
  <r>
    <x v="1527"/>
    <x v="7"/>
    <x v="56"/>
    <d v="2025-02-27T00:00:00"/>
    <x v="1"/>
    <x v="0"/>
    <x v="2"/>
    <x v="0"/>
    <x v="9"/>
    <n v="1"/>
    <x v="8"/>
    <x v="1"/>
    <n v="2"/>
    <n v="78.599999999999994"/>
    <n v="157.19999999999999"/>
  </r>
  <r>
    <x v="1528"/>
    <x v="2"/>
    <x v="56"/>
    <d v="2025-02-28T00:00:00"/>
    <x v="0"/>
    <x v="2"/>
    <x v="2"/>
    <x v="0"/>
    <x v="9"/>
    <n v="2"/>
    <x v="8"/>
    <x v="0"/>
    <n v="5"/>
    <n v="158.5"/>
    <n v="792.5"/>
  </r>
  <r>
    <x v="1529"/>
    <x v="4"/>
    <x v="56"/>
    <d v="2025-03-01T00:00:00"/>
    <x v="1"/>
    <x v="0"/>
    <x v="4"/>
    <x v="0"/>
    <x v="10"/>
    <n v="3"/>
    <x v="8"/>
    <x v="1"/>
    <n v="10"/>
    <n v="23.5"/>
    <n v="235"/>
  </r>
  <r>
    <x v="1530"/>
    <x v="5"/>
    <x v="56"/>
    <d v="2025-02-28T00:00:00"/>
    <x v="0"/>
    <x v="3"/>
    <x v="0"/>
    <x v="0"/>
    <x v="10"/>
    <n v="2"/>
    <x v="8"/>
    <x v="0"/>
    <n v="2"/>
    <n v="32.1"/>
    <n v="64.2"/>
  </r>
  <r>
    <x v="1531"/>
    <x v="17"/>
    <x v="56"/>
    <d v="2025-02-26T00:00:00"/>
    <x v="1"/>
    <x v="2"/>
    <x v="0"/>
    <x v="0"/>
    <x v="19"/>
    <n v="0"/>
    <x v="8"/>
    <x v="1"/>
    <n v="4"/>
    <n v="71.900000000000006"/>
    <n v="287.60000000000002"/>
  </r>
  <r>
    <x v="1532"/>
    <x v="4"/>
    <x v="56"/>
    <d v="2025-02-27T00:00:00"/>
    <x v="0"/>
    <x v="3"/>
    <x v="2"/>
    <x v="0"/>
    <x v="13"/>
    <n v="1"/>
    <x v="8"/>
    <x v="0"/>
    <n v="6"/>
    <n v="22.3"/>
    <n v="133.80000000000001"/>
  </r>
  <r>
    <x v="1533"/>
    <x v="11"/>
    <x v="56"/>
    <d v="2025-02-27T00:00:00"/>
    <x v="2"/>
    <x v="0"/>
    <x v="2"/>
    <x v="0"/>
    <x v="13"/>
    <n v="1"/>
    <x v="8"/>
    <x v="2"/>
    <n v="2"/>
    <n v="29.5"/>
    <n v="59"/>
  </r>
  <r>
    <x v="1534"/>
    <x v="6"/>
    <x v="56"/>
    <d v="2025-03-02T00:00:00"/>
    <x v="2"/>
    <x v="0"/>
    <x v="1"/>
    <x v="0"/>
    <x v="21"/>
    <n v="4"/>
    <x v="8"/>
    <x v="2"/>
    <n v="4"/>
    <n v="41.9"/>
    <n v="167.6"/>
  </r>
  <r>
    <x v="1535"/>
    <x v="6"/>
    <x v="56"/>
    <d v="2025-02-27T00:00:00"/>
    <x v="1"/>
    <x v="1"/>
    <x v="2"/>
    <x v="0"/>
    <x v="46"/>
    <n v="1"/>
    <x v="8"/>
    <x v="1"/>
    <n v="3"/>
    <n v="107.8"/>
    <n v="323.39999999999998"/>
  </r>
  <r>
    <x v="1536"/>
    <x v="4"/>
    <x v="56"/>
    <d v="2025-03-01T00:00:00"/>
    <x v="1"/>
    <x v="0"/>
    <x v="2"/>
    <x v="0"/>
    <x v="2"/>
    <n v="3"/>
    <x v="8"/>
    <x v="1"/>
    <n v="5"/>
    <n v="18.100000000000001"/>
    <n v="90.5"/>
  </r>
  <r>
    <x v="1537"/>
    <x v="12"/>
    <x v="56"/>
    <d v="2025-02-27T00:00:00"/>
    <x v="2"/>
    <x v="1"/>
    <x v="1"/>
    <x v="0"/>
    <x v="22"/>
    <n v="1"/>
    <x v="8"/>
    <x v="2"/>
    <n v="9"/>
    <n v="79.8"/>
    <n v="718.19999999999993"/>
  </r>
  <r>
    <x v="1538"/>
    <x v="0"/>
    <x v="56"/>
    <d v="2025-03-01T00:00:00"/>
    <x v="2"/>
    <x v="0"/>
    <x v="2"/>
    <x v="0"/>
    <x v="22"/>
    <n v="3"/>
    <x v="8"/>
    <x v="2"/>
    <n v="3"/>
    <n v="22.3"/>
    <n v="66.900000000000006"/>
  </r>
  <r>
    <x v="1539"/>
    <x v="8"/>
    <x v="56"/>
    <d v="2025-02-26T00:00:00"/>
    <x v="2"/>
    <x v="1"/>
    <x v="0"/>
    <x v="0"/>
    <x v="22"/>
    <n v="0"/>
    <x v="8"/>
    <x v="2"/>
    <n v="1"/>
    <n v="22.9"/>
    <n v="22.9"/>
  </r>
  <r>
    <x v="1540"/>
    <x v="0"/>
    <x v="57"/>
    <d v="2025-02-27T00:00:00"/>
    <x v="1"/>
    <x v="4"/>
    <x v="2"/>
    <x v="0"/>
    <x v="3"/>
    <n v="0"/>
    <x v="8"/>
    <x v="1"/>
    <n v="3"/>
    <n v="16.2"/>
    <n v="48.599999999999994"/>
  </r>
  <r>
    <x v="1541"/>
    <x v="10"/>
    <x v="57"/>
    <d v="2025-02-28T00:00:00"/>
    <x v="1"/>
    <x v="1"/>
    <x v="2"/>
    <x v="0"/>
    <x v="3"/>
    <n v="1"/>
    <x v="8"/>
    <x v="1"/>
    <n v="4"/>
    <n v="59.5"/>
    <n v="238"/>
  </r>
  <r>
    <x v="1542"/>
    <x v="18"/>
    <x v="57"/>
    <d v="2025-03-02T00:00:00"/>
    <x v="1"/>
    <x v="3"/>
    <x v="4"/>
    <x v="0"/>
    <x v="3"/>
    <n v="3"/>
    <x v="8"/>
    <x v="1"/>
    <n v="5"/>
    <n v="26.2"/>
    <n v="131"/>
  </r>
  <r>
    <x v="1543"/>
    <x v="3"/>
    <x v="57"/>
    <d v="2025-03-02T00:00:00"/>
    <x v="2"/>
    <x v="1"/>
    <x v="0"/>
    <x v="0"/>
    <x v="3"/>
    <n v="3"/>
    <x v="8"/>
    <x v="2"/>
    <n v="1"/>
    <n v="44.2"/>
    <n v="44.2"/>
  </r>
  <r>
    <x v="1544"/>
    <x v="9"/>
    <x v="57"/>
    <d v="2025-02-27T00:00:00"/>
    <x v="2"/>
    <x v="1"/>
    <x v="4"/>
    <x v="0"/>
    <x v="3"/>
    <n v="0"/>
    <x v="8"/>
    <x v="2"/>
    <n v="2"/>
    <n v="59.2"/>
    <n v="118.4"/>
  </r>
  <r>
    <x v="1545"/>
    <x v="15"/>
    <x v="57"/>
    <d v="2025-03-01T00:00:00"/>
    <x v="2"/>
    <x v="0"/>
    <x v="0"/>
    <x v="0"/>
    <x v="16"/>
    <n v="2"/>
    <x v="8"/>
    <x v="2"/>
    <n v="4"/>
    <n v="41.5"/>
    <n v="166"/>
  </r>
  <r>
    <x v="1546"/>
    <x v="6"/>
    <x v="57"/>
    <d v="2025-03-13T00:00:00"/>
    <x v="2"/>
    <x v="0"/>
    <x v="2"/>
    <x v="0"/>
    <x v="23"/>
    <n v="14"/>
    <x v="8"/>
    <x v="2"/>
    <n v="12"/>
    <n v="67.099999999999994"/>
    <n v="805.19999999999993"/>
  </r>
  <r>
    <x v="1547"/>
    <x v="8"/>
    <x v="57"/>
    <d v="2025-03-03T00:00:00"/>
    <x v="2"/>
    <x v="1"/>
    <x v="0"/>
    <x v="0"/>
    <x v="6"/>
    <n v="4"/>
    <x v="8"/>
    <x v="2"/>
    <n v="2"/>
    <n v="28.7"/>
    <n v="57.4"/>
  </r>
  <r>
    <x v="1548"/>
    <x v="2"/>
    <x v="57"/>
    <d v="2025-02-28T00:00:00"/>
    <x v="2"/>
    <x v="0"/>
    <x v="1"/>
    <x v="0"/>
    <x v="6"/>
    <n v="1"/>
    <x v="8"/>
    <x v="2"/>
    <n v="4"/>
    <n v="132.1"/>
    <n v="528.4"/>
  </r>
  <r>
    <x v="1549"/>
    <x v="18"/>
    <x v="57"/>
    <d v="2025-03-01T00:00:00"/>
    <x v="1"/>
    <x v="4"/>
    <x v="0"/>
    <x v="0"/>
    <x v="8"/>
    <n v="2"/>
    <x v="8"/>
    <x v="1"/>
    <n v="2"/>
    <n v="47"/>
    <n v="94"/>
  </r>
  <r>
    <x v="1550"/>
    <x v="8"/>
    <x v="57"/>
    <d v="2025-03-03T00:00:00"/>
    <x v="1"/>
    <x v="1"/>
    <x v="2"/>
    <x v="0"/>
    <x v="8"/>
    <n v="4"/>
    <x v="8"/>
    <x v="1"/>
    <n v="2"/>
    <n v="41.6"/>
    <n v="83.2"/>
  </r>
  <r>
    <x v="1551"/>
    <x v="8"/>
    <x v="57"/>
    <d v="2025-03-01T00:00:00"/>
    <x v="1"/>
    <x v="2"/>
    <x v="2"/>
    <x v="0"/>
    <x v="8"/>
    <n v="2"/>
    <x v="8"/>
    <x v="1"/>
    <n v="38"/>
    <n v="17.3"/>
    <n v="657.4"/>
  </r>
  <r>
    <x v="1552"/>
    <x v="13"/>
    <x v="57"/>
    <d v="2025-03-02T00:00:00"/>
    <x v="1"/>
    <x v="0"/>
    <x v="2"/>
    <x v="0"/>
    <x v="8"/>
    <n v="3"/>
    <x v="8"/>
    <x v="1"/>
    <n v="3"/>
    <n v="41.8"/>
    <n v="125.39999999999999"/>
  </r>
  <r>
    <x v="1553"/>
    <x v="10"/>
    <x v="57"/>
    <d v="2025-02-28T00:00:00"/>
    <x v="2"/>
    <x v="0"/>
    <x v="0"/>
    <x v="0"/>
    <x v="17"/>
    <n v="1"/>
    <x v="8"/>
    <x v="2"/>
    <n v="1"/>
    <n v="24"/>
    <n v="24"/>
  </r>
  <r>
    <x v="1554"/>
    <x v="14"/>
    <x v="57"/>
    <d v="2025-03-01T00:00:00"/>
    <x v="2"/>
    <x v="0"/>
    <x v="0"/>
    <x v="0"/>
    <x v="9"/>
    <n v="2"/>
    <x v="8"/>
    <x v="2"/>
    <n v="9"/>
    <n v="18.5"/>
    <n v="166.5"/>
  </r>
  <r>
    <x v="1555"/>
    <x v="3"/>
    <x v="57"/>
    <d v="2025-03-02T00:00:00"/>
    <x v="0"/>
    <x v="0"/>
    <x v="2"/>
    <x v="0"/>
    <x v="11"/>
    <n v="3"/>
    <x v="8"/>
    <x v="0"/>
    <n v="12"/>
    <n v="66.7"/>
    <n v="800.40000000000009"/>
  </r>
  <r>
    <x v="1556"/>
    <x v="1"/>
    <x v="57"/>
    <d v="2025-03-04T00:00:00"/>
    <x v="1"/>
    <x v="3"/>
    <x v="0"/>
    <x v="0"/>
    <x v="11"/>
    <n v="5"/>
    <x v="8"/>
    <x v="1"/>
    <n v="4"/>
    <n v="33.1"/>
    <n v="132.4"/>
  </r>
  <r>
    <x v="1557"/>
    <x v="19"/>
    <x v="57"/>
    <d v="2025-03-10T00:00:00"/>
    <x v="1"/>
    <x v="1"/>
    <x v="0"/>
    <x v="0"/>
    <x v="18"/>
    <n v="11"/>
    <x v="8"/>
    <x v="1"/>
    <n v="9"/>
    <n v="42.1"/>
    <n v="378.90000000000003"/>
  </r>
  <r>
    <x v="1558"/>
    <x v="18"/>
    <x v="57"/>
    <d v="2025-02-27T00:00:00"/>
    <x v="3"/>
    <x v="3"/>
    <x v="0"/>
    <x v="0"/>
    <x v="31"/>
    <n v="0"/>
    <x v="8"/>
    <x v="3"/>
    <n v="7"/>
    <n v="58.7"/>
    <n v="410.90000000000003"/>
  </r>
  <r>
    <x v="1559"/>
    <x v="6"/>
    <x v="57"/>
    <d v="2025-03-01T00:00:00"/>
    <x v="2"/>
    <x v="1"/>
    <x v="0"/>
    <x v="0"/>
    <x v="1"/>
    <n v="2"/>
    <x v="8"/>
    <x v="2"/>
    <n v="4"/>
    <n v="54"/>
    <n v="216"/>
  </r>
  <r>
    <x v="1560"/>
    <x v="8"/>
    <x v="57"/>
    <d v="2025-02-28T00:00:00"/>
    <x v="2"/>
    <x v="2"/>
    <x v="2"/>
    <x v="0"/>
    <x v="2"/>
    <n v="1"/>
    <x v="8"/>
    <x v="2"/>
    <n v="1"/>
    <n v="52.1"/>
    <n v="52.1"/>
  </r>
  <r>
    <x v="1561"/>
    <x v="19"/>
    <x v="57"/>
    <d v="2025-03-02T00:00:00"/>
    <x v="3"/>
    <x v="2"/>
    <x v="0"/>
    <x v="0"/>
    <x v="22"/>
    <n v="3"/>
    <x v="8"/>
    <x v="3"/>
    <n v="2"/>
    <n v="27"/>
    <n v="54"/>
  </r>
  <r>
    <x v="1562"/>
    <x v="12"/>
    <x v="58"/>
    <d v="2025-03-01T00:00:00"/>
    <x v="2"/>
    <x v="3"/>
    <x v="2"/>
    <x v="0"/>
    <x v="22"/>
    <n v="1"/>
    <x v="8"/>
    <x v="2"/>
    <n v="10"/>
    <n v="31"/>
    <n v="310"/>
  </r>
  <r>
    <x v="1563"/>
    <x v="10"/>
    <x v="58"/>
    <d v="2025-02-28T00:00:00"/>
    <x v="2"/>
    <x v="0"/>
    <x v="0"/>
    <x v="0"/>
    <x v="34"/>
    <n v="0"/>
    <x v="8"/>
    <x v="2"/>
    <n v="2"/>
    <n v="46.7"/>
    <n v="93.4"/>
  </r>
  <r>
    <x v="1564"/>
    <x v="6"/>
    <x v="58"/>
    <d v="2025-03-03T00:00:00"/>
    <x v="1"/>
    <x v="0"/>
    <x v="2"/>
    <x v="0"/>
    <x v="3"/>
    <n v="3"/>
    <x v="8"/>
    <x v="1"/>
    <n v="1"/>
    <n v="144.69999999999999"/>
    <n v="144.69999999999999"/>
  </r>
  <r>
    <x v="1565"/>
    <x v="2"/>
    <x v="58"/>
    <d v="2025-03-01T00:00:00"/>
    <x v="1"/>
    <x v="0"/>
    <x v="2"/>
    <x v="0"/>
    <x v="3"/>
    <n v="1"/>
    <x v="8"/>
    <x v="1"/>
    <n v="9"/>
    <n v="90.9"/>
    <n v="818.1"/>
  </r>
  <r>
    <x v="1566"/>
    <x v="1"/>
    <x v="58"/>
    <d v="2025-03-01T00:00:00"/>
    <x v="2"/>
    <x v="2"/>
    <x v="1"/>
    <x v="0"/>
    <x v="3"/>
    <n v="1"/>
    <x v="8"/>
    <x v="2"/>
    <n v="2"/>
    <n v="75.8"/>
    <n v="151.6"/>
  </r>
  <r>
    <x v="1567"/>
    <x v="7"/>
    <x v="58"/>
    <d v="2025-03-02T00:00:00"/>
    <x v="1"/>
    <x v="2"/>
    <x v="2"/>
    <x v="0"/>
    <x v="3"/>
    <n v="2"/>
    <x v="8"/>
    <x v="1"/>
    <n v="5"/>
    <n v="57.9"/>
    <n v="289.5"/>
  </r>
  <r>
    <x v="1568"/>
    <x v="8"/>
    <x v="58"/>
    <d v="2025-03-01T00:00:00"/>
    <x v="2"/>
    <x v="3"/>
    <x v="2"/>
    <x v="0"/>
    <x v="3"/>
    <n v="1"/>
    <x v="8"/>
    <x v="2"/>
    <n v="5"/>
    <n v="44.8"/>
    <n v="224"/>
  </r>
  <r>
    <x v="1569"/>
    <x v="9"/>
    <x v="58"/>
    <d v="2025-03-04T00:00:00"/>
    <x v="1"/>
    <x v="2"/>
    <x v="2"/>
    <x v="0"/>
    <x v="3"/>
    <n v="4"/>
    <x v="8"/>
    <x v="1"/>
    <n v="3"/>
    <n v="44.2"/>
    <n v="132.60000000000002"/>
  </r>
  <r>
    <x v="1570"/>
    <x v="5"/>
    <x v="58"/>
    <d v="2025-03-02T00:00:00"/>
    <x v="1"/>
    <x v="0"/>
    <x v="0"/>
    <x v="0"/>
    <x v="37"/>
    <n v="2"/>
    <x v="8"/>
    <x v="1"/>
    <n v="5"/>
    <n v="53.5"/>
    <n v="267.5"/>
  </r>
  <r>
    <x v="1571"/>
    <x v="6"/>
    <x v="58"/>
    <d v="2025-03-01T00:00:00"/>
    <x v="1"/>
    <x v="0"/>
    <x v="2"/>
    <x v="0"/>
    <x v="25"/>
    <n v="1"/>
    <x v="8"/>
    <x v="1"/>
    <n v="2"/>
    <n v="72.2"/>
    <n v="144.4"/>
  </r>
  <r>
    <x v="1572"/>
    <x v="6"/>
    <x v="58"/>
    <d v="2025-03-03T00:00:00"/>
    <x v="2"/>
    <x v="0"/>
    <x v="1"/>
    <x v="0"/>
    <x v="23"/>
    <n v="3"/>
    <x v="8"/>
    <x v="2"/>
    <n v="4"/>
    <n v="62.4"/>
    <n v="249.6"/>
  </r>
  <r>
    <x v="1573"/>
    <x v="10"/>
    <x v="58"/>
    <d v="2025-03-01T00:00:00"/>
    <x v="2"/>
    <x v="0"/>
    <x v="0"/>
    <x v="0"/>
    <x v="6"/>
    <n v="1"/>
    <x v="8"/>
    <x v="2"/>
    <n v="5"/>
    <n v="24.7"/>
    <n v="123.5"/>
  </r>
  <r>
    <x v="1574"/>
    <x v="1"/>
    <x v="58"/>
    <d v="2025-03-02T00:00:00"/>
    <x v="2"/>
    <x v="2"/>
    <x v="0"/>
    <x v="0"/>
    <x v="8"/>
    <n v="2"/>
    <x v="8"/>
    <x v="2"/>
    <n v="5"/>
    <n v="61.7"/>
    <n v="308.5"/>
  </r>
  <r>
    <x v="1575"/>
    <x v="8"/>
    <x v="58"/>
    <d v="2025-03-02T00:00:00"/>
    <x v="2"/>
    <x v="3"/>
    <x v="0"/>
    <x v="0"/>
    <x v="8"/>
    <n v="2"/>
    <x v="8"/>
    <x v="2"/>
    <n v="5"/>
    <n v="18.2"/>
    <n v="91"/>
  </r>
  <r>
    <x v="1576"/>
    <x v="10"/>
    <x v="58"/>
    <d v="2025-03-06T00:00:00"/>
    <x v="2"/>
    <x v="0"/>
    <x v="0"/>
    <x v="0"/>
    <x v="8"/>
    <n v="6"/>
    <x v="8"/>
    <x v="2"/>
    <n v="4"/>
    <n v="37.200000000000003"/>
    <n v="148.80000000000001"/>
  </r>
  <r>
    <x v="1577"/>
    <x v="9"/>
    <x v="58"/>
    <d v="2025-03-02T00:00:00"/>
    <x v="2"/>
    <x v="1"/>
    <x v="2"/>
    <x v="0"/>
    <x v="9"/>
    <n v="2"/>
    <x v="8"/>
    <x v="2"/>
    <n v="3"/>
    <n v="53.5"/>
    <n v="160.5"/>
  </r>
  <r>
    <x v="1578"/>
    <x v="8"/>
    <x v="58"/>
    <d v="2025-02-28T00:00:00"/>
    <x v="2"/>
    <x v="0"/>
    <x v="0"/>
    <x v="0"/>
    <x v="9"/>
    <n v="0"/>
    <x v="8"/>
    <x v="2"/>
    <n v="3"/>
    <n v="43.6"/>
    <n v="130.80000000000001"/>
  </r>
  <r>
    <x v="1579"/>
    <x v="1"/>
    <x v="58"/>
    <d v="2025-03-02T00:00:00"/>
    <x v="2"/>
    <x v="0"/>
    <x v="2"/>
    <x v="0"/>
    <x v="9"/>
    <n v="2"/>
    <x v="8"/>
    <x v="2"/>
    <n v="10"/>
    <n v="135"/>
    <n v="1350"/>
  </r>
  <r>
    <x v="1580"/>
    <x v="8"/>
    <x v="58"/>
    <d v="2025-02-28T00:00:00"/>
    <x v="1"/>
    <x v="4"/>
    <x v="2"/>
    <x v="0"/>
    <x v="10"/>
    <n v="0"/>
    <x v="8"/>
    <x v="1"/>
    <n v="5"/>
    <n v="38.5"/>
    <n v="192.5"/>
  </r>
  <r>
    <x v="1581"/>
    <x v="9"/>
    <x v="58"/>
    <d v="2025-03-05T00:00:00"/>
    <x v="2"/>
    <x v="0"/>
    <x v="0"/>
    <x v="0"/>
    <x v="11"/>
    <n v="5"/>
    <x v="8"/>
    <x v="2"/>
    <n v="2"/>
    <n v="24"/>
    <n v="48"/>
  </r>
  <r>
    <x v="1582"/>
    <x v="4"/>
    <x v="58"/>
    <d v="2025-03-02T00:00:00"/>
    <x v="1"/>
    <x v="0"/>
    <x v="3"/>
    <x v="0"/>
    <x v="18"/>
    <n v="2"/>
    <x v="8"/>
    <x v="1"/>
    <n v="3"/>
    <n v="28.2"/>
    <n v="84.6"/>
  </r>
  <r>
    <x v="1583"/>
    <x v="7"/>
    <x v="58"/>
    <d v="2025-03-01T00:00:00"/>
    <x v="2"/>
    <x v="3"/>
    <x v="0"/>
    <x v="0"/>
    <x v="1"/>
    <n v="1"/>
    <x v="8"/>
    <x v="2"/>
    <n v="3"/>
    <n v="37.4"/>
    <n v="112.19999999999999"/>
  </r>
  <r>
    <x v="1584"/>
    <x v="6"/>
    <x v="58"/>
    <d v="2025-03-03T00:00:00"/>
    <x v="0"/>
    <x v="4"/>
    <x v="4"/>
    <x v="0"/>
    <x v="1"/>
    <n v="3"/>
    <x v="8"/>
    <x v="0"/>
    <n v="3"/>
    <n v="53.5"/>
    <n v="160.5"/>
  </r>
  <r>
    <x v="1585"/>
    <x v="11"/>
    <x v="58"/>
    <d v="2025-03-01T00:00:00"/>
    <x v="1"/>
    <x v="1"/>
    <x v="2"/>
    <x v="0"/>
    <x v="33"/>
    <n v="1"/>
    <x v="8"/>
    <x v="1"/>
    <n v="5"/>
    <n v="36.200000000000003"/>
    <n v="181"/>
  </r>
  <r>
    <x v="1586"/>
    <x v="0"/>
    <x v="58"/>
    <d v="2025-03-01T00:00:00"/>
    <x v="2"/>
    <x v="4"/>
    <x v="0"/>
    <x v="0"/>
    <x v="3"/>
    <n v="1"/>
    <x v="8"/>
    <x v="2"/>
    <n v="8"/>
    <n v="31.9"/>
    <n v="255.2"/>
  </r>
  <r>
    <x v="1587"/>
    <x v="8"/>
    <x v="58"/>
    <d v="2025-03-01T00:00:00"/>
    <x v="1"/>
    <x v="0"/>
    <x v="2"/>
    <x v="0"/>
    <x v="3"/>
    <n v="1"/>
    <x v="8"/>
    <x v="1"/>
    <n v="3"/>
    <n v="21.3"/>
    <n v="63.900000000000006"/>
  </r>
  <r>
    <x v="1588"/>
    <x v="8"/>
    <x v="58"/>
    <d v="2025-03-02T00:00:00"/>
    <x v="3"/>
    <x v="4"/>
    <x v="0"/>
    <x v="0"/>
    <x v="3"/>
    <n v="2"/>
    <x v="8"/>
    <x v="3"/>
    <n v="1"/>
    <n v="36.299999999999997"/>
    <n v="36.299999999999997"/>
  </r>
  <r>
    <x v="1589"/>
    <x v="6"/>
    <x v="58"/>
    <d v="2025-03-01T00:00:00"/>
    <x v="2"/>
    <x v="0"/>
    <x v="3"/>
    <x v="0"/>
    <x v="3"/>
    <n v="1"/>
    <x v="8"/>
    <x v="2"/>
    <n v="3"/>
    <n v="110.5"/>
    <n v="331.5"/>
  </r>
  <r>
    <x v="1590"/>
    <x v="10"/>
    <x v="58"/>
    <d v="2025-03-02T00:00:00"/>
    <x v="2"/>
    <x v="0"/>
    <x v="1"/>
    <x v="0"/>
    <x v="3"/>
    <n v="2"/>
    <x v="8"/>
    <x v="2"/>
    <n v="7"/>
    <n v="32.6"/>
    <n v="228.20000000000002"/>
  </r>
  <r>
    <x v="1591"/>
    <x v="5"/>
    <x v="59"/>
    <d v="2025-03-14T00:00:00"/>
    <x v="2"/>
    <x v="0"/>
    <x v="0"/>
    <x v="0"/>
    <x v="3"/>
    <n v="13"/>
    <x v="8"/>
    <x v="2"/>
    <n v="3"/>
    <n v="55.6"/>
    <n v="166.8"/>
  </r>
  <r>
    <x v="1592"/>
    <x v="1"/>
    <x v="59"/>
    <d v="2025-03-02T00:00:00"/>
    <x v="2"/>
    <x v="3"/>
    <x v="2"/>
    <x v="0"/>
    <x v="5"/>
    <n v="1"/>
    <x v="8"/>
    <x v="2"/>
    <n v="4"/>
    <n v="38"/>
    <n v="152"/>
  </r>
  <r>
    <x v="1593"/>
    <x v="10"/>
    <x v="59"/>
    <d v="2025-03-07T00:00:00"/>
    <x v="1"/>
    <x v="1"/>
    <x v="4"/>
    <x v="0"/>
    <x v="6"/>
    <n v="6"/>
    <x v="8"/>
    <x v="1"/>
    <n v="2"/>
    <n v="51.8"/>
    <n v="103.6"/>
  </r>
  <r>
    <x v="1594"/>
    <x v="11"/>
    <x v="59"/>
    <d v="2025-03-06T00:00:00"/>
    <x v="2"/>
    <x v="0"/>
    <x v="0"/>
    <x v="0"/>
    <x v="6"/>
    <n v="5"/>
    <x v="8"/>
    <x v="2"/>
    <n v="8"/>
    <n v="28.7"/>
    <n v="229.6"/>
  </r>
  <r>
    <x v="1595"/>
    <x v="6"/>
    <x v="59"/>
    <d v="2025-03-01T00:00:00"/>
    <x v="1"/>
    <x v="0"/>
    <x v="1"/>
    <x v="0"/>
    <x v="6"/>
    <n v="0"/>
    <x v="8"/>
    <x v="1"/>
    <n v="12"/>
    <n v="52.2"/>
    <n v="626.40000000000009"/>
  </r>
  <r>
    <x v="1596"/>
    <x v="1"/>
    <x v="59"/>
    <d v="2025-03-02T00:00:00"/>
    <x v="0"/>
    <x v="2"/>
    <x v="0"/>
    <x v="0"/>
    <x v="7"/>
    <n v="1"/>
    <x v="8"/>
    <x v="0"/>
    <n v="2"/>
    <n v="68.2"/>
    <n v="136.4"/>
  </r>
  <r>
    <x v="1597"/>
    <x v="0"/>
    <x v="59"/>
    <d v="2025-03-05T00:00:00"/>
    <x v="2"/>
    <x v="0"/>
    <x v="0"/>
    <x v="0"/>
    <x v="8"/>
    <n v="4"/>
    <x v="8"/>
    <x v="2"/>
    <n v="3"/>
    <n v="34"/>
    <n v="102"/>
  </r>
  <r>
    <x v="1598"/>
    <x v="8"/>
    <x v="59"/>
    <d v="2025-03-02T00:00:00"/>
    <x v="2"/>
    <x v="4"/>
    <x v="0"/>
    <x v="0"/>
    <x v="8"/>
    <n v="1"/>
    <x v="8"/>
    <x v="2"/>
    <n v="3"/>
    <n v="19.100000000000001"/>
    <n v="57.300000000000004"/>
  </r>
  <r>
    <x v="1599"/>
    <x v="5"/>
    <x v="59"/>
    <d v="2025-03-09T00:00:00"/>
    <x v="2"/>
    <x v="4"/>
    <x v="0"/>
    <x v="0"/>
    <x v="8"/>
    <n v="8"/>
    <x v="8"/>
    <x v="2"/>
    <n v="8"/>
    <n v="34"/>
    <n v="272"/>
  </r>
  <r>
    <x v="1600"/>
    <x v="12"/>
    <x v="59"/>
    <d v="2025-03-03T00:00:00"/>
    <x v="1"/>
    <x v="0"/>
    <x v="2"/>
    <x v="0"/>
    <x v="8"/>
    <n v="2"/>
    <x v="8"/>
    <x v="1"/>
    <n v="2"/>
    <n v="109.1"/>
    <n v="218.2"/>
  </r>
  <r>
    <x v="1601"/>
    <x v="18"/>
    <x v="59"/>
    <d v="2025-03-03T00:00:00"/>
    <x v="1"/>
    <x v="0"/>
    <x v="2"/>
    <x v="0"/>
    <x v="8"/>
    <n v="2"/>
    <x v="8"/>
    <x v="1"/>
    <n v="2"/>
    <n v="64.8"/>
    <n v="129.6"/>
  </r>
  <r>
    <x v="1602"/>
    <x v="10"/>
    <x v="59"/>
    <d v="2025-03-01T00:00:00"/>
    <x v="2"/>
    <x v="1"/>
    <x v="0"/>
    <x v="0"/>
    <x v="11"/>
    <n v="0"/>
    <x v="8"/>
    <x v="2"/>
    <n v="2"/>
    <n v="21.1"/>
    <n v="42.2"/>
  </r>
  <r>
    <x v="1603"/>
    <x v="0"/>
    <x v="59"/>
    <d v="2025-03-03T00:00:00"/>
    <x v="1"/>
    <x v="3"/>
    <x v="1"/>
    <x v="0"/>
    <x v="18"/>
    <n v="2"/>
    <x v="8"/>
    <x v="1"/>
    <n v="8"/>
    <n v="21.3"/>
    <n v="170.4"/>
  </r>
  <r>
    <x v="1604"/>
    <x v="9"/>
    <x v="59"/>
    <d v="2025-03-02T00:00:00"/>
    <x v="1"/>
    <x v="1"/>
    <x v="0"/>
    <x v="0"/>
    <x v="19"/>
    <n v="1"/>
    <x v="8"/>
    <x v="1"/>
    <n v="3"/>
    <n v="24.3"/>
    <n v="72.900000000000006"/>
  </r>
  <r>
    <x v="1605"/>
    <x v="8"/>
    <x v="59"/>
    <d v="2025-03-05T00:00:00"/>
    <x v="1"/>
    <x v="1"/>
    <x v="1"/>
    <x v="0"/>
    <x v="13"/>
    <n v="4"/>
    <x v="8"/>
    <x v="1"/>
    <n v="1"/>
    <n v="43.3"/>
    <n v="43.3"/>
  </r>
  <r>
    <x v="1606"/>
    <x v="9"/>
    <x v="59"/>
    <d v="2025-03-02T00:00:00"/>
    <x v="2"/>
    <x v="3"/>
    <x v="4"/>
    <x v="0"/>
    <x v="21"/>
    <n v="1"/>
    <x v="8"/>
    <x v="2"/>
    <n v="3"/>
    <n v="41"/>
    <n v="123"/>
  </r>
  <r>
    <x v="1607"/>
    <x v="16"/>
    <x v="59"/>
    <d v="2025-03-03T00:00:00"/>
    <x v="2"/>
    <x v="4"/>
    <x v="0"/>
    <x v="0"/>
    <x v="21"/>
    <n v="2"/>
    <x v="8"/>
    <x v="2"/>
    <n v="3"/>
    <n v="54.1"/>
    <n v="162.30000000000001"/>
  </r>
  <r>
    <x v="1608"/>
    <x v="11"/>
    <x v="59"/>
    <d v="2025-03-02T00:00:00"/>
    <x v="1"/>
    <x v="1"/>
    <x v="2"/>
    <x v="0"/>
    <x v="1"/>
    <n v="1"/>
    <x v="8"/>
    <x v="1"/>
    <n v="2"/>
    <n v="39"/>
    <n v="78"/>
  </r>
  <r>
    <x v="1609"/>
    <x v="8"/>
    <x v="59"/>
    <d v="2025-03-03T00:00:00"/>
    <x v="1"/>
    <x v="3"/>
    <x v="0"/>
    <x v="0"/>
    <x v="27"/>
    <n v="2"/>
    <x v="8"/>
    <x v="1"/>
    <n v="2"/>
    <n v="40.299999999999997"/>
    <n v="80.599999999999994"/>
  </r>
  <r>
    <x v="1610"/>
    <x v="8"/>
    <x v="59"/>
    <d v="2025-03-02T00:00:00"/>
    <x v="1"/>
    <x v="0"/>
    <x v="2"/>
    <x v="0"/>
    <x v="34"/>
    <n v="1"/>
    <x v="8"/>
    <x v="1"/>
    <n v="3"/>
    <n v="24.1"/>
    <n v="72.300000000000011"/>
  </r>
  <r>
    <x v="1611"/>
    <x v="6"/>
    <x v="59"/>
    <d v="2025-03-02T00:00:00"/>
    <x v="1"/>
    <x v="2"/>
    <x v="0"/>
    <x v="0"/>
    <x v="3"/>
    <n v="1"/>
    <x v="8"/>
    <x v="1"/>
    <n v="5"/>
    <n v="52.3"/>
    <n v="261.5"/>
  </r>
  <r>
    <x v="1612"/>
    <x v="12"/>
    <x v="59"/>
    <d v="2025-03-05T00:00:00"/>
    <x v="2"/>
    <x v="4"/>
    <x v="2"/>
    <x v="0"/>
    <x v="3"/>
    <n v="4"/>
    <x v="8"/>
    <x v="2"/>
    <n v="4"/>
    <n v="68.8"/>
    <n v="275.2"/>
  </r>
  <r>
    <x v="1613"/>
    <x v="2"/>
    <x v="60"/>
    <d v="2025-03-05T00:00:00"/>
    <x v="2"/>
    <x v="1"/>
    <x v="1"/>
    <x v="0"/>
    <x v="3"/>
    <n v="3"/>
    <x v="9"/>
    <x v="2"/>
    <n v="2"/>
    <n v="128.80000000000001"/>
    <n v="257.60000000000002"/>
  </r>
  <r>
    <x v="1614"/>
    <x v="15"/>
    <x v="60"/>
    <d v="2025-03-04T00:00:00"/>
    <x v="2"/>
    <x v="3"/>
    <x v="0"/>
    <x v="0"/>
    <x v="3"/>
    <n v="2"/>
    <x v="9"/>
    <x v="2"/>
    <n v="5"/>
    <n v="48.2"/>
    <n v="241"/>
  </r>
  <r>
    <x v="1615"/>
    <x v="10"/>
    <x v="60"/>
    <d v="2025-03-04T00:00:00"/>
    <x v="2"/>
    <x v="0"/>
    <x v="1"/>
    <x v="0"/>
    <x v="3"/>
    <n v="2"/>
    <x v="9"/>
    <x v="2"/>
    <n v="1"/>
    <n v="39.700000000000003"/>
    <n v="39.700000000000003"/>
  </r>
  <r>
    <x v="1616"/>
    <x v="9"/>
    <x v="60"/>
    <d v="2025-03-05T00:00:00"/>
    <x v="2"/>
    <x v="4"/>
    <x v="0"/>
    <x v="0"/>
    <x v="3"/>
    <n v="3"/>
    <x v="9"/>
    <x v="2"/>
    <n v="1"/>
    <n v="59.7"/>
    <n v="59.7"/>
  </r>
  <r>
    <x v="1617"/>
    <x v="6"/>
    <x v="60"/>
    <d v="2025-03-16T00:00:00"/>
    <x v="3"/>
    <x v="0"/>
    <x v="2"/>
    <x v="0"/>
    <x v="3"/>
    <n v="14"/>
    <x v="9"/>
    <x v="3"/>
    <n v="1"/>
    <n v="48.3"/>
    <n v="48.3"/>
  </r>
  <r>
    <x v="1618"/>
    <x v="8"/>
    <x v="60"/>
    <d v="2025-03-04T00:00:00"/>
    <x v="1"/>
    <x v="2"/>
    <x v="1"/>
    <x v="0"/>
    <x v="3"/>
    <n v="2"/>
    <x v="9"/>
    <x v="1"/>
    <n v="3"/>
    <n v="45.5"/>
    <n v="136.5"/>
  </r>
  <r>
    <x v="1619"/>
    <x v="9"/>
    <x v="60"/>
    <d v="2025-03-02T00:00:00"/>
    <x v="2"/>
    <x v="2"/>
    <x v="0"/>
    <x v="0"/>
    <x v="3"/>
    <n v="0"/>
    <x v="9"/>
    <x v="2"/>
    <n v="27"/>
    <n v="51"/>
    <n v="1377"/>
  </r>
  <r>
    <x v="1620"/>
    <x v="4"/>
    <x v="60"/>
    <d v="2025-03-03T00:00:00"/>
    <x v="1"/>
    <x v="2"/>
    <x v="0"/>
    <x v="0"/>
    <x v="3"/>
    <n v="1"/>
    <x v="9"/>
    <x v="1"/>
    <n v="6"/>
    <n v="20.399999999999999"/>
    <n v="122.39999999999999"/>
  </r>
  <r>
    <x v="1621"/>
    <x v="10"/>
    <x v="60"/>
    <d v="2025-03-04T00:00:00"/>
    <x v="1"/>
    <x v="2"/>
    <x v="0"/>
    <x v="0"/>
    <x v="3"/>
    <n v="2"/>
    <x v="9"/>
    <x v="1"/>
    <n v="2"/>
    <n v="30.4"/>
    <n v="60.8"/>
  </r>
  <r>
    <x v="1622"/>
    <x v="7"/>
    <x v="60"/>
    <d v="2025-03-06T00:00:00"/>
    <x v="2"/>
    <x v="0"/>
    <x v="0"/>
    <x v="0"/>
    <x v="3"/>
    <n v="4"/>
    <x v="9"/>
    <x v="2"/>
    <n v="2"/>
    <n v="71.5"/>
    <n v="143"/>
  </r>
  <r>
    <x v="1623"/>
    <x v="8"/>
    <x v="60"/>
    <d v="2025-03-03T00:00:00"/>
    <x v="3"/>
    <x v="1"/>
    <x v="2"/>
    <x v="0"/>
    <x v="6"/>
    <n v="1"/>
    <x v="9"/>
    <x v="3"/>
    <n v="6"/>
    <n v="18"/>
    <n v="108"/>
  </r>
  <r>
    <x v="1624"/>
    <x v="15"/>
    <x v="60"/>
    <d v="2025-03-03T00:00:00"/>
    <x v="3"/>
    <x v="1"/>
    <x v="1"/>
    <x v="0"/>
    <x v="7"/>
    <n v="1"/>
    <x v="9"/>
    <x v="3"/>
    <n v="11"/>
    <n v="45.6"/>
    <n v="501.6"/>
  </r>
  <r>
    <x v="1625"/>
    <x v="9"/>
    <x v="60"/>
    <d v="2025-03-06T00:00:00"/>
    <x v="2"/>
    <x v="0"/>
    <x v="2"/>
    <x v="0"/>
    <x v="7"/>
    <n v="4"/>
    <x v="9"/>
    <x v="2"/>
    <n v="1"/>
    <n v="31.8"/>
    <n v="31.8"/>
  </r>
  <r>
    <x v="1626"/>
    <x v="8"/>
    <x v="60"/>
    <d v="2025-03-03T00:00:00"/>
    <x v="2"/>
    <x v="1"/>
    <x v="0"/>
    <x v="0"/>
    <x v="7"/>
    <n v="1"/>
    <x v="9"/>
    <x v="2"/>
    <n v="5"/>
    <n v="19.899999999999999"/>
    <n v="99.5"/>
  </r>
  <r>
    <x v="1627"/>
    <x v="12"/>
    <x v="60"/>
    <d v="2025-03-04T00:00:00"/>
    <x v="1"/>
    <x v="0"/>
    <x v="0"/>
    <x v="0"/>
    <x v="8"/>
    <n v="2"/>
    <x v="9"/>
    <x v="1"/>
    <n v="9"/>
    <n v="52.1"/>
    <n v="468.90000000000003"/>
  </r>
  <r>
    <x v="1628"/>
    <x v="1"/>
    <x v="60"/>
    <d v="2025-03-03T00:00:00"/>
    <x v="1"/>
    <x v="0"/>
    <x v="1"/>
    <x v="0"/>
    <x v="8"/>
    <n v="1"/>
    <x v="9"/>
    <x v="1"/>
    <n v="7"/>
    <n v="45.9"/>
    <n v="321.3"/>
  </r>
  <r>
    <x v="1629"/>
    <x v="1"/>
    <x v="60"/>
    <d v="2025-03-05T00:00:00"/>
    <x v="2"/>
    <x v="1"/>
    <x v="0"/>
    <x v="0"/>
    <x v="8"/>
    <n v="3"/>
    <x v="9"/>
    <x v="2"/>
    <n v="10"/>
    <n v="115.9"/>
    <n v="1159"/>
  </r>
  <r>
    <x v="1630"/>
    <x v="6"/>
    <x v="60"/>
    <d v="2025-03-07T00:00:00"/>
    <x v="2"/>
    <x v="0"/>
    <x v="1"/>
    <x v="0"/>
    <x v="8"/>
    <n v="5"/>
    <x v="9"/>
    <x v="2"/>
    <n v="9"/>
    <n v="86"/>
    <n v="774"/>
  </r>
  <r>
    <x v="1631"/>
    <x v="7"/>
    <x v="60"/>
    <d v="2025-03-04T00:00:00"/>
    <x v="2"/>
    <x v="0"/>
    <x v="0"/>
    <x v="0"/>
    <x v="17"/>
    <n v="2"/>
    <x v="9"/>
    <x v="2"/>
    <n v="7"/>
    <n v="73.599999999999994"/>
    <n v="515.19999999999993"/>
  </r>
  <r>
    <x v="1632"/>
    <x v="10"/>
    <x v="60"/>
    <d v="2025-03-06T00:00:00"/>
    <x v="2"/>
    <x v="0"/>
    <x v="0"/>
    <x v="0"/>
    <x v="11"/>
    <n v="4"/>
    <x v="9"/>
    <x v="2"/>
    <n v="3"/>
    <n v="26.7"/>
    <n v="80.099999999999994"/>
  </r>
  <r>
    <x v="1633"/>
    <x v="8"/>
    <x v="60"/>
    <d v="2025-03-04T00:00:00"/>
    <x v="0"/>
    <x v="3"/>
    <x v="0"/>
    <x v="0"/>
    <x v="11"/>
    <n v="2"/>
    <x v="9"/>
    <x v="0"/>
    <n v="7"/>
    <n v="46.6"/>
    <n v="326.2"/>
  </r>
  <r>
    <x v="1634"/>
    <x v="3"/>
    <x v="60"/>
    <d v="2025-03-04T00:00:00"/>
    <x v="1"/>
    <x v="4"/>
    <x v="0"/>
    <x v="0"/>
    <x v="11"/>
    <n v="2"/>
    <x v="9"/>
    <x v="1"/>
    <n v="3"/>
    <n v="84.6"/>
    <n v="253.79999999999998"/>
  </r>
  <r>
    <x v="1635"/>
    <x v="7"/>
    <x v="60"/>
    <d v="2025-03-16T00:00:00"/>
    <x v="1"/>
    <x v="1"/>
    <x v="0"/>
    <x v="0"/>
    <x v="53"/>
    <n v="14"/>
    <x v="9"/>
    <x v="1"/>
    <n v="14"/>
    <n v="41.5"/>
    <n v="581"/>
  </r>
  <r>
    <x v="1636"/>
    <x v="8"/>
    <x v="60"/>
    <d v="2025-03-05T00:00:00"/>
    <x v="1"/>
    <x v="0"/>
    <x v="2"/>
    <x v="0"/>
    <x v="30"/>
    <n v="3"/>
    <x v="9"/>
    <x v="1"/>
    <n v="1"/>
    <n v="32.799999999999997"/>
    <n v="32.799999999999997"/>
  </r>
  <r>
    <x v="1637"/>
    <x v="4"/>
    <x v="60"/>
    <d v="2025-03-04T00:00:00"/>
    <x v="3"/>
    <x v="0"/>
    <x v="2"/>
    <x v="0"/>
    <x v="18"/>
    <n v="2"/>
    <x v="9"/>
    <x v="3"/>
    <n v="7"/>
    <n v="46.7"/>
    <n v="326.90000000000003"/>
  </r>
  <r>
    <x v="1638"/>
    <x v="15"/>
    <x v="60"/>
    <d v="2025-03-05T00:00:00"/>
    <x v="1"/>
    <x v="2"/>
    <x v="1"/>
    <x v="0"/>
    <x v="21"/>
    <n v="3"/>
    <x v="9"/>
    <x v="1"/>
    <n v="7"/>
    <n v="21"/>
    <n v="147"/>
  </r>
  <r>
    <x v="1639"/>
    <x v="5"/>
    <x v="60"/>
    <d v="2025-03-02T00:00:00"/>
    <x v="1"/>
    <x v="3"/>
    <x v="2"/>
    <x v="0"/>
    <x v="21"/>
    <n v="0"/>
    <x v="9"/>
    <x v="1"/>
    <n v="7"/>
    <n v="29.4"/>
    <n v="205.79999999999998"/>
  </r>
  <r>
    <x v="1640"/>
    <x v="15"/>
    <x v="60"/>
    <d v="2025-03-03T00:00:00"/>
    <x v="1"/>
    <x v="0"/>
    <x v="2"/>
    <x v="0"/>
    <x v="21"/>
    <n v="1"/>
    <x v="9"/>
    <x v="1"/>
    <n v="2"/>
    <n v="32.299999999999997"/>
    <n v="64.599999999999994"/>
  </r>
  <r>
    <x v="1641"/>
    <x v="6"/>
    <x v="61"/>
    <d v="2025-03-05T00:00:00"/>
    <x v="2"/>
    <x v="0"/>
    <x v="2"/>
    <x v="0"/>
    <x v="21"/>
    <n v="2"/>
    <x v="9"/>
    <x v="2"/>
    <n v="1"/>
    <n v="42.2"/>
    <n v="42.2"/>
  </r>
  <r>
    <x v="1642"/>
    <x v="6"/>
    <x v="61"/>
    <d v="2025-03-05T00:00:00"/>
    <x v="1"/>
    <x v="1"/>
    <x v="1"/>
    <x v="0"/>
    <x v="1"/>
    <n v="2"/>
    <x v="9"/>
    <x v="1"/>
    <n v="1"/>
    <n v="53.7"/>
    <n v="53.7"/>
  </r>
  <r>
    <x v="1643"/>
    <x v="2"/>
    <x v="61"/>
    <d v="2025-03-06T00:00:00"/>
    <x v="1"/>
    <x v="2"/>
    <x v="0"/>
    <x v="0"/>
    <x v="1"/>
    <n v="3"/>
    <x v="9"/>
    <x v="1"/>
    <n v="2"/>
    <n v="123.9"/>
    <n v="247.8"/>
  </r>
  <r>
    <x v="1644"/>
    <x v="4"/>
    <x v="61"/>
    <d v="2025-03-05T00:00:00"/>
    <x v="1"/>
    <x v="2"/>
    <x v="0"/>
    <x v="0"/>
    <x v="22"/>
    <n v="2"/>
    <x v="9"/>
    <x v="1"/>
    <n v="3"/>
    <n v="35.9"/>
    <n v="107.69999999999999"/>
  </r>
  <r>
    <x v="1645"/>
    <x v="4"/>
    <x v="61"/>
    <d v="2025-03-06T00:00:00"/>
    <x v="1"/>
    <x v="0"/>
    <x v="2"/>
    <x v="0"/>
    <x v="3"/>
    <n v="3"/>
    <x v="9"/>
    <x v="1"/>
    <n v="2"/>
    <n v="23.6"/>
    <n v="47.2"/>
  </r>
  <r>
    <x v="1646"/>
    <x v="15"/>
    <x v="61"/>
    <d v="2025-03-04T00:00:00"/>
    <x v="1"/>
    <x v="0"/>
    <x v="1"/>
    <x v="0"/>
    <x v="3"/>
    <n v="1"/>
    <x v="9"/>
    <x v="1"/>
    <n v="35"/>
    <n v="45.7"/>
    <n v="1599.5"/>
  </r>
  <r>
    <x v="1647"/>
    <x v="6"/>
    <x v="61"/>
    <d v="2025-03-05T00:00:00"/>
    <x v="1"/>
    <x v="4"/>
    <x v="2"/>
    <x v="0"/>
    <x v="3"/>
    <n v="2"/>
    <x v="9"/>
    <x v="1"/>
    <n v="11"/>
    <n v="118.3"/>
    <n v="1301.3"/>
  </r>
  <r>
    <x v="1648"/>
    <x v="19"/>
    <x v="61"/>
    <d v="2025-03-04T00:00:00"/>
    <x v="2"/>
    <x v="0"/>
    <x v="1"/>
    <x v="0"/>
    <x v="3"/>
    <n v="1"/>
    <x v="9"/>
    <x v="2"/>
    <n v="1"/>
    <n v="36"/>
    <n v="36"/>
  </r>
  <r>
    <x v="1649"/>
    <x v="8"/>
    <x v="61"/>
    <d v="2025-03-06T00:00:00"/>
    <x v="2"/>
    <x v="2"/>
    <x v="0"/>
    <x v="0"/>
    <x v="3"/>
    <n v="3"/>
    <x v="9"/>
    <x v="2"/>
    <n v="2"/>
    <n v="37.1"/>
    <n v="74.2"/>
  </r>
  <r>
    <x v="1650"/>
    <x v="18"/>
    <x v="61"/>
    <d v="2025-03-05T00:00:00"/>
    <x v="2"/>
    <x v="1"/>
    <x v="2"/>
    <x v="0"/>
    <x v="3"/>
    <n v="2"/>
    <x v="9"/>
    <x v="2"/>
    <n v="3"/>
    <n v="45.1"/>
    <n v="135.30000000000001"/>
  </r>
  <r>
    <x v="1651"/>
    <x v="5"/>
    <x v="61"/>
    <d v="2025-03-04T00:00:00"/>
    <x v="2"/>
    <x v="3"/>
    <x v="2"/>
    <x v="0"/>
    <x v="3"/>
    <n v="1"/>
    <x v="9"/>
    <x v="2"/>
    <n v="16"/>
    <n v="37.9"/>
    <n v="606.4"/>
  </r>
  <r>
    <x v="1652"/>
    <x v="2"/>
    <x v="61"/>
    <d v="2025-03-06T00:00:00"/>
    <x v="1"/>
    <x v="3"/>
    <x v="2"/>
    <x v="0"/>
    <x v="3"/>
    <n v="3"/>
    <x v="9"/>
    <x v="1"/>
    <n v="2"/>
    <n v="121.6"/>
    <n v="243.2"/>
  </r>
  <r>
    <x v="1653"/>
    <x v="5"/>
    <x v="61"/>
    <d v="2025-03-06T00:00:00"/>
    <x v="2"/>
    <x v="0"/>
    <x v="0"/>
    <x v="0"/>
    <x v="3"/>
    <n v="3"/>
    <x v="9"/>
    <x v="2"/>
    <n v="7"/>
    <n v="38.200000000000003"/>
    <n v="267.40000000000003"/>
  </r>
  <r>
    <x v="1654"/>
    <x v="17"/>
    <x v="61"/>
    <d v="2025-03-06T00:00:00"/>
    <x v="1"/>
    <x v="4"/>
    <x v="0"/>
    <x v="0"/>
    <x v="3"/>
    <n v="3"/>
    <x v="9"/>
    <x v="1"/>
    <n v="2"/>
    <n v="37.200000000000003"/>
    <n v="74.400000000000006"/>
  </r>
  <r>
    <x v="1655"/>
    <x v="2"/>
    <x v="61"/>
    <d v="2025-03-06T00:00:00"/>
    <x v="2"/>
    <x v="1"/>
    <x v="0"/>
    <x v="0"/>
    <x v="3"/>
    <n v="3"/>
    <x v="9"/>
    <x v="2"/>
    <n v="4"/>
    <n v="115.7"/>
    <n v="462.8"/>
  </r>
  <r>
    <x v="1656"/>
    <x v="2"/>
    <x v="61"/>
    <d v="2025-03-06T00:00:00"/>
    <x v="1"/>
    <x v="0"/>
    <x v="2"/>
    <x v="0"/>
    <x v="3"/>
    <n v="3"/>
    <x v="9"/>
    <x v="1"/>
    <n v="6"/>
    <n v="99.4"/>
    <n v="596.40000000000009"/>
  </r>
  <r>
    <x v="1657"/>
    <x v="11"/>
    <x v="61"/>
    <d v="2025-03-04T00:00:00"/>
    <x v="2"/>
    <x v="2"/>
    <x v="0"/>
    <x v="0"/>
    <x v="25"/>
    <n v="1"/>
    <x v="9"/>
    <x v="2"/>
    <n v="1"/>
    <n v="38.700000000000003"/>
    <n v="38.700000000000003"/>
  </r>
  <r>
    <x v="1658"/>
    <x v="4"/>
    <x v="61"/>
    <d v="2025-03-06T00:00:00"/>
    <x v="1"/>
    <x v="0"/>
    <x v="2"/>
    <x v="0"/>
    <x v="25"/>
    <n v="3"/>
    <x v="9"/>
    <x v="1"/>
    <n v="2"/>
    <n v="35.5"/>
    <n v="71"/>
  </r>
  <r>
    <x v="1659"/>
    <x v="2"/>
    <x v="61"/>
    <d v="2025-03-06T00:00:00"/>
    <x v="2"/>
    <x v="0"/>
    <x v="2"/>
    <x v="0"/>
    <x v="6"/>
    <n v="3"/>
    <x v="9"/>
    <x v="2"/>
    <n v="4"/>
    <n v="93.3"/>
    <n v="373.2"/>
  </r>
  <r>
    <x v="1660"/>
    <x v="16"/>
    <x v="61"/>
    <d v="2025-03-08T00:00:00"/>
    <x v="2"/>
    <x v="2"/>
    <x v="2"/>
    <x v="0"/>
    <x v="6"/>
    <n v="5"/>
    <x v="9"/>
    <x v="2"/>
    <n v="1"/>
    <n v="31.4"/>
    <n v="31.4"/>
  </r>
  <r>
    <x v="1661"/>
    <x v="1"/>
    <x v="61"/>
    <d v="2025-03-06T00:00:00"/>
    <x v="1"/>
    <x v="1"/>
    <x v="0"/>
    <x v="0"/>
    <x v="6"/>
    <n v="3"/>
    <x v="9"/>
    <x v="1"/>
    <n v="1"/>
    <n v="85.9"/>
    <n v="85.9"/>
  </r>
  <r>
    <x v="1662"/>
    <x v="6"/>
    <x v="61"/>
    <d v="2025-03-11T00:00:00"/>
    <x v="1"/>
    <x v="0"/>
    <x v="2"/>
    <x v="0"/>
    <x v="7"/>
    <n v="8"/>
    <x v="9"/>
    <x v="1"/>
    <n v="8"/>
    <n v="41.7"/>
    <n v="333.6"/>
  </r>
  <r>
    <x v="1663"/>
    <x v="8"/>
    <x v="61"/>
    <d v="2025-03-04T00:00:00"/>
    <x v="2"/>
    <x v="0"/>
    <x v="0"/>
    <x v="0"/>
    <x v="7"/>
    <n v="1"/>
    <x v="9"/>
    <x v="2"/>
    <n v="4"/>
    <n v="31.5"/>
    <n v="126"/>
  </r>
  <r>
    <x v="1664"/>
    <x v="8"/>
    <x v="61"/>
    <d v="2025-03-04T00:00:00"/>
    <x v="2"/>
    <x v="0"/>
    <x v="4"/>
    <x v="0"/>
    <x v="8"/>
    <n v="1"/>
    <x v="9"/>
    <x v="2"/>
    <n v="2"/>
    <n v="36.299999999999997"/>
    <n v="72.599999999999994"/>
  </r>
  <r>
    <x v="1665"/>
    <x v="8"/>
    <x v="61"/>
    <d v="2025-03-04T00:00:00"/>
    <x v="2"/>
    <x v="3"/>
    <x v="0"/>
    <x v="0"/>
    <x v="17"/>
    <n v="1"/>
    <x v="9"/>
    <x v="2"/>
    <n v="3"/>
    <n v="33.4"/>
    <n v="100.19999999999999"/>
  </r>
  <r>
    <x v="1666"/>
    <x v="2"/>
    <x v="61"/>
    <d v="2025-03-04T00:00:00"/>
    <x v="2"/>
    <x v="2"/>
    <x v="2"/>
    <x v="0"/>
    <x v="26"/>
    <n v="1"/>
    <x v="9"/>
    <x v="2"/>
    <n v="3"/>
    <n v="65.2"/>
    <n v="195.60000000000002"/>
  </r>
  <r>
    <x v="1667"/>
    <x v="8"/>
    <x v="61"/>
    <d v="2025-03-06T00:00:00"/>
    <x v="2"/>
    <x v="0"/>
    <x v="2"/>
    <x v="0"/>
    <x v="9"/>
    <n v="3"/>
    <x v="9"/>
    <x v="2"/>
    <n v="9"/>
    <n v="65.5"/>
    <n v="589.5"/>
  </r>
  <r>
    <x v="1668"/>
    <x v="6"/>
    <x v="61"/>
    <d v="2025-03-06T00:00:00"/>
    <x v="1"/>
    <x v="2"/>
    <x v="0"/>
    <x v="0"/>
    <x v="9"/>
    <n v="3"/>
    <x v="9"/>
    <x v="1"/>
    <n v="3"/>
    <n v="52.8"/>
    <n v="158.39999999999998"/>
  </r>
  <r>
    <x v="1669"/>
    <x v="9"/>
    <x v="61"/>
    <d v="2025-03-07T00:00:00"/>
    <x v="1"/>
    <x v="0"/>
    <x v="1"/>
    <x v="0"/>
    <x v="11"/>
    <n v="4"/>
    <x v="9"/>
    <x v="1"/>
    <n v="5"/>
    <n v="24"/>
    <n v="120"/>
  </r>
  <r>
    <x v="1670"/>
    <x v="3"/>
    <x v="61"/>
    <d v="2025-03-04T00:00:00"/>
    <x v="2"/>
    <x v="0"/>
    <x v="0"/>
    <x v="0"/>
    <x v="32"/>
    <n v="1"/>
    <x v="9"/>
    <x v="2"/>
    <n v="3"/>
    <n v="51.2"/>
    <n v="153.60000000000002"/>
  </r>
  <r>
    <x v="1671"/>
    <x v="5"/>
    <x v="61"/>
    <d v="2025-03-05T00:00:00"/>
    <x v="1"/>
    <x v="4"/>
    <x v="0"/>
    <x v="0"/>
    <x v="19"/>
    <n v="2"/>
    <x v="9"/>
    <x v="1"/>
    <n v="3"/>
    <n v="28.3"/>
    <n v="84.9"/>
  </r>
  <r>
    <x v="1672"/>
    <x v="6"/>
    <x v="61"/>
    <d v="2025-03-03T00:00:00"/>
    <x v="2"/>
    <x v="2"/>
    <x v="1"/>
    <x v="0"/>
    <x v="19"/>
    <n v="0"/>
    <x v="9"/>
    <x v="2"/>
    <n v="3"/>
    <n v="42.3"/>
    <n v="126.89999999999999"/>
  </r>
  <r>
    <x v="1673"/>
    <x v="2"/>
    <x v="62"/>
    <d v="2025-03-05T00:00:00"/>
    <x v="2"/>
    <x v="1"/>
    <x v="0"/>
    <x v="0"/>
    <x v="13"/>
    <n v="1"/>
    <x v="9"/>
    <x v="2"/>
    <n v="8"/>
    <n v="163.30000000000001"/>
    <n v="1306.4000000000001"/>
  </r>
  <r>
    <x v="1674"/>
    <x v="6"/>
    <x v="62"/>
    <d v="2025-03-07T00:00:00"/>
    <x v="2"/>
    <x v="4"/>
    <x v="1"/>
    <x v="0"/>
    <x v="21"/>
    <n v="3"/>
    <x v="9"/>
    <x v="2"/>
    <n v="7"/>
    <n v="47.3"/>
    <n v="331.09999999999997"/>
  </r>
  <r>
    <x v="1675"/>
    <x v="8"/>
    <x v="62"/>
    <d v="2025-03-05T00:00:00"/>
    <x v="2"/>
    <x v="2"/>
    <x v="0"/>
    <x v="0"/>
    <x v="21"/>
    <n v="1"/>
    <x v="9"/>
    <x v="2"/>
    <n v="16"/>
    <n v="27.3"/>
    <n v="436.8"/>
  </r>
  <r>
    <x v="1676"/>
    <x v="10"/>
    <x v="62"/>
    <d v="2025-03-15T00:00:00"/>
    <x v="2"/>
    <x v="0"/>
    <x v="0"/>
    <x v="0"/>
    <x v="21"/>
    <n v="11"/>
    <x v="9"/>
    <x v="2"/>
    <n v="6"/>
    <n v="34.9"/>
    <n v="209.39999999999998"/>
  </r>
  <r>
    <x v="1677"/>
    <x v="6"/>
    <x v="62"/>
    <d v="2025-03-07T00:00:00"/>
    <x v="3"/>
    <x v="0"/>
    <x v="4"/>
    <x v="0"/>
    <x v="1"/>
    <n v="3"/>
    <x v="9"/>
    <x v="3"/>
    <n v="2"/>
    <n v="53.9"/>
    <n v="107.8"/>
  </r>
  <r>
    <x v="1678"/>
    <x v="2"/>
    <x v="62"/>
    <d v="2025-03-05T00:00:00"/>
    <x v="2"/>
    <x v="0"/>
    <x v="1"/>
    <x v="0"/>
    <x v="1"/>
    <n v="1"/>
    <x v="9"/>
    <x v="2"/>
    <n v="2"/>
    <n v="87.2"/>
    <n v="174.4"/>
  </r>
  <r>
    <x v="1679"/>
    <x v="15"/>
    <x v="62"/>
    <d v="2025-03-06T00:00:00"/>
    <x v="2"/>
    <x v="2"/>
    <x v="0"/>
    <x v="0"/>
    <x v="44"/>
    <n v="2"/>
    <x v="9"/>
    <x v="2"/>
    <n v="1"/>
    <n v="58.8"/>
    <n v="58.8"/>
  </r>
  <r>
    <x v="1680"/>
    <x v="2"/>
    <x v="62"/>
    <d v="2025-03-05T00:00:00"/>
    <x v="1"/>
    <x v="2"/>
    <x v="4"/>
    <x v="0"/>
    <x v="22"/>
    <n v="1"/>
    <x v="9"/>
    <x v="1"/>
    <n v="7"/>
    <n v="125.5"/>
    <n v="878.5"/>
  </r>
  <r>
    <x v="1681"/>
    <x v="1"/>
    <x v="62"/>
    <d v="2025-03-06T00:00:00"/>
    <x v="2"/>
    <x v="0"/>
    <x v="1"/>
    <x v="0"/>
    <x v="22"/>
    <n v="2"/>
    <x v="9"/>
    <x v="2"/>
    <n v="4"/>
    <n v="124.6"/>
    <n v="498.4"/>
  </r>
  <r>
    <x v="1682"/>
    <x v="1"/>
    <x v="62"/>
    <d v="2025-03-05T00:00:00"/>
    <x v="1"/>
    <x v="2"/>
    <x v="1"/>
    <x v="0"/>
    <x v="3"/>
    <n v="1"/>
    <x v="9"/>
    <x v="1"/>
    <n v="7"/>
    <n v="39.9"/>
    <n v="279.3"/>
  </r>
  <r>
    <x v="1683"/>
    <x v="6"/>
    <x v="62"/>
    <d v="2025-03-18T00:00:00"/>
    <x v="2"/>
    <x v="0"/>
    <x v="1"/>
    <x v="0"/>
    <x v="3"/>
    <n v="14"/>
    <x v="9"/>
    <x v="2"/>
    <n v="1"/>
    <n v="94.6"/>
    <n v="94.6"/>
  </r>
  <r>
    <x v="1684"/>
    <x v="2"/>
    <x v="62"/>
    <d v="2025-03-05T00:00:00"/>
    <x v="2"/>
    <x v="0"/>
    <x v="0"/>
    <x v="0"/>
    <x v="3"/>
    <n v="1"/>
    <x v="9"/>
    <x v="2"/>
    <n v="2"/>
    <n v="149.6"/>
    <n v="299.2"/>
  </r>
  <r>
    <x v="1685"/>
    <x v="8"/>
    <x v="62"/>
    <d v="2025-03-05T00:00:00"/>
    <x v="0"/>
    <x v="1"/>
    <x v="0"/>
    <x v="0"/>
    <x v="3"/>
    <n v="1"/>
    <x v="9"/>
    <x v="0"/>
    <n v="1"/>
    <n v="52.2"/>
    <n v="52.2"/>
  </r>
  <r>
    <x v="1686"/>
    <x v="6"/>
    <x v="62"/>
    <d v="2025-03-05T00:00:00"/>
    <x v="2"/>
    <x v="1"/>
    <x v="1"/>
    <x v="0"/>
    <x v="3"/>
    <n v="1"/>
    <x v="9"/>
    <x v="2"/>
    <n v="2"/>
    <n v="96.5"/>
    <n v="193"/>
  </r>
  <r>
    <x v="1687"/>
    <x v="8"/>
    <x v="62"/>
    <d v="2025-03-06T00:00:00"/>
    <x v="2"/>
    <x v="0"/>
    <x v="1"/>
    <x v="0"/>
    <x v="3"/>
    <n v="2"/>
    <x v="9"/>
    <x v="2"/>
    <n v="2"/>
    <n v="79.8"/>
    <n v="159.6"/>
  </r>
  <r>
    <x v="1688"/>
    <x v="8"/>
    <x v="62"/>
    <d v="2025-03-05T00:00:00"/>
    <x v="2"/>
    <x v="2"/>
    <x v="0"/>
    <x v="0"/>
    <x v="3"/>
    <n v="1"/>
    <x v="9"/>
    <x v="2"/>
    <n v="3"/>
    <n v="35.6"/>
    <n v="106.80000000000001"/>
  </r>
  <r>
    <x v="1689"/>
    <x v="16"/>
    <x v="62"/>
    <d v="2025-03-05T00:00:00"/>
    <x v="2"/>
    <x v="1"/>
    <x v="2"/>
    <x v="0"/>
    <x v="3"/>
    <n v="1"/>
    <x v="9"/>
    <x v="2"/>
    <n v="1"/>
    <n v="50.2"/>
    <n v="50.2"/>
  </r>
  <r>
    <x v="1690"/>
    <x v="1"/>
    <x v="62"/>
    <d v="2025-03-07T00:00:00"/>
    <x v="2"/>
    <x v="0"/>
    <x v="4"/>
    <x v="0"/>
    <x v="40"/>
    <n v="3"/>
    <x v="9"/>
    <x v="2"/>
    <n v="3"/>
    <n v="55.3"/>
    <n v="165.89999999999998"/>
  </r>
  <r>
    <x v="1691"/>
    <x v="6"/>
    <x v="62"/>
    <d v="2025-03-08T00:00:00"/>
    <x v="2"/>
    <x v="1"/>
    <x v="0"/>
    <x v="0"/>
    <x v="7"/>
    <n v="4"/>
    <x v="9"/>
    <x v="2"/>
    <n v="7"/>
    <n v="104.5"/>
    <n v="731.5"/>
  </r>
  <r>
    <x v="1692"/>
    <x v="6"/>
    <x v="62"/>
    <d v="2025-03-06T00:00:00"/>
    <x v="1"/>
    <x v="1"/>
    <x v="0"/>
    <x v="0"/>
    <x v="7"/>
    <n v="2"/>
    <x v="9"/>
    <x v="1"/>
    <n v="4"/>
    <n v="66.5"/>
    <n v="266"/>
  </r>
  <r>
    <x v="1693"/>
    <x v="10"/>
    <x v="62"/>
    <d v="2025-03-05T00:00:00"/>
    <x v="2"/>
    <x v="0"/>
    <x v="0"/>
    <x v="0"/>
    <x v="7"/>
    <n v="1"/>
    <x v="9"/>
    <x v="2"/>
    <n v="8"/>
    <n v="38.299999999999997"/>
    <n v="306.39999999999998"/>
  </r>
  <r>
    <x v="1694"/>
    <x v="6"/>
    <x v="62"/>
    <d v="2025-03-07T00:00:00"/>
    <x v="2"/>
    <x v="1"/>
    <x v="0"/>
    <x v="0"/>
    <x v="8"/>
    <n v="3"/>
    <x v="9"/>
    <x v="2"/>
    <n v="3"/>
    <n v="63.8"/>
    <n v="191.39999999999998"/>
  </r>
  <r>
    <x v="1695"/>
    <x v="15"/>
    <x v="62"/>
    <d v="2025-03-04T00:00:00"/>
    <x v="1"/>
    <x v="4"/>
    <x v="0"/>
    <x v="0"/>
    <x v="8"/>
    <n v="0"/>
    <x v="9"/>
    <x v="1"/>
    <n v="1"/>
    <n v="21.4"/>
    <n v="21.4"/>
  </r>
  <r>
    <x v="1696"/>
    <x v="8"/>
    <x v="62"/>
    <d v="2025-03-06T00:00:00"/>
    <x v="2"/>
    <x v="2"/>
    <x v="0"/>
    <x v="0"/>
    <x v="8"/>
    <n v="2"/>
    <x v="9"/>
    <x v="2"/>
    <n v="4"/>
    <n v="44.1"/>
    <n v="176.4"/>
  </r>
  <r>
    <x v="1697"/>
    <x v="5"/>
    <x v="62"/>
    <d v="2025-03-06T00:00:00"/>
    <x v="1"/>
    <x v="1"/>
    <x v="2"/>
    <x v="0"/>
    <x v="8"/>
    <n v="2"/>
    <x v="9"/>
    <x v="1"/>
    <n v="8"/>
    <n v="57.6"/>
    <n v="460.8"/>
  </r>
  <r>
    <x v="1698"/>
    <x v="9"/>
    <x v="62"/>
    <d v="2025-03-10T00:00:00"/>
    <x v="2"/>
    <x v="3"/>
    <x v="0"/>
    <x v="0"/>
    <x v="8"/>
    <n v="6"/>
    <x v="9"/>
    <x v="2"/>
    <n v="2"/>
    <n v="20.3"/>
    <n v="40.6"/>
  </r>
  <r>
    <x v="1699"/>
    <x v="8"/>
    <x v="62"/>
    <d v="2025-03-06T00:00:00"/>
    <x v="2"/>
    <x v="2"/>
    <x v="2"/>
    <x v="0"/>
    <x v="8"/>
    <n v="2"/>
    <x v="9"/>
    <x v="2"/>
    <n v="1"/>
    <n v="22.9"/>
    <n v="22.9"/>
  </r>
  <r>
    <x v="1700"/>
    <x v="6"/>
    <x v="62"/>
    <d v="2025-03-05T00:00:00"/>
    <x v="2"/>
    <x v="1"/>
    <x v="2"/>
    <x v="0"/>
    <x v="17"/>
    <n v="1"/>
    <x v="9"/>
    <x v="2"/>
    <n v="4"/>
    <n v="105.9"/>
    <n v="423.6"/>
  </r>
  <r>
    <x v="1701"/>
    <x v="1"/>
    <x v="62"/>
    <d v="2025-03-08T00:00:00"/>
    <x v="1"/>
    <x v="1"/>
    <x v="0"/>
    <x v="0"/>
    <x v="11"/>
    <n v="4"/>
    <x v="9"/>
    <x v="1"/>
    <n v="9"/>
    <n v="37.4"/>
    <n v="336.59999999999997"/>
  </r>
  <r>
    <x v="1702"/>
    <x v="18"/>
    <x v="62"/>
    <d v="2025-03-05T00:00:00"/>
    <x v="1"/>
    <x v="2"/>
    <x v="0"/>
    <x v="0"/>
    <x v="28"/>
    <n v="1"/>
    <x v="9"/>
    <x v="1"/>
    <n v="2"/>
    <n v="79"/>
    <n v="158"/>
  </r>
  <r>
    <x v="1703"/>
    <x v="0"/>
    <x v="62"/>
    <d v="2025-03-05T00:00:00"/>
    <x v="2"/>
    <x v="4"/>
    <x v="0"/>
    <x v="0"/>
    <x v="21"/>
    <n v="1"/>
    <x v="9"/>
    <x v="2"/>
    <n v="3"/>
    <n v="19.3"/>
    <n v="57.900000000000006"/>
  </r>
  <r>
    <x v="1704"/>
    <x v="0"/>
    <x v="62"/>
    <d v="2025-03-05T00:00:00"/>
    <x v="2"/>
    <x v="1"/>
    <x v="0"/>
    <x v="0"/>
    <x v="1"/>
    <n v="1"/>
    <x v="9"/>
    <x v="2"/>
    <n v="1"/>
    <n v="24"/>
    <n v="24"/>
  </r>
  <r>
    <x v="1705"/>
    <x v="6"/>
    <x v="62"/>
    <d v="2025-03-07T00:00:00"/>
    <x v="2"/>
    <x v="2"/>
    <x v="0"/>
    <x v="0"/>
    <x v="2"/>
    <n v="3"/>
    <x v="9"/>
    <x v="2"/>
    <n v="5"/>
    <n v="71.3"/>
    <n v="356.5"/>
  </r>
  <r>
    <x v="1706"/>
    <x v="5"/>
    <x v="62"/>
    <d v="2025-03-05T00:00:00"/>
    <x v="1"/>
    <x v="0"/>
    <x v="2"/>
    <x v="0"/>
    <x v="50"/>
    <n v="1"/>
    <x v="9"/>
    <x v="1"/>
    <n v="2"/>
    <n v="166.2"/>
    <n v="332.4"/>
  </r>
  <r>
    <x v="1707"/>
    <x v="6"/>
    <x v="62"/>
    <d v="2025-03-05T00:00:00"/>
    <x v="2"/>
    <x v="2"/>
    <x v="1"/>
    <x v="0"/>
    <x v="3"/>
    <n v="1"/>
    <x v="9"/>
    <x v="2"/>
    <n v="1"/>
    <n v="81"/>
    <n v="81"/>
  </r>
  <r>
    <x v="1708"/>
    <x v="10"/>
    <x v="62"/>
    <d v="2025-03-08T00:00:00"/>
    <x v="2"/>
    <x v="0"/>
    <x v="0"/>
    <x v="0"/>
    <x v="3"/>
    <n v="4"/>
    <x v="9"/>
    <x v="2"/>
    <n v="6"/>
    <n v="38.5"/>
    <n v="231"/>
  </r>
  <r>
    <x v="1709"/>
    <x v="6"/>
    <x v="62"/>
    <d v="2025-03-06T00:00:00"/>
    <x v="2"/>
    <x v="3"/>
    <x v="0"/>
    <x v="0"/>
    <x v="3"/>
    <n v="2"/>
    <x v="9"/>
    <x v="2"/>
    <n v="1"/>
    <n v="86.1"/>
    <n v="86.1"/>
  </r>
  <r>
    <x v="1710"/>
    <x v="2"/>
    <x v="62"/>
    <d v="2025-03-05T00:00:00"/>
    <x v="1"/>
    <x v="0"/>
    <x v="1"/>
    <x v="0"/>
    <x v="3"/>
    <n v="1"/>
    <x v="9"/>
    <x v="1"/>
    <n v="5"/>
    <n v="51"/>
    <n v="255"/>
  </r>
  <r>
    <x v="1711"/>
    <x v="3"/>
    <x v="62"/>
    <d v="2025-03-05T00:00:00"/>
    <x v="1"/>
    <x v="0"/>
    <x v="0"/>
    <x v="0"/>
    <x v="3"/>
    <n v="1"/>
    <x v="9"/>
    <x v="1"/>
    <n v="5"/>
    <n v="115.4"/>
    <n v="577"/>
  </r>
  <r>
    <x v="1712"/>
    <x v="6"/>
    <x v="62"/>
    <d v="2025-03-05T00:00:00"/>
    <x v="2"/>
    <x v="2"/>
    <x v="2"/>
    <x v="0"/>
    <x v="3"/>
    <n v="1"/>
    <x v="9"/>
    <x v="2"/>
    <n v="4"/>
    <n v="176.5"/>
    <n v="706"/>
  </r>
  <r>
    <x v="1713"/>
    <x v="7"/>
    <x v="62"/>
    <d v="2025-03-05T00:00:00"/>
    <x v="1"/>
    <x v="4"/>
    <x v="0"/>
    <x v="0"/>
    <x v="3"/>
    <n v="1"/>
    <x v="9"/>
    <x v="1"/>
    <n v="3"/>
    <n v="48.9"/>
    <n v="146.69999999999999"/>
  </r>
  <r>
    <x v="1714"/>
    <x v="8"/>
    <x v="62"/>
    <d v="2025-03-11T00:00:00"/>
    <x v="2"/>
    <x v="1"/>
    <x v="2"/>
    <x v="0"/>
    <x v="29"/>
    <n v="7"/>
    <x v="9"/>
    <x v="2"/>
    <n v="3"/>
    <n v="18.100000000000001"/>
    <n v="54.300000000000004"/>
  </r>
  <r>
    <x v="1715"/>
    <x v="2"/>
    <x v="62"/>
    <d v="2025-03-07T00:00:00"/>
    <x v="1"/>
    <x v="1"/>
    <x v="2"/>
    <x v="0"/>
    <x v="16"/>
    <n v="3"/>
    <x v="9"/>
    <x v="1"/>
    <n v="2"/>
    <n v="118.5"/>
    <n v="237"/>
  </r>
  <r>
    <x v="1716"/>
    <x v="15"/>
    <x v="62"/>
    <d v="2025-03-05T00:00:00"/>
    <x v="2"/>
    <x v="3"/>
    <x v="0"/>
    <x v="0"/>
    <x v="25"/>
    <n v="1"/>
    <x v="9"/>
    <x v="2"/>
    <n v="7"/>
    <n v="59.1"/>
    <n v="413.7"/>
  </r>
  <r>
    <x v="1717"/>
    <x v="4"/>
    <x v="62"/>
    <d v="2025-03-05T00:00:00"/>
    <x v="2"/>
    <x v="0"/>
    <x v="1"/>
    <x v="0"/>
    <x v="6"/>
    <n v="1"/>
    <x v="9"/>
    <x v="2"/>
    <n v="1"/>
    <n v="21.2"/>
    <n v="21.2"/>
  </r>
  <r>
    <x v="1718"/>
    <x v="6"/>
    <x v="62"/>
    <d v="2025-03-09T00:00:00"/>
    <x v="2"/>
    <x v="3"/>
    <x v="2"/>
    <x v="0"/>
    <x v="6"/>
    <n v="5"/>
    <x v="9"/>
    <x v="2"/>
    <n v="2"/>
    <n v="68.8"/>
    <n v="137.6"/>
  </r>
  <r>
    <x v="1719"/>
    <x v="6"/>
    <x v="62"/>
    <d v="2025-03-08T00:00:00"/>
    <x v="2"/>
    <x v="0"/>
    <x v="0"/>
    <x v="0"/>
    <x v="6"/>
    <n v="4"/>
    <x v="9"/>
    <x v="2"/>
    <n v="2"/>
    <n v="65.400000000000006"/>
    <n v="130.80000000000001"/>
  </r>
  <r>
    <x v="1720"/>
    <x v="12"/>
    <x v="63"/>
    <d v="2025-03-08T00:00:00"/>
    <x v="2"/>
    <x v="4"/>
    <x v="0"/>
    <x v="0"/>
    <x v="6"/>
    <n v="3"/>
    <x v="9"/>
    <x v="2"/>
    <n v="5"/>
    <n v="66.3"/>
    <n v="331.5"/>
  </r>
  <r>
    <x v="1721"/>
    <x v="6"/>
    <x v="63"/>
    <d v="2025-03-05T00:00:00"/>
    <x v="1"/>
    <x v="3"/>
    <x v="0"/>
    <x v="0"/>
    <x v="8"/>
    <n v="0"/>
    <x v="9"/>
    <x v="1"/>
    <n v="3"/>
    <n v="97.5"/>
    <n v="292.5"/>
  </r>
  <r>
    <x v="1722"/>
    <x v="1"/>
    <x v="63"/>
    <d v="2025-03-08T00:00:00"/>
    <x v="2"/>
    <x v="1"/>
    <x v="2"/>
    <x v="0"/>
    <x v="8"/>
    <n v="3"/>
    <x v="9"/>
    <x v="2"/>
    <n v="2"/>
    <n v="44"/>
    <n v="88"/>
  </r>
  <r>
    <x v="1723"/>
    <x v="0"/>
    <x v="63"/>
    <d v="2025-03-06T00:00:00"/>
    <x v="1"/>
    <x v="0"/>
    <x v="0"/>
    <x v="0"/>
    <x v="8"/>
    <n v="1"/>
    <x v="9"/>
    <x v="1"/>
    <n v="1"/>
    <n v="21.9"/>
    <n v="21.9"/>
  </r>
  <r>
    <x v="1724"/>
    <x v="4"/>
    <x v="63"/>
    <d v="2025-03-07T00:00:00"/>
    <x v="2"/>
    <x v="1"/>
    <x v="2"/>
    <x v="0"/>
    <x v="9"/>
    <n v="2"/>
    <x v="9"/>
    <x v="2"/>
    <n v="7"/>
    <n v="21.5"/>
    <n v="150.5"/>
  </r>
  <r>
    <x v="1725"/>
    <x v="12"/>
    <x v="63"/>
    <d v="2025-03-06T00:00:00"/>
    <x v="3"/>
    <x v="0"/>
    <x v="2"/>
    <x v="0"/>
    <x v="10"/>
    <n v="1"/>
    <x v="9"/>
    <x v="3"/>
    <n v="6"/>
    <n v="133"/>
    <n v="798"/>
  </r>
  <r>
    <x v="1726"/>
    <x v="8"/>
    <x v="63"/>
    <d v="2025-03-09T00:00:00"/>
    <x v="1"/>
    <x v="0"/>
    <x v="2"/>
    <x v="0"/>
    <x v="10"/>
    <n v="4"/>
    <x v="9"/>
    <x v="1"/>
    <n v="2"/>
    <n v="47.7"/>
    <n v="95.4"/>
  </r>
  <r>
    <x v="1727"/>
    <x v="16"/>
    <x v="63"/>
    <d v="2025-03-06T00:00:00"/>
    <x v="2"/>
    <x v="0"/>
    <x v="0"/>
    <x v="0"/>
    <x v="11"/>
    <n v="1"/>
    <x v="9"/>
    <x v="2"/>
    <n v="3"/>
    <n v="58.1"/>
    <n v="174.3"/>
  </r>
  <r>
    <x v="1728"/>
    <x v="12"/>
    <x v="63"/>
    <d v="2025-03-06T00:00:00"/>
    <x v="0"/>
    <x v="0"/>
    <x v="0"/>
    <x v="0"/>
    <x v="11"/>
    <n v="1"/>
    <x v="9"/>
    <x v="0"/>
    <n v="4"/>
    <n v="66.599999999999994"/>
    <n v="266.39999999999998"/>
  </r>
  <r>
    <x v="1729"/>
    <x v="9"/>
    <x v="63"/>
    <d v="2025-03-08T00:00:00"/>
    <x v="1"/>
    <x v="2"/>
    <x v="1"/>
    <x v="0"/>
    <x v="19"/>
    <n v="3"/>
    <x v="9"/>
    <x v="1"/>
    <n v="1"/>
    <n v="24.1"/>
    <n v="24.1"/>
  </r>
  <r>
    <x v="1730"/>
    <x v="10"/>
    <x v="63"/>
    <d v="2025-03-10T00:00:00"/>
    <x v="2"/>
    <x v="0"/>
    <x v="0"/>
    <x v="0"/>
    <x v="13"/>
    <n v="5"/>
    <x v="9"/>
    <x v="2"/>
    <n v="5"/>
    <n v="51.5"/>
    <n v="257.5"/>
  </r>
  <r>
    <x v="1731"/>
    <x v="0"/>
    <x v="63"/>
    <d v="2025-03-09T00:00:00"/>
    <x v="2"/>
    <x v="3"/>
    <x v="4"/>
    <x v="0"/>
    <x v="21"/>
    <n v="4"/>
    <x v="9"/>
    <x v="2"/>
    <n v="11"/>
    <n v="25.8"/>
    <n v="283.8"/>
  </r>
  <r>
    <x v="1732"/>
    <x v="9"/>
    <x v="63"/>
    <d v="2025-03-05T00:00:00"/>
    <x v="2"/>
    <x v="0"/>
    <x v="1"/>
    <x v="0"/>
    <x v="21"/>
    <n v="0"/>
    <x v="9"/>
    <x v="2"/>
    <n v="4"/>
    <n v="47.7"/>
    <n v="190.8"/>
  </r>
  <r>
    <x v="1733"/>
    <x v="7"/>
    <x v="63"/>
    <d v="2025-03-09T00:00:00"/>
    <x v="1"/>
    <x v="1"/>
    <x v="0"/>
    <x v="0"/>
    <x v="21"/>
    <n v="4"/>
    <x v="9"/>
    <x v="1"/>
    <n v="5"/>
    <n v="73.599999999999994"/>
    <n v="368"/>
  </r>
  <r>
    <x v="1734"/>
    <x v="5"/>
    <x v="63"/>
    <d v="2025-03-06T00:00:00"/>
    <x v="1"/>
    <x v="1"/>
    <x v="2"/>
    <x v="0"/>
    <x v="21"/>
    <n v="1"/>
    <x v="9"/>
    <x v="1"/>
    <n v="7"/>
    <n v="91.2"/>
    <n v="638.4"/>
  </r>
  <r>
    <x v="1735"/>
    <x v="1"/>
    <x v="63"/>
    <d v="2025-03-05T00:00:00"/>
    <x v="1"/>
    <x v="2"/>
    <x v="2"/>
    <x v="0"/>
    <x v="1"/>
    <n v="0"/>
    <x v="9"/>
    <x v="1"/>
    <n v="8"/>
    <n v="36.200000000000003"/>
    <n v="289.60000000000002"/>
  </r>
  <r>
    <x v="1736"/>
    <x v="9"/>
    <x v="63"/>
    <d v="2025-03-09T00:00:00"/>
    <x v="2"/>
    <x v="2"/>
    <x v="0"/>
    <x v="0"/>
    <x v="2"/>
    <n v="4"/>
    <x v="9"/>
    <x v="2"/>
    <n v="8"/>
    <n v="98"/>
    <n v="784"/>
  </r>
  <r>
    <x v="1737"/>
    <x v="1"/>
    <x v="63"/>
    <d v="2025-03-06T00:00:00"/>
    <x v="2"/>
    <x v="2"/>
    <x v="0"/>
    <x v="0"/>
    <x v="22"/>
    <n v="1"/>
    <x v="9"/>
    <x v="2"/>
    <n v="8"/>
    <n v="43.6"/>
    <n v="348.8"/>
  </r>
  <r>
    <x v="1738"/>
    <x v="8"/>
    <x v="63"/>
    <d v="2025-03-05T00:00:00"/>
    <x v="3"/>
    <x v="0"/>
    <x v="0"/>
    <x v="0"/>
    <x v="50"/>
    <n v="0"/>
    <x v="9"/>
    <x v="3"/>
    <n v="10"/>
    <n v="37.799999999999997"/>
    <n v="378"/>
  </r>
  <r>
    <x v="1739"/>
    <x v="17"/>
    <x v="63"/>
    <d v="2025-03-08T00:00:00"/>
    <x v="2"/>
    <x v="2"/>
    <x v="1"/>
    <x v="0"/>
    <x v="3"/>
    <n v="3"/>
    <x v="9"/>
    <x v="2"/>
    <n v="5"/>
    <n v="63.7"/>
    <n v="318.5"/>
  </r>
  <r>
    <x v="1740"/>
    <x v="5"/>
    <x v="63"/>
    <d v="2025-03-10T00:00:00"/>
    <x v="1"/>
    <x v="3"/>
    <x v="2"/>
    <x v="0"/>
    <x v="3"/>
    <n v="5"/>
    <x v="9"/>
    <x v="1"/>
    <n v="9"/>
    <n v="62.9"/>
    <n v="566.1"/>
  </r>
  <r>
    <x v="1741"/>
    <x v="6"/>
    <x v="63"/>
    <d v="2025-03-08T00:00:00"/>
    <x v="2"/>
    <x v="2"/>
    <x v="2"/>
    <x v="0"/>
    <x v="3"/>
    <n v="3"/>
    <x v="9"/>
    <x v="2"/>
    <n v="7"/>
    <n v="61.7"/>
    <n v="431.90000000000003"/>
  </r>
  <r>
    <x v="1742"/>
    <x v="18"/>
    <x v="63"/>
    <d v="2025-03-06T00:00:00"/>
    <x v="1"/>
    <x v="0"/>
    <x v="2"/>
    <x v="0"/>
    <x v="3"/>
    <n v="1"/>
    <x v="9"/>
    <x v="1"/>
    <n v="14"/>
    <n v="36.5"/>
    <n v="511"/>
  </r>
  <r>
    <x v="1743"/>
    <x v="11"/>
    <x v="63"/>
    <d v="2025-03-08T00:00:00"/>
    <x v="3"/>
    <x v="0"/>
    <x v="4"/>
    <x v="0"/>
    <x v="3"/>
    <n v="3"/>
    <x v="9"/>
    <x v="3"/>
    <n v="3"/>
    <n v="98.6"/>
    <n v="295.79999999999995"/>
  </r>
  <r>
    <x v="1744"/>
    <x v="8"/>
    <x v="63"/>
    <d v="2025-03-15T00:00:00"/>
    <x v="1"/>
    <x v="0"/>
    <x v="0"/>
    <x v="0"/>
    <x v="3"/>
    <n v="10"/>
    <x v="9"/>
    <x v="1"/>
    <n v="2"/>
    <n v="19.2"/>
    <n v="38.4"/>
  </r>
  <r>
    <x v="1745"/>
    <x v="3"/>
    <x v="63"/>
    <d v="2025-03-09T00:00:00"/>
    <x v="2"/>
    <x v="0"/>
    <x v="2"/>
    <x v="0"/>
    <x v="3"/>
    <n v="4"/>
    <x v="9"/>
    <x v="2"/>
    <n v="6"/>
    <n v="55.6"/>
    <n v="333.6"/>
  </r>
  <r>
    <x v="1746"/>
    <x v="5"/>
    <x v="63"/>
    <d v="2025-03-06T00:00:00"/>
    <x v="2"/>
    <x v="1"/>
    <x v="0"/>
    <x v="0"/>
    <x v="3"/>
    <n v="1"/>
    <x v="9"/>
    <x v="2"/>
    <n v="6"/>
    <n v="56.4"/>
    <n v="338.4"/>
  </r>
  <r>
    <x v="1747"/>
    <x v="4"/>
    <x v="63"/>
    <d v="2025-03-09T00:00:00"/>
    <x v="2"/>
    <x v="4"/>
    <x v="0"/>
    <x v="0"/>
    <x v="3"/>
    <n v="4"/>
    <x v="9"/>
    <x v="2"/>
    <n v="8"/>
    <n v="43.1"/>
    <n v="344.8"/>
  </r>
  <r>
    <x v="1748"/>
    <x v="1"/>
    <x v="63"/>
    <d v="2025-03-07T00:00:00"/>
    <x v="1"/>
    <x v="0"/>
    <x v="0"/>
    <x v="0"/>
    <x v="6"/>
    <n v="2"/>
    <x v="9"/>
    <x v="1"/>
    <n v="2"/>
    <n v="77.3"/>
    <n v="154.6"/>
  </r>
  <r>
    <x v="1749"/>
    <x v="9"/>
    <x v="63"/>
    <d v="2025-03-06T00:00:00"/>
    <x v="1"/>
    <x v="0"/>
    <x v="0"/>
    <x v="0"/>
    <x v="7"/>
    <n v="1"/>
    <x v="9"/>
    <x v="1"/>
    <n v="8"/>
    <n v="38.299999999999997"/>
    <n v="306.39999999999998"/>
  </r>
  <r>
    <x v="1750"/>
    <x v="0"/>
    <x v="63"/>
    <d v="2025-03-08T00:00:00"/>
    <x v="1"/>
    <x v="2"/>
    <x v="1"/>
    <x v="0"/>
    <x v="8"/>
    <n v="3"/>
    <x v="9"/>
    <x v="1"/>
    <n v="7"/>
    <n v="16.8"/>
    <n v="117.60000000000001"/>
  </r>
  <r>
    <x v="1751"/>
    <x v="2"/>
    <x v="63"/>
    <d v="2025-03-06T00:00:00"/>
    <x v="2"/>
    <x v="0"/>
    <x v="2"/>
    <x v="0"/>
    <x v="8"/>
    <n v="1"/>
    <x v="9"/>
    <x v="2"/>
    <n v="3"/>
    <n v="63.2"/>
    <n v="189.60000000000002"/>
  </r>
  <r>
    <x v="1752"/>
    <x v="14"/>
    <x v="63"/>
    <d v="2025-03-06T00:00:00"/>
    <x v="1"/>
    <x v="0"/>
    <x v="0"/>
    <x v="0"/>
    <x v="8"/>
    <n v="1"/>
    <x v="9"/>
    <x v="1"/>
    <n v="23"/>
    <n v="39.700000000000003"/>
    <n v="913.1"/>
  </r>
  <r>
    <x v="1753"/>
    <x v="10"/>
    <x v="63"/>
    <d v="2025-03-06T00:00:00"/>
    <x v="2"/>
    <x v="1"/>
    <x v="2"/>
    <x v="0"/>
    <x v="8"/>
    <n v="1"/>
    <x v="9"/>
    <x v="2"/>
    <n v="3"/>
    <n v="45.8"/>
    <n v="137.39999999999998"/>
  </r>
  <r>
    <x v="1754"/>
    <x v="0"/>
    <x v="63"/>
    <d v="2025-03-08T00:00:00"/>
    <x v="1"/>
    <x v="0"/>
    <x v="0"/>
    <x v="0"/>
    <x v="8"/>
    <n v="3"/>
    <x v="9"/>
    <x v="1"/>
    <n v="6"/>
    <n v="12.4"/>
    <n v="74.400000000000006"/>
  </r>
  <r>
    <x v="1755"/>
    <x v="14"/>
    <x v="64"/>
    <d v="2025-03-06T00:00:00"/>
    <x v="2"/>
    <x v="4"/>
    <x v="0"/>
    <x v="0"/>
    <x v="17"/>
    <n v="0"/>
    <x v="9"/>
    <x v="2"/>
    <n v="3"/>
    <n v="50.8"/>
    <n v="152.39999999999998"/>
  </r>
  <r>
    <x v="1756"/>
    <x v="9"/>
    <x v="64"/>
    <d v="2025-03-10T00:00:00"/>
    <x v="3"/>
    <x v="2"/>
    <x v="2"/>
    <x v="0"/>
    <x v="17"/>
    <n v="4"/>
    <x v="9"/>
    <x v="3"/>
    <n v="1"/>
    <n v="76"/>
    <n v="76"/>
  </r>
  <r>
    <x v="1757"/>
    <x v="1"/>
    <x v="64"/>
    <d v="2025-03-07T00:00:00"/>
    <x v="1"/>
    <x v="1"/>
    <x v="2"/>
    <x v="0"/>
    <x v="26"/>
    <n v="1"/>
    <x v="9"/>
    <x v="1"/>
    <n v="2"/>
    <n v="51.9"/>
    <n v="103.8"/>
  </r>
  <r>
    <x v="1758"/>
    <x v="2"/>
    <x v="64"/>
    <d v="2025-03-13T00:00:00"/>
    <x v="1"/>
    <x v="0"/>
    <x v="3"/>
    <x v="0"/>
    <x v="11"/>
    <n v="7"/>
    <x v="9"/>
    <x v="1"/>
    <n v="2"/>
    <n v="93.4"/>
    <n v="186.8"/>
  </r>
  <r>
    <x v="1759"/>
    <x v="7"/>
    <x v="64"/>
    <d v="2025-03-09T00:00:00"/>
    <x v="2"/>
    <x v="1"/>
    <x v="0"/>
    <x v="0"/>
    <x v="11"/>
    <n v="3"/>
    <x v="9"/>
    <x v="2"/>
    <n v="6"/>
    <n v="30.8"/>
    <n v="184.8"/>
  </r>
  <r>
    <x v="1760"/>
    <x v="2"/>
    <x v="64"/>
    <d v="2025-03-09T00:00:00"/>
    <x v="1"/>
    <x v="2"/>
    <x v="0"/>
    <x v="0"/>
    <x v="11"/>
    <n v="3"/>
    <x v="9"/>
    <x v="1"/>
    <n v="1"/>
    <n v="143.19999999999999"/>
    <n v="143.19999999999999"/>
  </r>
  <r>
    <x v="1761"/>
    <x v="6"/>
    <x v="64"/>
    <d v="2025-03-08T00:00:00"/>
    <x v="1"/>
    <x v="2"/>
    <x v="2"/>
    <x v="0"/>
    <x v="18"/>
    <n v="2"/>
    <x v="9"/>
    <x v="1"/>
    <n v="11"/>
    <n v="40.4"/>
    <n v="444.4"/>
  </r>
  <r>
    <x v="1762"/>
    <x v="2"/>
    <x v="64"/>
    <d v="2025-03-08T00:00:00"/>
    <x v="1"/>
    <x v="1"/>
    <x v="1"/>
    <x v="0"/>
    <x v="18"/>
    <n v="2"/>
    <x v="9"/>
    <x v="1"/>
    <n v="19"/>
    <n v="131.5"/>
    <n v="2498.5"/>
  </r>
  <r>
    <x v="1763"/>
    <x v="18"/>
    <x v="64"/>
    <d v="2025-03-07T00:00:00"/>
    <x v="1"/>
    <x v="2"/>
    <x v="0"/>
    <x v="0"/>
    <x v="21"/>
    <n v="1"/>
    <x v="9"/>
    <x v="1"/>
    <n v="7"/>
    <n v="61.6"/>
    <n v="431.2"/>
  </r>
  <r>
    <x v="1764"/>
    <x v="9"/>
    <x v="64"/>
    <d v="2025-03-08T00:00:00"/>
    <x v="1"/>
    <x v="2"/>
    <x v="0"/>
    <x v="0"/>
    <x v="1"/>
    <n v="2"/>
    <x v="9"/>
    <x v="1"/>
    <n v="5"/>
    <n v="32.700000000000003"/>
    <n v="163.5"/>
  </r>
  <r>
    <x v="1765"/>
    <x v="0"/>
    <x v="64"/>
    <d v="2025-03-07T00:00:00"/>
    <x v="1"/>
    <x v="0"/>
    <x v="2"/>
    <x v="0"/>
    <x v="3"/>
    <n v="1"/>
    <x v="9"/>
    <x v="1"/>
    <n v="10"/>
    <n v="13.7"/>
    <n v="137"/>
  </r>
  <r>
    <x v="1766"/>
    <x v="0"/>
    <x v="64"/>
    <d v="2025-03-07T00:00:00"/>
    <x v="1"/>
    <x v="4"/>
    <x v="1"/>
    <x v="0"/>
    <x v="3"/>
    <n v="1"/>
    <x v="9"/>
    <x v="1"/>
    <n v="4"/>
    <n v="32.1"/>
    <n v="128.4"/>
  </r>
  <r>
    <x v="1767"/>
    <x v="14"/>
    <x v="64"/>
    <d v="2025-03-07T00:00:00"/>
    <x v="1"/>
    <x v="1"/>
    <x v="0"/>
    <x v="0"/>
    <x v="24"/>
    <n v="1"/>
    <x v="9"/>
    <x v="1"/>
    <n v="8"/>
    <n v="12"/>
    <n v="96"/>
  </r>
  <r>
    <x v="1768"/>
    <x v="12"/>
    <x v="64"/>
    <d v="2025-03-08T00:00:00"/>
    <x v="2"/>
    <x v="2"/>
    <x v="2"/>
    <x v="0"/>
    <x v="6"/>
    <n v="2"/>
    <x v="9"/>
    <x v="2"/>
    <n v="1"/>
    <n v="64.3"/>
    <n v="64.3"/>
  </r>
  <r>
    <x v="1769"/>
    <x v="1"/>
    <x v="64"/>
    <d v="2025-03-08T00:00:00"/>
    <x v="2"/>
    <x v="1"/>
    <x v="2"/>
    <x v="0"/>
    <x v="6"/>
    <n v="2"/>
    <x v="9"/>
    <x v="2"/>
    <n v="3"/>
    <n v="58.2"/>
    <n v="174.60000000000002"/>
  </r>
  <r>
    <x v="1770"/>
    <x v="6"/>
    <x v="64"/>
    <d v="2025-03-06T00:00:00"/>
    <x v="1"/>
    <x v="1"/>
    <x v="2"/>
    <x v="0"/>
    <x v="6"/>
    <n v="0"/>
    <x v="9"/>
    <x v="1"/>
    <n v="4"/>
    <n v="59.2"/>
    <n v="236.8"/>
  </r>
  <r>
    <x v="1771"/>
    <x v="10"/>
    <x v="64"/>
    <d v="2025-03-13T00:00:00"/>
    <x v="1"/>
    <x v="0"/>
    <x v="2"/>
    <x v="0"/>
    <x v="8"/>
    <n v="7"/>
    <x v="9"/>
    <x v="1"/>
    <n v="11"/>
    <n v="35.6"/>
    <n v="391.6"/>
  </r>
  <r>
    <x v="1772"/>
    <x v="16"/>
    <x v="64"/>
    <d v="2025-03-10T00:00:00"/>
    <x v="2"/>
    <x v="2"/>
    <x v="1"/>
    <x v="0"/>
    <x v="8"/>
    <n v="4"/>
    <x v="9"/>
    <x v="2"/>
    <n v="8"/>
    <n v="37"/>
    <n v="296"/>
  </r>
  <r>
    <x v="1773"/>
    <x v="1"/>
    <x v="64"/>
    <d v="2025-03-08T00:00:00"/>
    <x v="2"/>
    <x v="0"/>
    <x v="0"/>
    <x v="0"/>
    <x v="8"/>
    <n v="2"/>
    <x v="9"/>
    <x v="2"/>
    <n v="13"/>
    <n v="80.8"/>
    <n v="1050.3999999999999"/>
  </r>
  <r>
    <x v="1774"/>
    <x v="8"/>
    <x v="64"/>
    <d v="2025-03-07T00:00:00"/>
    <x v="1"/>
    <x v="0"/>
    <x v="1"/>
    <x v="0"/>
    <x v="8"/>
    <n v="1"/>
    <x v="9"/>
    <x v="1"/>
    <n v="2"/>
    <n v="63.2"/>
    <n v="126.4"/>
  </r>
  <r>
    <x v="1775"/>
    <x v="3"/>
    <x v="64"/>
    <d v="2025-03-08T00:00:00"/>
    <x v="1"/>
    <x v="0"/>
    <x v="1"/>
    <x v="0"/>
    <x v="17"/>
    <n v="2"/>
    <x v="9"/>
    <x v="1"/>
    <n v="2"/>
    <n v="40.799999999999997"/>
    <n v="81.599999999999994"/>
  </r>
  <r>
    <x v="1776"/>
    <x v="13"/>
    <x v="64"/>
    <d v="2025-03-08T00:00:00"/>
    <x v="1"/>
    <x v="4"/>
    <x v="0"/>
    <x v="0"/>
    <x v="18"/>
    <n v="2"/>
    <x v="9"/>
    <x v="1"/>
    <n v="6"/>
    <n v="25.7"/>
    <n v="154.19999999999999"/>
  </r>
  <r>
    <x v="1777"/>
    <x v="16"/>
    <x v="64"/>
    <d v="2025-03-09T00:00:00"/>
    <x v="1"/>
    <x v="0"/>
    <x v="0"/>
    <x v="0"/>
    <x v="20"/>
    <n v="3"/>
    <x v="9"/>
    <x v="1"/>
    <n v="2"/>
    <n v="49.9"/>
    <n v="99.8"/>
  </r>
  <r>
    <x v="1778"/>
    <x v="8"/>
    <x v="64"/>
    <d v="2025-03-08T00:00:00"/>
    <x v="2"/>
    <x v="3"/>
    <x v="0"/>
    <x v="0"/>
    <x v="21"/>
    <n v="2"/>
    <x v="9"/>
    <x v="2"/>
    <n v="2"/>
    <n v="20.2"/>
    <n v="40.4"/>
  </r>
  <r>
    <x v="1779"/>
    <x v="6"/>
    <x v="64"/>
    <d v="2025-03-11T00:00:00"/>
    <x v="2"/>
    <x v="0"/>
    <x v="2"/>
    <x v="0"/>
    <x v="21"/>
    <n v="5"/>
    <x v="9"/>
    <x v="2"/>
    <n v="3"/>
    <n v="48.4"/>
    <n v="145.19999999999999"/>
  </r>
  <r>
    <x v="1780"/>
    <x v="6"/>
    <x v="64"/>
    <d v="2025-03-07T00:00:00"/>
    <x v="2"/>
    <x v="1"/>
    <x v="2"/>
    <x v="0"/>
    <x v="21"/>
    <n v="1"/>
    <x v="9"/>
    <x v="2"/>
    <n v="2"/>
    <n v="81"/>
    <n v="162"/>
  </r>
  <r>
    <x v="1781"/>
    <x v="8"/>
    <x v="64"/>
    <d v="2025-03-09T00:00:00"/>
    <x v="2"/>
    <x v="0"/>
    <x v="1"/>
    <x v="0"/>
    <x v="22"/>
    <n v="3"/>
    <x v="9"/>
    <x v="2"/>
    <n v="6"/>
    <n v="19.899999999999999"/>
    <n v="119.39999999999999"/>
  </r>
  <r>
    <x v="1782"/>
    <x v="4"/>
    <x v="64"/>
    <d v="2025-03-16T00:00:00"/>
    <x v="1"/>
    <x v="0"/>
    <x v="0"/>
    <x v="0"/>
    <x v="22"/>
    <n v="10"/>
    <x v="9"/>
    <x v="1"/>
    <n v="4"/>
    <n v="32.200000000000003"/>
    <n v="128.80000000000001"/>
  </r>
  <r>
    <x v="1783"/>
    <x v="5"/>
    <x v="64"/>
    <d v="2025-03-07T00:00:00"/>
    <x v="2"/>
    <x v="0"/>
    <x v="1"/>
    <x v="0"/>
    <x v="3"/>
    <n v="1"/>
    <x v="9"/>
    <x v="2"/>
    <n v="3"/>
    <n v="76.8"/>
    <n v="230.39999999999998"/>
  </r>
  <r>
    <x v="1784"/>
    <x v="6"/>
    <x v="64"/>
    <d v="2025-03-08T00:00:00"/>
    <x v="2"/>
    <x v="0"/>
    <x v="0"/>
    <x v="0"/>
    <x v="3"/>
    <n v="2"/>
    <x v="9"/>
    <x v="2"/>
    <n v="2"/>
    <n v="41.9"/>
    <n v="83.8"/>
  </r>
  <r>
    <x v="1785"/>
    <x v="0"/>
    <x v="64"/>
    <d v="2025-03-08T00:00:00"/>
    <x v="2"/>
    <x v="1"/>
    <x v="2"/>
    <x v="0"/>
    <x v="3"/>
    <n v="2"/>
    <x v="9"/>
    <x v="2"/>
    <n v="7"/>
    <n v="34"/>
    <n v="238"/>
  </r>
  <r>
    <x v="1786"/>
    <x v="7"/>
    <x v="64"/>
    <d v="2025-03-06T00:00:00"/>
    <x v="2"/>
    <x v="4"/>
    <x v="2"/>
    <x v="0"/>
    <x v="3"/>
    <n v="0"/>
    <x v="9"/>
    <x v="2"/>
    <n v="7"/>
    <n v="61.3"/>
    <n v="429.09999999999997"/>
  </r>
  <r>
    <x v="1787"/>
    <x v="9"/>
    <x v="65"/>
    <d v="2025-03-08T00:00:00"/>
    <x v="1"/>
    <x v="0"/>
    <x v="1"/>
    <x v="0"/>
    <x v="3"/>
    <n v="1"/>
    <x v="9"/>
    <x v="1"/>
    <n v="1"/>
    <n v="54.7"/>
    <n v="54.7"/>
  </r>
  <r>
    <x v="1788"/>
    <x v="6"/>
    <x v="65"/>
    <d v="2025-03-11T00:00:00"/>
    <x v="2"/>
    <x v="0"/>
    <x v="0"/>
    <x v="0"/>
    <x v="3"/>
    <n v="4"/>
    <x v="9"/>
    <x v="2"/>
    <n v="10"/>
    <n v="84.7"/>
    <n v="847"/>
  </r>
  <r>
    <x v="1789"/>
    <x v="1"/>
    <x v="65"/>
    <d v="2025-03-11T00:00:00"/>
    <x v="2"/>
    <x v="3"/>
    <x v="0"/>
    <x v="0"/>
    <x v="3"/>
    <n v="4"/>
    <x v="9"/>
    <x v="2"/>
    <n v="3"/>
    <n v="93.4"/>
    <n v="280.20000000000005"/>
  </r>
  <r>
    <x v="1790"/>
    <x v="8"/>
    <x v="65"/>
    <d v="2025-03-10T00:00:00"/>
    <x v="1"/>
    <x v="0"/>
    <x v="1"/>
    <x v="0"/>
    <x v="3"/>
    <n v="3"/>
    <x v="9"/>
    <x v="1"/>
    <n v="5"/>
    <n v="27"/>
    <n v="135"/>
  </r>
  <r>
    <x v="1791"/>
    <x v="0"/>
    <x v="65"/>
    <d v="2025-03-08T00:00:00"/>
    <x v="1"/>
    <x v="2"/>
    <x v="0"/>
    <x v="0"/>
    <x v="3"/>
    <n v="1"/>
    <x v="9"/>
    <x v="1"/>
    <n v="4"/>
    <n v="10.9"/>
    <n v="43.6"/>
  </r>
  <r>
    <x v="1792"/>
    <x v="16"/>
    <x v="65"/>
    <d v="2025-03-12T00:00:00"/>
    <x v="2"/>
    <x v="4"/>
    <x v="0"/>
    <x v="0"/>
    <x v="3"/>
    <n v="5"/>
    <x v="9"/>
    <x v="2"/>
    <n v="3"/>
    <n v="48"/>
    <n v="144"/>
  </r>
  <r>
    <x v="1793"/>
    <x v="5"/>
    <x v="65"/>
    <d v="2025-03-08T00:00:00"/>
    <x v="1"/>
    <x v="0"/>
    <x v="2"/>
    <x v="0"/>
    <x v="23"/>
    <n v="1"/>
    <x v="9"/>
    <x v="1"/>
    <n v="2"/>
    <n v="67.900000000000006"/>
    <n v="135.80000000000001"/>
  </r>
  <r>
    <x v="1794"/>
    <x v="4"/>
    <x v="65"/>
    <d v="2025-03-08T00:00:00"/>
    <x v="1"/>
    <x v="1"/>
    <x v="0"/>
    <x v="0"/>
    <x v="6"/>
    <n v="1"/>
    <x v="9"/>
    <x v="1"/>
    <n v="3"/>
    <n v="36"/>
    <n v="108"/>
  </r>
  <r>
    <x v="1795"/>
    <x v="2"/>
    <x v="65"/>
    <d v="2025-03-08T00:00:00"/>
    <x v="1"/>
    <x v="4"/>
    <x v="2"/>
    <x v="0"/>
    <x v="6"/>
    <n v="1"/>
    <x v="9"/>
    <x v="1"/>
    <n v="1"/>
    <n v="128.80000000000001"/>
    <n v="128.80000000000001"/>
  </r>
  <r>
    <x v="1796"/>
    <x v="18"/>
    <x v="65"/>
    <d v="2025-03-08T00:00:00"/>
    <x v="2"/>
    <x v="3"/>
    <x v="0"/>
    <x v="0"/>
    <x v="8"/>
    <n v="1"/>
    <x v="9"/>
    <x v="2"/>
    <n v="7"/>
    <n v="33.299999999999997"/>
    <n v="233.09999999999997"/>
  </r>
  <r>
    <x v="1797"/>
    <x v="10"/>
    <x v="65"/>
    <d v="2025-03-09T00:00:00"/>
    <x v="1"/>
    <x v="1"/>
    <x v="2"/>
    <x v="0"/>
    <x v="8"/>
    <n v="2"/>
    <x v="9"/>
    <x v="1"/>
    <n v="3"/>
    <n v="37.799999999999997"/>
    <n v="113.39999999999999"/>
  </r>
  <r>
    <x v="1798"/>
    <x v="5"/>
    <x v="65"/>
    <d v="2025-03-12T00:00:00"/>
    <x v="2"/>
    <x v="0"/>
    <x v="0"/>
    <x v="0"/>
    <x v="8"/>
    <n v="5"/>
    <x v="9"/>
    <x v="2"/>
    <n v="3"/>
    <n v="26"/>
    <n v="78"/>
  </r>
  <r>
    <x v="1799"/>
    <x v="8"/>
    <x v="65"/>
    <d v="2025-03-08T00:00:00"/>
    <x v="2"/>
    <x v="3"/>
    <x v="4"/>
    <x v="0"/>
    <x v="8"/>
    <n v="1"/>
    <x v="9"/>
    <x v="2"/>
    <n v="19"/>
    <n v="28.3"/>
    <n v="537.70000000000005"/>
  </r>
  <r>
    <x v="1800"/>
    <x v="8"/>
    <x v="65"/>
    <d v="2025-03-07T00:00:00"/>
    <x v="2"/>
    <x v="0"/>
    <x v="0"/>
    <x v="0"/>
    <x v="8"/>
    <n v="0"/>
    <x v="9"/>
    <x v="2"/>
    <n v="4"/>
    <n v="31.3"/>
    <n v="125.2"/>
  </r>
  <r>
    <x v="1801"/>
    <x v="7"/>
    <x v="65"/>
    <d v="2025-03-08T00:00:00"/>
    <x v="2"/>
    <x v="3"/>
    <x v="2"/>
    <x v="0"/>
    <x v="8"/>
    <n v="1"/>
    <x v="9"/>
    <x v="2"/>
    <n v="3"/>
    <n v="69.5"/>
    <n v="208.5"/>
  </r>
  <r>
    <x v="1802"/>
    <x v="0"/>
    <x v="65"/>
    <d v="2025-03-08T00:00:00"/>
    <x v="2"/>
    <x v="3"/>
    <x v="1"/>
    <x v="0"/>
    <x v="8"/>
    <n v="1"/>
    <x v="9"/>
    <x v="2"/>
    <n v="2"/>
    <n v="16.7"/>
    <n v="33.4"/>
  </r>
  <r>
    <x v="1803"/>
    <x v="9"/>
    <x v="65"/>
    <d v="2025-03-08T00:00:00"/>
    <x v="1"/>
    <x v="2"/>
    <x v="2"/>
    <x v="0"/>
    <x v="9"/>
    <n v="1"/>
    <x v="9"/>
    <x v="1"/>
    <n v="2"/>
    <n v="62.6"/>
    <n v="125.2"/>
  </r>
  <r>
    <x v="1804"/>
    <x v="7"/>
    <x v="65"/>
    <d v="2025-03-13T00:00:00"/>
    <x v="1"/>
    <x v="4"/>
    <x v="4"/>
    <x v="0"/>
    <x v="9"/>
    <n v="6"/>
    <x v="9"/>
    <x v="1"/>
    <n v="1"/>
    <n v="81.2"/>
    <n v="81.2"/>
  </r>
  <r>
    <x v="1805"/>
    <x v="0"/>
    <x v="65"/>
    <d v="2025-03-08T00:00:00"/>
    <x v="2"/>
    <x v="0"/>
    <x v="2"/>
    <x v="0"/>
    <x v="9"/>
    <n v="1"/>
    <x v="9"/>
    <x v="2"/>
    <n v="10"/>
    <n v="12.7"/>
    <n v="127"/>
  </r>
  <r>
    <x v="1806"/>
    <x v="7"/>
    <x v="66"/>
    <d v="2025-03-12T00:00:00"/>
    <x v="1"/>
    <x v="1"/>
    <x v="0"/>
    <x v="0"/>
    <x v="11"/>
    <n v="4"/>
    <x v="9"/>
    <x v="1"/>
    <n v="4"/>
    <n v="77.7"/>
    <n v="310.8"/>
  </r>
  <r>
    <x v="1807"/>
    <x v="5"/>
    <x v="66"/>
    <d v="2025-03-09T00:00:00"/>
    <x v="2"/>
    <x v="0"/>
    <x v="2"/>
    <x v="0"/>
    <x v="18"/>
    <n v="1"/>
    <x v="9"/>
    <x v="2"/>
    <n v="2"/>
    <n v="37.299999999999997"/>
    <n v="74.599999999999994"/>
  </r>
  <r>
    <x v="1808"/>
    <x v="10"/>
    <x v="66"/>
    <d v="2025-03-10T00:00:00"/>
    <x v="2"/>
    <x v="1"/>
    <x v="1"/>
    <x v="0"/>
    <x v="19"/>
    <n v="2"/>
    <x v="9"/>
    <x v="2"/>
    <n v="4"/>
    <n v="35.6"/>
    <n v="142.4"/>
  </r>
  <r>
    <x v="1809"/>
    <x v="2"/>
    <x v="66"/>
    <d v="2025-03-12T00:00:00"/>
    <x v="2"/>
    <x v="2"/>
    <x v="2"/>
    <x v="0"/>
    <x v="56"/>
    <n v="4"/>
    <x v="9"/>
    <x v="2"/>
    <n v="3"/>
    <n v="95"/>
    <n v="285"/>
  </r>
  <r>
    <x v="1810"/>
    <x v="2"/>
    <x v="66"/>
    <d v="2025-03-12T00:00:00"/>
    <x v="3"/>
    <x v="2"/>
    <x v="2"/>
    <x v="0"/>
    <x v="21"/>
    <n v="4"/>
    <x v="9"/>
    <x v="3"/>
    <n v="4"/>
    <n v="172.1"/>
    <n v="688.4"/>
  </r>
  <r>
    <x v="1811"/>
    <x v="2"/>
    <x v="66"/>
    <d v="2025-03-11T00:00:00"/>
    <x v="2"/>
    <x v="1"/>
    <x v="0"/>
    <x v="0"/>
    <x v="21"/>
    <n v="3"/>
    <x v="9"/>
    <x v="2"/>
    <n v="2"/>
    <n v="233"/>
    <n v="466"/>
  </r>
  <r>
    <x v="1812"/>
    <x v="0"/>
    <x v="66"/>
    <d v="2025-03-09T00:00:00"/>
    <x v="2"/>
    <x v="2"/>
    <x v="2"/>
    <x v="0"/>
    <x v="21"/>
    <n v="1"/>
    <x v="9"/>
    <x v="2"/>
    <n v="1"/>
    <n v="43.5"/>
    <n v="43.5"/>
  </r>
  <r>
    <x v="1813"/>
    <x v="9"/>
    <x v="66"/>
    <d v="2025-03-11T00:00:00"/>
    <x v="1"/>
    <x v="4"/>
    <x v="2"/>
    <x v="0"/>
    <x v="1"/>
    <n v="3"/>
    <x v="9"/>
    <x v="1"/>
    <n v="2"/>
    <n v="47.8"/>
    <n v="95.6"/>
  </r>
  <r>
    <x v="1814"/>
    <x v="12"/>
    <x v="66"/>
    <d v="2025-03-10T00:00:00"/>
    <x v="2"/>
    <x v="0"/>
    <x v="3"/>
    <x v="0"/>
    <x v="33"/>
    <n v="2"/>
    <x v="9"/>
    <x v="2"/>
    <n v="2"/>
    <n v="65.8"/>
    <n v="131.6"/>
  </r>
  <r>
    <x v="1815"/>
    <x v="15"/>
    <x v="66"/>
    <d v="2025-03-08T00:00:00"/>
    <x v="1"/>
    <x v="0"/>
    <x v="0"/>
    <x v="0"/>
    <x v="22"/>
    <n v="0"/>
    <x v="9"/>
    <x v="1"/>
    <n v="11"/>
    <n v="38.700000000000003"/>
    <n v="425.70000000000005"/>
  </r>
  <r>
    <x v="1816"/>
    <x v="3"/>
    <x v="66"/>
    <d v="2025-03-10T00:00:00"/>
    <x v="3"/>
    <x v="0"/>
    <x v="1"/>
    <x v="0"/>
    <x v="22"/>
    <n v="2"/>
    <x v="9"/>
    <x v="3"/>
    <n v="4"/>
    <n v="55.7"/>
    <n v="222.8"/>
  </r>
  <r>
    <x v="1817"/>
    <x v="7"/>
    <x v="66"/>
    <d v="2025-03-08T00:00:00"/>
    <x v="2"/>
    <x v="1"/>
    <x v="0"/>
    <x v="0"/>
    <x v="3"/>
    <n v="0"/>
    <x v="9"/>
    <x v="2"/>
    <n v="2"/>
    <n v="102.4"/>
    <n v="204.8"/>
  </r>
  <r>
    <x v="1818"/>
    <x v="1"/>
    <x v="66"/>
    <d v="2025-03-12T00:00:00"/>
    <x v="0"/>
    <x v="2"/>
    <x v="0"/>
    <x v="0"/>
    <x v="3"/>
    <n v="4"/>
    <x v="9"/>
    <x v="0"/>
    <n v="1"/>
    <n v="92"/>
    <n v="92"/>
  </r>
  <r>
    <x v="1819"/>
    <x v="6"/>
    <x v="66"/>
    <d v="2025-03-10T00:00:00"/>
    <x v="2"/>
    <x v="1"/>
    <x v="0"/>
    <x v="0"/>
    <x v="3"/>
    <n v="2"/>
    <x v="9"/>
    <x v="2"/>
    <n v="4"/>
    <n v="75.900000000000006"/>
    <n v="303.60000000000002"/>
  </r>
  <r>
    <x v="1820"/>
    <x v="1"/>
    <x v="66"/>
    <d v="2025-03-09T00:00:00"/>
    <x v="2"/>
    <x v="1"/>
    <x v="0"/>
    <x v="0"/>
    <x v="3"/>
    <n v="1"/>
    <x v="9"/>
    <x v="2"/>
    <n v="4"/>
    <n v="36.200000000000003"/>
    <n v="144.80000000000001"/>
  </r>
  <r>
    <x v="1821"/>
    <x v="6"/>
    <x v="66"/>
    <d v="2025-03-10T00:00:00"/>
    <x v="0"/>
    <x v="3"/>
    <x v="0"/>
    <x v="0"/>
    <x v="3"/>
    <n v="2"/>
    <x v="9"/>
    <x v="0"/>
    <n v="87"/>
    <n v="83.5"/>
    <n v="7264.5"/>
  </r>
  <r>
    <x v="1822"/>
    <x v="19"/>
    <x v="66"/>
    <d v="2025-03-08T00:00:00"/>
    <x v="1"/>
    <x v="2"/>
    <x v="0"/>
    <x v="0"/>
    <x v="3"/>
    <n v="0"/>
    <x v="9"/>
    <x v="1"/>
    <n v="12"/>
    <n v="52.4"/>
    <n v="628.79999999999995"/>
  </r>
  <r>
    <x v="1823"/>
    <x v="12"/>
    <x v="66"/>
    <d v="2025-03-09T00:00:00"/>
    <x v="3"/>
    <x v="4"/>
    <x v="0"/>
    <x v="0"/>
    <x v="3"/>
    <n v="1"/>
    <x v="9"/>
    <x v="3"/>
    <n v="3"/>
    <n v="69.5"/>
    <n v="208.5"/>
  </r>
  <r>
    <x v="1824"/>
    <x v="0"/>
    <x v="66"/>
    <d v="2025-03-10T00:00:00"/>
    <x v="1"/>
    <x v="0"/>
    <x v="0"/>
    <x v="0"/>
    <x v="3"/>
    <n v="2"/>
    <x v="9"/>
    <x v="1"/>
    <n v="1"/>
    <n v="15.5"/>
    <n v="15.5"/>
  </r>
  <r>
    <x v="1825"/>
    <x v="4"/>
    <x v="66"/>
    <d v="2025-03-09T00:00:00"/>
    <x v="2"/>
    <x v="2"/>
    <x v="2"/>
    <x v="0"/>
    <x v="3"/>
    <n v="1"/>
    <x v="9"/>
    <x v="2"/>
    <n v="4"/>
    <n v="35.200000000000003"/>
    <n v="140.80000000000001"/>
  </r>
  <r>
    <x v="1826"/>
    <x v="8"/>
    <x v="66"/>
    <d v="2025-03-09T00:00:00"/>
    <x v="0"/>
    <x v="0"/>
    <x v="1"/>
    <x v="0"/>
    <x v="3"/>
    <n v="1"/>
    <x v="9"/>
    <x v="0"/>
    <n v="6"/>
    <n v="34.6"/>
    <n v="207.60000000000002"/>
  </r>
  <r>
    <x v="1827"/>
    <x v="4"/>
    <x v="67"/>
    <d v="2025-03-10T00:00:00"/>
    <x v="1"/>
    <x v="2"/>
    <x v="1"/>
    <x v="0"/>
    <x v="3"/>
    <n v="1"/>
    <x v="10"/>
    <x v="1"/>
    <n v="1"/>
    <n v="21.3"/>
    <n v="21.3"/>
  </r>
  <r>
    <x v="1828"/>
    <x v="6"/>
    <x v="67"/>
    <d v="2025-03-15T00:00:00"/>
    <x v="2"/>
    <x v="0"/>
    <x v="0"/>
    <x v="0"/>
    <x v="37"/>
    <n v="6"/>
    <x v="10"/>
    <x v="2"/>
    <n v="2"/>
    <n v="136.5"/>
    <n v="273"/>
  </r>
  <r>
    <x v="1829"/>
    <x v="9"/>
    <x v="67"/>
    <d v="2025-03-10T00:00:00"/>
    <x v="1"/>
    <x v="2"/>
    <x v="2"/>
    <x v="0"/>
    <x v="25"/>
    <n v="1"/>
    <x v="10"/>
    <x v="1"/>
    <n v="7"/>
    <n v="30.7"/>
    <n v="214.9"/>
  </r>
  <r>
    <x v="1830"/>
    <x v="1"/>
    <x v="67"/>
    <d v="2025-03-10T00:00:00"/>
    <x v="2"/>
    <x v="2"/>
    <x v="2"/>
    <x v="0"/>
    <x v="23"/>
    <n v="1"/>
    <x v="10"/>
    <x v="2"/>
    <n v="2"/>
    <n v="61.6"/>
    <n v="123.2"/>
  </r>
  <r>
    <x v="1831"/>
    <x v="6"/>
    <x v="67"/>
    <d v="2025-03-11T00:00:00"/>
    <x v="0"/>
    <x v="4"/>
    <x v="0"/>
    <x v="0"/>
    <x v="7"/>
    <n v="2"/>
    <x v="10"/>
    <x v="0"/>
    <n v="4"/>
    <n v="54.3"/>
    <n v="217.2"/>
  </r>
  <r>
    <x v="1832"/>
    <x v="1"/>
    <x v="67"/>
    <d v="2025-03-21T00:00:00"/>
    <x v="2"/>
    <x v="0"/>
    <x v="2"/>
    <x v="0"/>
    <x v="8"/>
    <n v="12"/>
    <x v="10"/>
    <x v="2"/>
    <n v="2"/>
    <n v="44.1"/>
    <n v="88.2"/>
  </r>
  <r>
    <x v="1833"/>
    <x v="8"/>
    <x v="67"/>
    <d v="2025-03-15T00:00:00"/>
    <x v="1"/>
    <x v="3"/>
    <x v="0"/>
    <x v="0"/>
    <x v="8"/>
    <n v="6"/>
    <x v="10"/>
    <x v="1"/>
    <n v="4"/>
    <n v="43.5"/>
    <n v="174"/>
  </r>
  <r>
    <x v="1834"/>
    <x v="8"/>
    <x v="67"/>
    <d v="2025-03-13T00:00:00"/>
    <x v="1"/>
    <x v="3"/>
    <x v="1"/>
    <x v="0"/>
    <x v="8"/>
    <n v="4"/>
    <x v="10"/>
    <x v="1"/>
    <n v="3"/>
    <n v="48.2"/>
    <n v="144.60000000000002"/>
  </r>
  <r>
    <x v="1835"/>
    <x v="19"/>
    <x v="67"/>
    <d v="2025-03-10T00:00:00"/>
    <x v="2"/>
    <x v="2"/>
    <x v="2"/>
    <x v="0"/>
    <x v="8"/>
    <n v="1"/>
    <x v="10"/>
    <x v="2"/>
    <n v="1"/>
    <n v="13.7"/>
    <n v="13.7"/>
  </r>
  <r>
    <x v="1836"/>
    <x v="2"/>
    <x v="67"/>
    <d v="2025-03-10T00:00:00"/>
    <x v="2"/>
    <x v="0"/>
    <x v="1"/>
    <x v="0"/>
    <x v="8"/>
    <n v="1"/>
    <x v="10"/>
    <x v="2"/>
    <n v="2"/>
    <n v="110.5"/>
    <n v="221"/>
  </r>
  <r>
    <x v="1837"/>
    <x v="8"/>
    <x v="67"/>
    <d v="2025-03-14T00:00:00"/>
    <x v="2"/>
    <x v="1"/>
    <x v="1"/>
    <x v="0"/>
    <x v="8"/>
    <n v="5"/>
    <x v="10"/>
    <x v="2"/>
    <n v="3"/>
    <n v="26"/>
    <n v="78"/>
  </r>
  <r>
    <x v="1838"/>
    <x v="2"/>
    <x v="67"/>
    <d v="2025-03-15T00:00:00"/>
    <x v="1"/>
    <x v="3"/>
    <x v="1"/>
    <x v="0"/>
    <x v="8"/>
    <n v="6"/>
    <x v="10"/>
    <x v="1"/>
    <n v="10"/>
    <n v="140.69999999999999"/>
    <n v="1407"/>
  </r>
  <r>
    <x v="1839"/>
    <x v="17"/>
    <x v="67"/>
    <d v="2025-03-17T00:00:00"/>
    <x v="2"/>
    <x v="0"/>
    <x v="4"/>
    <x v="0"/>
    <x v="8"/>
    <n v="8"/>
    <x v="10"/>
    <x v="2"/>
    <n v="2"/>
    <n v="41.7"/>
    <n v="83.4"/>
  </r>
  <r>
    <x v="1840"/>
    <x v="2"/>
    <x v="67"/>
    <d v="2025-03-10T00:00:00"/>
    <x v="1"/>
    <x v="0"/>
    <x v="2"/>
    <x v="0"/>
    <x v="17"/>
    <n v="1"/>
    <x v="10"/>
    <x v="1"/>
    <n v="2"/>
    <n v="135.1"/>
    <n v="270.2"/>
  </r>
  <r>
    <x v="1841"/>
    <x v="12"/>
    <x v="67"/>
    <d v="2025-03-10T00:00:00"/>
    <x v="2"/>
    <x v="4"/>
    <x v="4"/>
    <x v="0"/>
    <x v="26"/>
    <n v="1"/>
    <x v="10"/>
    <x v="2"/>
    <n v="22"/>
    <n v="95.5"/>
    <n v="2101"/>
  </r>
  <r>
    <x v="1842"/>
    <x v="15"/>
    <x v="67"/>
    <d v="2025-03-12T00:00:00"/>
    <x v="0"/>
    <x v="2"/>
    <x v="2"/>
    <x v="0"/>
    <x v="11"/>
    <n v="3"/>
    <x v="10"/>
    <x v="0"/>
    <n v="1"/>
    <n v="25.5"/>
    <n v="25.5"/>
  </r>
  <r>
    <x v="1843"/>
    <x v="1"/>
    <x v="67"/>
    <d v="2025-03-13T00:00:00"/>
    <x v="2"/>
    <x v="0"/>
    <x v="0"/>
    <x v="0"/>
    <x v="11"/>
    <n v="4"/>
    <x v="10"/>
    <x v="2"/>
    <n v="1"/>
    <n v="42.6"/>
    <n v="42.6"/>
  </r>
  <r>
    <x v="1844"/>
    <x v="8"/>
    <x v="67"/>
    <d v="2025-03-10T00:00:00"/>
    <x v="1"/>
    <x v="1"/>
    <x v="1"/>
    <x v="0"/>
    <x v="11"/>
    <n v="1"/>
    <x v="10"/>
    <x v="1"/>
    <n v="15"/>
    <n v="32.4"/>
    <n v="486"/>
  </r>
  <r>
    <x v="1845"/>
    <x v="4"/>
    <x v="67"/>
    <d v="2025-03-10T00:00:00"/>
    <x v="3"/>
    <x v="2"/>
    <x v="0"/>
    <x v="0"/>
    <x v="11"/>
    <n v="1"/>
    <x v="10"/>
    <x v="3"/>
    <n v="4"/>
    <n v="20.2"/>
    <n v="80.8"/>
  </r>
  <r>
    <x v="1846"/>
    <x v="16"/>
    <x v="67"/>
    <d v="2025-03-14T00:00:00"/>
    <x v="2"/>
    <x v="4"/>
    <x v="0"/>
    <x v="0"/>
    <x v="18"/>
    <n v="5"/>
    <x v="10"/>
    <x v="2"/>
    <n v="3"/>
    <n v="52.5"/>
    <n v="157.5"/>
  </r>
  <r>
    <x v="1847"/>
    <x v="2"/>
    <x v="67"/>
    <d v="2025-03-11T00:00:00"/>
    <x v="2"/>
    <x v="2"/>
    <x v="0"/>
    <x v="0"/>
    <x v="19"/>
    <n v="2"/>
    <x v="10"/>
    <x v="2"/>
    <n v="5"/>
    <n v="59.9"/>
    <n v="299.5"/>
  </r>
  <r>
    <x v="1848"/>
    <x v="4"/>
    <x v="67"/>
    <d v="2025-03-10T00:00:00"/>
    <x v="2"/>
    <x v="1"/>
    <x v="3"/>
    <x v="0"/>
    <x v="20"/>
    <n v="1"/>
    <x v="10"/>
    <x v="2"/>
    <n v="2"/>
    <n v="53.2"/>
    <n v="106.4"/>
  </r>
  <r>
    <x v="1849"/>
    <x v="2"/>
    <x v="67"/>
    <d v="2025-03-15T00:00:00"/>
    <x v="1"/>
    <x v="1"/>
    <x v="2"/>
    <x v="0"/>
    <x v="20"/>
    <n v="6"/>
    <x v="10"/>
    <x v="1"/>
    <n v="2"/>
    <n v="60"/>
    <n v="120"/>
  </r>
  <r>
    <x v="1850"/>
    <x v="8"/>
    <x v="67"/>
    <d v="2025-03-10T00:00:00"/>
    <x v="2"/>
    <x v="4"/>
    <x v="0"/>
    <x v="0"/>
    <x v="13"/>
    <n v="1"/>
    <x v="10"/>
    <x v="2"/>
    <n v="3"/>
    <n v="29.3"/>
    <n v="87.9"/>
  </r>
  <r>
    <x v="1851"/>
    <x v="12"/>
    <x v="67"/>
    <d v="2025-03-10T00:00:00"/>
    <x v="2"/>
    <x v="0"/>
    <x v="2"/>
    <x v="0"/>
    <x v="21"/>
    <n v="1"/>
    <x v="10"/>
    <x v="2"/>
    <n v="2"/>
    <n v="55.4"/>
    <n v="110.8"/>
  </r>
  <r>
    <x v="1852"/>
    <x v="0"/>
    <x v="67"/>
    <d v="2025-03-11T00:00:00"/>
    <x v="2"/>
    <x v="1"/>
    <x v="2"/>
    <x v="0"/>
    <x v="21"/>
    <n v="2"/>
    <x v="10"/>
    <x v="2"/>
    <n v="5"/>
    <n v="20.100000000000001"/>
    <n v="100.5"/>
  </r>
  <r>
    <x v="1853"/>
    <x v="14"/>
    <x v="67"/>
    <d v="2025-03-12T00:00:00"/>
    <x v="1"/>
    <x v="2"/>
    <x v="0"/>
    <x v="0"/>
    <x v="1"/>
    <n v="3"/>
    <x v="10"/>
    <x v="1"/>
    <n v="5"/>
    <n v="24"/>
    <n v="120"/>
  </r>
  <r>
    <x v="1854"/>
    <x v="8"/>
    <x v="68"/>
    <d v="2025-03-12T00:00:00"/>
    <x v="2"/>
    <x v="0"/>
    <x v="0"/>
    <x v="0"/>
    <x v="1"/>
    <n v="2"/>
    <x v="10"/>
    <x v="2"/>
    <n v="2"/>
    <n v="30.6"/>
    <n v="61.2"/>
  </r>
  <r>
    <x v="1855"/>
    <x v="10"/>
    <x v="68"/>
    <d v="2025-03-11T00:00:00"/>
    <x v="1"/>
    <x v="1"/>
    <x v="1"/>
    <x v="0"/>
    <x v="27"/>
    <n v="1"/>
    <x v="10"/>
    <x v="1"/>
    <n v="5"/>
    <n v="33"/>
    <n v="165"/>
  </r>
  <r>
    <x v="1856"/>
    <x v="17"/>
    <x v="68"/>
    <d v="2025-03-16T00:00:00"/>
    <x v="2"/>
    <x v="2"/>
    <x v="0"/>
    <x v="0"/>
    <x v="44"/>
    <n v="6"/>
    <x v="10"/>
    <x v="2"/>
    <n v="9"/>
    <n v="42.1"/>
    <n v="378.90000000000003"/>
  </r>
  <r>
    <x v="1857"/>
    <x v="6"/>
    <x v="68"/>
    <d v="2025-03-15T00:00:00"/>
    <x v="2"/>
    <x v="1"/>
    <x v="2"/>
    <x v="0"/>
    <x v="50"/>
    <n v="5"/>
    <x v="10"/>
    <x v="2"/>
    <n v="7"/>
    <n v="77.7"/>
    <n v="543.9"/>
  </r>
  <r>
    <x v="1858"/>
    <x v="17"/>
    <x v="68"/>
    <d v="2025-03-13T00:00:00"/>
    <x v="2"/>
    <x v="2"/>
    <x v="0"/>
    <x v="0"/>
    <x v="3"/>
    <n v="3"/>
    <x v="10"/>
    <x v="2"/>
    <n v="6"/>
    <n v="22.7"/>
    <n v="136.19999999999999"/>
  </r>
  <r>
    <x v="1859"/>
    <x v="2"/>
    <x v="68"/>
    <d v="2025-03-10T00:00:00"/>
    <x v="1"/>
    <x v="2"/>
    <x v="2"/>
    <x v="0"/>
    <x v="3"/>
    <n v="0"/>
    <x v="10"/>
    <x v="1"/>
    <n v="2"/>
    <n v="133"/>
    <n v="266"/>
  </r>
  <r>
    <x v="1860"/>
    <x v="0"/>
    <x v="68"/>
    <d v="2025-03-11T00:00:00"/>
    <x v="1"/>
    <x v="1"/>
    <x v="2"/>
    <x v="0"/>
    <x v="3"/>
    <n v="1"/>
    <x v="10"/>
    <x v="1"/>
    <n v="2"/>
    <n v="23.3"/>
    <n v="46.6"/>
  </r>
  <r>
    <x v="1861"/>
    <x v="8"/>
    <x v="68"/>
    <d v="2025-03-12T00:00:00"/>
    <x v="3"/>
    <x v="0"/>
    <x v="2"/>
    <x v="0"/>
    <x v="3"/>
    <n v="2"/>
    <x v="10"/>
    <x v="3"/>
    <n v="3"/>
    <n v="20.7"/>
    <n v="62.099999999999994"/>
  </r>
  <r>
    <x v="1862"/>
    <x v="12"/>
    <x v="68"/>
    <d v="2025-03-11T00:00:00"/>
    <x v="1"/>
    <x v="1"/>
    <x v="2"/>
    <x v="0"/>
    <x v="3"/>
    <n v="1"/>
    <x v="10"/>
    <x v="1"/>
    <n v="2"/>
    <n v="47"/>
    <n v="94"/>
  </r>
  <r>
    <x v="1863"/>
    <x v="12"/>
    <x v="68"/>
    <d v="2025-03-12T00:00:00"/>
    <x v="2"/>
    <x v="2"/>
    <x v="4"/>
    <x v="0"/>
    <x v="3"/>
    <n v="2"/>
    <x v="10"/>
    <x v="2"/>
    <n v="3"/>
    <n v="38.200000000000003"/>
    <n v="114.60000000000001"/>
  </r>
  <r>
    <x v="1864"/>
    <x v="9"/>
    <x v="68"/>
    <d v="2025-03-12T00:00:00"/>
    <x v="2"/>
    <x v="0"/>
    <x v="0"/>
    <x v="0"/>
    <x v="3"/>
    <n v="2"/>
    <x v="10"/>
    <x v="2"/>
    <n v="1"/>
    <n v="39.1"/>
    <n v="39.1"/>
  </r>
  <r>
    <x v="1865"/>
    <x v="7"/>
    <x v="68"/>
    <d v="2025-03-12T00:00:00"/>
    <x v="1"/>
    <x v="0"/>
    <x v="2"/>
    <x v="0"/>
    <x v="3"/>
    <n v="2"/>
    <x v="10"/>
    <x v="1"/>
    <n v="25"/>
    <n v="55.6"/>
    <n v="1390"/>
  </r>
  <r>
    <x v="1866"/>
    <x v="15"/>
    <x v="68"/>
    <d v="2025-03-10T00:00:00"/>
    <x v="3"/>
    <x v="1"/>
    <x v="2"/>
    <x v="0"/>
    <x v="3"/>
    <n v="0"/>
    <x v="10"/>
    <x v="3"/>
    <n v="1"/>
    <n v="43.1"/>
    <n v="43.1"/>
  </r>
  <r>
    <x v="1867"/>
    <x v="6"/>
    <x v="68"/>
    <d v="2025-03-11T00:00:00"/>
    <x v="2"/>
    <x v="4"/>
    <x v="2"/>
    <x v="0"/>
    <x v="3"/>
    <n v="1"/>
    <x v="10"/>
    <x v="2"/>
    <n v="4"/>
    <n v="48.1"/>
    <n v="192.4"/>
  </r>
  <r>
    <x v="1868"/>
    <x v="4"/>
    <x v="68"/>
    <d v="2025-03-11T00:00:00"/>
    <x v="3"/>
    <x v="0"/>
    <x v="0"/>
    <x v="0"/>
    <x v="3"/>
    <n v="1"/>
    <x v="10"/>
    <x v="3"/>
    <n v="1"/>
    <n v="42"/>
    <n v="42"/>
  </r>
  <r>
    <x v="1869"/>
    <x v="8"/>
    <x v="68"/>
    <d v="2025-03-10T00:00:00"/>
    <x v="2"/>
    <x v="2"/>
    <x v="0"/>
    <x v="0"/>
    <x v="3"/>
    <n v="0"/>
    <x v="10"/>
    <x v="2"/>
    <n v="5"/>
    <n v="18.3"/>
    <n v="91.5"/>
  </r>
  <r>
    <x v="1870"/>
    <x v="10"/>
    <x v="68"/>
    <d v="2025-03-13T00:00:00"/>
    <x v="2"/>
    <x v="0"/>
    <x v="2"/>
    <x v="0"/>
    <x v="3"/>
    <n v="3"/>
    <x v="10"/>
    <x v="2"/>
    <n v="4"/>
    <n v="45.3"/>
    <n v="181.2"/>
  </r>
  <r>
    <x v="1871"/>
    <x v="0"/>
    <x v="68"/>
    <d v="2025-03-12T00:00:00"/>
    <x v="1"/>
    <x v="0"/>
    <x v="2"/>
    <x v="0"/>
    <x v="37"/>
    <n v="2"/>
    <x v="10"/>
    <x v="1"/>
    <n v="2"/>
    <n v="27.6"/>
    <n v="55.2"/>
  </r>
  <r>
    <x v="1872"/>
    <x v="4"/>
    <x v="68"/>
    <d v="2025-03-11T00:00:00"/>
    <x v="2"/>
    <x v="2"/>
    <x v="0"/>
    <x v="0"/>
    <x v="25"/>
    <n v="1"/>
    <x v="10"/>
    <x v="2"/>
    <n v="5"/>
    <n v="26.9"/>
    <n v="134.5"/>
  </r>
  <r>
    <x v="1873"/>
    <x v="2"/>
    <x v="68"/>
    <d v="2025-03-12T00:00:00"/>
    <x v="3"/>
    <x v="2"/>
    <x v="0"/>
    <x v="0"/>
    <x v="5"/>
    <n v="2"/>
    <x v="10"/>
    <x v="3"/>
    <n v="9"/>
    <n v="82.4"/>
    <n v="741.6"/>
  </r>
  <r>
    <x v="1874"/>
    <x v="6"/>
    <x v="68"/>
    <d v="2025-03-12T00:00:00"/>
    <x v="2"/>
    <x v="1"/>
    <x v="0"/>
    <x v="0"/>
    <x v="5"/>
    <n v="2"/>
    <x v="10"/>
    <x v="2"/>
    <n v="1"/>
    <n v="103.7"/>
    <n v="103.7"/>
  </r>
  <r>
    <x v="1875"/>
    <x v="2"/>
    <x v="68"/>
    <d v="2025-03-15T00:00:00"/>
    <x v="2"/>
    <x v="1"/>
    <x v="2"/>
    <x v="0"/>
    <x v="6"/>
    <n v="5"/>
    <x v="10"/>
    <x v="2"/>
    <n v="2"/>
    <n v="58.8"/>
    <n v="117.6"/>
  </r>
  <r>
    <x v="1876"/>
    <x v="13"/>
    <x v="68"/>
    <d v="2025-03-11T00:00:00"/>
    <x v="2"/>
    <x v="1"/>
    <x v="1"/>
    <x v="0"/>
    <x v="6"/>
    <n v="1"/>
    <x v="10"/>
    <x v="2"/>
    <n v="1"/>
    <n v="31.5"/>
    <n v="31.5"/>
  </r>
  <r>
    <x v="1877"/>
    <x v="7"/>
    <x v="68"/>
    <d v="2025-03-12T00:00:00"/>
    <x v="2"/>
    <x v="0"/>
    <x v="0"/>
    <x v="0"/>
    <x v="8"/>
    <n v="2"/>
    <x v="10"/>
    <x v="2"/>
    <n v="5"/>
    <n v="36.799999999999997"/>
    <n v="184"/>
  </r>
  <r>
    <x v="1878"/>
    <x v="3"/>
    <x v="68"/>
    <d v="2025-03-11T00:00:00"/>
    <x v="2"/>
    <x v="0"/>
    <x v="0"/>
    <x v="0"/>
    <x v="8"/>
    <n v="1"/>
    <x v="10"/>
    <x v="2"/>
    <n v="1"/>
    <n v="84.4"/>
    <n v="84.4"/>
  </r>
  <r>
    <x v="1879"/>
    <x v="14"/>
    <x v="68"/>
    <d v="2025-03-11T00:00:00"/>
    <x v="1"/>
    <x v="0"/>
    <x v="1"/>
    <x v="0"/>
    <x v="8"/>
    <n v="1"/>
    <x v="10"/>
    <x v="1"/>
    <n v="1"/>
    <n v="44.7"/>
    <n v="44.7"/>
  </r>
  <r>
    <x v="1880"/>
    <x v="9"/>
    <x v="68"/>
    <d v="2025-03-11T00:00:00"/>
    <x v="2"/>
    <x v="1"/>
    <x v="2"/>
    <x v="0"/>
    <x v="8"/>
    <n v="1"/>
    <x v="10"/>
    <x v="2"/>
    <n v="8"/>
    <n v="39.4"/>
    <n v="315.2"/>
  </r>
  <r>
    <x v="1881"/>
    <x v="11"/>
    <x v="68"/>
    <d v="2025-03-12T00:00:00"/>
    <x v="2"/>
    <x v="0"/>
    <x v="2"/>
    <x v="0"/>
    <x v="8"/>
    <n v="2"/>
    <x v="10"/>
    <x v="2"/>
    <n v="4"/>
    <n v="34.9"/>
    <n v="139.6"/>
  </r>
  <r>
    <x v="1882"/>
    <x v="1"/>
    <x v="68"/>
    <d v="2025-03-12T00:00:00"/>
    <x v="1"/>
    <x v="4"/>
    <x v="2"/>
    <x v="0"/>
    <x v="8"/>
    <n v="2"/>
    <x v="10"/>
    <x v="1"/>
    <n v="3"/>
    <n v="62.3"/>
    <n v="186.89999999999998"/>
  </r>
  <r>
    <x v="1883"/>
    <x v="8"/>
    <x v="68"/>
    <d v="2025-03-13T00:00:00"/>
    <x v="1"/>
    <x v="3"/>
    <x v="0"/>
    <x v="0"/>
    <x v="8"/>
    <n v="3"/>
    <x v="10"/>
    <x v="1"/>
    <n v="4"/>
    <n v="21.1"/>
    <n v="84.4"/>
  </r>
  <r>
    <x v="1884"/>
    <x v="8"/>
    <x v="68"/>
    <d v="2025-03-24T00:00:00"/>
    <x v="0"/>
    <x v="0"/>
    <x v="4"/>
    <x v="0"/>
    <x v="8"/>
    <n v="14"/>
    <x v="10"/>
    <x v="0"/>
    <n v="3"/>
    <n v="33.200000000000003"/>
    <n v="99.600000000000009"/>
  </r>
  <r>
    <x v="1885"/>
    <x v="1"/>
    <x v="68"/>
    <d v="2025-03-11T00:00:00"/>
    <x v="1"/>
    <x v="4"/>
    <x v="0"/>
    <x v="0"/>
    <x v="8"/>
    <n v="1"/>
    <x v="10"/>
    <x v="1"/>
    <n v="4"/>
    <n v="74.5"/>
    <n v="298"/>
  </r>
  <r>
    <x v="1886"/>
    <x v="10"/>
    <x v="68"/>
    <d v="2025-03-13T00:00:00"/>
    <x v="2"/>
    <x v="0"/>
    <x v="2"/>
    <x v="0"/>
    <x v="8"/>
    <n v="3"/>
    <x v="10"/>
    <x v="2"/>
    <n v="12"/>
    <n v="68.599999999999994"/>
    <n v="823.19999999999993"/>
  </r>
  <r>
    <x v="1887"/>
    <x v="5"/>
    <x v="68"/>
    <d v="2025-03-12T00:00:00"/>
    <x v="2"/>
    <x v="0"/>
    <x v="1"/>
    <x v="0"/>
    <x v="9"/>
    <n v="2"/>
    <x v="10"/>
    <x v="2"/>
    <n v="14"/>
    <n v="36.4"/>
    <n v="509.59999999999997"/>
  </r>
  <r>
    <x v="1888"/>
    <x v="16"/>
    <x v="69"/>
    <d v="2025-03-14T00:00:00"/>
    <x v="2"/>
    <x v="4"/>
    <x v="1"/>
    <x v="0"/>
    <x v="9"/>
    <n v="3"/>
    <x v="10"/>
    <x v="2"/>
    <n v="5"/>
    <n v="67.599999999999994"/>
    <n v="338"/>
  </r>
  <r>
    <x v="1889"/>
    <x v="15"/>
    <x v="69"/>
    <d v="2025-03-12T00:00:00"/>
    <x v="1"/>
    <x v="2"/>
    <x v="0"/>
    <x v="0"/>
    <x v="9"/>
    <n v="1"/>
    <x v="10"/>
    <x v="1"/>
    <n v="1"/>
    <n v="46.3"/>
    <n v="46.3"/>
  </r>
  <r>
    <x v="1890"/>
    <x v="1"/>
    <x v="69"/>
    <d v="2025-03-13T00:00:00"/>
    <x v="2"/>
    <x v="1"/>
    <x v="2"/>
    <x v="0"/>
    <x v="11"/>
    <n v="2"/>
    <x v="10"/>
    <x v="2"/>
    <n v="3"/>
    <n v="124.2"/>
    <n v="372.6"/>
  </r>
  <r>
    <x v="1891"/>
    <x v="10"/>
    <x v="69"/>
    <d v="2025-03-17T00:00:00"/>
    <x v="1"/>
    <x v="0"/>
    <x v="0"/>
    <x v="0"/>
    <x v="11"/>
    <n v="6"/>
    <x v="10"/>
    <x v="1"/>
    <n v="2"/>
    <n v="37"/>
    <n v="74"/>
  </r>
  <r>
    <x v="1892"/>
    <x v="5"/>
    <x v="69"/>
    <d v="2025-03-12T00:00:00"/>
    <x v="1"/>
    <x v="2"/>
    <x v="0"/>
    <x v="0"/>
    <x v="31"/>
    <n v="1"/>
    <x v="10"/>
    <x v="1"/>
    <n v="1"/>
    <n v="41.8"/>
    <n v="41.8"/>
  </r>
  <r>
    <x v="1893"/>
    <x v="9"/>
    <x v="69"/>
    <d v="2025-03-13T00:00:00"/>
    <x v="1"/>
    <x v="2"/>
    <x v="1"/>
    <x v="0"/>
    <x v="20"/>
    <n v="2"/>
    <x v="10"/>
    <x v="1"/>
    <n v="2"/>
    <n v="57.2"/>
    <n v="114.4"/>
  </r>
  <r>
    <x v="1894"/>
    <x v="6"/>
    <x v="69"/>
    <d v="2025-03-13T00:00:00"/>
    <x v="2"/>
    <x v="0"/>
    <x v="4"/>
    <x v="0"/>
    <x v="20"/>
    <n v="2"/>
    <x v="10"/>
    <x v="2"/>
    <n v="2"/>
    <n v="47.1"/>
    <n v="94.2"/>
  </r>
  <r>
    <x v="1895"/>
    <x v="5"/>
    <x v="69"/>
    <d v="2025-03-12T00:00:00"/>
    <x v="1"/>
    <x v="2"/>
    <x v="1"/>
    <x v="0"/>
    <x v="52"/>
    <n v="1"/>
    <x v="10"/>
    <x v="1"/>
    <n v="3"/>
    <n v="86.4"/>
    <n v="259.20000000000005"/>
  </r>
  <r>
    <x v="1896"/>
    <x v="6"/>
    <x v="69"/>
    <d v="2025-03-14T00:00:00"/>
    <x v="1"/>
    <x v="0"/>
    <x v="0"/>
    <x v="0"/>
    <x v="13"/>
    <n v="3"/>
    <x v="10"/>
    <x v="1"/>
    <n v="5"/>
    <n v="105"/>
    <n v="525"/>
  </r>
  <r>
    <x v="1897"/>
    <x v="18"/>
    <x v="69"/>
    <d v="2025-03-14T00:00:00"/>
    <x v="1"/>
    <x v="4"/>
    <x v="0"/>
    <x v="0"/>
    <x v="21"/>
    <n v="3"/>
    <x v="10"/>
    <x v="1"/>
    <n v="1"/>
    <n v="33"/>
    <n v="33"/>
  </r>
  <r>
    <x v="1898"/>
    <x v="6"/>
    <x v="69"/>
    <d v="2025-03-24T00:00:00"/>
    <x v="2"/>
    <x v="2"/>
    <x v="0"/>
    <x v="0"/>
    <x v="1"/>
    <n v="13"/>
    <x v="10"/>
    <x v="2"/>
    <n v="5"/>
    <n v="106.6"/>
    <n v="533"/>
  </r>
  <r>
    <x v="1899"/>
    <x v="10"/>
    <x v="69"/>
    <d v="2025-03-12T00:00:00"/>
    <x v="2"/>
    <x v="2"/>
    <x v="0"/>
    <x v="0"/>
    <x v="1"/>
    <n v="1"/>
    <x v="10"/>
    <x v="2"/>
    <n v="32"/>
    <n v="26.8"/>
    <n v="857.6"/>
  </r>
  <r>
    <x v="1900"/>
    <x v="17"/>
    <x v="69"/>
    <d v="2025-03-11T00:00:00"/>
    <x v="2"/>
    <x v="1"/>
    <x v="2"/>
    <x v="0"/>
    <x v="3"/>
    <n v="0"/>
    <x v="10"/>
    <x v="2"/>
    <n v="5"/>
    <n v="25.8"/>
    <n v="129"/>
  </r>
  <r>
    <x v="1901"/>
    <x v="2"/>
    <x v="69"/>
    <d v="2025-03-12T00:00:00"/>
    <x v="2"/>
    <x v="1"/>
    <x v="1"/>
    <x v="0"/>
    <x v="3"/>
    <n v="1"/>
    <x v="10"/>
    <x v="2"/>
    <n v="3"/>
    <n v="217"/>
    <n v="651"/>
  </r>
  <r>
    <x v="1902"/>
    <x v="2"/>
    <x v="69"/>
    <d v="2025-03-12T00:00:00"/>
    <x v="1"/>
    <x v="2"/>
    <x v="4"/>
    <x v="0"/>
    <x v="3"/>
    <n v="1"/>
    <x v="10"/>
    <x v="1"/>
    <n v="2"/>
    <n v="97.3"/>
    <n v="194.6"/>
  </r>
  <r>
    <x v="1903"/>
    <x v="1"/>
    <x v="69"/>
    <d v="2025-03-12T00:00:00"/>
    <x v="2"/>
    <x v="0"/>
    <x v="0"/>
    <x v="0"/>
    <x v="3"/>
    <n v="1"/>
    <x v="10"/>
    <x v="2"/>
    <n v="1"/>
    <n v="49.8"/>
    <n v="49.8"/>
  </r>
  <r>
    <x v="1904"/>
    <x v="12"/>
    <x v="69"/>
    <d v="2025-03-12T00:00:00"/>
    <x v="2"/>
    <x v="0"/>
    <x v="0"/>
    <x v="0"/>
    <x v="3"/>
    <n v="1"/>
    <x v="10"/>
    <x v="2"/>
    <n v="5"/>
    <n v="32.6"/>
    <n v="163"/>
  </r>
  <r>
    <x v="1905"/>
    <x v="9"/>
    <x v="69"/>
    <d v="2025-03-14T00:00:00"/>
    <x v="1"/>
    <x v="1"/>
    <x v="2"/>
    <x v="0"/>
    <x v="3"/>
    <n v="3"/>
    <x v="10"/>
    <x v="1"/>
    <n v="2"/>
    <n v="40.1"/>
    <n v="80.2"/>
  </r>
  <r>
    <x v="1906"/>
    <x v="10"/>
    <x v="69"/>
    <d v="2025-03-13T00:00:00"/>
    <x v="1"/>
    <x v="1"/>
    <x v="0"/>
    <x v="0"/>
    <x v="3"/>
    <n v="2"/>
    <x v="10"/>
    <x v="1"/>
    <n v="2"/>
    <n v="49.4"/>
    <n v="98.8"/>
  </r>
  <r>
    <x v="1907"/>
    <x v="2"/>
    <x v="69"/>
    <d v="2025-03-12T00:00:00"/>
    <x v="2"/>
    <x v="0"/>
    <x v="2"/>
    <x v="0"/>
    <x v="3"/>
    <n v="1"/>
    <x v="10"/>
    <x v="2"/>
    <n v="1"/>
    <n v="67.3"/>
    <n v="67.3"/>
  </r>
  <r>
    <x v="1908"/>
    <x v="18"/>
    <x v="69"/>
    <d v="2025-03-14T00:00:00"/>
    <x v="0"/>
    <x v="1"/>
    <x v="0"/>
    <x v="0"/>
    <x v="3"/>
    <n v="3"/>
    <x v="10"/>
    <x v="0"/>
    <n v="4"/>
    <n v="44.5"/>
    <n v="178"/>
  </r>
  <r>
    <x v="1909"/>
    <x v="6"/>
    <x v="69"/>
    <d v="2025-03-12T00:00:00"/>
    <x v="2"/>
    <x v="4"/>
    <x v="0"/>
    <x v="0"/>
    <x v="3"/>
    <n v="1"/>
    <x v="10"/>
    <x v="2"/>
    <n v="11"/>
    <n v="111.1"/>
    <n v="1222.0999999999999"/>
  </r>
  <r>
    <x v="1910"/>
    <x v="8"/>
    <x v="69"/>
    <d v="2025-03-12T00:00:00"/>
    <x v="2"/>
    <x v="4"/>
    <x v="4"/>
    <x v="0"/>
    <x v="3"/>
    <n v="1"/>
    <x v="10"/>
    <x v="2"/>
    <n v="3"/>
    <n v="19.7"/>
    <n v="59.099999999999994"/>
  </r>
  <r>
    <x v="1911"/>
    <x v="1"/>
    <x v="69"/>
    <d v="2025-03-12T00:00:00"/>
    <x v="3"/>
    <x v="1"/>
    <x v="0"/>
    <x v="0"/>
    <x v="3"/>
    <n v="1"/>
    <x v="10"/>
    <x v="3"/>
    <n v="1"/>
    <n v="40.299999999999997"/>
    <n v="40.299999999999997"/>
  </r>
  <r>
    <x v="1912"/>
    <x v="6"/>
    <x v="69"/>
    <d v="2025-03-16T00:00:00"/>
    <x v="1"/>
    <x v="0"/>
    <x v="2"/>
    <x v="0"/>
    <x v="6"/>
    <n v="5"/>
    <x v="10"/>
    <x v="1"/>
    <n v="2"/>
    <n v="108.8"/>
    <n v="217.6"/>
  </r>
  <r>
    <x v="1913"/>
    <x v="8"/>
    <x v="69"/>
    <d v="2025-03-16T00:00:00"/>
    <x v="2"/>
    <x v="4"/>
    <x v="0"/>
    <x v="0"/>
    <x v="7"/>
    <n v="5"/>
    <x v="10"/>
    <x v="2"/>
    <n v="3"/>
    <n v="48.2"/>
    <n v="144.60000000000002"/>
  </r>
  <r>
    <x v="1914"/>
    <x v="2"/>
    <x v="69"/>
    <d v="2025-03-13T00:00:00"/>
    <x v="2"/>
    <x v="0"/>
    <x v="1"/>
    <x v="0"/>
    <x v="7"/>
    <n v="2"/>
    <x v="10"/>
    <x v="2"/>
    <n v="3"/>
    <n v="104.7"/>
    <n v="314.10000000000002"/>
  </r>
  <r>
    <x v="1915"/>
    <x v="1"/>
    <x v="69"/>
    <d v="2025-03-11T00:00:00"/>
    <x v="2"/>
    <x v="1"/>
    <x v="0"/>
    <x v="0"/>
    <x v="8"/>
    <n v="0"/>
    <x v="10"/>
    <x v="2"/>
    <n v="2"/>
    <n v="80.599999999999994"/>
    <n v="161.19999999999999"/>
  </r>
  <r>
    <x v="1916"/>
    <x v="6"/>
    <x v="69"/>
    <d v="2025-03-13T00:00:00"/>
    <x v="3"/>
    <x v="1"/>
    <x v="0"/>
    <x v="0"/>
    <x v="8"/>
    <n v="2"/>
    <x v="10"/>
    <x v="3"/>
    <n v="1"/>
    <n v="65.5"/>
    <n v="65.5"/>
  </r>
  <r>
    <x v="1917"/>
    <x v="9"/>
    <x v="69"/>
    <d v="2025-03-13T00:00:00"/>
    <x v="2"/>
    <x v="4"/>
    <x v="2"/>
    <x v="0"/>
    <x v="8"/>
    <n v="2"/>
    <x v="10"/>
    <x v="2"/>
    <n v="3"/>
    <n v="61.4"/>
    <n v="184.2"/>
  </r>
  <r>
    <x v="1918"/>
    <x v="0"/>
    <x v="70"/>
    <d v="2025-03-15T00:00:00"/>
    <x v="2"/>
    <x v="0"/>
    <x v="1"/>
    <x v="0"/>
    <x v="8"/>
    <n v="3"/>
    <x v="10"/>
    <x v="2"/>
    <n v="1"/>
    <n v="12.5"/>
    <n v="12.5"/>
  </r>
  <r>
    <x v="1919"/>
    <x v="4"/>
    <x v="70"/>
    <d v="2025-03-13T00:00:00"/>
    <x v="1"/>
    <x v="2"/>
    <x v="1"/>
    <x v="0"/>
    <x v="17"/>
    <n v="1"/>
    <x v="10"/>
    <x v="1"/>
    <n v="4"/>
    <n v="35.1"/>
    <n v="140.4"/>
  </r>
  <r>
    <x v="1920"/>
    <x v="5"/>
    <x v="70"/>
    <d v="2025-03-13T00:00:00"/>
    <x v="1"/>
    <x v="0"/>
    <x v="1"/>
    <x v="0"/>
    <x v="26"/>
    <n v="1"/>
    <x v="10"/>
    <x v="1"/>
    <n v="2"/>
    <n v="55.7"/>
    <n v="111.4"/>
  </r>
  <r>
    <x v="1921"/>
    <x v="7"/>
    <x v="70"/>
    <d v="2025-03-14T00:00:00"/>
    <x v="1"/>
    <x v="4"/>
    <x v="1"/>
    <x v="0"/>
    <x v="9"/>
    <n v="2"/>
    <x v="10"/>
    <x v="1"/>
    <n v="2"/>
    <n v="57.7"/>
    <n v="115.4"/>
  </r>
  <r>
    <x v="1922"/>
    <x v="2"/>
    <x v="70"/>
    <d v="2025-03-13T00:00:00"/>
    <x v="1"/>
    <x v="3"/>
    <x v="2"/>
    <x v="0"/>
    <x v="9"/>
    <n v="1"/>
    <x v="10"/>
    <x v="1"/>
    <n v="6"/>
    <n v="85.7"/>
    <n v="514.20000000000005"/>
  </r>
  <r>
    <x v="1923"/>
    <x v="2"/>
    <x v="70"/>
    <d v="2025-03-14T00:00:00"/>
    <x v="2"/>
    <x v="1"/>
    <x v="0"/>
    <x v="0"/>
    <x v="11"/>
    <n v="2"/>
    <x v="10"/>
    <x v="2"/>
    <n v="3"/>
    <n v="86.9"/>
    <n v="260.70000000000005"/>
  </r>
  <r>
    <x v="1924"/>
    <x v="18"/>
    <x v="70"/>
    <d v="2025-03-15T00:00:00"/>
    <x v="2"/>
    <x v="4"/>
    <x v="0"/>
    <x v="0"/>
    <x v="11"/>
    <n v="3"/>
    <x v="10"/>
    <x v="2"/>
    <n v="2"/>
    <n v="46.4"/>
    <n v="92.8"/>
  </r>
  <r>
    <x v="1925"/>
    <x v="5"/>
    <x v="70"/>
    <d v="2025-03-12T00:00:00"/>
    <x v="2"/>
    <x v="2"/>
    <x v="2"/>
    <x v="0"/>
    <x v="18"/>
    <n v="0"/>
    <x v="10"/>
    <x v="2"/>
    <n v="3"/>
    <n v="25.4"/>
    <n v="76.199999999999989"/>
  </r>
  <r>
    <x v="1926"/>
    <x v="10"/>
    <x v="70"/>
    <d v="2025-03-12T00:00:00"/>
    <x v="0"/>
    <x v="2"/>
    <x v="2"/>
    <x v="0"/>
    <x v="19"/>
    <n v="0"/>
    <x v="10"/>
    <x v="0"/>
    <n v="3"/>
    <n v="47.8"/>
    <n v="143.39999999999998"/>
  </r>
  <r>
    <x v="1927"/>
    <x v="8"/>
    <x v="70"/>
    <d v="2025-03-14T00:00:00"/>
    <x v="3"/>
    <x v="2"/>
    <x v="0"/>
    <x v="0"/>
    <x v="20"/>
    <n v="2"/>
    <x v="10"/>
    <x v="3"/>
    <n v="19"/>
    <n v="18.399999999999999"/>
    <n v="349.59999999999997"/>
  </r>
  <r>
    <x v="1928"/>
    <x v="12"/>
    <x v="70"/>
    <d v="2025-03-20T00:00:00"/>
    <x v="2"/>
    <x v="0"/>
    <x v="0"/>
    <x v="0"/>
    <x v="21"/>
    <n v="8"/>
    <x v="10"/>
    <x v="2"/>
    <n v="3"/>
    <n v="65.5"/>
    <n v="196.5"/>
  </r>
  <r>
    <x v="1929"/>
    <x v="10"/>
    <x v="70"/>
    <d v="2025-03-15T00:00:00"/>
    <x v="1"/>
    <x v="2"/>
    <x v="4"/>
    <x v="0"/>
    <x v="21"/>
    <n v="3"/>
    <x v="10"/>
    <x v="1"/>
    <n v="2"/>
    <n v="50.6"/>
    <n v="101.2"/>
  </r>
  <r>
    <x v="1930"/>
    <x v="3"/>
    <x v="70"/>
    <d v="2025-03-16T00:00:00"/>
    <x v="1"/>
    <x v="3"/>
    <x v="0"/>
    <x v="0"/>
    <x v="21"/>
    <n v="4"/>
    <x v="10"/>
    <x v="1"/>
    <n v="5"/>
    <n v="69"/>
    <n v="345"/>
  </r>
  <r>
    <x v="1931"/>
    <x v="9"/>
    <x v="70"/>
    <d v="2025-03-14T00:00:00"/>
    <x v="2"/>
    <x v="0"/>
    <x v="0"/>
    <x v="0"/>
    <x v="1"/>
    <n v="2"/>
    <x v="10"/>
    <x v="2"/>
    <n v="8"/>
    <n v="51.1"/>
    <n v="408.8"/>
  </r>
  <r>
    <x v="1932"/>
    <x v="9"/>
    <x v="70"/>
    <d v="2025-03-13T00:00:00"/>
    <x v="2"/>
    <x v="0"/>
    <x v="2"/>
    <x v="0"/>
    <x v="34"/>
    <n v="1"/>
    <x v="10"/>
    <x v="2"/>
    <n v="1"/>
    <n v="36.1"/>
    <n v="36.1"/>
  </r>
  <r>
    <x v="1933"/>
    <x v="14"/>
    <x v="70"/>
    <d v="2025-03-13T00:00:00"/>
    <x v="1"/>
    <x v="0"/>
    <x v="0"/>
    <x v="0"/>
    <x v="3"/>
    <n v="1"/>
    <x v="10"/>
    <x v="1"/>
    <n v="1"/>
    <n v="18.7"/>
    <n v="18.7"/>
  </r>
  <r>
    <x v="1934"/>
    <x v="17"/>
    <x v="70"/>
    <d v="2025-03-15T00:00:00"/>
    <x v="2"/>
    <x v="3"/>
    <x v="1"/>
    <x v="0"/>
    <x v="3"/>
    <n v="3"/>
    <x v="10"/>
    <x v="2"/>
    <n v="1"/>
    <n v="30.1"/>
    <n v="30.1"/>
  </r>
  <r>
    <x v="1935"/>
    <x v="8"/>
    <x v="70"/>
    <d v="2025-03-13T00:00:00"/>
    <x v="1"/>
    <x v="3"/>
    <x v="0"/>
    <x v="0"/>
    <x v="3"/>
    <n v="1"/>
    <x v="10"/>
    <x v="1"/>
    <n v="1"/>
    <n v="16.3"/>
    <n v="16.3"/>
  </r>
  <r>
    <x v="1936"/>
    <x v="1"/>
    <x v="70"/>
    <d v="2025-03-17T00:00:00"/>
    <x v="2"/>
    <x v="2"/>
    <x v="1"/>
    <x v="0"/>
    <x v="3"/>
    <n v="5"/>
    <x v="10"/>
    <x v="2"/>
    <n v="3"/>
    <n v="63.8"/>
    <n v="191.39999999999998"/>
  </r>
  <r>
    <x v="1937"/>
    <x v="1"/>
    <x v="70"/>
    <d v="2025-03-12T00:00:00"/>
    <x v="2"/>
    <x v="0"/>
    <x v="1"/>
    <x v="0"/>
    <x v="3"/>
    <n v="0"/>
    <x v="10"/>
    <x v="2"/>
    <n v="7"/>
    <n v="73.900000000000006"/>
    <n v="517.30000000000007"/>
  </r>
  <r>
    <x v="1938"/>
    <x v="0"/>
    <x v="70"/>
    <d v="2025-03-13T00:00:00"/>
    <x v="1"/>
    <x v="0"/>
    <x v="1"/>
    <x v="0"/>
    <x v="3"/>
    <n v="1"/>
    <x v="10"/>
    <x v="1"/>
    <n v="2"/>
    <n v="20.2"/>
    <n v="40.4"/>
  </r>
  <r>
    <x v="1939"/>
    <x v="11"/>
    <x v="70"/>
    <d v="2025-03-13T00:00:00"/>
    <x v="1"/>
    <x v="0"/>
    <x v="0"/>
    <x v="0"/>
    <x v="3"/>
    <n v="1"/>
    <x v="10"/>
    <x v="1"/>
    <n v="11"/>
    <n v="29.5"/>
    <n v="324.5"/>
  </r>
  <r>
    <x v="1940"/>
    <x v="15"/>
    <x v="70"/>
    <d v="2025-03-13T00:00:00"/>
    <x v="1"/>
    <x v="1"/>
    <x v="0"/>
    <x v="0"/>
    <x v="3"/>
    <n v="1"/>
    <x v="10"/>
    <x v="1"/>
    <n v="7"/>
    <n v="37.9"/>
    <n v="265.3"/>
  </r>
  <r>
    <x v="1941"/>
    <x v="2"/>
    <x v="70"/>
    <d v="2025-03-13T00:00:00"/>
    <x v="2"/>
    <x v="2"/>
    <x v="1"/>
    <x v="0"/>
    <x v="3"/>
    <n v="1"/>
    <x v="10"/>
    <x v="2"/>
    <n v="1"/>
    <n v="56.5"/>
    <n v="56.5"/>
  </r>
  <r>
    <x v="1942"/>
    <x v="2"/>
    <x v="70"/>
    <d v="2025-03-18T00:00:00"/>
    <x v="1"/>
    <x v="1"/>
    <x v="4"/>
    <x v="0"/>
    <x v="25"/>
    <n v="6"/>
    <x v="10"/>
    <x v="1"/>
    <n v="2"/>
    <n v="66.900000000000006"/>
    <n v="133.80000000000001"/>
  </r>
  <r>
    <x v="1943"/>
    <x v="2"/>
    <x v="70"/>
    <d v="2025-03-15T00:00:00"/>
    <x v="1"/>
    <x v="1"/>
    <x v="0"/>
    <x v="0"/>
    <x v="7"/>
    <n v="3"/>
    <x v="10"/>
    <x v="1"/>
    <n v="5"/>
    <n v="51.9"/>
    <n v="259.5"/>
  </r>
  <r>
    <x v="1944"/>
    <x v="2"/>
    <x v="70"/>
    <d v="2025-03-15T00:00:00"/>
    <x v="1"/>
    <x v="1"/>
    <x v="0"/>
    <x v="0"/>
    <x v="8"/>
    <n v="3"/>
    <x v="10"/>
    <x v="1"/>
    <n v="2"/>
    <n v="75.599999999999994"/>
    <n v="151.19999999999999"/>
  </r>
  <r>
    <x v="1945"/>
    <x v="12"/>
    <x v="70"/>
    <d v="2025-03-23T00:00:00"/>
    <x v="1"/>
    <x v="0"/>
    <x v="0"/>
    <x v="0"/>
    <x v="8"/>
    <n v="11"/>
    <x v="10"/>
    <x v="1"/>
    <n v="6"/>
    <n v="47.3"/>
    <n v="283.79999999999995"/>
  </r>
  <r>
    <x v="1946"/>
    <x v="4"/>
    <x v="70"/>
    <d v="2025-03-13T00:00:00"/>
    <x v="0"/>
    <x v="0"/>
    <x v="1"/>
    <x v="0"/>
    <x v="8"/>
    <n v="1"/>
    <x v="10"/>
    <x v="0"/>
    <n v="1"/>
    <n v="20.6"/>
    <n v="20.6"/>
  </r>
  <r>
    <x v="1947"/>
    <x v="6"/>
    <x v="70"/>
    <d v="2025-03-14T00:00:00"/>
    <x v="1"/>
    <x v="0"/>
    <x v="1"/>
    <x v="0"/>
    <x v="8"/>
    <n v="2"/>
    <x v="10"/>
    <x v="1"/>
    <n v="3"/>
    <n v="49.7"/>
    <n v="149.10000000000002"/>
  </r>
  <r>
    <x v="1948"/>
    <x v="3"/>
    <x v="70"/>
    <d v="2025-03-14T00:00:00"/>
    <x v="2"/>
    <x v="0"/>
    <x v="0"/>
    <x v="0"/>
    <x v="8"/>
    <n v="2"/>
    <x v="10"/>
    <x v="2"/>
    <n v="1"/>
    <n v="37.9"/>
    <n v="37.9"/>
  </r>
  <r>
    <x v="1949"/>
    <x v="13"/>
    <x v="70"/>
    <d v="2025-03-14T00:00:00"/>
    <x v="2"/>
    <x v="4"/>
    <x v="0"/>
    <x v="0"/>
    <x v="11"/>
    <n v="2"/>
    <x v="10"/>
    <x v="2"/>
    <n v="15"/>
    <n v="32"/>
    <n v="480"/>
  </r>
  <r>
    <x v="1950"/>
    <x v="10"/>
    <x v="71"/>
    <d v="2025-03-14T00:00:00"/>
    <x v="1"/>
    <x v="0"/>
    <x v="2"/>
    <x v="0"/>
    <x v="11"/>
    <n v="1"/>
    <x v="10"/>
    <x v="1"/>
    <n v="18"/>
    <n v="38.5"/>
    <n v="693"/>
  </r>
  <r>
    <x v="1951"/>
    <x v="0"/>
    <x v="71"/>
    <d v="2025-03-15T00:00:00"/>
    <x v="2"/>
    <x v="1"/>
    <x v="0"/>
    <x v="0"/>
    <x v="20"/>
    <n v="2"/>
    <x v="10"/>
    <x v="2"/>
    <n v="4"/>
    <n v="11.7"/>
    <n v="46.8"/>
  </r>
  <r>
    <x v="1952"/>
    <x v="3"/>
    <x v="71"/>
    <d v="2025-03-14T00:00:00"/>
    <x v="1"/>
    <x v="0"/>
    <x v="0"/>
    <x v="0"/>
    <x v="21"/>
    <n v="1"/>
    <x v="10"/>
    <x v="1"/>
    <n v="6"/>
    <n v="83.8"/>
    <n v="502.79999999999995"/>
  </r>
  <r>
    <x v="1953"/>
    <x v="0"/>
    <x v="71"/>
    <d v="2025-03-16T00:00:00"/>
    <x v="1"/>
    <x v="0"/>
    <x v="1"/>
    <x v="0"/>
    <x v="22"/>
    <n v="3"/>
    <x v="10"/>
    <x v="1"/>
    <n v="7"/>
    <n v="14"/>
    <n v="98"/>
  </r>
  <r>
    <x v="1954"/>
    <x v="16"/>
    <x v="71"/>
    <d v="2025-03-15T00:00:00"/>
    <x v="2"/>
    <x v="4"/>
    <x v="2"/>
    <x v="0"/>
    <x v="3"/>
    <n v="2"/>
    <x v="10"/>
    <x v="2"/>
    <n v="4"/>
    <n v="77.3"/>
    <n v="309.2"/>
  </r>
  <r>
    <x v="1955"/>
    <x v="2"/>
    <x v="71"/>
    <d v="2025-03-17T00:00:00"/>
    <x v="2"/>
    <x v="0"/>
    <x v="1"/>
    <x v="0"/>
    <x v="3"/>
    <n v="4"/>
    <x v="10"/>
    <x v="2"/>
    <n v="2"/>
    <n v="76.900000000000006"/>
    <n v="153.80000000000001"/>
  </r>
  <r>
    <x v="1956"/>
    <x v="1"/>
    <x v="71"/>
    <d v="2025-03-15T00:00:00"/>
    <x v="2"/>
    <x v="1"/>
    <x v="2"/>
    <x v="0"/>
    <x v="3"/>
    <n v="2"/>
    <x v="10"/>
    <x v="2"/>
    <n v="1"/>
    <n v="48"/>
    <n v="48"/>
  </r>
  <r>
    <x v="1957"/>
    <x v="2"/>
    <x v="71"/>
    <d v="2025-03-16T00:00:00"/>
    <x v="1"/>
    <x v="1"/>
    <x v="1"/>
    <x v="0"/>
    <x v="3"/>
    <n v="3"/>
    <x v="10"/>
    <x v="1"/>
    <n v="1"/>
    <n v="94.5"/>
    <n v="94.5"/>
  </r>
  <r>
    <x v="1958"/>
    <x v="10"/>
    <x v="71"/>
    <d v="2025-03-15T00:00:00"/>
    <x v="2"/>
    <x v="1"/>
    <x v="2"/>
    <x v="0"/>
    <x v="3"/>
    <n v="2"/>
    <x v="10"/>
    <x v="2"/>
    <n v="3"/>
    <n v="58.4"/>
    <n v="175.2"/>
  </r>
  <r>
    <x v="1959"/>
    <x v="7"/>
    <x v="71"/>
    <d v="2025-03-13T00:00:00"/>
    <x v="1"/>
    <x v="0"/>
    <x v="0"/>
    <x v="0"/>
    <x v="25"/>
    <n v="0"/>
    <x v="10"/>
    <x v="1"/>
    <n v="13"/>
    <n v="42.2"/>
    <n v="548.6"/>
  </r>
  <r>
    <x v="1960"/>
    <x v="6"/>
    <x v="71"/>
    <d v="2025-03-14T00:00:00"/>
    <x v="1"/>
    <x v="4"/>
    <x v="1"/>
    <x v="0"/>
    <x v="25"/>
    <n v="1"/>
    <x v="10"/>
    <x v="1"/>
    <n v="2"/>
    <n v="152.19999999999999"/>
    <n v="304.39999999999998"/>
  </r>
  <r>
    <x v="1961"/>
    <x v="6"/>
    <x v="71"/>
    <d v="2025-03-14T00:00:00"/>
    <x v="1"/>
    <x v="0"/>
    <x v="1"/>
    <x v="0"/>
    <x v="6"/>
    <n v="1"/>
    <x v="10"/>
    <x v="1"/>
    <n v="24"/>
    <n v="72"/>
    <n v="1728"/>
  </r>
  <r>
    <x v="1962"/>
    <x v="1"/>
    <x v="71"/>
    <d v="2025-03-14T00:00:00"/>
    <x v="2"/>
    <x v="2"/>
    <x v="0"/>
    <x v="0"/>
    <x v="8"/>
    <n v="1"/>
    <x v="10"/>
    <x v="2"/>
    <n v="23"/>
    <n v="70.900000000000006"/>
    <n v="1630.7"/>
  </r>
  <r>
    <x v="1963"/>
    <x v="2"/>
    <x v="71"/>
    <d v="2025-03-14T00:00:00"/>
    <x v="1"/>
    <x v="2"/>
    <x v="2"/>
    <x v="0"/>
    <x v="8"/>
    <n v="1"/>
    <x v="10"/>
    <x v="1"/>
    <n v="2"/>
    <n v="53.7"/>
    <n v="107.4"/>
  </r>
  <r>
    <x v="1964"/>
    <x v="9"/>
    <x v="71"/>
    <d v="2025-03-14T00:00:00"/>
    <x v="2"/>
    <x v="2"/>
    <x v="4"/>
    <x v="0"/>
    <x v="9"/>
    <n v="1"/>
    <x v="10"/>
    <x v="2"/>
    <n v="4"/>
    <n v="42.9"/>
    <n v="171.6"/>
  </r>
  <r>
    <x v="1965"/>
    <x v="2"/>
    <x v="71"/>
    <d v="2025-03-14T00:00:00"/>
    <x v="1"/>
    <x v="1"/>
    <x v="0"/>
    <x v="0"/>
    <x v="11"/>
    <n v="1"/>
    <x v="10"/>
    <x v="1"/>
    <n v="7"/>
    <n v="107.5"/>
    <n v="752.5"/>
  </r>
  <r>
    <x v="1966"/>
    <x v="17"/>
    <x v="71"/>
    <d v="2025-03-14T00:00:00"/>
    <x v="1"/>
    <x v="1"/>
    <x v="1"/>
    <x v="0"/>
    <x v="32"/>
    <n v="1"/>
    <x v="10"/>
    <x v="1"/>
    <n v="16"/>
    <n v="21.5"/>
    <n v="344"/>
  </r>
  <r>
    <x v="1967"/>
    <x v="3"/>
    <x v="71"/>
    <d v="2025-03-15T00:00:00"/>
    <x v="2"/>
    <x v="3"/>
    <x v="0"/>
    <x v="0"/>
    <x v="18"/>
    <n v="2"/>
    <x v="10"/>
    <x v="2"/>
    <n v="5"/>
    <n v="85.3"/>
    <n v="426.5"/>
  </r>
  <r>
    <x v="1968"/>
    <x v="7"/>
    <x v="71"/>
    <d v="2025-03-21T00:00:00"/>
    <x v="3"/>
    <x v="1"/>
    <x v="1"/>
    <x v="0"/>
    <x v="19"/>
    <n v="8"/>
    <x v="10"/>
    <x v="3"/>
    <n v="5"/>
    <n v="80.8"/>
    <n v="404"/>
  </r>
  <r>
    <x v="1969"/>
    <x v="2"/>
    <x v="71"/>
    <d v="2025-03-15T00:00:00"/>
    <x v="0"/>
    <x v="2"/>
    <x v="0"/>
    <x v="0"/>
    <x v="21"/>
    <n v="2"/>
    <x v="10"/>
    <x v="0"/>
    <n v="3"/>
    <n v="123.1"/>
    <n v="369.29999999999995"/>
  </r>
  <r>
    <x v="1970"/>
    <x v="8"/>
    <x v="71"/>
    <d v="2025-03-15T00:00:00"/>
    <x v="2"/>
    <x v="2"/>
    <x v="4"/>
    <x v="0"/>
    <x v="51"/>
    <n v="2"/>
    <x v="10"/>
    <x v="2"/>
    <n v="2"/>
    <n v="36.9"/>
    <n v="73.8"/>
  </r>
  <r>
    <x v="1971"/>
    <x v="11"/>
    <x v="71"/>
    <d v="2025-03-14T00:00:00"/>
    <x v="1"/>
    <x v="0"/>
    <x v="0"/>
    <x v="0"/>
    <x v="1"/>
    <n v="1"/>
    <x v="10"/>
    <x v="1"/>
    <n v="5"/>
    <n v="40"/>
    <n v="200"/>
  </r>
  <r>
    <x v="1972"/>
    <x v="6"/>
    <x v="71"/>
    <d v="2025-03-14T00:00:00"/>
    <x v="1"/>
    <x v="4"/>
    <x v="2"/>
    <x v="0"/>
    <x v="1"/>
    <n v="1"/>
    <x v="10"/>
    <x v="1"/>
    <n v="3"/>
    <n v="55.5"/>
    <n v="166.5"/>
  </r>
  <r>
    <x v="1973"/>
    <x v="0"/>
    <x v="71"/>
    <d v="2025-03-17T00:00:00"/>
    <x v="2"/>
    <x v="4"/>
    <x v="0"/>
    <x v="0"/>
    <x v="1"/>
    <n v="4"/>
    <x v="10"/>
    <x v="2"/>
    <n v="4"/>
    <n v="20.5"/>
    <n v="82"/>
  </r>
  <r>
    <x v="1974"/>
    <x v="18"/>
    <x v="71"/>
    <d v="2025-03-14T00:00:00"/>
    <x v="2"/>
    <x v="4"/>
    <x v="0"/>
    <x v="0"/>
    <x v="1"/>
    <n v="1"/>
    <x v="10"/>
    <x v="2"/>
    <n v="4"/>
    <n v="50.1"/>
    <n v="200.4"/>
  </r>
  <r>
    <x v="1975"/>
    <x v="9"/>
    <x v="71"/>
    <d v="2025-03-15T00:00:00"/>
    <x v="1"/>
    <x v="1"/>
    <x v="2"/>
    <x v="0"/>
    <x v="1"/>
    <n v="2"/>
    <x v="10"/>
    <x v="1"/>
    <n v="1"/>
    <n v="35.9"/>
    <n v="35.9"/>
  </r>
  <r>
    <x v="1976"/>
    <x v="13"/>
    <x v="72"/>
    <d v="2025-03-15T00:00:00"/>
    <x v="1"/>
    <x v="2"/>
    <x v="2"/>
    <x v="0"/>
    <x v="33"/>
    <n v="1"/>
    <x v="10"/>
    <x v="1"/>
    <n v="4"/>
    <n v="29.4"/>
    <n v="117.6"/>
  </r>
  <r>
    <x v="1977"/>
    <x v="8"/>
    <x v="72"/>
    <d v="2025-03-22T00:00:00"/>
    <x v="3"/>
    <x v="2"/>
    <x v="1"/>
    <x v="0"/>
    <x v="33"/>
    <n v="8"/>
    <x v="10"/>
    <x v="3"/>
    <n v="5"/>
    <n v="29.1"/>
    <n v="145.5"/>
  </r>
  <r>
    <x v="1978"/>
    <x v="8"/>
    <x v="72"/>
    <d v="2025-03-26T00:00:00"/>
    <x v="1"/>
    <x v="0"/>
    <x v="2"/>
    <x v="0"/>
    <x v="22"/>
    <n v="12"/>
    <x v="10"/>
    <x v="1"/>
    <n v="3"/>
    <n v="33.5"/>
    <n v="100.5"/>
  </r>
  <r>
    <x v="1979"/>
    <x v="4"/>
    <x v="72"/>
    <d v="2025-03-14T00:00:00"/>
    <x v="1"/>
    <x v="3"/>
    <x v="2"/>
    <x v="0"/>
    <x v="3"/>
    <n v="0"/>
    <x v="10"/>
    <x v="1"/>
    <n v="10"/>
    <n v="36"/>
    <n v="360"/>
  </r>
  <r>
    <x v="1980"/>
    <x v="16"/>
    <x v="72"/>
    <d v="2025-03-18T00:00:00"/>
    <x v="2"/>
    <x v="0"/>
    <x v="2"/>
    <x v="0"/>
    <x v="3"/>
    <n v="4"/>
    <x v="10"/>
    <x v="2"/>
    <n v="3"/>
    <n v="57.3"/>
    <n v="171.89999999999998"/>
  </r>
  <r>
    <x v="1981"/>
    <x v="1"/>
    <x v="72"/>
    <d v="2025-03-15T00:00:00"/>
    <x v="2"/>
    <x v="2"/>
    <x v="2"/>
    <x v="0"/>
    <x v="3"/>
    <n v="1"/>
    <x v="10"/>
    <x v="2"/>
    <n v="1"/>
    <n v="81.400000000000006"/>
    <n v="81.400000000000006"/>
  </r>
  <r>
    <x v="1982"/>
    <x v="10"/>
    <x v="72"/>
    <d v="2025-03-18T00:00:00"/>
    <x v="1"/>
    <x v="0"/>
    <x v="2"/>
    <x v="0"/>
    <x v="3"/>
    <n v="4"/>
    <x v="10"/>
    <x v="1"/>
    <n v="2"/>
    <n v="35.299999999999997"/>
    <n v="70.599999999999994"/>
  </r>
  <r>
    <x v="1983"/>
    <x v="3"/>
    <x v="72"/>
    <d v="2025-03-15T00:00:00"/>
    <x v="2"/>
    <x v="4"/>
    <x v="0"/>
    <x v="0"/>
    <x v="3"/>
    <n v="1"/>
    <x v="10"/>
    <x v="2"/>
    <n v="1"/>
    <n v="36.1"/>
    <n v="36.1"/>
  </r>
  <r>
    <x v="1984"/>
    <x v="1"/>
    <x v="72"/>
    <d v="2025-03-16T00:00:00"/>
    <x v="2"/>
    <x v="0"/>
    <x v="2"/>
    <x v="0"/>
    <x v="3"/>
    <n v="2"/>
    <x v="10"/>
    <x v="2"/>
    <n v="2"/>
    <n v="36.700000000000003"/>
    <n v="73.400000000000006"/>
  </r>
  <r>
    <x v="1985"/>
    <x v="10"/>
    <x v="72"/>
    <d v="2025-03-16T00:00:00"/>
    <x v="2"/>
    <x v="0"/>
    <x v="4"/>
    <x v="0"/>
    <x v="3"/>
    <n v="2"/>
    <x v="10"/>
    <x v="2"/>
    <n v="1"/>
    <n v="20.9"/>
    <n v="20.9"/>
  </r>
  <r>
    <x v="1986"/>
    <x v="12"/>
    <x v="72"/>
    <d v="2025-03-18T00:00:00"/>
    <x v="1"/>
    <x v="0"/>
    <x v="2"/>
    <x v="0"/>
    <x v="25"/>
    <n v="4"/>
    <x v="10"/>
    <x v="1"/>
    <n v="3"/>
    <n v="58.8"/>
    <n v="176.39999999999998"/>
  </r>
  <r>
    <x v="1987"/>
    <x v="2"/>
    <x v="73"/>
    <d v="2025-03-17T00:00:00"/>
    <x v="0"/>
    <x v="0"/>
    <x v="0"/>
    <x v="0"/>
    <x v="6"/>
    <n v="2"/>
    <x v="10"/>
    <x v="0"/>
    <n v="3"/>
    <n v="97.6"/>
    <n v="292.79999999999995"/>
  </r>
  <r>
    <x v="1988"/>
    <x v="1"/>
    <x v="73"/>
    <d v="2025-03-18T00:00:00"/>
    <x v="2"/>
    <x v="0"/>
    <x v="1"/>
    <x v="0"/>
    <x v="6"/>
    <n v="3"/>
    <x v="10"/>
    <x v="2"/>
    <n v="2"/>
    <n v="58.7"/>
    <n v="117.4"/>
  </r>
  <r>
    <x v="1989"/>
    <x v="6"/>
    <x v="73"/>
    <d v="2025-03-16T00:00:00"/>
    <x v="0"/>
    <x v="0"/>
    <x v="1"/>
    <x v="0"/>
    <x v="6"/>
    <n v="1"/>
    <x v="10"/>
    <x v="0"/>
    <n v="5"/>
    <n v="71.900000000000006"/>
    <n v="359.5"/>
  </r>
  <r>
    <x v="1990"/>
    <x v="1"/>
    <x v="73"/>
    <d v="2025-03-17T00:00:00"/>
    <x v="0"/>
    <x v="0"/>
    <x v="1"/>
    <x v="0"/>
    <x v="8"/>
    <n v="2"/>
    <x v="10"/>
    <x v="0"/>
    <n v="2"/>
    <n v="62.4"/>
    <n v="124.8"/>
  </r>
  <r>
    <x v="1991"/>
    <x v="6"/>
    <x v="73"/>
    <d v="2025-03-16T00:00:00"/>
    <x v="2"/>
    <x v="1"/>
    <x v="0"/>
    <x v="0"/>
    <x v="8"/>
    <n v="1"/>
    <x v="10"/>
    <x v="2"/>
    <n v="16"/>
    <n v="53.8"/>
    <n v="860.8"/>
  </r>
  <r>
    <x v="1992"/>
    <x v="9"/>
    <x v="73"/>
    <d v="2025-03-22T00:00:00"/>
    <x v="2"/>
    <x v="0"/>
    <x v="2"/>
    <x v="0"/>
    <x v="8"/>
    <n v="7"/>
    <x v="10"/>
    <x v="2"/>
    <n v="1"/>
    <n v="43.8"/>
    <n v="43.8"/>
  </r>
  <r>
    <x v="1993"/>
    <x v="5"/>
    <x v="73"/>
    <d v="2025-03-16T00:00:00"/>
    <x v="1"/>
    <x v="3"/>
    <x v="0"/>
    <x v="0"/>
    <x v="8"/>
    <n v="1"/>
    <x v="10"/>
    <x v="1"/>
    <n v="3"/>
    <n v="53.6"/>
    <n v="160.80000000000001"/>
  </r>
  <r>
    <x v="1994"/>
    <x v="12"/>
    <x v="73"/>
    <d v="2025-03-18T00:00:00"/>
    <x v="1"/>
    <x v="4"/>
    <x v="1"/>
    <x v="0"/>
    <x v="8"/>
    <n v="3"/>
    <x v="10"/>
    <x v="1"/>
    <n v="2"/>
    <n v="84.3"/>
    <n v="168.6"/>
  </r>
  <r>
    <x v="1995"/>
    <x v="6"/>
    <x v="73"/>
    <d v="2025-03-16T00:00:00"/>
    <x v="2"/>
    <x v="1"/>
    <x v="2"/>
    <x v="0"/>
    <x v="8"/>
    <n v="1"/>
    <x v="10"/>
    <x v="2"/>
    <n v="9"/>
    <n v="117.9"/>
    <n v="1061.1000000000001"/>
  </r>
  <r>
    <x v="1996"/>
    <x v="4"/>
    <x v="73"/>
    <d v="2025-03-16T00:00:00"/>
    <x v="2"/>
    <x v="1"/>
    <x v="0"/>
    <x v="0"/>
    <x v="26"/>
    <n v="1"/>
    <x v="10"/>
    <x v="2"/>
    <n v="8"/>
    <n v="30"/>
    <n v="240"/>
  </r>
  <r>
    <x v="1997"/>
    <x v="14"/>
    <x v="73"/>
    <d v="2025-03-16T00:00:00"/>
    <x v="1"/>
    <x v="2"/>
    <x v="0"/>
    <x v="0"/>
    <x v="9"/>
    <n v="1"/>
    <x v="10"/>
    <x v="1"/>
    <n v="3"/>
    <n v="37.299999999999997"/>
    <n v="111.89999999999999"/>
  </r>
  <r>
    <x v="1998"/>
    <x v="4"/>
    <x v="73"/>
    <d v="2025-03-17T00:00:00"/>
    <x v="1"/>
    <x v="1"/>
    <x v="2"/>
    <x v="0"/>
    <x v="11"/>
    <n v="2"/>
    <x v="10"/>
    <x v="1"/>
    <n v="9"/>
    <n v="25.1"/>
    <n v="225.9"/>
  </r>
  <r>
    <x v="1999"/>
    <x v="8"/>
    <x v="73"/>
    <d v="2025-03-25T00:00:00"/>
    <x v="1"/>
    <x v="1"/>
    <x v="0"/>
    <x v="0"/>
    <x v="18"/>
    <n v="10"/>
    <x v="10"/>
    <x v="1"/>
    <n v="11"/>
    <n v="36"/>
    <n v="396"/>
  </r>
  <r>
    <x v="2000"/>
    <x v="16"/>
    <x v="73"/>
    <d v="2025-03-19T00:00:00"/>
    <x v="2"/>
    <x v="1"/>
    <x v="0"/>
    <x v="0"/>
    <x v="19"/>
    <n v="4"/>
    <x v="10"/>
    <x v="2"/>
    <n v="3"/>
    <n v="48.5"/>
    <n v="145.5"/>
  </r>
  <r>
    <x v="2001"/>
    <x v="17"/>
    <x v="73"/>
    <d v="2025-03-16T00:00:00"/>
    <x v="1"/>
    <x v="1"/>
    <x v="2"/>
    <x v="0"/>
    <x v="21"/>
    <n v="1"/>
    <x v="10"/>
    <x v="1"/>
    <n v="6"/>
    <n v="21.1"/>
    <n v="126.60000000000001"/>
  </r>
  <r>
    <x v="2002"/>
    <x v="15"/>
    <x v="73"/>
    <d v="2025-03-16T00:00:00"/>
    <x v="3"/>
    <x v="0"/>
    <x v="1"/>
    <x v="0"/>
    <x v="21"/>
    <n v="1"/>
    <x v="10"/>
    <x v="3"/>
    <n v="14"/>
    <n v="43.2"/>
    <n v="604.80000000000007"/>
  </r>
  <r>
    <x v="2003"/>
    <x v="9"/>
    <x v="73"/>
    <d v="2025-03-16T00:00:00"/>
    <x v="0"/>
    <x v="3"/>
    <x v="1"/>
    <x v="0"/>
    <x v="21"/>
    <n v="1"/>
    <x v="10"/>
    <x v="0"/>
    <n v="2"/>
    <n v="21.1"/>
    <n v="42.2"/>
  </r>
  <r>
    <x v="2004"/>
    <x v="6"/>
    <x v="73"/>
    <d v="2025-03-17T00:00:00"/>
    <x v="2"/>
    <x v="3"/>
    <x v="2"/>
    <x v="0"/>
    <x v="1"/>
    <n v="2"/>
    <x v="10"/>
    <x v="2"/>
    <n v="4"/>
    <n v="41.3"/>
    <n v="165.2"/>
  </r>
  <r>
    <x v="2005"/>
    <x v="8"/>
    <x v="73"/>
    <d v="2025-03-18T00:00:00"/>
    <x v="0"/>
    <x v="2"/>
    <x v="2"/>
    <x v="0"/>
    <x v="1"/>
    <n v="3"/>
    <x v="10"/>
    <x v="0"/>
    <n v="2"/>
    <n v="15.3"/>
    <n v="30.6"/>
  </r>
  <r>
    <x v="2006"/>
    <x v="1"/>
    <x v="73"/>
    <d v="2025-03-17T00:00:00"/>
    <x v="1"/>
    <x v="1"/>
    <x v="1"/>
    <x v="0"/>
    <x v="2"/>
    <n v="2"/>
    <x v="10"/>
    <x v="1"/>
    <n v="1"/>
    <n v="54.6"/>
    <n v="54.6"/>
  </r>
  <r>
    <x v="2007"/>
    <x v="8"/>
    <x v="73"/>
    <d v="2025-03-16T00:00:00"/>
    <x v="1"/>
    <x v="0"/>
    <x v="1"/>
    <x v="0"/>
    <x v="22"/>
    <n v="1"/>
    <x v="10"/>
    <x v="1"/>
    <n v="1"/>
    <n v="15.9"/>
    <n v="15.9"/>
  </r>
  <r>
    <x v="2008"/>
    <x v="9"/>
    <x v="73"/>
    <d v="2025-03-17T00:00:00"/>
    <x v="2"/>
    <x v="3"/>
    <x v="2"/>
    <x v="0"/>
    <x v="34"/>
    <n v="2"/>
    <x v="10"/>
    <x v="2"/>
    <n v="1"/>
    <n v="50.2"/>
    <n v="50.2"/>
  </r>
  <r>
    <x v="2009"/>
    <x v="11"/>
    <x v="73"/>
    <d v="2025-03-16T00:00:00"/>
    <x v="2"/>
    <x v="3"/>
    <x v="4"/>
    <x v="0"/>
    <x v="34"/>
    <n v="1"/>
    <x v="10"/>
    <x v="2"/>
    <n v="4"/>
    <n v="85.1"/>
    <n v="340.4"/>
  </r>
  <r>
    <x v="2010"/>
    <x v="11"/>
    <x v="73"/>
    <d v="2025-03-16T00:00:00"/>
    <x v="2"/>
    <x v="0"/>
    <x v="2"/>
    <x v="0"/>
    <x v="3"/>
    <n v="1"/>
    <x v="10"/>
    <x v="2"/>
    <n v="2"/>
    <n v="41.4"/>
    <n v="82.8"/>
  </r>
  <r>
    <x v="2011"/>
    <x v="4"/>
    <x v="73"/>
    <d v="2025-03-16T00:00:00"/>
    <x v="2"/>
    <x v="2"/>
    <x v="1"/>
    <x v="0"/>
    <x v="3"/>
    <n v="1"/>
    <x v="10"/>
    <x v="2"/>
    <n v="7"/>
    <n v="32.700000000000003"/>
    <n v="228.90000000000003"/>
  </r>
  <r>
    <x v="2012"/>
    <x v="4"/>
    <x v="73"/>
    <d v="2025-03-17T00:00:00"/>
    <x v="1"/>
    <x v="4"/>
    <x v="1"/>
    <x v="0"/>
    <x v="3"/>
    <n v="2"/>
    <x v="10"/>
    <x v="1"/>
    <n v="2"/>
    <n v="41.6"/>
    <n v="83.2"/>
  </r>
  <r>
    <x v="2013"/>
    <x v="5"/>
    <x v="73"/>
    <d v="2025-03-16T00:00:00"/>
    <x v="0"/>
    <x v="2"/>
    <x v="0"/>
    <x v="0"/>
    <x v="3"/>
    <n v="1"/>
    <x v="10"/>
    <x v="0"/>
    <n v="4"/>
    <n v="64.8"/>
    <n v="259.2"/>
  </r>
  <r>
    <x v="2014"/>
    <x v="15"/>
    <x v="73"/>
    <d v="2025-03-16T00:00:00"/>
    <x v="1"/>
    <x v="0"/>
    <x v="2"/>
    <x v="0"/>
    <x v="3"/>
    <n v="1"/>
    <x v="10"/>
    <x v="1"/>
    <n v="2"/>
    <n v="33.6"/>
    <n v="67.2"/>
  </r>
  <r>
    <x v="2015"/>
    <x v="6"/>
    <x v="73"/>
    <d v="2025-03-16T00:00:00"/>
    <x v="0"/>
    <x v="1"/>
    <x v="0"/>
    <x v="0"/>
    <x v="3"/>
    <n v="1"/>
    <x v="10"/>
    <x v="0"/>
    <n v="3"/>
    <n v="100.7"/>
    <n v="302.10000000000002"/>
  </r>
  <r>
    <x v="2016"/>
    <x v="4"/>
    <x v="74"/>
    <d v="2025-03-18T00:00:00"/>
    <x v="2"/>
    <x v="4"/>
    <x v="2"/>
    <x v="0"/>
    <x v="3"/>
    <n v="2"/>
    <x v="11"/>
    <x v="2"/>
    <n v="2"/>
    <n v="49.3"/>
    <n v="98.6"/>
  </r>
  <r>
    <x v="2017"/>
    <x v="2"/>
    <x v="74"/>
    <d v="2025-03-19T00:00:00"/>
    <x v="1"/>
    <x v="2"/>
    <x v="2"/>
    <x v="0"/>
    <x v="3"/>
    <n v="3"/>
    <x v="11"/>
    <x v="1"/>
    <n v="6"/>
    <n v="97"/>
    <n v="582"/>
  </r>
  <r>
    <x v="2018"/>
    <x v="0"/>
    <x v="74"/>
    <d v="2025-03-19T00:00:00"/>
    <x v="2"/>
    <x v="4"/>
    <x v="2"/>
    <x v="0"/>
    <x v="3"/>
    <n v="3"/>
    <x v="11"/>
    <x v="2"/>
    <n v="6"/>
    <n v="25.2"/>
    <n v="151.19999999999999"/>
  </r>
  <r>
    <x v="2019"/>
    <x v="0"/>
    <x v="74"/>
    <d v="2025-03-17T00:00:00"/>
    <x v="0"/>
    <x v="0"/>
    <x v="1"/>
    <x v="0"/>
    <x v="3"/>
    <n v="1"/>
    <x v="11"/>
    <x v="0"/>
    <n v="11"/>
    <n v="12.2"/>
    <n v="134.19999999999999"/>
  </r>
  <r>
    <x v="2020"/>
    <x v="8"/>
    <x v="74"/>
    <d v="2025-03-18T00:00:00"/>
    <x v="2"/>
    <x v="1"/>
    <x v="1"/>
    <x v="0"/>
    <x v="23"/>
    <n v="2"/>
    <x v="11"/>
    <x v="2"/>
    <n v="7"/>
    <n v="38.799999999999997"/>
    <n v="271.59999999999997"/>
  </r>
  <r>
    <x v="2021"/>
    <x v="2"/>
    <x v="74"/>
    <d v="2025-03-17T00:00:00"/>
    <x v="1"/>
    <x v="0"/>
    <x v="2"/>
    <x v="0"/>
    <x v="8"/>
    <n v="1"/>
    <x v="11"/>
    <x v="1"/>
    <n v="4"/>
    <n v="53.2"/>
    <n v="212.8"/>
  </r>
  <r>
    <x v="2022"/>
    <x v="6"/>
    <x v="74"/>
    <d v="2025-03-17T00:00:00"/>
    <x v="3"/>
    <x v="1"/>
    <x v="1"/>
    <x v="0"/>
    <x v="8"/>
    <n v="1"/>
    <x v="11"/>
    <x v="3"/>
    <n v="7"/>
    <n v="151"/>
    <n v="1057"/>
  </r>
  <r>
    <x v="2023"/>
    <x v="1"/>
    <x v="74"/>
    <d v="2025-03-17T00:00:00"/>
    <x v="2"/>
    <x v="4"/>
    <x v="0"/>
    <x v="0"/>
    <x v="8"/>
    <n v="1"/>
    <x v="11"/>
    <x v="2"/>
    <n v="2"/>
    <n v="37.1"/>
    <n v="74.2"/>
  </r>
  <r>
    <x v="2024"/>
    <x v="5"/>
    <x v="74"/>
    <d v="2025-03-17T00:00:00"/>
    <x v="1"/>
    <x v="4"/>
    <x v="0"/>
    <x v="0"/>
    <x v="8"/>
    <n v="1"/>
    <x v="11"/>
    <x v="1"/>
    <n v="2"/>
    <n v="38.9"/>
    <n v="77.8"/>
  </r>
  <r>
    <x v="2025"/>
    <x v="10"/>
    <x v="74"/>
    <d v="2025-03-17T00:00:00"/>
    <x v="1"/>
    <x v="0"/>
    <x v="2"/>
    <x v="0"/>
    <x v="17"/>
    <n v="1"/>
    <x v="11"/>
    <x v="1"/>
    <n v="2"/>
    <n v="35.200000000000003"/>
    <n v="70.400000000000006"/>
  </r>
  <r>
    <x v="2026"/>
    <x v="0"/>
    <x v="74"/>
    <d v="2025-03-18T00:00:00"/>
    <x v="2"/>
    <x v="1"/>
    <x v="0"/>
    <x v="0"/>
    <x v="9"/>
    <n v="2"/>
    <x v="11"/>
    <x v="2"/>
    <n v="2"/>
    <n v="22.3"/>
    <n v="44.6"/>
  </r>
  <r>
    <x v="2027"/>
    <x v="9"/>
    <x v="74"/>
    <d v="2025-03-19T00:00:00"/>
    <x v="2"/>
    <x v="0"/>
    <x v="2"/>
    <x v="0"/>
    <x v="11"/>
    <n v="3"/>
    <x v="11"/>
    <x v="2"/>
    <n v="1"/>
    <n v="43.3"/>
    <n v="43.3"/>
  </r>
  <r>
    <x v="2028"/>
    <x v="6"/>
    <x v="74"/>
    <d v="2025-03-22T00:00:00"/>
    <x v="1"/>
    <x v="0"/>
    <x v="0"/>
    <x v="0"/>
    <x v="11"/>
    <n v="6"/>
    <x v="11"/>
    <x v="1"/>
    <n v="6"/>
    <n v="75.900000000000006"/>
    <n v="455.40000000000003"/>
  </r>
  <r>
    <x v="2029"/>
    <x v="6"/>
    <x v="74"/>
    <d v="2025-03-20T00:00:00"/>
    <x v="2"/>
    <x v="2"/>
    <x v="1"/>
    <x v="0"/>
    <x v="11"/>
    <n v="4"/>
    <x v="11"/>
    <x v="2"/>
    <n v="3"/>
    <n v="78.7"/>
    <n v="236.10000000000002"/>
  </r>
  <r>
    <x v="2030"/>
    <x v="1"/>
    <x v="74"/>
    <d v="2025-03-20T00:00:00"/>
    <x v="2"/>
    <x v="0"/>
    <x v="2"/>
    <x v="0"/>
    <x v="19"/>
    <n v="4"/>
    <x v="11"/>
    <x v="2"/>
    <n v="1"/>
    <n v="66.3"/>
    <n v="66.3"/>
  </r>
  <r>
    <x v="2031"/>
    <x v="8"/>
    <x v="74"/>
    <d v="2025-03-16T00:00:00"/>
    <x v="1"/>
    <x v="0"/>
    <x v="1"/>
    <x v="0"/>
    <x v="19"/>
    <n v="0"/>
    <x v="11"/>
    <x v="1"/>
    <n v="2"/>
    <n v="33.6"/>
    <n v="67.2"/>
  </r>
  <r>
    <x v="2032"/>
    <x v="2"/>
    <x v="74"/>
    <d v="2025-03-17T00:00:00"/>
    <x v="1"/>
    <x v="4"/>
    <x v="0"/>
    <x v="0"/>
    <x v="19"/>
    <n v="1"/>
    <x v="11"/>
    <x v="1"/>
    <n v="7"/>
    <n v="61.4"/>
    <n v="429.8"/>
  </r>
  <r>
    <x v="2033"/>
    <x v="8"/>
    <x v="74"/>
    <d v="2025-03-19T00:00:00"/>
    <x v="2"/>
    <x v="0"/>
    <x v="0"/>
    <x v="0"/>
    <x v="21"/>
    <n v="3"/>
    <x v="11"/>
    <x v="2"/>
    <n v="2"/>
    <n v="17.5"/>
    <n v="35"/>
  </r>
  <r>
    <x v="2034"/>
    <x v="8"/>
    <x v="74"/>
    <d v="2025-03-19T00:00:00"/>
    <x v="2"/>
    <x v="1"/>
    <x v="0"/>
    <x v="0"/>
    <x v="21"/>
    <n v="3"/>
    <x v="11"/>
    <x v="2"/>
    <n v="2"/>
    <n v="32.5"/>
    <n v="65"/>
  </r>
  <r>
    <x v="2035"/>
    <x v="4"/>
    <x v="74"/>
    <d v="2025-03-17T00:00:00"/>
    <x v="2"/>
    <x v="4"/>
    <x v="0"/>
    <x v="0"/>
    <x v="21"/>
    <n v="1"/>
    <x v="11"/>
    <x v="2"/>
    <n v="1"/>
    <n v="34.6"/>
    <n v="34.6"/>
  </r>
  <r>
    <x v="2036"/>
    <x v="2"/>
    <x v="74"/>
    <d v="2025-03-16T00:00:00"/>
    <x v="1"/>
    <x v="1"/>
    <x v="2"/>
    <x v="0"/>
    <x v="21"/>
    <n v="0"/>
    <x v="11"/>
    <x v="1"/>
    <n v="1"/>
    <n v="75.900000000000006"/>
    <n v="75.900000000000006"/>
  </r>
  <r>
    <x v="2037"/>
    <x v="1"/>
    <x v="74"/>
    <d v="2025-03-19T00:00:00"/>
    <x v="1"/>
    <x v="1"/>
    <x v="1"/>
    <x v="0"/>
    <x v="21"/>
    <n v="3"/>
    <x v="11"/>
    <x v="1"/>
    <n v="3"/>
    <n v="42.1"/>
    <n v="126.30000000000001"/>
  </r>
  <r>
    <x v="2038"/>
    <x v="7"/>
    <x v="74"/>
    <d v="2025-03-23T00:00:00"/>
    <x v="1"/>
    <x v="0"/>
    <x v="0"/>
    <x v="0"/>
    <x v="1"/>
    <n v="7"/>
    <x v="11"/>
    <x v="1"/>
    <n v="3"/>
    <n v="65.3"/>
    <n v="195.89999999999998"/>
  </r>
  <r>
    <x v="2039"/>
    <x v="15"/>
    <x v="74"/>
    <d v="2025-03-19T00:00:00"/>
    <x v="1"/>
    <x v="3"/>
    <x v="0"/>
    <x v="0"/>
    <x v="42"/>
    <n v="3"/>
    <x v="11"/>
    <x v="1"/>
    <n v="1"/>
    <n v="20.6"/>
    <n v="20.6"/>
  </r>
  <r>
    <x v="2040"/>
    <x v="8"/>
    <x v="74"/>
    <d v="2025-03-17T00:00:00"/>
    <x v="1"/>
    <x v="1"/>
    <x v="1"/>
    <x v="0"/>
    <x v="2"/>
    <n v="1"/>
    <x v="11"/>
    <x v="1"/>
    <n v="7"/>
    <n v="16.5"/>
    <n v="115.5"/>
  </r>
  <r>
    <x v="2041"/>
    <x v="16"/>
    <x v="74"/>
    <d v="2025-03-18T00:00:00"/>
    <x v="1"/>
    <x v="0"/>
    <x v="2"/>
    <x v="0"/>
    <x v="2"/>
    <n v="2"/>
    <x v="11"/>
    <x v="1"/>
    <n v="10"/>
    <n v="36.200000000000003"/>
    <n v="362"/>
  </r>
  <r>
    <x v="2042"/>
    <x v="6"/>
    <x v="74"/>
    <d v="2025-03-17T00:00:00"/>
    <x v="2"/>
    <x v="0"/>
    <x v="1"/>
    <x v="0"/>
    <x v="22"/>
    <n v="1"/>
    <x v="11"/>
    <x v="2"/>
    <n v="1"/>
    <n v="53.2"/>
    <n v="53.2"/>
  </r>
  <r>
    <x v="2043"/>
    <x v="2"/>
    <x v="74"/>
    <d v="2025-03-17T00:00:00"/>
    <x v="2"/>
    <x v="0"/>
    <x v="1"/>
    <x v="0"/>
    <x v="3"/>
    <n v="1"/>
    <x v="11"/>
    <x v="2"/>
    <n v="14"/>
    <n v="176"/>
    <n v="2464"/>
  </r>
  <r>
    <x v="2044"/>
    <x v="1"/>
    <x v="74"/>
    <d v="2025-03-17T00:00:00"/>
    <x v="1"/>
    <x v="1"/>
    <x v="0"/>
    <x v="0"/>
    <x v="3"/>
    <n v="1"/>
    <x v="11"/>
    <x v="1"/>
    <n v="1"/>
    <n v="52.4"/>
    <n v="52.4"/>
  </r>
  <r>
    <x v="2045"/>
    <x v="10"/>
    <x v="74"/>
    <d v="2025-03-17T00:00:00"/>
    <x v="2"/>
    <x v="1"/>
    <x v="2"/>
    <x v="0"/>
    <x v="3"/>
    <n v="1"/>
    <x v="11"/>
    <x v="2"/>
    <n v="3"/>
    <n v="48.2"/>
    <n v="144.60000000000002"/>
  </r>
  <r>
    <x v="2046"/>
    <x v="15"/>
    <x v="74"/>
    <d v="2025-03-20T00:00:00"/>
    <x v="2"/>
    <x v="2"/>
    <x v="1"/>
    <x v="0"/>
    <x v="3"/>
    <n v="4"/>
    <x v="11"/>
    <x v="2"/>
    <n v="1"/>
    <n v="51.6"/>
    <n v="51.6"/>
  </r>
  <r>
    <x v="2047"/>
    <x v="0"/>
    <x v="75"/>
    <d v="2025-03-18T00:00:00"/>
    <x v="1"/>
    <x v="0"/>
    <x v="0"/>
    <x v="0"/>
    <x v="3"/>
    <n v="1"/>
    <x v="11"/>
    <x v="1"/>
    <n v="4"/>
    <n v="33.700000000000003"/>
    <n v="134.80000000000001"/>
  </r>
  <r>
    <x v="2048"/>
    <x v="4"/>
    <x v="75"/>
    <d v="2025-03-19T00:00:00"/>
    <x v="2"/>
    <x v="4"/>
    <x v="1"/>
    <x v="0"/>
    <x v="3"/>
    <n v="2"/>
    <x v="11"/>
    <x v="2"/>
    <n v="10"/>
    <n v="36.299999999999997"/>
    <n v="363"/>
  </r>
  <r>
    <x v="2049"/>
    <x v="8"/>
    <x v="75"/>
    <d v="2025-03-22T00:00:00"/>
    <x v="2"/>
    <x v="1"/>
    <x v="2"/>
    <x v="0"/>
    <x v="3"/>
    <n v="5"/>
    <x v="11"/>
    <x v="2"/>
    <n v="1"/>
    <n v="23.4"/>
    <n v="23.4"/>
  </r>
  <r>
    <x v="2050"/>
    <x v="15"/>
    <x v="75"/>
    <d v="2025-03-19T00:00:00"/>
    <x v="2"/>
    <x v="1"/>
    <x v="0"/>
    <x v="0"/>
    <x v="3"/>
    <n v="2"/>
    <x v="11"/>
    <x v="2"/>
    <n v="8"/>
    <n v="56.6"/>
    <n v="452.8"/>
  </r>
  <r>
    <x v="2051"/>
    <x v="15"/>
    <x v="75"/>
    <d v="2025-03-18T00:00:00"/>
    <x v="1"/>
    <x v="0"/>
    <x v="0"/>
    <x v="0"/>
    <x v="4"/>
    <n v="1"/>
    <x v="11"/>
    <x v="1"/>
    <n v="2"/>
    <n v="26.8"/>
    <n v="53.6"/>
  </r>
  <r>
    <x v="2052"/>
    <x v="0"/>
    <x v="75"/>
    <d v="2025-03-19T00:00:00"/>
    <x v="1"/>
    <x v="2"/>
    <x v="0"/>
    <x v="0"/>
    <x v="25"/>
    <n v="2"/>
    <x v="11"/>
    <x v="1"/>
    <n v="3"/>
    <n v="11.3"/>
    <n v="33.900000000000006"/>
  </r>
  <r>
    <x v="2053"/>
    <x v="6"/>
    <x v="75"/>
    <d v="2025-03-20T00:00:00"/>
    <x v="2"/>
    <x v="0"/>
    <x v="0"/>
    <x v="0"/>
    <x v="7"/>
    <n v="3"/>
    <x v="11"/>
    <x v="2"/>
    <n v="3"/>
    <n v="60.1"/>
    <n v="180.3"/>
  </r>
  <r>
    <x v="2054"/>
    <x v="0"/>
    <x v="75"/>
    <d v="2025-03-22T00:00:00"/>
    <x v="2"/>
    <x v="0"/>
    <x v="0"/>
    <x v="0"/>
    <x v="8"/>
    <n v="5"/>
    <x v="11"/>
    <x v="2"/>
    <n v="11"/>
    <n v="27.7"/>
    <n v="304.7"/>
  </r>
  <r>
    <x v="2055"/>
    <x v="15"/>
    <x v="75"/>
    <d v="2025-03-20T00:00:00"/>
    <x v="1"/>
    <x v="0"/>
    <x v="2"/>
    <x v="0"/>
    <x v="8"/>
    <n v="3"/>
    <x v="11"/>
    <x v="1"/>
    <n v="1"/>
    <n v="71.400000000000006"/>
    <n v="71.400000000000006"/>
  </r>
  <r>
    <x v="2056"/>
    <x v="2"/>
    <x v="75"/>
    <d v="2025-03-18T00:00:00"/>
    <x v="2"/>
    <x v="0"/>
    <x v="2"/>
    <x v="0"/>
    <x v="8"/>
    <n v="1"/>
    <x v="11"/>
    <x v="2"/>
    <n v="2"/>
    <n v="66.7"/>
    <n v="133.4"/>
  </r>
  <r>
    <x v="2057"/>
    <x v="13"/>
    <x v="75"/>
    <d v="2025-03-18T00:00:00"/>
    <x v="2"/>
    <x v="0"/>
    <x v="0"/>
    <x v="0"/>
    <x v="8"/>
    <n v="1"/>
    <x v="11"/>
    <x v="2"/>
    <n v="5"/>
    <n v="39.1"/>
    <n v="195.5"/>
  </r>
  <r>
    <x v="2058"/>
    <x v="8"/>
    <x v="75"/>
    <d v="2025-03-22T00:00:00"/>
    <x v="1"/>
    <x v="1"/>
    <x v="2"/>
    <x v="0"/>
    <x v="8"/>
    <n v="5"/>
    <x v="11"/>
    <x v="1"/>
    <n v="4"/>
    <n v="24.9"/>
    <n v="99.6"/>
  </r>
  <r>
    <x v="2059"/>
    <x v="5"/>
    <x v="75"/>
    <d v="2025-03-18T00:00:00"/>
    <x v="1"/>
    <x v="0"/>
    <x v="2"/>
    <x v="0"/>
    <x v="17"/>
    <n v="1"/>
    <x v="11"/>
    <x v="1"/>
    <n v="5"/>
    <n v="29.2"/>
    <n v="146"/>
  </r>
  <r>
    <x v="2060"/>
    <x v="13"/>
    <x v="75"/>
    <d v="2025-03-19T00:00:00"/>
    <x v="2"/>
    <x v="1"/>
    <x v="0"/>
    <x v="0"/>
    <x v="11"/>
    <n v="2"/>
    <x v="11"/>
    <x v="2"/>
    <n v="14"/>
    <n v="28.3"/>
    <n v="396.2"/>
  </r>
  <r>
    <x v="2061"/>
    <x v="9"/>
    <x v="75"/>
    <d v="2025-03-18T00:00:00"/>
    <x v="2"/>
    <x v="0"/>
    <x v="1"/>
    <x v="0"/>
    <x v="11"/>
    <n v="1"/>
    <x v="11"/>
    <x v="2"/>
    <n v="3"/>
    <n v="37.799999999999997"/>
    <n v="113.39999999999999"/>
  </r>
  <r>
    <x v="2062"/>
    <x v="14"/>
    <x v="75"/>
    <d v="2025-03-23T00:00:00"/>
    <x v="2"/>
    <x v="2"/>
    <x v="0"/>
    <x v="0"/>
    <x v="11"/>
    <n v="6"/>
    <x v="11"/>
    <x v="2"/>
    <n v="7"/>
    <n v="28.1"/>
    <n v="196.70000000000002"/>
  </r>
  <r>
    <x v="2063"/>
    <x v="1"/>
    <x v="75"/>
    <d v="2025-03-19T00:00:00"/>
    <x v="2"/>
    <x v="2"/>
    <x v="0"/>
    <x v="0"/>
    <x v="11"/>
    <n v="2"/>
    <x v="11"/>
    <x v="2"/>
    <n v="3"/>
    <n v="59.7"/>
    <n v="179.10000000000002"/>
  </r>
  <r>
    <x v="2064"/>
    <x v="16"/>
    <x v="75"/>
    <d v="2025-03-18T00:00:00"/>
    <x v="1"/>
    <x v="1"/>
    <x v="1"/>
    <x v="0"/>
    <x v="11"/>
    <n v="1"/>
    <x v="11"/>
    <x v="1"/>
    <n v="1"/>
    <n v="71.900000000000006"/>
    <n v="71.900000000000006"/>
  </r>
  <r>
    <x v="2065"/>
    <x v="1"/>
    <x v="75"/>
    <d v="2025-03-18T00:00:00"/>
    <x v="1"/>
    <x v="2"/>
    <x v="0"/>
    <x v="0"/>
    <x v="13"/>
    <n v="1"/>
    <x v="11"/>
    <x v="1"/>
    <n v="2"/>
    <n v="56.9"/>
    <n v="113.8"/>
  </r>
  <r>
    <x v="2066"/>
    <x v="8"/>
    <x v="75"/>
    <d v="2025-03-20T00:00:00"/>
    <x v="2"/>
    <x v="2"/>
    <x v="1"/>
    <x v="0"/>
    <x v="1"/>
    <n v="3"/>
    <x v="11"/>
    <x v="2"/>
    <n v="2"/>
    <n v="15.8"/>
    <n v="31.6"/>
  </r>
  <r>
    <x v="2067"/>
    <x v="11"/>
    <x v="75"/>
    <d v="2025-03-19T00:00:00"/>
    <x v="2"/>
    <x v="2"/>
    <x v="0"/>
    <x v="0"/>
    <x v="22"/>
    <n v="2"/>
    <x v="11"/>
    <x v="2"/>
    <n v="4"/>
    <n v="61.7"/>
    <n v="246.8"/>
  </r>
  <r>
    <x v="2068"/>
    <x v="2"/>
    <x v="75"/>
    <d v="2025-03-19T00:00:00"/>
    <x v="1"/>
    <x v="1"/>
    <x v="4"/>
    <x v="0"/>
    <x v="3"/>
    <n v="2"/>
    <x v="11"/>
    <x v="1"/>
    <n v="10"/>
    <n v="105.2"/>
    <n v="1052"/>
  </r>
  <r>
    <x v="2069"/>
    <x v="0"/>
    <x v="75"/>
    <d v="2025-03-19T00:00:00"/>
    <x v="2"/>
    <x v="2"/>
    <x v="0"/>
    <x v="0"/>
    <x v="3"/>
    <n v="2"/>
    <x v="11"/>
    <x v="2"/>
    <n v="2"/>
    <n v="17"/>
    <n v="34"/>
  </r>
  <r>
    <x v="2070"/>
    <x v="6"/>
    <x v="75"/>
    <d v="2025-03-18T00:00:00"/>
    <x v="1"/>
    <x v="2"/>
    <x v="0"/>
    <x v="0"/>
    <x v="3"/>
    <n v="1"/>
    <x v="11"/>
    <x v="1"/>
    <n v="3"/>
    <n v="84.1"/>
    <n v="252.29999999999998"/>
  </r>
  <r>
    <x v="2071"/>
    <x v="3"/>
    <x v="75"/>
    <d v="2025-03-22T00:00:00"/>
    <x v="1"/>
    <x v="0"/>
    <x v="2"/>
    <x v="0"/>
    <x v="3"/>
    <n v="5"/>
    <x v="11"/>
    <x v="1"/>
    <n v="4"/>
    <n v="59.5"/>
    <n v="238"/>
  </r>
  <r>
    <x v="2072"/>
    <x v="8"/>
    <x v="75"/>
    <d v="2025-03-19T00:00:00"/>
    <x v="1"/>
    <x v="1"/>
    <x v="2"/>
    <x v="0"/>
    <x v="3"/>
    <n v="2"/>
    <x v="11"/>
    <x v="1"/>
    <n v="2"/>
    <n v="57.5"/>
    <n v="115"/>
  </r>
  <r>
    <x v="2073"/>
    <x v="8"/>
    <x v="75"/>
    <d v="2025-03-18T00:00:00"/>
    <x v="2"/>
    <x v="4"/>
    <x v="2"/>
    <x v="0"/>
    <x v="3"/>
    <n v="1"/>
    <x v="11"/>
    <x v="2"/>
    <n v="1"/>
    <n v="34.299999999999997"/>
    <n v="34.299999999999997"/>
  </r>
  <r>
    <x v="2074"/>
    <x v="5"/>
    <x v="76"/>
    <d v="2025-03-20T00:00:00"/>
    <x v="2"/>
    <x v="0"/>
    <x v="0"/>
    <x v="0"/>
    <x v="3"/>
    <n v="2"/>
    <x v="11"/>
    <x v="2"/>
    <n v="2"/>
    <n v="27.8"/>
    <n v="55.6"/>
  </r>
  <r>
    <x v="2075"/>
    <x v="12"/>
    <x v="76"/>
    <d v="2025-03-18T00:00:00"/>
    <x v="1"/>
    <x v="2"/>
    <x v="2"/>
    <x v="0"/>
    <x v="3"/>
    <n v="0"/>
    <x v="11"/>
    <x v="1"/>
    <n v="2"/>
    <n v="85"/>
    <n v="170"/>
  </r>
  <r>
    <x v="2076"/>
    <x v="6"/>
    <x v="76"/>
    <d v="2025-03-20T00:00:00"/>
    <x v="2"/>
    <x v="0"/>
    <x v="0"/>
    <x v="0"/>
    <x v="3"/>
    <n v="2"/>
    <x v="11"/>
    <x v="2"/>
    <n v="2"/>
    <n v="95"/>
    <n v="190"/>
  </r>
  <r>
    <x v="2077"/>
    <x v="16"/>
    <x v="76"/>
    <d v="2025-03-20T00:00:00"/>
    <x v="1"/>
    <x v="0"/>
    <x v="1"/>
    <x v="0"/>
    <x v="3"/>
    <n v="2"/>
    <x v="11"/>
    <x v="1"/>
    <n v="2"/>
    <n v="32"/>
    <n v="64"/>
  </r>
  <r>
    <x v="2078"/>
    <x v="2"/>
    <x v="76"/>
    <d v="2025-03-19T00:00:00"/>
    <x v="2"/>
    <x v="1"/>
    <x v="0"/>
    <x v="0"/>
    <x v="3"/>
    <n v="1"/>
    <x v="11"/>
    <x v="2"/>
    <n v="2"/>
    <n v="65.2"/>
    <n v="130.4"/>
  </r>
  <r>
    <x v="2079"/>
    <x v="17"/>
    <x v="76"/>
    <d v="2025-03-19T00:00:00"/>
    <x v="1"/>
    <x v="1"/>
    <x v="2"/>
    <x v="0"/>
    <x v="3"/>
    <n v="1"/>
    <x v="11"/>
    <x v="1"/>
    <n v="4"/>
    <n v="22"/>
    <n v="88"/>
  </r>
  <r>
    <x v="2080"/>
    <x v="15"/>
    <x v="76"/>
    <d v="2025-03-21T00:00:00"/>
    <x v="1"/>
    <x v="1"/>
    <x v="2"/>
    <x v="0"/>
    <x v="3"/>
    <n v="3"/>
    <x v="11"/>
    <x v="1"/>
    <n v="3"/>
    <n v="69.400000000000006"/>
    <n v="208.20000000000002"/>
  </r>
  <r>
    <x v="2081"/>
    <x v="10"/>
    <x v="76"/>
    <d v="2025-03-20T00:00:00"/>
    <x v="2"/>
    <x v="0"/>
    <x v="2"/>
    <x v="0"/>
    <x v="3"/>
    <n v="2"/>
    <x v="11"/>
    <x v="2"/>
    <n v="6"/>
    <n v="31.5"/>
    <n v="189"/>
  </r>
  <r>
    <x v="2082"/>
    <x v="6"/>
    <x v="76"/>
    <d v="2025-03-22T00:00:00"/>
    <x v="3"/>
    <x v="0"/>
    <x v="0"/>
    <x v="0"/>
    <x v="3"/>
    <n v="4"/>
    <x v="11"/>
    <x v="3"/>
    <n v="1"/>
    <n v="45.8"/>
    <n v="45.8"/>
  </r>
  <r>
    <x v="2083"/>
    <x v="19"/>
    <x v="76"/>
    <d v="2025-03-25T00:00:00"/>
    <x v="2"/>
    <x v="1"/>
    <x v="1"/>
    <x v="0"/>
    <x v="5"/>
    <n v="7"/>
    <x v="11"/>
    <x v="2"/>
    <n v="4"/>
    <n v="12.8"/>
    <n v="51.2"/>
  </r>
  <r>
    <x v="2084"/>
    <x v="5"/>
    <x v="76"/>
    <d v="2025-03-19T00:00:00"/>
    <x v="2"/>
    <x v="2"/>
    <x v="2"/>
    <x v="0"/>
    <x v="6"/>
    <n v="1"/>
    <x v="11"/>
    <x v="2"/>
    <n v="3"/>
    <n v="115.3"/>
    <n v="345.9"/>
  </r>
  <r>
    <x v="2085"/>
    <x v="5"/>
    <x v="76"/>
    <d v="2025-03-20T00:00:00"/>
    <x v="2"/>
    <x v="1"/>
    <x v="0"/>
    <x v="0"/>
    <x v="7"/>
    <n v="2"/>
    <x v="11"/>
    <x v="2"/>
    <n v="2"/>
    <n v="85"/>
    <n v="170"/>
  </r>
  <r>
    <x v="2086"/>
    <x v="8"/>
    <x v="76"/>
    <d v="2025-03-19T00:00:00"/>
    <x v="2"/>
    <x v="1"/>
    <x v="2"/>
    <x v="0"/>
    <x v="7"/>
    <n v="1"/>
    <x v="11"/>
    <x v="2"/>
    <n v="3"/>
    <n v="56.6"/>
    <n v="169.8"/>
  </r>
  <r>
    <x v="2087"/>
    <x v="15"/>
    <x v="76"/>
    <d v="2025-03-21T00:00:00"/>
    <x v="1"/>
    <x v="0"/>
    <x v="0"/>
    <x v="0"/>
    <x v="7"/>
    <n v="3"/>
    <x v="11"/>
    <x v="1"/>
    <n v="27"/>
    <n v="46.3"/>
    <n v="1250.0999999999999"/>
  </r>
  <r>
    <x v="2088"/>
    <x v="14"/>
    <x v="76"/>
    <d v="2025-03-22T00:00:00"/>
    <x v="1"/>
    <x v="3"/>
    <x v="2"/>
    <x v="0"/>
    <x v="7"/>
    <n v="4"/>
    <x v="11"/>
    <x v="1"/>
    <n v="4"/>
    <n v="23"/>
    <n v="92"/>
  </r>
  <r>
    <x v="2089"/>
    <x v="8"/>
    <x v="76"/>
    <d v="2025-03-20T00:00:00"/>
    <x v="1"/>
    <x v="4"/>
    <x v="0"/>
    <x v="0"/>
    <x v="8"/>
    <n v="2"/>
    <x v="11"/>
    <x v="1"/>
    <n v="6"/>
    <n v="42.1"/>
    <n v="252.60000000000002"/>
  </r>
  <r>
    <x v="2090"/>
    <x v="5"/>
    <x v="76"/>
    <d v="2025-03-22T00:00:00"/>
    <x v="2"/>
    <x v="1"/>
    <x v="4"/>
    <x v="0"/>
    <x v="8"/>
    <n v="4"/>
    <x v="11"/>
    <x v="2"/>
    <n v="7"/>
    <n v="57.4"/>
    <n v="401.8"/>
  </r>
  <r>
    <x v="2091"/>
    <x v="0"/>
    <x v="76"/>
    <d v="2025-03-22T00:00:00"/>
    <x v="1"/>
    <x v="2"/>
    <x v="0"/>
    <x v="0"/>
    <x v="8"/>
    <n v="4"/>
    <x v="11"/>
    <x v="1"/>
    <n v="6"/>
    <n v="13.2"/>
    <n v="79.199999999999989"/>
  </r>
  <r>
    <x v="2092"/>
    <x v="6"/>
    <x v="76"/>
    <d v="2025-03-19T00:00:00"/>
    <x v="1"/>
    <x v="1"/>
    <x v="0"/>
    <x v="0"/>
    <x v="8"/>
    <n v="1"/>
    <x v="11"/>
    <x v="1"/>
    <n v="3"/>
    <n v="52.3"/>
    <n v="156.89999999999998"/>
  </r>
  <r>
    <x v="2093"/>
    <x v="8"/>
    <x v="76"/>
    <d v="2025-03-21T00:00:00"/>
    <x v="1"/>
    <x v="1"/>
    <x v="2"/>
    <x v="0"/>
    <x v="8"/>
    <n v="3"/>
    <x v="11"/>
    <x v="1"/>
    <n v="2"/>
    <n v="15.7"/>
    <n v="31.4"/>
  </r>
  <r>
    <x v="2094"/>
    <x v="7"/>
    <x v="76"/>
    <d v="2025-03-21T00:00:00"/>
    <x v="2"/>
    <x v="1"/>
    <x v="2"/>
    <x v="0"/>
    <x v="9"/>
    <n v="3"/>
    <x v="11"/>
    <x v="2"/>
    <n v="3"/>
    <n v="35"/>
    <n v="105"/>
  </r>
  <r>
    <x v="2095"/>
    <x v="4"/>
    <x v="76"/>
    <d v="2025-03-18T00:00:00"/>
    <x v="1"/>
    <x v="1"/>
    <x v="2"/>
    <x v="0"/>
    <x v="11"/>
    <n v="0"/>
    <x v="11"/>
    <x v="1"/>
    <n v="3"/>
    <n v="26.6"/>
    <n v="79.800000000000011"/>
  </r>
  <r>
    <x v="2096"/>
    <x v="4"/>
    <x v="77"/>
    <d v="2025-03-20T00:00:00"/>
    <x v="2"/>
    <x v="3"/>
    <x v="2"/>
    <x v="0"/>
    <x v="20"/>
    <n v="1"/>
    <x v="11"/>
    <x v="2"/>
    <n v="8"/>
    <n v="47.9"/>
    <n v="383.2"/>
  </r>
  <r>
    <x v="2097"/>
    <x v="5"/>
    <x v="77"/>
    <d v="2025-03-20T00:00:00"/>
    <x v="1"/>
    <x v="2"/>
    <x v="0"/>
    <x v="0"/>
    <x v="21"/>
    <n v="1"/>
    <x v="11"/>
    <x v="1"/>
    <n v="1"/>
    <n v="80.099999999999994"/>
    <n v="80.099999999999994"/>
  </r>
  <r>
    <x v="2098"/>
    <x v="6"/>
    <x v="77"/>
    <d v="2025-03-20T00:00:00"/>
    <x v="1"/>
    <x v="1"/>
    <x v="2"/>
    <x v="0"/>
    <x v="21"/>
    <n v="1"/>
    <x v="11"/>
    <x v="1"/>
    <n v="5"/>
    <n v="50.4"/>
    <n v="252"/>
  </r>
  <r>
    <x v="2099"/>
    <x v="10"/>
    <x v="77"/>
    <d v="2025-03-20T00:00:00"/>
    <x v="1"/>
    <x v="2"/>
    <x v="0"/>
    <x v="0"/>
    <x v="21"/>
    <n v="1"/>
    <x v="11"/>
    <x v="1"/>
    <n v="7"/>
    <n v="43.3"/>
    <n v="303.09999999999997"/>
  </r>
  <r>
    <x v="2100"/>
    <x v="10"/>
    <x v="77"/>
    <d v="2025-03-20T00:00:00"/>
    <x v="2"/>
    <x v="1"/>
    <x v="2"/>
    <x v="0"/>
    <x v="1"/>
    <n v="1"/>
    <x v="11"/>
    <x v="2"/>
    <n v="4"/>
    <n v="57.5"/>
    <n v="230"/>
  </r>
  <r>
    <x v="2101"/>
    <x v="9"/>
    <x v="77"/>
    <d v="2025-03-20T00:00:00"/>
    <x v="1"/>
    <x v="0"/>
    <x v="0"/>
    <x v="0"/>
    <x v="57"/>
    <n v="1"/>
    <x v="11"/>
    <x v="1"/>
    <n v="13"/>
    <n v="24.8"/>
    <n v="322.40000000000003"/>
  </r>
  <r>
    <x v="2102"/>
    <x v="2"/>
    <x v="77"/>
    <d v="2025-03-20T00:00:00"/>
    <x v="2"/>
    <x v="0"/>
    <x v="0"/>
    <x v="0"/>
    <x v="42"/>
    <n v="1"/>
    <x v="11"/>
    <x v="2"/>
    <n v="9"/>
    <n v="85.7"/>
    <n v="771.30000000000007"/>
  </r>
  <r>
    <x v="2103"/>
    <x v="7"/>
    <x v="77"/>
    <d v="2025-03-21T00:00:00"/>
    <x v="2"/>
    <x v="0"/>
    <x v="0"/>
    <x v="0"/>
    <x v="2"/>
    <n v="2"/>
    <x v="11"/>
    <x v="2"/>
    <n v="1"/>
    <n v="47.1"/>
    <n v="47.1"/>
  </r>
  <r>
    <x v="2104"/>
    <x v="5"/>
    <x v="77"/>
    <d v="2025-03-23T00:00:00"/>
    <x v="2"/>
    <x v="0"/>
    <x v="0"/>
    <x v="0"/>
    <x v="33"/>
    <n v="4"/>
    <x v="11"/>
    <x v="2"/>
    <n v="10"/>
    <n v="83.2"/>
    <n v="832"/>
  </r>
  <r>
    <x v="2105"/>
    <x v="2"/>
    <x v="77"/>
    <d v="2025-03-21T00:00:00"/>
    <x v="2"/>
    <x v="0"/>
    <x v="2"/>
    <x v="0"/>
    <x v="22"/>
    <n v="2"/>
    <x v="11"/>
    <x v="2"/>
    <n v="3"/>
    <n v="157"/>
    <n v="471"/>
  </r>
  <r>
    <x v="2106"/>
    <x v="16"/>
    <x v="77"/>
    <d v="2025-03-20T00:00:00"/>
    <x v="1"/>
    <x v="2"/>
    <x v="2"/>
    <x v="0"/>
    <x v="22"/>
    <n v="1"/>
    <x v="11"/>
    <x v="1"/>
    <n v="4"/>
    <n v="33.700000000000003"/>
    <n v="134.80000000000001"/>
  </r>
  <r>
    <x v="2107"/>
    <x v="2"/>
    <x v="77"/>
    <d v="2025-03-23T00:00:00"/>
    <x v="2"/>
    <x v="1"/>
    <x v="1"/>
    <x v="0"/>
    <x v="3"/>
    <n v="4"/>
    <x v="11"/>
    <x v="2"/>
    <n v="3"/>
    <n v="60.8"/>
    <n v="182.39999999999998"/>
  </r>
  <r>
    <x v="2108"/>
    <x v="7"/>
    <x v="77"/>
    <d v="2025-03-20T00:00:00"/>
    <x v="1"/>
    <x v="1"/>
    <x v="4"/>
    <x v="0"/>
    <x v="3"/>
    <n v="1"/>
    <x v="11"/>
    <x v="1"/>
    <n v="1"/>
    <n v="57.6"/>
    <n v="57.6"/>
  </r>
  <r>
    <x v="2109"/>
    <x v="10"/>
    <x v="77"/>
    <d v="2025-03-21T00:00:00"/>
    <x v="1"/>
    <x v="0"/>
    <x v="0"/>
    <x v="0"/>
    <x v="3"/>
    <n v="2"/>
    <x v="11"/>
    <x v="1"/>
    <n v="1"/>
    <n v="32"/>
    <n v="32"/>
  </r>
  <r>
    <x v="2110"/>
    <x v="10"/>
    <x v="77"/>
    <d v="2025-03-20T00:00:00"/>
    <x v="2"/>
    <x v="0"/>
    <x v="2"/>
    <x v="0"/>
    <x v="3"/>
    <n v="1"/>
    <x v="11"/>
    <x v="2"/>
    <n v="4"/>
    <n v="23.5"/>
    <n v="94"/>
  </r>
  <r>
    <x v="2111"/>
    <x v="12"/>
    <x v="77"/>
    <d v="2025-03-20T00:00:00"/>
    <x v="3"/>
    <x v="4"/>
    <x v="0"/>
    <x v="0"/>
    <x v="3"/>
    <n v="1"/>
    <x v="11"/>
    <x v="3"/>
    <n v="3"/>
    <n v="44.8"/>
    <n v="134.39999999999998"/>
  </r>
  <r>
    <x v="2112"/>
    <x v="0"/>
    <x v="77"/>
    <d v="2025-03-20T00:00:00"/>
    <x v="1"/>
    <x v="2"/>
    <x v="2"/>
    <x v="0"/>
    <x v="3"/>
    <n v="1"/>
    <x v="11"/>
    <x v="1"/>
    <n v="8"/>
    <n v="11.7"/>
    <n v="93.6"/>
  </r>
  <r>
    <x v="2113"/>
    <x v="7"/>
    <x v="77"/>
    <d v="2025-03-22T00:00:00"/>
    <x v="2"/>
    <x v="2"/>
    <x v="0"/>
    <x v="0"/>
    <x v="3"/>
    <n v="3"/>
    <x v="11"/>
    <x v="2"/>
    <n v="2"/>
    <n v="38.799999999999997"/>
    <n v="77.599999999999994"/>
  </r>
  <r>
    <x v="2114"/>
    <x v="5"/>
    <x v="77"/>
    <d v="2025-03-24T00:00:00"/>
    <x v="2"/>
    <x v="1"/>
    <x v="0"/>
    <x v="0"/>
    <x v="3"/>
    <n v="5"/>
    <x v="11"/>
    <x v="2"/>
    <n v="14"/>
    <n v="86.9"/>
    <n v="1216.6000000000001"/>
  </r>
  <r>
    <x v="2115"/>
    <x v="8"/>
    <x v="77"/>
    <d v="2025-03-20T00:00:00"/>
    <x v="2"/>
    <x v="0"/>
    <x v="0"/>
    <x v="0"/>
    <x v="3"/>
    <n v="1"/>
    <x v="11"/>
    <x v="2"/>
    <n v="1"/>
    <n v="18.3"/>
    <n v="18.3"/>
  </r>
  <r>
    <x v="2116"/>
    <x v="5"/>
    <x v="77"/>
    <d v="2025-03-23T00:00:00"/>
    <x v="1"/>
    <x v="4"/>
    <x v="2"/>
    <x v="0"/>
    <x v="3"/>
    <n v="4"/>
    <x v="11"/>
    <x v="1"/>
    <n v="1"/>
    <n v="47.5"/>
    <n v="47.5"/>
  </r>
  <r>
    <x v="2117"/>
    <x v="1"/>
    <x v="77"/>
    <d v="2025-03-20T00:00:00"/>
    <x v="1"/>
    <x v="2"/>
    <x v="2"/>
    <x v="0"/>
    <x v="3"/>
    <n v="1"/>
    <x v="11"/>
    <x v="1"/>
    <n v="2"/>
    <n v="78.599999999999994"/>
    <n v="157.19999999999999"/>
  </r>
  <r>
    <x v="2118"/>
    <x v="6"/>
    <x v="77"/>
    <d v="2025-03-20T00:00:00"/>
    <x v="1"/>
    <x v="0"/>
    <x v="0"/>
    <x v="0"/>
    <x v="3"/>
    <n v="1"/>
    <x v="11"/>
    <x v="1"/>
    <n v="4"/>
    <n v="87.3"/>
    <n v="349.2"/>
  </r>
  <r>
    <x v="2119"/>
    <x v="9"/>
    <x v="77"/>
    <d v="2025-03-19T00:00:00"/>
    <x v="1"/>
    <x v="4"/>
    <x v="1"/>
    <x v="0"/>
    <x v="3"/>
    <n v="0"/>
    <x v="11"/>
    <x v="1"/>
    <n v="2"/>
    <n v="63.2"/>
    <n v="126.4"/>
  </r>
  <r>
    <x v="2120"/>
    <x v="5"/>
    <x v="77"/>
    <d v="2025-03-20T00:00:00"/>
    <x v="2"/>
    <x v="0"/>
    <x v="0"/>
    <x v="0"/>
    <x v="3"/>
    <n v="1"/>
    <x v="11"/>
    <x v="2"/>
    <n v="5"/>
    <n v="33.700000000000003"/>
    <n v="168.5"/>
  </r>
  <r>
    <x v="2121"/>
    <x v="2"/>
    <x v="77"/>
    <d v="2025-04-01T00:00:00"/>
    <x v="2"/>
    <x v="1"/>
    <x v="2"/>
    <x v="0"/>
    <x v="3"/>
    <n v="13"/>
    <x v="11"/>
    <x v="2"/>
    <n v="3"/>
    <n v="107.4"/>
    <n v="322.20000000000005"/>
  </r>
  <r>
    <x v="2122"/>
    <x v="4"/>
    <x v="77"/>
    <d v="2025-03-20T00:00:00"/>
    <x v="0"/>
    <x v="1"/>
    <x v="2"/>
    <x v="0"/>
    <x v="24"/>
    <n v="1"/>
    <x v="11"/>
    <x v="0"/>
    <n v="4"/>
    <n v="22.2"/>
    <n v="88.8"/>
  </r>
  <r>
    <x v="2123"/>
    <x v="18"/>
    <x v="77"/>
    <d v="2025-03-20T00:00:00"/>
    <x v="1"/>
    <x v="3"/>
    <x v="2"/>
    <x v="0"/>
    <x v="24"/>
    <n v="1"/>
    <x v="11"/>
    <x v="1"/>
    <n v="3"/>
    <n v="52.8"/>
    <n v="158.39999999999998"/>
  </r>
  <r>
    <x v="2124"/>
    <x v="8"/>
    <x v="77"/>
    <d v="2025-03-22T00:00:00"/>
    <x v="2"/>
    <x v="0"/>
    <x v="0"/>
    <x v="0"/>
    <x v="25"/>
    <n v="3"/>
    <x v="11"/>
    <x v="2"/>
    <n v="3"/>
    <n v="41.5"/>
    <n v="124.5"/>
  </r>
  <r>
    <x v="2125"/>
    <x v="12"/>
    <x v="77"/>
    <d v="2025-03-22T00:00:00"/>
    <x v="2"/>
    <x v="0"/>
    <x v="2"/>
    <x v="0"/>
    <x v="23"/>
    <n v="3"/>
    <x v="11"/>
    <x v="2"/>
    <n v="8"/>
    <n v="103.5"/>
    <n v="828"/>
  </r>
  <r>
    <x v="2126"/>
    <x v="4"/>
    <x v="77"/>
    <d v="2025-03-19T00:00:00"/>
    <x v="2"/>
    <x v="1"/>
    <x v="2"/>
    <x v="0"/>
    <x v="6"/>
    <n v="0"/>
    <x v="11"/>
    <x v="2"/>
    <n v="14"/>
    <n v="37.5"/>
    <n v="525"/>
  </r>
  <r>
    <x v="2127"/>
    <x v="15"/>
    <x v="77"/>
    <d v="2025-03-25T00:00:00"/>
    <x v="2"/>
    <x v="3"/>
    <x v="2"/>
    <x v="0"/>
    <x v="7"/>
    <n v="6"/>
    <x v="11"/>
    <x v="2"/>
    <n v="8"/>
    <n v="44.4"/>
    <n v="355.2"/>
  </r>
  <r>
    <x v="2128"/>
    <x v="8"/>
    <x v="77"/>
    <d v="2025-03-20T00:00:00"/>
    <x v="1"/>
    <x v="0"/>
    <x v="0"/>
    <x v="0"/>
    <x v="8"/>
    <n v="1"/>
    <x v="11"/>
    <x v="1"/>
    <n v="3"/>
    <n v="26.2"/>
    <n v="78.599999999999994"/>
  </r>
  <r>
    <x v="2129"/>
    <x v="1"/>
    <x v="77"/>
    <d v="2025-03-20T00:00:00"/>
    <x v="2"/>
    <x v="1"/>
    <x v="2"/>
    <x v="0"/>
    <x v="8"/>
    <n v="1"/>
    <x v="11"/>
    <x v="2"/>
    <n v="7"/>
    <n v="32.200000000000003"/>
    <n v="225.40000000000003"/>
  </r>
  <r>
    <x v="2130"/>
    <x v="8"/>
    <x v="77"/>
    <d v="2025-03-23T00:00:00"/>
    <x v="0"/>
    <x v="2"/>
    <x v="1"/>
    <x v="0"/>
    <x v="8"/>
    <n v="4"/>
    <x v="11"/>
    <x v="0"/>
    <n v="1"/>
    <n v="17.399999999999999"/>
    <n v="17.399999999999999"/>
  </r>
  <r>
    <x v="2131"/>
    <x v="8"/>
    <x v="77"/>
    <d v="2025-03-22T00:00:00"/>
    <x v="2"/>
    <x v="0"/>
    <x v="0"/>
    <x v="0"/>
    <x v="8"/>
    <n v="3"/>
    <x v="11"/>
    <x v="2"/>
    <n v="6"/>
    <n v="72.3"/>
    <n v="433.79999999999995"/>
  </r>
  <r>
    <x v="2132"/>
    <x v="8"/>
    <x v="77"/>
    <d v="2025-03-20T00:00:00"/>
    <x v="1"/>
    <x v="0"/>
    <x v="0"/>
    <x v="0"/>
    <x v="8"/>
    <n v="1"/>
    <x v="11"/>
    <x v="1"/>
    <n v="11"/>
    <n v="24.3"/>
    <n v="267.3"/>
  </r>
  <r>
    <x v="2133"/>
    <x v="13"/>
    <x v="77"/>
    <d v="2025-03-25T00:00:00"/>
    <x v="1"/>
    <x v="2"/>
    <x v="4"/>
    <x v="0"/>
    <x v="8"/>
    <n v="6"/>
    <x v="11"/>
    <x v="1"/>
    <n v="3"/>
    <n v="49.1"/>
    <n v="147.30000000000001"/>
  </r>
  <r>
    <x v="2134"/>
    <x v="2"/>
    <x v="77"/>
    <d v="2025-03-20T00:00:00"/>
    <x v="1"/>
    <x v="3"/>
    <x v="1"/>
    <x v="0"/>
    <x v="8"/>
    <n v="1"/>
    <x v="11"/>
    <x v="1"/>
    <n v="10"/>
    <n v="234.7"/>
    <n v="2347"/>
  </r>
  <r>
    <x v="2135"/>
    <x v="3"/>
    <x v="77"/>
    <d v="2025-03-21T00:00:00"/>
    <x v="1"/>
    <x v="1"/>
    <x v="1"/>
    <x v="0"/>
    <x v="17"/>
    <n v="2"/>
    <x v="11"/>
    <x v="1"/>
    <n v="5"/>
    <n v="76.099999999999994"/>
    <n v="380.5"/>
  </r>
  <r>
    <x v="2136"/>
    <x v="1"/>
    <x v="77"/>
    <d v="2025-03-20T00:00:00"/>
    <x v="1"/>
    <x v="1"/>
    <x v="4"/>
    <x v="0"/>
    <x v="11"/>
    <n v="1"/>
    <x v="11"/>
    <x v="1"/>
    <n v="3"/>
    <n v="93.9"/>
    <n v="281.70000000000005"/>
  </r>
  <r>
    <x v="2137"/>
    <x v="2"/>
    <x v="78"/>
    <d v="2025-03-23T00:00:00"/>
    <x v="1"/>
    <x v="0"/>
    <x v="0"/>
    <x v="0"/>
    <x v="11"/>
    <n v="3"/>
    <x v="11"/>
    <x v="1"/>
    <n v="4"/>
    <n v="187"/>
    <n v="748"/>
  </r>
  <r>
    <x v="2138"/>
    <x v="8"/>
    <x v="78"/>
    <d v="2025-03-21T00:00:00"/>
    <x v="2"/>
    <x v="1"/>
    <x v="2"/>
    <x v="0"/>
    <x v="53"/>
    <n v="1"/>
    <x v="11"/>
    <x v="2"/>
    <n v="2"/>
    <n v="18"/>
    <n v="36"/>
  </r>
  <r>
    <x v="2139"/>
    <x v="4"/>
    <x v="78"/>
    <d v="2025-03-21T00:00:00"/>
    <x v="2"/>
    <x v="4"/>
    <x v="2"/>
    <x v="0"/>
    <x v="21"/>
    <n v="1"/>
    <x v="11"/>
    <x v="2"/>
    <n v="1"/>
    <n v="24.4"/>
    <n v="24.4"/>
  </r>
  <r>
    <x v="2140"/>
    <x v="10"/>
    <x v="78"/>
    <d v="2025-03-21T00:00:00"/>
    <x v="1"/>
    <x v="4"/>
    <x v="1"/>
    <x v="0"/>
    <x v="3"/>
    <n v="1"/>
    <x v="11"/>
    <x v="1"/>
    <n v="2"/>
    <n v="38.799999999999997"/>
    <n v="77.599999999999994"/>
  </r>
  <r>
    <x v="2141"/>
    <x v="3"/>
    <x v="78"/>
    <d v="2025-03-23T00:00:00"/>
    <x v="1"/>
    <x v="3"/>
    <x v="0"/>
    <x v="0"/>
    <x v="3"/>
    <n v="3"/>
    <x v="11"/>
    <x v="1"/>
    <n v="1"/>
    <n v="59.7"/>
    <n v="59.7"/>
  </r>
  <r>
    <x v="2142"/>
    <x v="7"/>
    <x v="78"/>
    <d v="2025-03-21T00:00:00"/>
    <x v="1"/>
    <x v="1"/>
    <x v="2"/>
    <x v="0"/>
    <x v="3"/>
    <n v="1"/>
    <x v="11"/>
    <x v="1"/>
    <n v="1"/>
    <n v="31.2"/>
    <n v="31.2"/>
  </r>
  <r>
    <x v="2143"/>
    <x v="0"/>
    <x v="78"/>
    <d v="2025-03-21T00:00:00"/>
    <x v="2"/>
    <x v="2"/>
    <x v="1"/>
    <x v="0"/>
    <x v="3"/>
    <n v="1"/>
    <x v="11"/>
    <x v="2"/>
    <n v="1"/>
    <n v="16.8"/>
    <n v="16.8"/>
  </r>
  <r>
    <x v="2144"/>
    <x v="8"/>
    <x v="78"/>
    <d v="2025-03-21T00:00:00"/>
    <x v="1"/>
    <x v="0"/>
    <x v="0"/>
    <x v="0"/>
    <x v="3"/>
    <n v="1"/>
    <x v="11"/>
    <x v="1"/>
    <n v="1"/>
    <n v="46"/>
    <n v="46"/>
  </r>
  <r>
    <x v="2145"/>
    <x v="9"/>
    <x v="78"/>
    <d v="2025-03-23T00:00:00"/>
    <x v="2"/>
    <x v="3"/>
    <x v="2"/>
    <x v="0"/>
    <x v="3"/>
    <n v="3"/>
    <x v="11"/>
    <x v="2"/>
    <n v="8"/>
    <n v="42.2"/>
    <n v="337.6"/>
  </r>
  <r>
    <x v="2146"/>
    <x v="1"/>
    <x v="78"/>
    <d v="2025-04-03T00:00:00"/>
    <x v="2"/>
    <x v="0"/>
    <x v="0"/>
    <x v="0"/>
    <x v="3"/>
    <n v="14"/>
    <x v="11"/>
    <x v="2"/>
    <n v="3"/>
    <n v="71.5"/>
    <n v="214.5"/>
  </r>
  <r>
    <x v="2147"/>
    <x v="1"/>
    <x v="78"/>
    <d v="2025-03-20T00:00:00"/>
    <x v="1"/>
    <x v="0"/>
    <x v="2"/>
    <x v="0"/>
    <x v="3"/>
    <n v="0"/>
    <x v="11"/>
    <x v="1"/>
    <n v="2"/>
    <n v="76.599999999999994"/>
    <n v="153.19999999999999"/>
  </r>
  <r>
    <x v="2148"/>
    <x v="12"/>
    <x v="78"/>
    <d v="2025-03-28T00:00:00"/>
    <x v="2"/>
    <x v="3"/>
    <x v="2"/>
    <x v="0"/>
    <x v="3"/>
    <n v="8"/>
    <x v="11"/>
    <x v="2"/>
    <n v="2"/>
    <n v="87.3"/>
    <n v="174.6"/>
  </r>
  <r>
    <x v="2149"/>
    <x v="1"/>
    <x v="78"/>
    <d v="2025-03-23T00:00:00"/>
    <x v="1"/>
    <x v="3"/>
    <x v="0"/>
    <x v="0"/>
    <x v="3"/>
    <n v="3"/>
    <x v="11"/>
    <x v="1"/>
    <n v="1"/>
    <n v="63"/>
    <n v="63"/>
  </r>
  <r>
    <x v="2150"/>
    <x v="8"/>
    <x v="78"/>
    <d v="2025-03-21T00:00:00"/>
    <x v="2"/>
    <x v="4"/>
    <x v="1"/>
    <x v="0"/>
    <x v="43"/>
    <n v="1"/>
    <x v="11"/>
    <x v="2"/>
    <n v="2"/>
    <n v="41.7"/>
    <n v="83.4"/>
  </r>
  <r>
    <x v="2151"/>
    <x v="6"/>
    <x v="78"/>
    <d v="2025-03-20T00:00:00"/>
    <x v="2"/>
    <x v="4"/>
    <x v="2"/>
    <x v="0"/>
    <x v="16"/>
    <n v="0"/>
    <x v="11"/>
    <x v="2"/>
    <n v="2"/>
    <n v="76.099999999999994"/>
    <n v="152.19999999999999"/>
  </r>
  <r>
    <x v="2152"/>
    <x v="13"/>
    <x v="78"/>
    <d v="2025-03-21T00:00:00"/>
    <x v="2"/>
    <x v="0"/>
    <x v="2"/>
    <x v="0"/>
    <x v="4"/>
    <n v="1"/>
    <x v="11"/>
    <x v="2"/>
    <n v="2"/>
    <n v="28.5"/>
    <n v="57"/>
  </r>
  <r>
    <x v="2153"/>
    <x v="0"/>
    <x v="78"/>
    <d v="2025-03-21T00:00:00"/>
    <x v="2"/>
    <x v="1"/>
    <x v="2"/>
    <x v="0"/>
    <x v="25"/>
    <n v="1"/>
    <x v="11"/>
    <x v="2"/>
    <n v="4"/>
    <n v="32.1"/>
    <n v="128.4"/>
  </r>
  <r>
    <x v="2154"/>
    <x v="4"/>
    <x v="78"/>
    <d v="2025-03-23T00:00:00"/>
    <x v="1"/>
    <x v="1"/>
    <x v="2"/>
    <x v="0"/>
    <x v="25"/>
    <n v="3"/>
    <x v="11"/>
    <x v="1"/>
    <n v="3"/>
    <n v="39"/>
    <n v="117"/>
  </r>
  <r>
    <x v="2155"/>
    <x v="6"/>
    <x v="78"/>
    <d v="2025-03-21T00:00:00"/>
    <x v="1"/>
    <x v="1"/>
    <x v="0"/>
    <x v="0"/>
    <x v="6"/>
    <n v="1"/>
    <x v="11"/>
    <x v="1"/>
    <n v="1"/>
    <n v="78.5"/>
    <n v="78.5"/>
  </r>
  <r>
    <x v="2156"/>
    <x v="4"/>
    <x v="78"/>
    <d v="2025-03-22T00:00:00"/>
    <x v="2"/>
    <x v="0"/>
    <x v="0"/>
    <x v="0"/>
    <x v="6"/>
    <n v="2"/>
    <x v="11"/>
    <x v="2"/>
    <n v="5"/>
    <n v="49.7"/>
    <n v="248.5"/>
  </r>
  <r>
    <x v="2157"/>
    <x v="1"/>
    <x v="78"/>
    <d v="2025-03-21T00:00:00"/>
    <x v="2"/>
    <x v="2"/>
    <x v="2"/>
    <x v="0"/>
    <x v="7"/>
    <n v="1"/>
    <x v="11"/>
    <x v="2"/>
    <n v="4"/>
    <n v="68.400000000000006"/>
    <n v="273.60000000000002"/>
  </r>
  <r>
    <x v="2158"/>
    <x v="3"/>
    <x v="78"/>
    <d v="2025-03-23T00:00:00"/>
    <x v="0"/>
    <x v="0"/>
    <x v="2"/>
    <x v="0"/>
    <x v="7"/>
    <n v="3"/>
    <x v="11"/>
    <x v="0"/>
    <n v="2"/>
    <n v="72.900000000000006"/>
    <n v="145.80000000000001"/>
  </r>
  <r>
    <x v="2159"/>
    <x v="5"/>
    <x v="78"/>
    <d v="2025-03-21T00:00:00"/>
    <x v="1"/>
    <x v="4"/>
    <x v="0"/>
    <x v="0"/>
    <x v="7"/>
    <n v="1"/>
    <x v="11"/>
    <x v="1"/>
    <n v="13"/>
    <n v="30.3"/>
    <n v="393.90000000000003"/>
  </r>
  <r>
    <x v="2160"/>
    <x v="6"/>
    <x v="78"/>
    <d v="2025-03-21T00:00:00"/>
    <x v="2"/>
    <x v="0"/>
    <x v="0"/>
    <x v="0"/>
    <x v="8"/>
    <n v="1"/>
    <x v="11"/>
    <x v="2"/>
    <n v="11"/>
    <n v="57.9"/>
    <n v="636.9"/>
  </r>
  <r>
    <x v="2161"/>
    <x v="1"/>
    <x v="78"/>
    <d v="2025-03-21T00:00:00"/>
    <x v="1"/>
    <x v="0"/>
    <x v="0"/>
    <x v="0"/>
    <x v="8"/>
    <n v="1"/>
    <x v="11"/>
    <x v="1"/>
    <n v="1"/>
    <n v="96.7"/>
    <n v="96.7"/>
  </r>
  <r>
    <x v="2162"/>
    <x v="8"/>
    <x v="78"/>
    <d v="2025-03-22T00:00:00"/>
    <x v="1"/>
    <x v="2"/>
    <x v="2"/>
    <x v="0"/>
    <x v="8"/>
    <n v="2"/>
    <x v="11"/>
    <x v="1"/>
    <n v="12"/>
    <n v="27.6"/>
    <n v="331.20000000000005"/>
  </r>
  <r>
    <x v="2163"/>
    <x v="6"/>
    <x v="78"/>
    <d v="2025-03-20T00:00:00"/>
    <x v="1"/>
    <x v="3"/>
    <x v="2"/>
    <x v="0"/>
    <x v="8"/>
    <n v="0"/>
    <x v="11"/>
    <x v="1"/>
    <n v="4"/>
    <n v="64.7"/>
    <n v="258.8"/>
  </r>
  <r>
    <x v="2164"/>
    <x v="10"/>
    <x v="78"/>
    <d v="2025-03-21T00:00:00"/>
    <x v="1"/>
    <x v="4"/>
    <x v="0"/>
    <x v="0"/>
    <x v="8"/>
    <n v="1"/>
    <x v="11"/>
    <x v="1"/>
    <n v="6"/>
    <n v="30.5"/>
    <n v="183"/>
  </r>
  <r>
    <x v="2165"/>
    <x v="6"/>
    <x v="79"/>
    <d v="2025-03-23T00:00:00"/>
    <x v="1"/>
    <x v="4"/>
    <x v="2"/>
    <x v="0"/>
    <x v="8"/>
    <n v="2"/>
    <x v="11"/>
    <x v="1"/>
    <n v="70"/>
    <n v="106"/>
    <n v="7420"/>
  </r>
  <r>
    <x v="2166"/>
    <x v="12"/>
    <x v="79"/>
    <d v="2025-03-27T00:00:00"/>
    <x v="0"/>
    <x v="1"/>
    <x v="1"/>
    <x v="0"/>
    <x v="18"/>
    <n v="6"/>
    <x v="11"/>
    <x v="0"/>
    <n v="5"/>
    <n v="76.8"/>
    <n v="384"/>
  </r>
  <r>
    <x v="2167"/>
    <x v="6"/>
    <x v="79"/>
    <d v="2025-03-22T00:00:00"/>
    <x v="2"/>
    <x v="2"/>
    <x v="0"/>
    <x v="0"/>
    <x v="13"/>
    <n v="1"/>
    <x v="11"/>
    <x v="2"/>
    <n v="2"/>
    <n v="80.400000000000006"/>
    <n v="160.80000000000001"/>
  </r>
  <r>
    <x v="2168"/>
    <x v="6"/>
    <x v="79"/>
    <d v="2025-03-22T00:00:00"/>
    <x v="1"/>
    <x v="1"/>
    <x v="2"/>
    <x v="0"/>
    <x v="21"/>
    <n v="1"/>
    <x v="11"/>
    <x v="1"/>
    <n v="4"/>
    <n v="69.099999999999994"/>
    <n v="276.39999999999998"/>
  </r>
  <r>
    <x v="2169"/>
    <x v="18"/>
    <x v="79"/>
    <d v="2025-03-21T00:00:00"/>
    <x v="1"/>
    <x v="3"/>
    <x v="0"/>
    <x v="0"/>
    <x v="21"/>
    <n v="0"/>
    <x v="11"/>
    <x v="1"/>
    <n v="2"/>
    <n v="76.400000000000006"/>
    <n v="152.80000000000001"/>
  </r>
  <r>
    <x v="2170"/>
    <x v="2"/>
    <x v="79"/>
    <d v="2025-03-22T00:00:00"/>
    <x v="2"/>
    <x v="1"/>
    <x v="1"/>
    <x v="0"/>
    <x v="21"/>
    <n v="1"/>
    <x v="11"/>
    <x v="2"/>
    <n v="2"/>
    <n v="61.3"/>
    <n v="122.6"/>
  </r>
  <r>
    <x v="2171"/>
    <x v="7"/>
    <x v="79"/>
    <d v="2025-03-22T00:00:00"/>
    <x v="1"/>
    <x v="3"/>
    <x v="1"/>
    <x v="0"/>
    <x v="1"/>
    <n v="1"/>
    <x v="11"/>
    <x v="1"/>
    <n v="1"/>
    <n v="58"/>
    <n v="58"/>
  </r>
  <r>
    <x v="2172"/>
    <x v="2"/>
    <x v="79"/>
    <d v="2025-03-23T00:00:00"/>
    <x v="1"/>
    <x v="2"/>
    <x v="0"/>
    <x v="0"/>
    <x v="42"/>
    <n v="2"/>
    <x v="11"/>
    <x v="1"/>
    <n v="8"/>
    <n v="102.3"/>
    <n v="818.4"/>
  </r>
  <r>
    <x v="2173"/>
    <x v="19"/>
    <x v="79"/>
    <d v="2025-03-22T00:00:00"/>
    <x v="2"/>
    <x v="4"/>
    <x v="2"/>
    <x v="0"/>
    <x v="2"/>
    <n v="1"/>
    <x v="11"/>
    <x v="2"/>
    <n v="2"/>
    <n v="13.8"/>
    <n v="27.6"/>
  </r>
  <r>
    <x v="2174"/>
    <x v="8"/>
    <x v="79"/>
    <d v="2025-03-24T00:00:00"/>
    <x v="2"/>
    <x v="2"/>
    <x v="0"/>
    <x v="0"/>
    <x v="22"/>
    <n v="3"/>
    <x v="11"/>
    <x v="2"/>
    <n v="3"/>
    <n v="33.299999999999997"/>
    <n v="99.899999999999991"/>
  </r>
  <r>
    <x v="2175"/>
    <x v="10"/>
    <x v="79"/>
    <d v="2025-03-24T00:00:00"/>
    <x v="1"/>
    <x v="0"/>
    <x v="2"/>
    <x v="0"/>
    <x v="22"/>
    <n v="3"/>
    <x v="11"/>
    <x v="1"/>
    <n v="1"/>
    <n v="27.4"/>
    <n v="27.4"/>
  </r>
  <r>
    <x v="2176"/>
    <x v="14"/>
    <x v="79"/>
    <d v="2025-03-22T00:00:00"/>
    <x v="2"/>
    <x v="1"/>
    <x v="1"/>
    <x v="0"/>
    <x v="3"/>
    <n v="1"/>
    <x v="11"/>
    <x v="2"/>
    <n v="2"/>
    <n v="25.6"/>
    <n v="51.2"/>
  </r>
  <r>
    <x v="2177"/>
    <x v="13"/>
    <x v="79"/>
    <d v="2025-03-22T00:00:00"/>
    <x v="2"/>
    <x v="2"/>
    <x v="2"/>
    <x v="0"/>
    <x v="3"/>
    <n v="1"/>
    <x v="11"/>
    <x v="2"/>
    <n v="1"/>
    <n v="58.4"/>
    <n v="58.4"/>
  </r>
  <r>
    <x v="2178"/>
    <x v="11"/>
    <x v="79"/>
    <d v="2025-03-22T00:00:00"/>
    <x v="2"/>
    <x v="4"/>
    <x v="0"/>
    <x v="0"/>
    <x v="3"/>
    <n v="1"/>
    <x v="11"/>
    <x v="2"/>
    <n v="30"/>
    <n v="27"/>
    <n v="810"/>
  </r>
  <r>
    <x v="2179"/>
    <x v="0"/>
    <x v="79"/>
    <d v="2025-03-22T00:00:00"/>
    <x v="1"/>
    <x v="0"/>
    <x v="2"/>
    <x v="0"/>
    <x v="3"/>
    <n v="1"/>
    <x v="11"/>
    <x v="1"/>
    <n v="4"/>
    <n v="14.2"/>
    <n v="56.8"/>
  </r>
  <r>
    <x v="2180"/>
    <x v="7"/>
    <x v="79"/>
    <d v="2025-03-31T00:00:00"/>
    <x v="1"/>
    <x v="2"/>
    <x v="1"/>
    <x v="0"/>
    <x v="3"/>
    <n v="10"/>
    <x v="11"/>
    <x v="1"/>
    <n v="2"/>
    <n v="68"/>
    <n v="136"/>
  </r>
  <r>
    <x v="2181"/>
    <x v="8"/>
    <x v="79"/>
    <d v="2025-03-22T00:00:00"/>
    <x v="1"/>
    <x v="0"/>
    <x v="0"/>
    <x v="0"/>
    <x v="3"/>
    <n v="1"/>
    <x v="11"/>
    <x v="1"/>
    <n v="1"/>
    <n v="30.7"/>
    <n v="30.7"/>
  </r>
  <r>
    <x v="2182"/>
    <x v="17"/>
    <x v="79"/>
    <d v="2025-03-24T00:00:00"/>
    <x v="3"/>
    <x v="1"/>
    <x v="2"/>
    <x v="0"/>
    <x v="3"/>
    <n v="3"/>
    <x v="11"/>
    <x v="3"/>
    <n v="13"/>
    <n v="51.6"/>
    <n v="670.80000000000007"/>
  </r>
  <r>
    <x v="2183"/>
    <x v="8"/>
    <x v="79"/>
    <d v="2025-03-25T00:00:00"/>
    <x v="2"/>
    <x v="4"/>
    <x v="2"/>
    <x v="0"/>
    <x v="3"/>
    <n v="4"/>
    <x v="11"/>
    <x v="2"/>
    <n v="3"/>
    <n v="20.6"/>
    <n v="61.800000000000004"/>
  </r>
  <r>
    <x v="2184"/>
    <x v="8"/>
    <x v="79"/>
    <d v="2025-03-22T00:00:00"/>
    <x v="1"/>
    <x v="4"/>
    <x v="0"/>
    <x v="0"/>
    <x v="3"/>
    <n v="1"/>
    <x v="11"/>
    <x v="1"/>
    <n v="1"/>
    <n v="24.8"/>
    <n v="24.8"/>
  </r>
  <r>
    <x v="2185"/>
    <x v="0"/>
    <x v="79"/>
    <d v="2025-03-24T00:00:00"/>
    <x v="1"/>
    <x v="1"/>
    <x v="0"/>
    <x v="0"/>
    <x v="3"/>
    <n v="3"/>
    <x v="11"/>
    <x v="1"/>
    <n v="7"/>
    <n v="11.2"/>
    <n v="78.399999999999991"/>
  </r>
  <r>
    <x v="2186"/>
    <x v="11"/>
    <x v="79"/>
    <d v="2025-03-22T00:00:00"/>
    <x v="2"/>
    <x v="1"/>
    <x v="2"/>
    <x v="0"/>
    <x v="3"/>
    <n v="1"/>
    <x v="11"/>
    <x v="2"/>
    <n v="2"/>
    <n v="51.2"/>
    <n v="102.4"/>
  </r>
  <r>
    <x v="2187"/>
    <x v="7"/>
    <x v="79"/>
    <d v="2025-03-22T00:00:00"/>
    <x v="2"/>
    <x v="1"/>
    <x v="4"/>
    <x v="0"/>
    <x v="3"/>
    <n v="1"/>
    <x v="11"/>
    <x v="2"/>
    <n v="6"/>
    <n v="90.5"/>
    <n v="543"/>
  </r>
  <r>
    <x v="2188"/>
    <x v="1"/>
    <x v="79"/>
    <d v="2025-03-22T00:00:00"/>
    <x v="1"/>
    <x v="1"/>
    <x v="2"/>
    <x v="0"/>
    <x v="4"/>
    <n v="1"/>
    <x v="11"/>
    <x v="1"/>
    <n v="2"/>
    <n v="42.4"/>
    <n v="84.8"/>
  </r>
  <r>
    <x v="2189"/>
    <x v="1"/>
    <x v="79"/>
    <d v="2025-03-22T00:00:00"/>
    <x v="1"/>
    <x v="0"/>
    <x v="0"/>
    <x v="0"/>
    <x v="5"/>
    <n v="1"/>
    <x v="11"/>
    <x v="1"/>
    <n v="2"/>
    <n v="38.200000000000003"/>
    <n v="76.400000000000006"/>
  </r>
  <r>
    <x v="2190"/>
    <x v="2"/>
    <x v="79"/>
    <d v="2025-03-26T00:00:00"/>
    <x v="1"/>
    <x v="0"/>
    <x v="0"/>
    <x v="0"/>
    <x v="6"/>
    <n v="5"/>
    <x v="11"/>
    <x v="1"/>
    <n v="9"/>
    <n v="121.3"/>
    <n v="1091.7"/>
  </r>
  <r>
    <x v="2191"/>
    <x v="6"/>
    <x v="79"/>
    <d v="2025-03-28T00:00:00"/>
    <x v="1"/>
    <x v="0"/>
    <x v="0"/>
    <x v="0"/>
    <x v="8"/>
    <n v="7"/>
    <x v="11"/>
    <x v="1"/>
    <n v="2"/>
    <n v="46.9"/>
    <n v="93.8"/>
  </r>
  <r>
    <x v="2192"/>
    <x v="10"/>
    <x v="79"/>
    <d v="2025-03-23T00:00:00"/>
    <x v="1"/>
    <x v="0"/>
    <x v="0"/>
    <x v="0"/>
    <x v="8"/>
    <n v="2"/>
    <x v="11"/>
    <x v="1"/>
    <n v="1"/>
    <n v="55.3"/>
    <n v="55.3"/>
  </r>
  <r>
    <x v="2193"/>
    <x v="2"/>
    <x v="80"/>
    <d v="2025-03-22T00:00:00"/>
    <x v="2"/>
    <x v="0"/>
    <x v="1"/>
    <x v="0"/>
    <x v="8"/>
    <n v="0"/>
    <x v="11"/>
    <x v="2"/>
    <n v="3"/>
    <n v="70.599999999999994"/>
    <n v="211.79999999999998"/>
  </r>
  <r>
    <x v="2194"/>
    <x v="14"/>
    <x v="80"/>
    <d v="2025-03-24T00:00:00"/>
    <x v="1"/>
    <x v="0"/>
    <x v="0"/>
    <x v="0"/>
    <x v="8"/>
    <n v="2"/>
    <x v="11"/>
    <x v="1"/>
    <n v="4"/>
    <n v="26.1"/>
    <n v="104.4"/>
  </r>
  <r>
    <x v="2195"/>
    <x v="9"/>
    <x v="80"/>
    <d v="2025-03-26T00:00:00"/>
    <x v="1"/>
    <x v="2"/>
    <x v="0"/>
    <x v="0"/>
    <x v="17"/>
    <n v="4"/>
    <x v="11"/>
    <x v="1"/>
    <n v="11"/>
    <n v="34.5"/>
    <n v="379.5"/>
  </r>
  <r>
    <x v="2196"/>
    <x v="1"/>
    <x v="80"/>
    <d v="2025-03-23T00:00:00"/>
    <x v="2"/>
    <x v="0"/>
    <x v="1"/>
    <x v="0"/>
    <x v="17"/>
    <n v="1"/>
    <x v="11"/>
    <x v="2"/>
    <n v="2"/>
    <n v="64.2"/>
    <n v="128.4"/>
  </r>
  <r>
    <x v="2197"/>
    <x v="2"/>
    <x v="80"/>
    <d v="2025-03-23T00:00:00"/>
    <x v="2"/>
    <x v="0"/>
    <x v="4"/>
    <x v="0"/>
    <x v="17"/>
    <n v="1"/>
    <x v="11"/>
    <x v="2"/>
    <n v="4"/>
    <n v="145.69999999999999"/>
    <n v="582.79999999999995"/>
  </r>
  <r>
    <x v="2198"/>
    <x v="12"/>
    <x v="80"/>
    <d v="2025-03-23T00:00:00"/>
    <x v="1"/>
    <x v="2"/>
    <x v="0"/>
    <x v="0"/>
    <x v="26"/>
    <n v="1"/>
    <x v="11"/>
    <x v="1"/>
    <n v="2"/>
    <n v="78.5"/>
    <n v="157"/>
  </r>
  <r>
    <x v="2199"/>
    <x v="1"/>
    <x v="80"/>
    <d v="2025-03-24T00:00:00"/>
    <x v="1"/>
    <x v="0"/>
    <x v="0"/>
    <x v="0"/>
    <x v="9"/>
    <n v="2"/>
    <x v="11"/>
    <x v="1"/>
    <n v="1"/>
    <n v="34.200000000000003"/>
    <n v="34.200000000000003"/>
  </r>
  <r>
    <x v="2200"/>
    <x v="19"/>
    <x v="80"/>
    <d v="2025-03-23T00:00:00"/>
    <x v="1"/>
    <x v="2"/>
    <x v="0"/>
    <x v="0"/>
    <x v="9"/>
    <n v="1"/>
    <x v="11"/>
    <x v="1"/>
    <n v="1"/>
    <n v="26.2"/>
    <n v="26.2"/>
  </r>
  <r>
    <x v="2201"/>
    <x v="6"/>
    <x v="80"/>
    <d v="2025-03-23T00:00:00"/>
    <x v="1"/>
    <x v="1"/>
    <x v="1"/>
    <x v="0"/>
    <x v="11"/>
    <n v="1"/>
    <x v="11"/>
    <x v="1"/>
    <n v="4"/>
    <n v="53.2"/>
    <n v="212.8"/>
  </r>
  <r>
    <x v="2202"/>
    <x v="1"/>
    <x v="80"/>
    <d v="2025-03-26T00:00:00"/>
    <x v="1"/>
    <x v="1"/>
    <x v="4"/>
    <x v="0"/>
    <x v="18"/>
    <n v="4"/>
    <x v="11"/>
    <x v="1"/>
    <n v="1"/>
    <n v="35.4"/>
    <n v="35.4"/>
  </r>
  <r>
    <x v="2203"/>
    <x v="14"/>
    <x v="80"/>
    <d v="2025-03-23T00:00:00"/>
    <x v="1"/>
    <x v="2"/>
    <x v="0"/>
    <x v="0"/>
    <x v="20"/>
    <n v="1"/>
    <x v="11"/>
    <x v="1"/>
    <n v="2"/>
    <n v="21.3"/>
    <n v="42.6"/>
  </r>
  <r>
    <x v="2204"/>
    <x v="8"/>
    <x v="80"/>
    <d v="2025-03-25T00:00:00"/>
    <x v="2"/>
    <x v="4"/>
    <x v="2"/>
    <x v="0"/>
    <x v="21"/>
    <n v="3"/>
    <x v="11"/>
    <x v="2"/>
    <n v="4"/>
    <n v="32.9"/>
    <n v="131.6"/>
  </r>
  <r>
    <x v="2205"/>
    <x v="5"/>
    <x v="80"/>
    <d v="2025-03-24T00:00:00"/>
    <x v="2"/>
    <x v="3"/>
    <x v="1"/>
    <x v="0"/>
    <x v="21"/>
    <n v="2"/>
    <x v="11"/>
    <x v="2"/>
    <n v="15"/>
    <n v="85.5"/>
    <n v="1282.5"/>
  </r>
  <r>
    <x v="2206"/>
    <x v="4"/>
    <x v="80"/>
    <d v="2025-03-23T00:00:00"/>
    <x v="2"/>
    <x v="0"/>
    <x v="1"/>
    <x v="0"/>
    <x v="2"/>
    <n v="1"/>
    <x v="11"/>
    <x v="2"/>
    <n v="1"/>
    <n v="26.8"/>
    <n v="26.8"/>
  </r>
  <r>
    <x v="2207"/>
    <x v="9"/>
    <x v="80"/>
    <d v="2025-03-22T00:00:00"/>
    <x v="2"/>
    <x v="3"/>
    <x v="0"/>
    <x v="0"/>
    <x v="2"/>
    <n v="0"/>
    <x v="11"/>
    <x v="2"/>
    <n v="26"/>
    <n v="31.7"/>
    <n v="824.19999999999993"/>
  </r>
  <r>
    <x v="2208"/>
    <x v="1"/>
    <x v="80"/>
    <d v="2025-03-24T00:00:00"/>
    <x v="2"/>
    <x v="1"/>
    <x v="1"/>
    <x v="0"/>
    <x v="3"/>
    <n v="2"/>
    <x v="11"/>
    <x v="2"/>
    <n v="2"/>
    <n v="78.3"/>
    <n v="156.6"/>
  </r>
  <r>
    <x v="2209"/>
    <x v="6"/>
    <x v="80"/>
    <d v="2025-03-23T00:00:00"/>
    <x v="1"/>
    <x v="0"/>
    <x v="0"/>
    <x v="0"/>
    <x v="3"/>
    <n v="1"/>
    <x v="11"/>
    <x v="1"/>
    <n v="1"/>
    <n v="43.9"/>
    <n v="43.9"/>
  </r>
  <r>
    <x v="2210"/>
    <x v="18"/>
    <x v="80"/>
    <d v="2025-03-24T00:00:00"/>
    <x v="0"/>
    <x v="3"/>
    <x v="2"/>
    <x v="0"/>
    <x v="3"/>
    <n v="2"/>
    <x v="11"/>
    <x v="0"/>
    <n v="3"/>
    <n v="84"/>
    <n v="252"/>
  </r>
  <r>
    <x v="2211"/>
    <x v="0"/>
    <x v="80"/>
    <d v="2025-03-23T00:00:00"/>
    <x v="1"/>
    <x v="4"/>
    <x v="0"/>
    <x v="0"/>
    <x v="3"/>
    <n v="1"/>
    <x v="11"/>
    <x v="1"/>
    <n v="3"/>
    <n v="11.4"/>
    <n v="34.200000000000003"/>
  </r>
  <r>
    <x v="2212"/>
    <x v="12"/>
    <x v="80"/>
    <d v="2025-03-30T00:00:00"/>
    <x v="2"/>
    <x v="0"/>
    <x v="0"/>
    <x v="0"/>
    <x v="3"/>
    <n v="8"/>
    <x v="11"/>
    <x v="2"/>
    <n v="8"/>
    <n v="47.5"/>
    <n v="380"/>
  </r>
  <r>
    <x v="2213"/>
    <x v="9"/>
    <x v="80"/>
    <d v="2025-03-24T00:00:00"/>
    <x v="1"/>
    <x v="2"/>
    <x v="0"/>
    <x v="0"/>
    <x v="3"/>
    <n v="2"/>
    <x v="11"/>
    <x v="1"/>
    <n v="11"/>
    <n v="50.5"/>
    <n v="555.5"/>
  </r>
  <r>
    <x v="2214"/>
    <x v="15"/>
    <x v="80"/>
    <d v="2025-03-25T00:00:00"/>
    <x v="3"/>
    <x v="0"/>
    <x v="1"/>
    <x v="0"/>
    <x v="8"/>
    <n v="3"/>
    <x v="11"/>
    <x v="3"/>
    <n v="1"/>
    <n v="36.299999999999997"/>
    <n v="36.299999999999997"/>
  </r>
  <r>
    <x v="2215"/>
    <x v="8"/>
    <x v="80"/>
    <d v="2025-03-23T00:00:00"/>
    <x v="2"/>
    <x v="0"/>
    <x v="0"/>
    <x v="0"/>
    <x v="17"/>
    <n v="1"/>
    <x v="11"/>
    <x v="2"/>
    <n v="2"/>
    <n v="35.4"/>
    <n v="70.8"/>
  </r>
  <r>
    <x v="2216"/>
    <x v="1"/>
    <x v="81"/>
    <d v="2025-03-24T00:00:00"/>
    <x v="1"/>
    <x v="3"/>
    <x v="0"/>
    <x v="0"/>
    <x v="9"/>
    <n v="1"/>
    <x v="12"/>
    <x v="1"/>
    <n v="3"/>
    <n v="45.9"/>
    <n v="137.69999999999999"/>
  </r>
  <r>
    <x v="2217"/>
    <x v="6"/>
    <x v="81"/>
    <d v="2025-03-27T00:00:00"/>
    <x v="1"/>
    <x v="0"/>
    <x v="0"/>
    <x v="0"/>
    <x v="11"/>
    <n v="4"/>
    <x v="12"/>
    <x v="1"/>
    <n v="10"/>
    <n v="41.2"/>
    <n v="412"/>
  </r>
  <r>
    <x v="2218"/>
    <x v="17"/>
    <x v="81"/>
    <d v="2025-03-24T00:00:00"/>
    <x v="1"/>
    <x v="1"/>
    <x v="1"/>
    <x v="0"/>
    <x v="21"/>
    <n v="1"/>
    <x v="12"/>
    <x v="1"/>
    <n v="2"/>
    <n v="45.1"/>
    <n v="90.2"/>
  </r>
  <r>
    <x v="2219"/>
    <x v="6"/>
    <x v="81"/>
    <d v="2025-03-23T00:00:00"/>
    <x v="1"/>
    <x v="2"/>
    <x v="0"/>
    <x v="0"/>
    <x v="1"/>
    <n v="0"/>
    <x v="12"/>
    <x v="1"/>
    <n v="10"/>
    <n v="63.6"/>
    <n v="636"/>
  </r>
  <r>
    <x v="2220"/>
    <x v="8"/>
    <x v="81"/>
    <d v="2025-03-24T00:00:00"/>
    <x v="1"/>
    <x v="0"/>
    <x v="0"/>
    <x v="0"/>
    <x v="3"/>
    <n v="1"/>
    <x v="12"/>
    <x v="1"/>
    <n v="1"/>
    <n v="70.5"/>
    <n v="70.5"/>
  </r>
  <r>
    <x v="2221"/>
    <x v="6"/>
    <x v="81"/>
    <d v="2025-03-23T00:00:00"/>
    <x v="1"/>
    <x v="4"/>
    <x v="0"/>
    <x v="0"/>
    <x v="3"/>
    <n v="0"/>
    <x v="12"/>
    <x v="1"/>
    <n v="1"/>
    <n v="41.3"/>
    <n v="41.3"/>
  </r>
  <r>
    <x v="2222"/>
    <x v="4"/>
    <x v="81"/>
    <d v="2025-03-26T00:00:00"/>
    <x v="2"/>
    <x v="4"/>
    <x v="2"/>
    <x v="0"/>
    <x v="3"/>
    <n v="3"/>
    <x v="12"/>
    <x v="2"/>
    <n v="1"/>
    <n v="35.299999999999997"/>
    <n v="35.299999999999997"/>
  </r>
  <r>
    <x v="2223"/>
    <x v="8"/>
    <x v="81"/>
    <d v="2025-03-24T00:00:00"/>
    <x v="2"/>
    <x v="0"/>
    <x v="2"/>
    <x v="0"/>
    <x v="3"/>
    <n v="1"/>
    <x v="12"/>
    <x v="2"/>
    <n v="5"/>
    <n v="34.700000000000003"/>
    <n v="173.5"/>
  </r>
  <r>
    <x v="2224"/>
    <x v="8"/>
    <x v="81"/>
    <d v="2025-03-24T00:00:00"/>
    <x v="2"/>
    <x v="0"/>
    <x v="0"/>
    <x v="0"/>
    <x v="3"/>
    <n v="1"/>
    <x v="12"/>
    <x v="2"/>
    <n v="3"/>
    <n v="26.1"/>
    <n v="78.300000000000011"/>
  </r>
  <r>
    <x v="2225"/>
    <x v="9"/>
    <x v="81"/>
    <d v="2025-03-23T00:00:00"/>
    <x v="2"/>
    <x v="1"/>
    <x v="2"/>
    <x v="0"/>
    <x v="3"/>
    <n v="0"/>
    <x v="12"/>
    <x v="2"/>
    <n v="5"/>
    <n v="22.6"/>
    <n v="113"/>
  </r>
  <r>
    <x v="2226"/>
    <x v="2"/>
    <x v="81"/>
    <d v="2025-03-26T00:00:00"/>
    <x v="1"/>
    <x v="1"/>
    <x v="1"/>
    <x v="0"/>
    <x v="3"/>
    <n v="3"/>
    <x v="12"/>
    <x v="1"/>
    <n v="2"/>
    <n v="154.4"/>
    <n v="308.8"/>
  </r>
  <r>
    <x v="2227"/>
    <x v="8"/>
    <x v="81"/>
    <d v="2025-03-24T00:00:00"/>
    <x v="1"/>
    <x v="0"/>
    <x v="0"/>
    <x v="0"/>
    <x v="3"/>
    <n v="1"/>
    <x v="12"/>
    <x v="1"/>
    <n v="2"/>
    <n v="18.399999999999999"/>
    <n v="36.799999999999997"/>
  </r>
  <r>
    <x v="2228"/>
    <x v="14"/>
    <x v="81"/>
    <d v="2025-03-26T00:00:00"/>
    <x v="2"/>
    <x v="0"/>
    <x v="0"/>
    <x v="0"/>
    <x v="3"/>
    <n v="3"/>
    <x v="12"/>
    <x v="2"/>
    <n v="1"/>
    <n v="25"/>
    <n v="25"/>
  </r>
  <r>
    <x v="2229"/>
    <x v="2"/>
    <x v="81"/>
    <d v="2025-03-23T00:00:00"/>
    <x v="2"/>
    <x v="0"/>
    <x v="0"/>
    <x v="0"/>
    <x v="3"/>
    <n v="0"/>
    <x v="12"/>
    <x v="2"/>
    <n v="6"/>
    <n v="105.6"/>
    <n v="633.59999999999991"/>
  </r>
  <r>
    <x v="2230"/>
    <x v="18"/>
    <x v="81"/>
    <d v="2025-03-23T00:00:00"/>
    <x v="2"/>
    <x v="0"/>
    <x v="2"/>
    <x v="0"/>
    <x v="23"/>
    <n v="0"/>
    <x v="12"/>
    <x v="2"/>
    <n v="8"/>
    <n v="59.6"/>
    <n v="476.8"/>
  </r>
  <r>
    <x v="2231"/>
    <x v="15"/>
    <x v="81"/>
    <d v="2025-03-28T00:00:00"/>
    <x v="1"/>
    <x v="0"/>
    <x v="1"/>
    <x v="0"/>
    <x v="7"/>
    <n v="5"/>
    <x v="12"/>
    <x v="1"/>
    <n v="3"/>
    <n v="75.400000000000006"/>
    <n v="226.20000000000002"/>
  </r>
  <r>
    <x v="2232"/>
    <x v="7"/>
    <x v="81"/>
    <d v="2025-03-24T00:00:00"/>
    <x v="2"/>
    <x v="0"/>
    <x v="0"/>
    <x v="0"/>
    <x v="8"/>
    <n v="1"/>
    <x v="12"/>
    <x v="2"/>
    <n v="1"/>
    <n v="104.4"/>
    <n v="104.4"/>
  </r>
  <r>
    <x v="2233"/>
    <x v="2"/>
    <x v="81"/>
    <d v="2025-03-24T00:00:00"/>
    <x v="1"/>
    <x v="0"/>
    <x v="2"/>
    <x v="0"/>
    <x v="8"/>
    <n v="1"/>
    <x v="12"/>
    <x v="1"/>
    <n v="10"/>
    <n v="208.2"/>
    <n v="2082"/>
  </r>
  <r>
    <x v="2234"/>
    <x v="6"/>
    <x v="81"/>
    <d v="2025-03-26T00:00:00"/>
    <x v="2"/>
    <x v="0"/>
    <x v="0"/>
    <x v="0"/>
    <x v="10"/>
    <n v="3"/>
    <x v="12"/>
    <x v="2"/>
    <n v="2"/>
    <n v="45"/>
    <n v="90"/>
  </r>
  <r>
    <x v="2235"/>
    <x v="15"/>
    <x v="82"/>
    <d v="2025-03-26T00:00:00"/>
    <x v="0"/>
    <x v="1"/>
    <x v="0"/>
    <x v="0"/>
    <x v="11"/>
    <n v="2"/>
    <x v="12"/>
    <x v="0"/>
    <n v="2"/>
    <n v="20.3"/>
    <n v="40.6"/>
  </r>
  <r>
    <x v="2236"/>
    <x v="2"/>
    <x v="82"/>
    <d v="2025-03-25T00:00:00"/>
    <x v="2"/>
    <x v="0"/>
    <x v="2"/>
    <x v="0"/>
    <x v="11"/>
    <n v="1"/>
    <x v="12"/>
    <x v="2"/>
    <n v="3"/>
    <n v="94.4"/>
    <n v="283.20000000000005"/>
  </r>
  <r>
    <x v="2237"/>
    <x v="9"/>
    <x v="82"/>
    <d v="2025-03-26T00:00:00"/>
    <x v="2"/>
    <x v="0"/>
    <x v="2"/>
    <x v="0"/>
    <x v="20"/>
    <n v="2"/>
    <x v="12"/>
    <x v="2"/>
    <n v="1"/>
    <n v="49"/>
    <n v="49"/>
  </r>
  <r>
    <x v="2238"/>
    <x v="4"/>
    <x v="82"/>
    <d v="2025-03-26T00:00:00"/>
    <x v="1"/>
    <x v="0"/>
    <x v="2"/>
    <x v="0"/>
    <x v="1"/>
    <n v="2"/>
    <x v="12"/>
    <x v="1"/>
    <n v="2"/>
    <n v="27.2"/>
    <n v="54.4"/>
  </r>
  <r>
    <x v="2239"/>
    <x v="2"/>
    <x v="82"/>
    <d v="2025-03-25T00:00:00"/>
    <x v="2"/>
    <x v="0"/>
    <x v="2"/>
    <x v="0"/>
    <x v="2"/>
    <n v="1"/>
    <x v="12"/>
    <x v="2"/>
    <n v="6"/>
    <n v="72.599999999999994"/>
    <n v="435.59999999999997"/>
  </r>
  <r>
    <x v="2240"/>
    <x v="15"/>
    <x v="82"/>
    <d v="2025-03-25T00:00:00"/>
    <x v="2"/>
    <x v="0"/>
    <x v="0"/>
    <x v="0"/>
    <x v="3"/>
    <n v="1"/>
    <x v="12"/>
    <x v="2"/>
    <n v="4"/>
    <n v="62.4"/>
    <n v="249.6"/>
  </r>
  <r>
    <x v="2241"/>
    <x v="8"/>
    <x v="82"/>
    <d v="2025-03-26T00:00:00"/>
    <x v="1"/>
    <x v="0"/>
    <x v="1"/>
    <x v="0"/>
    <x v="3"/>
    <n v="2"/>
    <x v="12"/>
    <x v="1"/>
    <n v="3"/>
    <n v="19.100000000000001"/>
    <n v="57.300000000000004"/>
  </r>
  <r>
    <x v="2242"/>
    <x v="10"/>
    <x v="82"/>
    <d v="2025-03-28T00:00:00"/>
    <x v="1"/>
    <x v="0"/>
    <x v="4"/>
    <x v="0"/>
    <x v="3"/>
    <n v="4"/>
    <x v="12"/>
    <x v="1"/>
    <n v="1"/>
    <n v="29.6"/>
    <n v="29.6"/>
  </r>
  <r>
    <x v="2243"/>
    <x v="8"/>
    <x v="82"/>
    <d v="2025-03-26T00:00:00"/>
    <x v="2"/>
    <x v="4"/>
    <x v="2"/>
    <x v="0"/>
    <x v="3"/>
    <n v="2"/>
    <x v="12"/>
    <x v="2"/>
    <n v="2"/>
    <n v="18.899999999999999"/>
    <n v="37.799999999999997"/>
  </r>
  <r>
    <x v="2244"/>
    <x v="10"/>
    <x v="82"/>
    <d v="2025-03-25T00:00:00"/>
    <x v="1"/>
    <x v="3"/>
    <x v="0"/>
    <x v="0"/>
    <x v="3"/>
    <n v="1"/>
    <x v="12"/>
    <x v="1"/>
    <n v="5"/>
    <n v="41.4"/>
    <n v="207"/>
  </r>
  <r>
    <x v="2245"/>
    <x v="2"/>
    <x v="82"/>
    <d v="2025-03-25T00:00:00"/>
    <x v="2"/>
    <x v="0"/>
    <x v="2"/>
    <x v="0"/>
    <x v="3"/>
    <n v="1"/>
    <x v="12"/>
    <x v="2"/>
    <n v="1"/>
    <n v="118.4"/>
    <n v="118.4"/>
  </r>
  <r>
    <x v="2246"/>
    <x v="2"/>
    <x v="82"/>
    <d v="2025-03-27T00:00:00"/>
    <x v="2"/>
    <x v="0"/>
    <x v="2"/>
    <x v="0"/>
    <x v="3"/>
    <n v="3"/>
    <x v="12"/>
    <x v="2"/>
    <n v="2"/>
    <n v="125.3"/>
    <n v="250.6"/>
  </r>
  <r>
    <x v="2247"/>
    <x v="3"/>
    <x v="82"/>
    <d v="2025-03-25T00:00:00"/>
    <x v="2"/>
    <x v="1"/>
    <x v="4"/>
    <x v="0"/>
    <x v="3"/>
    <n v="1"/>
    <x v="12"/>
    <x v="2"/>
    <n v="2"/>
    <n v="85.8"/>
    <n v="171.6"/>
  </r>
  <r>
    <x v="2248"/>
    <x v="6"/>
    <x v="82"/>
    <d v="2025-03-27T00:00:00"/>
    <x v="1"/>
    <x v="1"/>
    <x v="0"/>
    <x v="0"/>
    <x v="3"/>
    <n v="3"/>
    <x v="12"/>
    <x v="1"/>
    <n v="1"/>
    <n v="44.2"/>
    <n v="44.2"/>
  </r>
  <r>
    <x v="2249"/>
    <x v="5"/>
    <x v="82"/>
    <d v="2025-03-26T00:00:00"/>
    <x v="2"/>
    <x v="0"/>
    <x v="0"/>
    <x v="0"/>
    <x v="3"/>
    <n v="2"/>
    <x v="12"/>
    <x v="2"/>
    <n v="4"/>
    <n v="74.099999999999994"/>
    <n v="296.39999999999998"/>
  </r>
  <r>
    <x v="2250"/>
    <x v="8"/>
    <x v="82"/>
    <d v="2025-03-25T00:00:00"/>
    <x v="2"/>
    <x v="2"/>
    <x v="2"/>
    <x v="0"/>
    <x v="24"/>
    <n v="1"/>
    <x v="12"/>
    <x v="2"/>
    <n v="1"/>
    <n v="33.799999999999997"/>
    <n v="33.799999999999997"/>
  </r>
  <r>
    <x v="2251"/>
    <x v="1"/>
    <x v="82"/>
    <d v="2025-03-25T00:00:00"/>
    <x v="1"/>
    <x v="0"/>
    <x v="1"/>
    <x v="0"/>
    <x v="24"/>
    <n v="1"/>
    <x v="12"/>
    <x v="1"/>
    <n v="2"/>
    <n v="39.1"/>
    <n v="78.2"/>
  </r>
  <r>
    <x v="2252"/>
    <x v="0"/>
    <x v="82"/>
    <d v="2025-03-25T00:00:00"/>
    <x v="1"/>
    <x v="0"/>
    <x v="1"/>
    <x v="0"/>
    <x v="16"/>
    <n v="1"/>
    <x v="12"/>
    <x v="1"/>
    <n v="1"/>
    <n v="37.200000000000003"/>
    <n v="37.200000000000003"/>
  </r>
  <r>
    <x v="2253"/>
    <x v="15"/>
    <x v="82"/>
    <d v="2025-03-26T00:00:00"/>
    <x v="1"/>
    <x v="2"/>
    <x v="0"/>
    <x v="0"/>
    <x v="6"/>
    <n v="2"/>
    <x v="12"/>
    <x v="1"/>
    <n v="3"/>
    <n v="33.9"/>
    <n v="101.69999999999999"/>
  </r>
  <r>
    <x v="2254"/>
    <x v="7"/>
    <x v="82"/>
    <d v="2025-03-27T00:00:00"/>
    <x v="2"/>
    <x v="2"/>
    <x v="1"/>
    <x v="0"/>
    <x v="8"/>
    <n v="3"/>
    <x v="12"/>
    <x v="2"/>
    <n v="15"/>
    <n v="73.3"/>
    <n v="1099.5"/>
  </r>
  <r>
    <x v="2255"/>
    <x v="8"/>
    <x v="82"/>
    <d v="2025-03-26T00:00:00"/>
    <x v="2"/>
    <x v="1"/>
    <x v="0"/>
    <x v="0"/>
    <x v="8"/>
    <n v="2"/>
    <x v="12"/>
    <x v="2"/>
    <n v="4"/>
    <n v="35"/>
    <n v="140"/>
  </r>
  <r>
    <x v="2256"/>
    <x v="0"/>
    <x v="82"/>
    <d v="2025-03-25T00:00:00"/>
    <x v="1"/>
    <x v="1"/>
    <x v="0"/>
    <x v="0"/>
    <x v="17"/>
    <n v="1"/>
    <x v="12"/>
    <x v="1"/>
    <n v="3"/>
    <n v="22.2"/>
    <n v="66.599999999999994"/>
  </r>
  <r>
    <x v="2257"/>
    <x v="10"/>
    <x v="82"/>
    <d v="2025-03-25T00:00:00"/>
    <x v="2"/>
    <x v="0"/>
    <x v="0"/>
    <x v="0"/>
    <x v="11"/>
    <n v="1"/>
    <x v="12"/>
    <x v="2"/>
    <n v="1"/>
    <n v="32.4"/>
    <n v="32.4"/>
  </r>
  <r>
    <x v="2258"/>
    <x v="5"/>
    <x v="83"/>
    <d v="2025-03-27T00:00:00"/>
    <x v="2"/>
    <x v="1"/>
    <x v="1"/>
    <x v="0"/>
    <x v="11"/>
    <n v="2"/>
    <x v="12"/>
    <x v="2"/>
    <n v="3"/>
    <n v="88.4"/>
    <n v="265.20000000000005"/>
  </r>
  <r>
    <x v="2259"/>
    <x v="5"/>
    <x v="83"/>
    <d v="2025-03-26T00:00:00"/>
    <x v="2"/>
    <x v="2"/>
    <x v="0"/>
    <x v="0"/>
    <x v="11"/>
    <n v="1"/>
    <x v="12"/>
    <x v="2"/>
    <n v="16"/>
    <n v="30.5"/>
    <n v="488"/>
  </r>
  <r>
    <x v="2260"/>
    <x v="1"/>
    <x v="83"/>
    <d v="2025-03-27T00:00:00"/>
    <x v="2"/>
    <x v="0"/>
    <x v="1"/>
    <x v="0"/>
    <x v="11"/>
    <n v="2"/>
    <x v="12"/>
    <x v="2"/>
    <n v="6"/>
    <n v="38.1"/>
    <n v="228.60000000000002"/>
  </r>
  <r>
    <x v="2261"/>
    <x v="10"/>
    <x v="83"/>
    <d v="2025-03-29T00:00:00"/>
    <x v="1"/>
    <x v="0"/>
    <x v="0"/>
    <x v="0"/>
    <x v="11"/>
    <n v="4"/>
    <x v="12"/>
    <x v="1"/>
    <n v="5"/>
    <n v="37.6"/>
    <n v="188"/>
  </r>
  <r>
    <x v="2262"/>
    <x v="15"/>
    <x v="83"/>
    <d v="2025-03-26T00:00:00"/>
    <x v="1"/>
    <x v="0"/>
    <x v="2"/>
    <x v="0"/>
    <x v="11"/>
    <n v="1"/>
    <x v="12"/>
    <x v="1"/>
    <n v="2"/>
    <n v="31.4"/>
    <n v="62.8"/>
  </r>
  <r>
    <x v="2263"/>
    <x v="6"/>
    <x v="83"/>
    <d v="2025-03-26T00:00:00"/>
    <x v="1"/>
    <x v="3"/>
    <x v="0"/>
    <x v="0"/>
    <x v="31"/>
    <n v="1"/>
    <x v="12"/>
    <x v="1"/>
    <n v="2"/>
    <n v="61.5"/>
    <n v="123"/>
  </r>
  <r>
    <x v="2264"/>
    <x v="6"/>
    <x v="83"/>
    <d v="2025-03-26T00:00:00"/>
    <x v="1"/>
    <x v="0"/>
    <x v="1"/>
    <x v="0"/>
    <x v="21"/>
    <n v="1"/>
    <x v="12"/>
    <x v="1"/>
    <n v="1"/>
    <n v="72.599999999999994"/>
    <n v="72.599999999999994"/>
  </r>
  <r>
    <x v="2265"/>
    <x v="9"/>
    <x v="83"/>
    <d v="2025-03-30T00:00:00"/>
    <x v="3"/>
    <x v="4"/>
    <x v="1"/>
    <x v="0"/>
    <x v="46"/>
    <n v="5"/>
    <x v="12"/>
    <x v="3"/>
    <n v="3"/>
    <n v="26.9"/>
    <n v="80.699999999999989"/>
  </r>
  <r>
    <x v="2266"/>
    <x v="17"/>
    <x v="83"/>
    <d v="2025-03-26T00:00:00"/>
    <x v="2"/>
    <x v="1"/>
    <x v="0"/>
    <x v="0"/>
    <x v="51"/>
    <n v="1"/>
    <x v="12"/>
    <x v="2"/>
    <n v="12"/>
    <n v="29.4"/>
    <n v="352.79999999999995"/>
  </r>
  <r>
    <x v="2267"/>
    <x v="17"/>
    <x v="83"/>
    <d v="2025-03-26T00:00:00"/>
    <x v="2"/>
    <x v="3"/>
    <x v="1"/>
    <x v="0"/>
    <x v="1"/>
    <n v="1"/>
    <x v="12"/>
    <x v="2"/>
    <n v="2"/>
    <n v="42.1"/>
    <n v="84.2"/>
  </r>
  <r>
    <x v="2268"/>
    <x v="5"/>
    <x v="83"/>
    <d v="2025-03-26T00:00:00"/>
    <x v="2"/>
    <x v="2"/>
    <x v="1"/>
    <x v="0"/>
    <x v="1"/>
    <n v="1"/>
    <x v="12"/>
    <x v="2"/>
    <n v="1"/>
    <n v="40.5"/>
    <n v="40.5"/>
  </r>
  <r>
    <x v="2269"/>
    <x v="2"/>
    <x v="83"/>
    <d v="2025-03-26T00:00:00"/>
    <x v="2"/>
    <x v="1"/>
    <x v="0"/>
    <x v="0"/>
    <x v="1"/>
    <n v="1"/>
    <x v="12"/>
    <x v="2"/>
    <n v="4"/>
    <n v="182.3"/>
    <n v="729.2"/>
  </r>
  <r>
    <x v="2270"/>
    <x v="2"/>
    <x v="83"/>
    <d v="2025-03-28T00:00:00"/>
    <x v="2"/>
    <x v="1"/>
    <x v="2"/>
    <x v="0"/>
    <x v="2"/>
    <n v="3"/>
    <x v="12"/>
    <x v="2"/>
    <n v="5"/>
    <n v="157"/>
    <n v="785"/>
  </r>
  <r>
    <x v="2271"/>
    <x v="17"/>
    <x v="83"/>
    <d v="2025-03-28T00:00:00"/>
    <x v="2"/>
    <x v="1"/>
    <x v="0"/>
    <x v="0"/>
    <x v="22"/>
    <n v="3"/>
    <x v="12"/>
    <x v="2"/>
    <n v="5"/>
    <n v="45.2"/>
    <n v="226"/>
  </r>
  <r>
    <x v="2272"/>
    <x v="15"/>
    <x v="83"/>
    <d v="2025-03-27T00:00:00"/>
    <x v="2"/>
    <x v="0"/>
    <x v="0"/>
    <x v="0"/>
    <x v="3"/>
    <n v="2"/>
    <x v="12"/>
    <x v="2"/>
    <n v="4"/>
    <n v="27.4"/>
    <n v="109.6"/>
  </r>
  <r>
    <x v="2273"/>
    <x v="5"/>
    <x v="83"/>
    <d v="2025-03-27T00:00:00"/>
    <x v="1"/>
    <x v="0"/>
    <x v="2"/>
    <x v="0"/>
    <x v="3"/>
    <n v="2"/>
    <x v="12"/>
    <x v="1"/>
    <n v="5"/>
    <n v="34.1"/>
    <n v="170.5"/>
  </r>
  <r>
    <x v="2274"/>
    <x v="0"/>
    <x v="83"/>
    <d v="2025-03-27T00:00:00"/>
    <x v="1"/>
    <x v="2"/>
    <x v="1"/>
    <x v="0"/>
    <x v="3"/>
    <n v="2"/>
    <x v="12"/>
    <x v="1"/>
    <n v="2"/>
    <n v="26"/>
    <n v="52"/>
  </r>
  <r>
    <x v="2275"/>
    <x v="8"/>
    <x v="83"/>
    <d v="2025-03-27T00:00:00"/>
    <x v="0"/>
    <x v="1"/>
    <x v="1"/>
    <x v="0"/>
    <x v="3"/>
    <n v="2"/>
    <x v="12"/>
    <x v="0"/>
    <n v="7"/>
    <n v="19.399999999999999"/>
    <n v="135.79999999999998"/>
  </r>
  <r>
    <x v="2276"/>
    <x v="16"/>
    <x v="83"/>
    <d v="2025-03-28T00:00:00"/>
    <x v="2"/>
    <x v="1"/>
    <x v="2"/>
    <x v="0"/>
    <x v="3"/>
    <n v="3"/>
    <x v="12"/>
    <x v="2"/>
    <n v="3"/>
    <n v="30.3"/>
    <n v="90.9"/>
  </r>
  <r>
    <x v="2277"/>
    <x v="2"/>
    <x v="83"/>
    <d v="2025-03-26T00:00:00"/>
    <x v="1"/>
    <x v="0"/>
    <x v="0"/>
    <x v="0"/>
    <x v="3"/>
    <n v="1"/>
    <x v="12"/>
    <x v="1"/>
    <n v="3"/>
    <n v="101.4"/>
    <n v="304.20000000000005"/>
  </r>
  <r>
    <x v="2278"/>
    <x v="3"/>
    <x v="83"/>
    <d v="2025-03-28T00:00:00"/>
    <x v="1"/>
    <x v="1"/>
    <x v="0"/>
    <x v="0"/>
    <x v="24"/>
    <n v="3"/>
    <x v="12"/>
    <x v="1"/>
    <n v="5"/>
    <n v="55.5"/>
    <n v="277.5"/>
  </r>
  <r>
    <x v="2279"/>
    <x v="8"/>
    <x v="83"/>
    <d v="2025-03-26T00:00:00"/>
    <x v="1"/>
    <x v="0"/>
    <x v="0"/>
    <x v="0"/>
    <x v="25"/>
    <n v="1"/>
    <x v="12"/>
    <x v="1"/>
    <n v="1"/>
    <n v="23.1"/>
    <n v="23.1"/>
  </r>
  <r>
    <x v="2280"/>
    <x v="18"/>
    <x v="83"/>
    <d v="2025-03-26T00:00:00"/>
    <x v="1"/>
    <x v="2"/>
    <x v="0"/>
    <x v="0"/>
    <x v="25"/>
    <n v="1"/>
    <x v="12"/>
    <x v="1"/>
    <n v="2"/>
    <n v="38.9"/>
    <n v="77.8"/>
  </r>
  <r>
    <x v="2281"/>
    <x v="6"/>
    <x v="83"/>
    <d v="2025-03-29T00:00:00"/>
    <x v="2"/>
    <x v="0"/>
    <x v="0"/>
    <x v="0"/>
    <x v="5"/>
    <n v="4"/>
    <x v="12"/>
    <x v="2"/>
    <n v="9"/>
    <n v="116.3"/>
    <n v="1046.7"/>
  </r>
  <r>
    <x v="2282"/>
    <x v="16"/>
    <x v="83"/>
    <d v="2025-03-25T00:00:00"/>
    <x v="2"/>
    <x v="0"/>
    <x v="2"/>
    <x v="0"/>
    <x v="6"/>
    <n v="0"/>
    <x v="12"/>
    <x v="2"/>
    <n v="9"/>
    <n v="64.099999999999994"/>
    <n v="576.9"/>
  </r>
  <r>
    <x v="2283"/>
    <x v="2"/>
    <x v="83"/>
    <d v="2025-03-27T00:00:00"/>
    <x v="1"/>
    <x v="0"/>
    <x v="1"/>
    <x v="0"/>
    <x v="8"/>
    <n v="2"/>
    <x v="12"/>
    <x v="1"/>
    <n v="6"/>
    <n v="109.2"/>
    <n v="655.20000000000005"/>
  </r>
  <r>
    <x v="2284"/>
    <x v="10"/>
    <x v="84"/>
    <d v="2025-03-27T00:00:00"/>
    <x v="1"/>
    <x v="0"/>
    <x v="1"/>
    <x v="0"/>
    <x v="8"/>
    <n v="1"/>
    <x v="12"/>
    <x v="1"/>
    <n v="5"/>
    <n v="23.2"/>
    <n v="116"/>
  </r>
  <r>
    <x v="2285"/>
    <x v="18"/>
    <x v="84"/>
    <d v="2025-03-28T00:00:00"/>
    <x v="1"/>
    <x v="2"/>
    <x v="2"/>
    <x v="0"/>
    <x v="8"/>
    <n v="2"/>
    <x v="12"/>
    <x v="1"/>
    <n v="6"/>
    <n v="81.2"/>
    <n v="487.20000000000005"/>
  </r>
  <r>
    <x v="2286"/>
    <x v="1"/>
    <x v="84"/>
    <d v="2025-03-27T00:00:00"/>
    <x v="1"/>
    <x v="3"/>
    <x v="0"/>
    <x v="0"/>
    <x v="8"/>
    <n v="1"/>
    <x v="12"/>
    <x v="1"/>
    <n v="14"/>
    <n v="35.700000000000003"/>
    <n v="499.80000000000007"/>
  </r>
  <r>
    <x v="2287"/>
    <x v="7"/>
    <x v="84"/>
    <d v="2025-03-29T00:00:00"/>
    <x v="1"/>
    <x v="4"/>
    <x v="0"/>
    <x v="0"/>
    <x v="9"/>
    <n v="3"/>
    <x v="12"/>
    <x v="1"/>
    <n v="2"/>
    <n v="44.5"/>
    <n v="89"/>
  </r>
  <r>
    <x v="2288"/>
    <x v="1"/>
    <x v="84"/>
    <d v="2025-03-28T00:00:00"/>
    <x v="3"/>
    <x v="1"/>
    <x v="1"/>
    <x v="0"/>
    <x v="9"/>
    <n v="2"/>
    <x v="12"/>
    <x v="3"/>
    <n v="5"/>
    <n v="32"/>
    <n v="160"/>
  </r>
  <r>
    <x v="2289"/>
    <x v="8"/>
    <x v="84"/>
    <d v="2025-03-27T00:00:00"/>
    <x v="1"/>
    <x v="0"/>
    <x v="0"/>
    <x v="0"/>
    <x v="10"/>
    <n v="1"/>
    <x v="12"/>
    <x v="1"/>
    <n v="1"/>
    <n v="25.7"/>
    <n v="25.7"/>
  </r>
  <r>
    <x v="2290"/>
    <x v="16"/>
    <x v="84"/>
    <d v="2025-04-01T00:00:00"/>
    <x v="1"/>
    <x v="0"/>
    <x v="0"/>
    <x v="0"/>
    <x v="11"/>
    <n v="6"/>
    <x v="12"/>
    <x v="1"/>
    <n v="3"/>
    <n v="65.599999999999994"/>
    <n v="196.79999999999998"/>
  </r>
  <r>
    <x v="2291"/>
    <x v="1"/>
    <x v="84"/>
    <d v="2025-03-27T00:00:00"/>
    <x v="2"/>
    <x v="0"/>
    <x v="2"/>
    <x v="0"/>
    <x v="11"/>
    <n v="1"/>
    <x v="12"/>
    <x v="2"/>
    <n v="4"/>
    <n v="52.1"/>
    <n v="208.4"/>
  </r>
  <r>
    <x v="2292"/>
    <x v="8"/>
    <x v="84"/>
    <d v="2025-03-27T00:00:00"/>
    <x v="1"/>
    <x v="0"/>
    <x v="1"/>
    <x v="0"/>
    <x v="19"/>
    <n v="1"/>
    <x v="12"/>
    <x v="1"/>
    <n v="1"/>
    <n v="31"/>
    <n v="31"/>
  </r>
  <r>
    <x v="2293"/>
    <x v="8"/>
    <x v="84"/>
    <d v="2025-03-28T00:00:00"/>
    <x v="3"/>
    <x v="3"/>
    <x v="1"/>
    <x v="0"/>
    <x v="31"/>
    <n v="2"/>
    <x v="12"/>
    <x v="3"/>
    <n v="1"/>
    <n v="32"/>
    <n v="32"/>
  </r>
  <r>
    <x v="2294"/>
    <x v="16"/>
    <x v="84"/>
    <d v="2025-03-30T00:00:00"/>
    <x v="1"/>
    <x v="1"/>
    <x v="4"/>
    <x v="0"/>
    <x v="20"/>
    <n v="4"/>
    <x v="12"/>
    <x v="1"/>
    <n v="4"/>
    <n v="58.3"/>
    <n v="233.2"/>
  </r>
  <r>
    <x v="2295"/>
    <x v="8"/>
    <x v="84"/>
    <d v="2025-03-28T00:00:00"/>
    <x v="2"/>
    <x v="2"/>
    <x v="4"/>
    <x v="0"/>
    <x v="13"/>
    <n v="2"/>
    <x v="12"/>
    <x v="2"/>
    <n v="3"/>
    <n v="31"/>
    <n v="93"/>
  </r>
  <r>
    <x v="2296"/>
    <x v="3"/>
    <x v="84"/>
    <d v="2025-03-27T00:00:00"/>
    <x v="1"/>
    <x v="1"/>
    <x v="2"/>
    <x v="0"/>
    <x v="54"/>
    <n v="1"/>
    <x v="12"/>
    <x v="1"/>
    <n v="1"/>
    <n v="40.299999999999997"/>
    <n v="40.299999999999997"/>
  </r>
  <r>
    <x v="2297"/>
    <x v="6"/>
    <x v="84"/>
    <d v="2025-03-28T00:00:00"/>
    <x v="1"/>
    <x v="4"/>
    <x v="2"/>
    <x v="0"/>
    <x v="2"/>
    <n v="2"/>
    <x v="12"/>
    <x v="1"/>
    <n v="3"/>
    <n v="47.3"/>
    <n v="141.89999999999998"/>
  </r>
  <r>
    <x v="2298"/>
    <x v="2"/>
    <x v="84"/>
    <d v="2025-03-27T00:00:00"/>
    <x v="1"/>
    <x v="0"/>
    <x v="0"/>
    <x v="0"/>
    <x v="2"/>
    <n v="1"/>
    <x v="12"/>
    <x v="1"/>
    <n v="1"/>
    <n v="82.8"/>
    <n v="82.8"/>
  </r>
  <r>
    <x v="2299"/>
    <x v="8"/>
    <x v="84"/>
    <d v="2025-04-09T00:00:00"/>
    <x v="2"/>
    <x v="0"/>
    <x v="0"/>
    <x v="0"/>
    <x v="44"/>
    <n v="14"/>
    <x v="12"/>
    <x v="2"/>
    <n v="1"/>
    <n v="18.5"/>
    <n v="18.5"/>
  </r>
  <r>
    <x v="2300"/>
    <x v="3"/>
    <x v="84"/>
    <d v="2025-03-27T00:00:00"/>
    <x v="1"/>
    <x v="2"/>
    <x v="0"/>
    <x v="0"/>
    <x v="22"/>
    <n v="1"/>
    <x v="12"/>
    <x v="1"/>
    <n v="2"/>
    <n v="60.4"/>
    <n v="120.8"/>
  </r>
  <r>
    <x v="2301"/>
    <x v="6"/>
    <x v="84"/>
    <d v="2025-04-02T00:00:00"/>
    <x v="1"/>
    <x v="1"/>
    <x v="1"/>
    <x v="0"/>
    <x v="50"/>
    <n v="7"/>
    <x v="12"/>
    <x v="1"/>
    <n v="5"/>
    <n v="80.2"/>
    <n v="401"/>
  </r>
  <r>
    <x v="2302"/>
    <x v="4"/>
    <x v="84"/>
    <d v="2025-03-28T00:00:00"/>
    <x v="1"/>
    <x v="2"/>
    <x v="0"/>
    <x v="0"/>
    <x v="3"/>
    <n v="2"/>
    <x v="12"/>
    <x v="1"/>
    <n v="1"/>
    <n v="41.5"/>
    <n v="41.5"/>
  </r>
  <r>
    <x v="2303"/>
    <x v="2"/>
    <x v="84"/>
    <d v="2025-03-29T00:00:00"/>
    <x v="2"/>
    <x v="0"/>
    <x v="0"/>
    <x v="0"/>
    <x v="3"/>
    <n v="3"/>
    <x v="12"/>
    <x v="2"/>
    <n v="2"/>
    <n v="83.9"/>
    <n v="167.8"/>
  </r>
  <r>
    <x v="2304"/>
    <x v="8"/>
    <x v="84"/>
    <d v="2025-03-30T00:00:00"/>
    <x v="2"/>
    <x v="0"/>
    <x v="1"/>
    <x v="0"/>
    <x v="3"/>
    <n v="4"/>
    <x v="12"/>
    <x v="2"/>
    <n v="2"/>
    <n v="16.7"/>
    <n v="33.4"/>
  </r>
  <r>
    <x v="2305"/>
    <x v="9"/>
    <x v="84"/>
    <d v="2025-03-27T00:00:00"/>
    <x v="1"/>
    <x v="2"/>
    <x v="1"/>
    <x v="0"/>
    <x v="3"/>
    <n v="1"/>
    <x v="12"/>
    <x v="1"/>
    <n v="2"/>
    <n v="72.900000000000006"/>
    <n v="145.80000000000001"/>
  </r>
  <r>
    <x v="2306"/>
    <x v="5"/>
    <x v="84"/>
    <d v="2025-03-28T00:00:00"/>
    <x v="2"/>
    <x v="1"/>
    <x v="2"/>
    <x v="0"/>
    <x v="3"/>
    <n v="2"/>
    <x v="12"/>
    <x v="2"/>
    <n v="2"/>
    <n v="50.2"/>
    <n v="100.4"/>
  </r>
  <r>
    <x v="2307"/>
    <x v="3"/>
    <x v="84"/>
    <d v="2025-04-05T00:00:00"/>
    <x v="0"/>
    <x v="1"/>
    <x v="0"/>
    <x v="0"/>
    <x v="3"/>
    <n v="10"/>
    <x v="12"/>
    <x v="0"/>
    <n v="2"/>
    <n v="34.200000000000003"/>
    <n v="68.400000000000006"/>
  </r>
  <r>
    <x v="2308"/>
    <x v="5"/>
    <x v="84"/>
    <d v="2025-03-26T00:00:00"/>
    <x v="1"/>
    <x v="1"/>
    <x v="4"/>
    <x v="0"/>
    <x v="3"/>
    <n v="0"/>
    <x v="12"/>
    <x v="1"/>
    <n v="2"/>
    <n v="107.9"/>
    <n v="215.8"/>
  </r>
  <r>
    <x v="2309"/>
    <x v="0"/>
    <x v="84"/>
    <d v="2025-03-28T00:00:00"/>
    <x v="1"/>
    <x v="4"/>
    <x v="0"/>
    <x v="0"/>
    <x v="3"/>
    <n v="2"/>
    <x v="12"/>
    <x v="1"/>
    <n v="3"/>
    <n v="17.5"/>
    <n v="52.5"/>
  </r>
  <r>
    <x v="2310"/>
    <x v="13"/>
    <x v="84"/>
    <d v="2025-03-27T00:00:00"/>
    <x v="1"/>
    <x v="0"/>
    <x v="1"/>
    <x v="0"/>
    <x v="3"/>
    <n v="1"/>
    <x v="12"/>
    <x v="1"/>
    <n v="15"/>
    <n v="44.7"/>
    <n v="670.5"/>
  </r>
  <r>
    <x v="2311"/>
    <x v="12"/>
    <x v="84"/>
    <d v="2025-03-28T00:00:00"/>
    <x v="2"/>
    <x v="2"/>
    <x v="1"/>
    <x v="0"/>
    <x v="3"/>
    <n v="2"/>
    <x v="12"/>
    <x v="2"/>
    <n v="6"/>
    <n v="92.7"/>
    <n v="556.20000000000005"/>
  </r>
  <r>
    <x v="2312"/>
    <x v="7"/>
    <x v="84"/>
    <d v="2025-03-28T00:00:00"/>
    <x v="2"/>
    <x v="2"/>
    <x v="0"/>
    <x v="0"/>
    <x v="3"/>
    <n v="2"/>
    <x v="12"/>
    <x v="2"/>
    <n v="3"/>
    <n v="48.8"/>
    <n v="146.39999999999998"/>
  </r>
  <r>
    <x v="2313"/>
    <x v="4"/>
    <x v="84"/>
    <d v="2025-03-30T00:00:00"/>
    <x v="2"/>
    <x v="3"/>
    <x v="3"/>
    <x v="0"/>
    <x v="3"/>
    <n v="4"/>
    <x v="12"/>
    <x v="2"/>
    <n v="16"/>
    <n v="21.3"/>
    <n v="340.8"/>
  </r>
  <r>
    <x v="2314"/>
    <x v="16"/>
    <x v="84"/>
    <d v="2025-03-27T00:00:00"/>
    <x v="2"/>
    <x v="0"/>
    <x v="0"/>
    <x v="0"/>
    <x v="3"/>
    <n v="1"/>
    <x v="12"/>
    <x v="2"/>
    <n v="1"/>
    <n v="52.5"/>
    <n v="52.5"/>
  </r>
  <r>
    <x v="2315"/>
    <x v="1"/>
    <x v="84"/>
    <d v="2025-04-01T00:00:00"/>
    <x v="2"/>
    <x v="0"/>
    <x v="2"/>
    <x v="0"/>
    <x v="3"/>
    <n v="6"/>
    <x v="12"/>
    <x v="2"/>
    <n v="2"/>
    <n v="92.4"/>
    <n v="184.8"/>
  </r>
  <r>
    <x v="2316"/>
    <x v="4"/>
    <x v="84"/>
    <d v="2025-03-28T00:00:00"/>
    <x v="1"/>
    <x v="1"/>
    <x v="2"/>
    <x v="0"/>
    <x v="3"/>
    <n v="2"/>
    <x v="12"/>
    <x v="1"/>
    <n v="11"/>
    <n v="58.3"/>
    <n v="641.29999999999995"/>
  </r>
  <r>
    <x v="2317"/>
    <x v="6"/>
    <x v="85"/>
    <d v="2025-03-29T00:00:00"/>
    <x v="0"/>
    <x v="0"/>
    <x v="0"/>
    <x v="0"/>
    <x v="3"/>
    <n v="2"/>
    <x v="12"/>
    <x v="0"/>
    <n v="23"/>
    <n v="152.6"/>
    <n v="3509.7999999999997"/>
  </r>
  <r>
    <x v="2318"/>
    <x v="8"/>
    <x v="85"/>
    <d v="2025-03-27T00:00:00"/>
    <x v="0"/>
    <x v="0"/>
    <x v="1"/>
    <x v="0"/>
    <x v="3"/>
    <n v="0"/>
    <x v="12"/>
    <x v="0"/>
    <n v="2"/>
    <n v="26"/>
    <n v="52"/>
  </r>
  <r>
    <x v="2319"/>
    <x v="1"/>
    <x v="85"/>
    <d v="2025-03-27T00:00:00"/>
    <x v="1"/>
    <x v="2"/>
    <x v="4"/>
    <x v="0"/>
    <x v="5"/>
    <n v="0"/>
    <x v="12"/>
    <x v="1"/>
    <n v="4"/>
    <n v="33.1"/>
    <n v="132.4"/>
  </r>
  <r>
    <x v="2320"/>
    <x v="18"/>
    <x v="85"/>
    <d v="2025-03-29T00:00:00"/>
    <x v="2"/>
    <x v="1"/>
    <x v="1"/>
    <x v="0"/>
    <x v="5"/>
    <n v="2"/>
    <x v="12"/>
    <x v="2"/>
    <n v="1"/>
    <n v="51.4"/>
    <n v="51.4"/>
  </r>
  <r>
    <x v="2321"/>
    <x v="8"/>
    <x v="85"/>
    <d v="2025-03-28T00:00:00"/>
    <x v="2"/>
    <x v="2"/>
    <x v="2"/>
    <x v="0"/>
    <x v="6"/>
    <n v="1"/>
    <x v="12"/>
    <x v="2"/>
    <n v="2"/>
    <n v="30.2"/>
    <n v="60.4"/>
  </r>
  <r>
    <x v="2322"/>
    <x v="2"/>
    <x v="85"/>
    <d v="2025-03-31T00:00:00"/>
    <x v="2"/>
    <x v="0"/>
    <x v="2"/>
    <x v="0"/>
    <x v="7"/>
    <n v="4"/>
    <x v="12"/>
    <x v="2"/>
    <n v="6"/>
    <n v="97"/>
    <n v="582"/>
  </r>
  <r>
    <x v="2323"/>
    <x v="2"/>
    <x v="85"/>
    <d v="2025-03-28T00:00:00"/>
    <x v="1"/>
    <x v="1"/>
    <x v="2"/>
    <x v="0"/>
    <x v="8"/>
    <n v="1"/>
    <x v="12"/>
    <x v="1"/>
    <n v="1"/>
    <n v="76.900000000000006"/>
    <n v="76.900000000000006"/>
  </r>
  <r>
    <x v="2324"/>
    <x v="7"/>
    <x v="85"/>
    <d v="2025-03-31T00:00:00"/>
    <x v="2"/>
    <x v="0"/>
    <x v="0"/>
    <x v="0"/>
    <x v="8"/>
    <n v="4"/>
    <x v="12"/>
    <x v="2"/>
    <n v="6"/>
    <n v="36.1"/>
    <n v="216.60000000000002"/>
  </r>
  <r>
    <x v="2325"/>
    <x v="1"/>
    <x v="85"/>
    <d v="2025-03-27T00:00:00"/>
    <x v="2"/>
    <x v="2"/>
    <x v="1"/>
    <x v="0"/>
    <x v="11"/>
    <n v="0"/>
    <x v="12"/>
    <x v="2"/>
    <n v="7"/>
    <n v="34.4"/>
    <n v="240.79999999999998"/>
  </r>
  <r>
    <x v="2326"/>
    <x v="1"/>
    <x v="85"/>
    <d v="2025-03-29T00:00:00"/>
    <x v="2"/>
    <x v="1"/>
    <x v="0"/>
    <x v="0"/>
    <x v="18"/>
    <n v="2"/>
    <x v="12"/>
    <x v="2"/>
    <n v="28"/>
    <n v="53.4"/>
    <n v="1495.2"/>
  </r>
  <r>
    <x v="2327"/>
    <x v="2"/>
    <x v="85"/>
    <d v="2025-03-28T00:00:00"/>
    <x v="2"/>
    <x v="0"/>
    <x v="1"/>
    <x v="0"/>
    <x v="19"/>
    <n v="1"/>
    <x v="12"/>
    <x v="2"/>
    <n v="1"/>
    <n v="77.599999999999994"/>
    <n v="77.599999999999994"/>
  </r>
  <r>
    <x v="2328"/>
    <x v="1"/>
    <x v="85"/>
    <d v="2025-03-30T00:00:00"/>
    <x v="2"/>
    <x v="1"/>
    <x v="0"/>
    <x v="0"/>
    <x v="19"/>
    <n v="3"/>
    <x v="12"/>
    <x v="2"/>
    <n v="3"/>
    <n v="71.7"/>
    <n v="215.10000000000002"/>
  </r>
  <r>
    <x v="2329"/>
    <x v="3"/>
    <x v="85"/>
    <d v="2025-03-28T00:00:00"/>
    <x v="1"/>
    <x v="4"/>
    <x v="1"/>
    <x v="0"/>
    <x v="19"/>
    <n v="1"/>
    <x v="12"/>
    <x v="1"/>
    <n v="3"/>
    <n v="80.599999999999994"/>
    <n v="241.79999999999998"/>
  </r>
  <r>
    <x v="2330"/>
    <x v="1"/>
    <x v="85"/>
    <d v="2025-03-29T00:00:00"/>
    <x v="1"/>
    <x v="0"/>
    <x v="0"/>
    <x v="0"/>
    <x v="20"/>
    <n v="2"/>
    <x v="12"/>
    <x v="1"/>
    <n v="15"/>
    <n v="70"/>
    <n v="1050"/>
  </r>
  <r>
    <x v="2331"/>
    <x v="4"/>
    <x v="85"/>
    <d v="2025-03-29T00:00:00"/>
    <x v="2"/>
    <x v="1"/>
    <x v="1"/>
    <x v="0"/>
    <x v="2"/>
    <n v="2"/>
    <x v="12"/>
    <x v="2"/>
    <n v="6"/>
    <n v="27.3"/>
    <n v="163.80000000000001"/>
  </r>
  <r>
    <x v="2332"/>
    <x v="8"/>
    <x v="85"/>
    <d v="2025-03-29T00:00:00"/>
    <x v="1"/>
    <x v="1"/>
    <x v="0"/>
    <x v="0"/>
    <x v="3"/>
    <n v="2"/>
    <x v="12"/>
    <x v="1"/>
    <n v="14"/>
    <n v="37.6"/>
    <n v="526.4"/>
  </r>
  <r>
    <x v="2333"/>
    <x v="5"/>
    <x v="85"/>
    <d v="2025-03-29T00:00:00"/>
    <x v="2"/>
    <x v="4"/>
    <x v="0"/>
    <x v="0"/>
    <x v="3"/>
    <n v="2"/>
    <x v="12"/>
    <x v="2"/>
    <n v="3"/>
    <n v="36.6"/>
    <n v="109.80000000000001"/>
  </r>
  <r>
    <x v="2334"/>
    <x v="13"/>
    <x v="85"/>
    <d v="2025-03-29T00:00:00"/>
    <x v="1"/>
    <x v="3"/>
    <x v="0"/>
    <x v="0"/>
    <x v="3"/>
    <n v="2"/>
    <x v="12"/>
    <x v="1"/>
    <n v="1"/>
    <n v="55.2"/>
    <n v="55.2"/>
  </r>
  <r>
    <x v="2335"/>
    <x v="6"/>
    <x v="85"/>
    <d v="2025-03-29T00:00:00"/>
    <x v="1"/>
    <x v="0"/>
    <x v="0"/>
    <x v="0"/>
    <x v="3"/>
    <n v="2"/>
    <x v="12"/>
    <x v="1"/>
    <n v="5"/>
    <n v="59.9"/>
    <n v="299.5"/>
  </r>
  <r>
    <x v="2336"/>
    <x v="6"/>
    <x v="85"/>
    <d v="2025-03-28T00:00:00"/>
    <x v="2"/>
    <x v="2"/>
    <x v="2"/>
    <x v="0"/>
    <x v="3"/>
    <n v="1"/>
    <x v="12"/>
    <x v="2"/>
    <n v="1"/>
    <n v="44"/>
    <n v="44"/>
  </r>
  <r>
    <x v="2337"/>
    <x v="9"/>
    <x v="85"/>
    <d v="2025-03-27T00:00:00"/>
    <x v="1"/>
    <x v="0"/>
    <x v="0"/>
    <x v="0"/>
    <x v="3"/>
    <n v="0"/>
    <x v="12"/>
    <x v="1"/>
    <n v="2"/>
    <n v="68.7"/>
    <n v="137.4"/>
  </r>
  <r>
    <x v="2338"/>
    <x v="5"/>
    <x v="85"/>
    <d v="2025-03-31T00:00:00"/>
    <x v="1"/>
    <x v="3"/>
    <x v="1"/>
    <x v="0"/>
    <x v="3"/>
    <n v="4"/>
    <x v="12"/>
    <x v="1"/>
    <n v="2"/>
    <n v="61.6"/>
    <n v="123.2"/>
  </r>
  <r>
    <x v="2339"/>
    <x v="7"/>
    <x v="85"/>
    <d v="2025-03-28T00:00:00"/>
    <x v="1"/>
    <x v="0"/>
    <x v="0"/>
    <x v="0"/>
    <x v="3"/>
    <n v="1"/>
    <x v="12"/>
    <x v="1"/>
    <n v="7"/>
    <n v="51.8"/>
    <n v="362.59999999999997"/>
  </r>
  <r>
    <x v="2340"/>
    <x v="8"/>
    <x v="85"/>
    <d v="2025-03-29T00:00:00"/>
    <x v="1"/>
    <x v="1"/>
    <x v="2"/>
    <x v="0"/>
    <x v="3"/>
    <n v="2"/>
    <x v="12"/>
    <x v="1"/>
    <n v="10"/>
    <n v="46.2"/>
    <n v="462"/>
  </r>
  <r>
    <x v="2341"/>
    <x v="0"/>
    <x v="85"/>
    <d v="2025-03-29T00:00:00"/>
    <x v="2"/>
    <x v="1"/>
    <x v="2"/>
    <x v="0"/>
    <x v="6"/>
    <n v="2"/>
    <x v="12"/>
    <x v="2"/>
    <n v="2"/>
    <n v="19.399999999999999"/>
    <n v="38.799999999999997"/>
  </r>
  <r>
    <x v="2342"/>
    <x v="11"/>
    <x v="85"/>
    <d v="2025-03-30T00:00:00"/>
    <x v="1"/>
    <x v="3"/>
    <x v="3"/>
    <x v="0"/>
    <x v="6"/>
    <n v="3"/>
    <x v="12"/>
    <x v="1"/>
    <n v="3"/>
    <n v="52.1"/>
    <n v="156.30000000000001"/>
  </r>
  <r>
    <x v="2343"/>
    <x v="6"/>
    <x v="85"/>
    <d v="2025-03-29T00:00:00"/>
    <x v="3"/>
    <x v="0"/>
    <x v="0"/>
    <x v="0"/>
    <x v="7"/>
    <n v="2"/>
    <x v="12"/>
    <x v="3"/>
    <n v="1"/>
    <n v="74.900000000000006"/>
    <n v="74.900000000000006"/>
  </r>
  <r>
    <x v="2344"/>
    <x v="9"/>
    <x v="85"/>
    <d v="2025-03-30T00:00:00"/>
    <x v="2"/>
    <x v="4"/>
    <x v="0"/>
    <x v="0"/>
    <x v="8"/>
    <n v="3"/>
    <x v="12"/>
    <x v="2"/>
    <n v="7"/>
    <n v="49.6"/>
    <n v="347.2"/>
  </r>
  <r>
    <x v="2345"/>
    <x v="16"/>
    <x v="86"/>
    <d v="2025-03-31T00:00:00"/>
    <x v="2"/>
    <x v="4"/>
    <x v="0"/>
    <x v="0"/>
    <x v="8"/>
    <n v="3"/>
    <x v="12"/>
    <x v="2"/>
    <n v="4"/>
    <n v="82.8"/>
    <n v="331.2"/>
  </r>
  <r>
    <x v="2346"/>
    <x v="2"/>
    <x v="86"/>
    <d v="2025-03-29T00:00:00"/>
    <x v="2"/>
    <x v="1"/>
    <x v="0"/>
    <x v="0"/>
    <x v="8"/>
    <n v="1"/>
    <x v="12"/>
    <x v="2"/>
    <n v="1"/>
    <n v="97.7"/>
    <n v="97.7"/>
  </r>
  <r>
    <x v="2347"/>
    <x v="6"/>
    <x v="86"/>
    <d v="2025-03-29T00:00:00"/>
    <x v="2"/>
    <x v="4"/>
    <x v="0"/>
    <x v="0"/>
    <x v="8"/>
    <n v="1"/>
    <x v="12"/>
    <x v="2"/>
    <n v="5"/>
    <n v="83.6"/>
    <n v="418"/>
  </r>
  <r>
    <x v="2348"/>
    <x v="8"/>
    <x v="86"/>
    <d v="2025-04-01T00:00:00"/>
    <x v="3"/>
    <x v="0"/>
    <x v="0"/>
    <x v="0"/>
    <x v="8"/>
    <n v="4"/>
    <x v="12"/>
    <x v="3"/>
    <n v="5"/>
    <n v="23.5"/>
    <n v="117.5"/>
  </r>
  <r>
    <x v="2349"/>
    <x v="9"/>
    <x v="86"/>
    <d v="2025-03-31T00:00:00"/>
    <x v="2"/>
    <x v="4"/>
    <x v="1"/>
    <x v="0"/>
    <x v="26"/>
    <n v="3"/>
    <x v="12"/>
    <x v="2"/>
    <n v="3"/>
    <n v="44.6"/>
    <n v="133.80000000000001"/>
  </r>
  <r>
    <x v="2350"/>
    <x v="0"/>
    <x v="86"/>
    <d v="2025-03-30T00:00:00"/>
    <x v="2"/>
    <x v="3"/>
    <x v="4"/>
    <x v="0"/>
    <x v="11"/>
    <n v="2"/>
    <x v="12"/>
    <x v="2"/>
    <n v="3"/>
    <n v="20.100000000000001"/>
    <n v="60.300000000000004"/>
  </r>
  <r>
    <x v="2351"/>
    <x v="2"/>
    <x v="86"/>
    <d v="2025-03-29T00:00:00"/>
    <x v="2"/>
    <x v="1"/>
    <x v="2"/>
    <x v="0"/>
    <x v="53"/>
    <n v="1"/>
    <x v="12"/>
    <x v="2"/>
    <n v="5"/>
    <n v="153.6"/>
    <n v="768"/>
  </r>
  <r>
    <x v="2352"/>
    <x v="1"/>
    <x v="86"/>
    <d v="2025-04-01T00:00:00"/>
    <x v="2"/>
    <x v="1"/>
    <x v="0"/>
    <x v="0"/>
    <x v="1"/>
    <n v="4"/>
    <x v="12"/>
    <x v="2"/>
    <n v="2"/>
    <n v="71.8"/>
    <n v="143.6"/>
  </r>
  <r>
    <x v="2353"/>
    <x v="10"/>
    <x v="86"/>
    <d v="2025-03-30T00:00:00"/>
    <x v="0"/>
    <x v="0"/>
    <x v="1"/>
    <x v="0"/>
    <x v="1"/>
    <n v="2"/>
    <x v="12"/>
    <x v="0"/>
    <n v="1"/>
    <n v="64.7"/>
    <n v="64.7"/>
  </r>
  <r>
    <x v="2354"/>
    <x v="9"/>
    <x v="86"/>
    <d v="2025-03-30T00:00:00"/>
    <x v="2"/>
    <x v="3"/>
    <x v="2"/>
    <x v="0"/>
    <x v="2"/>
    <n v="2"/>
    <x v="12"/>
    <x v="2"/>
    <n v="8"/>
    <n v="60.4"/>
    <n v="483.2"/>
  </r>
  <r>
    <x v="2355"/>
    <x v="6"/>
    <x v="86"/>
    <d v="2025-03-31T00:00:00"/>
    <x v="2"/>
    <x v="2"/>
    <x v="2"/>
    <x v="0"/>
    <x v="22"/>
    <n v="3"/>
    <x v="12"/>
    <x v="2"/>
    <n v="4"/>
    <n v="86"/>
    <n v="344"/>
  </r>
  <r>
    <x v="2356"/>
    <x v="12"/>
    <x v="86"/>
    <d v="2025-03-29T00:00:00"/>
    <x v="2"/>
    <x v="4"/>
    <x v="1"/>
    <x v="0"/>
    <x v="34"/>
    <n v="1"/>
    <x v="12"/>
    <x v="2"/>
    <n v="2"/>
    <n v="42.1"/>
    <n v="84.2"/>
  </r>
  <r>
    <x v="2357"/>
    <x v="16"/>
    <x v="86"/>
    <d v="2025-03-29T00:00:00"/>
    <x v="1"/>
    <x v="2"/>
    <x v="1"/>
    <x v="0"/>
    <x v="3"/>
    <n v="1"/>
    <x v="12"/>
    <x v="1"/>
    <n v="9"/>
    <n v="51.1"/>
    <n v="459.90000000000003"/>
  </r>
  <r>
    <x v="2358"/>
    <x v="9"/>
    <x v="86"/>
    <d v="2025-03-29T00:00:00"/>
    <x v="1"/>
    <x v="4"/>
    <x v="0"/>
    <x v="0"/>
    <x v="3"/>
    <n v="1"/>
    <x v="12"/>
    <x v="1"/>
    <n v="4"/>
    <n v="73.8"/>
    <n v="295.2"/>
  </r>
  <r>
    <x v="2359"/>
    <x v="8"/>
    <x v="86"/>
    <d v="2025-03-31T00:00:00"/>
    <x v="2"/>
    <x v="2"/>
    <x v="2"/>
    <x v="0"/>
    <x v="3"/>
    <n v="3"/>
    <x v="12"/>
    <x v="2"/>
    <n v="5"/>
    <n v="27"/>
    <n v="135"/>
  </r>
  <r>
    <x v="2360"/>
    <x v="8"/>
    <x v="86"/>
    <d v="2025-03-29T00:00:00"/>
    <x v="1"/>
    <x v="3"/>
    <x v="0"/>
    <x v="0"/>
    <x v="3"/>
    <n v="1"/>
    <x v="12"/>
    <x v="1"/>
    <n v="6"/>
    <n v="60.1"/>
    <n v="360.6"/>
  </r>
  <r>
    <x v="2361"/>
    <x v="2"/>
    <x v="86"/>
    <d v="2025-03-30T00:00:00"/>
    <x v="2"/>
    <x v="4"/>
    <x v="1"/>
    <x v="0"/>
    <x v="3"/>
    <n v="2"/>
    <x v="12"/>
    <x v="2"/>
    <n v="7"/>
    <n v="94.1"/>
    <n v="658.69999999999993"/>
  </r>
  <r>
    <x v="2362"/>
    <x v="2"/>
    <x v="86"/>
    <d v="2025-03-28T00:00:00"/>
    <x v="2"/>
    <x v="2"/>
    <x v="3"/>
    <x v="0"/>
    <x v="43"/>
    <n v="0"/>
    <x v="12"/>
    <x v="2"/>
    <n v="2"/>
    <n v="124.1"/>
    <n v="248.2"/>
  </r>
  <r>
    <x v="2363"/>
    <x v="8"/>
    <x v="86"/>
    <d v="2025-03-31T00:00:00"/>
    <x v="1"/>
    <x v="3"/>
    <x v="0"/>
    <x v="0"/>
    <x v="6"/>
    <n v="3"/>
    <x v="12"/>
    <x v="1"/>
    <n v="4"/>
    <n v="16.899999999999999"/>
    <n v="67.599999999999994"/>
  </r>
  <r>
    <x v="2364"/>
    <x v="1"/>
    <x v="86"/>
    <d v="2025-03-29T00:00:00"/>
    <x v="1"/>
    <x v="0"/>
    <x v="0"/>
    <x v="0"/>
    <x v="6"/>
    <n v="1"/>
    <x v="12"/>
    <x v="1"/>
    <n v="1"/>
    <n v="36.9"/>
    <n v="36.9"/>
  </r>
  <r>
    <x v="2365"/>
    <x v="9"/>
    <x v="86"/>
    <d v="2025-04-10T00:00:00"/>
    <x v="2"/>
    <x v="2"/>
    <x v="1"/>
    <x v="0"/>
    <x v="8"/>
    <n v="13"/>
    <x v="12"/>
    <x v="2"/>
    <n v="2"/>
    <n v="22.6"/>
    <n v="45.2"/>
  </r>
  <r>
    <x v="2366"/>
    <x v="7"/>
    <x v="86"/>
    <d v="2025-04-02T00:00:00"/>
    <x v="1"/>
    <x v="3"/>
    <x v="1"/>
    <x v="0"/>
    <x v="8"/>
    <n v="5"/>
    <x v="12"/>
    <x v="1"/>
    <n v="4"/>
    <n v="35"/>
    <n v="140"/>
  </r>
  <r>
    <x v="2367"/>
    <x v="9"/>
    <x v="86"/>
    <d v="2025-04-04T00:00:00"/>
    <x v="0"/>
    <x v="1"/>
    <x v="2"/>
    <x v="0"/>
    <x v="8"/>
    <n v="7"/>
    <x v="12"/>
    <x v="0"/>
    <n v="6"/>
    <n v="63.6"/>
    <n v="381.6"/>
  </r>
  <r>
    <x v="2368"/>
    <x v="15"/>
    <x v="86"/>
    <d v="2025-03-29T00:00:00"/>
    <x v="1"/>
    <x v="4"/>
    <x v="1"/>
    <x v="0"/>
    <x v="8"/>
    <n v="1"/>
    <x v="12"/>
    <x v="1"/>
    <n v="4"/>
    <n v="78.599999999999994"/>
    <n v="314.39999999999998"/>
  </r>
  <r>
    <x v="2369"/>
    <x v="3"/>
    <x v="86"/>
    <d v="2025-03-29T00:00:00"/>
    <x v="1"/>
    <x v="0"/>
    <x v="2"/>
    <x v="0"/>
    <x v="8"/>
    <n v="1"/>
    <x v="12"/>
    <x v="1"/>
    <n v="2"/>
    <n v="38.5"/>
    <n v="77"/>
  </r>
  <r>
    <x v="2370"/>
    <x v="8"/>
    <x v="86"/>
    <d v="2025-03-29T00:00:00"/>
    <x v="2"/>
    <x v="1"/>
    <x v="4"/>
    <x v="0"/>
    <x v="8"/>
    <n v="1"/>
    <x v="12"/>
    <x v="2"/>
    <n v="11"/>
    <n v="71.5"/>
    <n v="786.5"/>
  </r>
  <r>
    <x v="2371"/>
    <x v="6"/>
    <x v="86"/>
    <d v="2025-04-01T00:00:00"/>
    <x v="1"/>
    <x v="1"/>
    <x v="2"/>
    <x v="0"/>
    <x v="17"/>
    <n v="4"/>
    <x v="12"/>
    <x v="1"/>
    <n v="4"/>
    <n v="121.4"/>
    <n v="485.6"/>
  </r>
  <r>
    <x v="2372"/>
    <x v="11"/>
    <x v="86"/>
    <d v="2025-03-31T00:00:00"/>
    <x v="2"/>
    <x v="0"/>
    <x v="2"/>
    <x v="0"/>
    <x v="11"/>
    <n v="3"/>
    <x v="12"/>
    <x v="2"/>
    <n v="1"/>
    <n v="40.200000000000003"/>
    <n v="40.200000000000003"/>
  </r>
  <r>
    <x v="2373"/>
    <x v="5"/>
    <x v="86"/>
    <d v="2025-03-30T00:00:00"/>
    <x v="2"/>
    <x v="2"/>
    <x v="2"/>
    <x v="0"/>
    <x v="28"/>
    <n v="2"/>
    <x v="12"/>
    <x v="2"/>
    <n v="5"/>
    <n v="31.9"/>
    <n v="159.5"/>
  </r>
  <r>
    <x v="2374"/>
    <x v="14"/>
    <x v="87"/>
    <d v="2025-03-30T00:00:00"/>
    <x v="1"/>
    <x v="3"/>
    <x v="2"/>
    <x v="0"/>
    <x v="21"/>
    <n v="1"/>
    <x v="12"/>
    <x v="1"/>
    <n v="5"/>
    <n v="15.8"/>
    <n v="79"/>
  </r>
  <r>
    <x v="2375"/>
    <x v="10"/>
    <x v="87"/>
    <d v="2025-03-31T00:00:00"/>
    <x v="0"/>
    <x v="1"/>
    <x v="0"/>
    <x v="0"/>
    <x v="21"/>
    <n v="2"/>
    <x v="12"/>
    <x v="0"/>
    <n v="2"/>
    <n v="25.1"/>
    <n v="50.2"/>
  </r>
  <r>
    <x v="2376"/>
    <x v="1"/>
    <x v="87"/>
    <d v="2025-03-30T00:00:00"/>
    <x v="2"/>
    <x v="4"/>
    <x v="0"/>
    <x v="0"/>
    <x v="1"/>
    <n v="1"/>
    <x v="12"/>
    <x v="2"/>
    <n v="23"/>
    <n v="38.1"/>
    <n v="876.30000000000007"/>
  </r>
  <r>
    <x v="2377"/>
    <x v="3"/>
    <x v="87"/>
    <d v="2025-03-31T00:00:00"/>
    <x v="2"/>
    <x v="0"/>
    <x v="2"/>
    <x v="0"/>
    <x v="1"/>
    <n v="2"/>
    <x v="12"/>
    <x v="2"/>
    <n v="2"/>
    <n v="42.2"/>
    <n v="84.4"/>
  </r>
  <r>
    <x v="2378"/>
    <x v="0"/>
    <x v="87"/>
    <d v="2025-03-30T00:00:00"/>
    <x v="2"/>
    <x v="4"/>
    <x v="0"/>
    <x v="0"/>
    <x v="2"/>
    <n v="1"/>
    <x v="12"/>
    <x v="2"/>
    <n v="10"/>
    <n v="12.3"/>
    <n v="123"/>
  </r>
  <r>
    <x v="2379"/>
    <x v="7"/>
    <x v="87"/>
    <d v="2025-03-31T00:00:00"/>
    <x v="2"/>
    <x v="1"/>
    <x v="2"/>
    <x v="0"/>
    <x v="34"/>
    <n v="2"/>
    <x v="12"/>
    <x v="2"/>
    <n v="1"/>
    <n v="30.2"/>
    <n v="30.2"/>
  </r>
  <r>
    <x v="2380"/>
    <x v="5"/>
    <x v="87"/>
    <d v="2025-04-01T00:00:00"/>
    <x v="2"/>
    <x v="2"/>
    <x v="0"/>
    <x v="0"/>
    <x v="3"/>
    <n v="3"/>
    <x v="12"/>
    <x v="2"/>
    <n v="3"/>
    <n v="25.3"/>
    <n v="75.900000000000006"/>
  </r>
  <r>
    <x v="2381"/>
    <x v="8"/>
    <x v="87"/>
    <d v="2025-03-31T00:00:00"/>
    <x v="1"/>
    <x v="3"/>
    <x v="0"/>
    <x v="0"/>
    <x v="3"/>
    <n v="2"/>
    <x v="12"/>
    <x v="1"/>
    <n v="5"/>
    <n v="29.7"/>
    <n v="148.5"/>
  </r>
  <r>
    <x v="2382"/>
    <x v="9"/>
    <x v="87"/>
    <d v="2025-03-30T00:00:00"/>
    <x v="0"/>
    <x v="3"/>
    <x v="2"/>
    <x v="0"/>
    <x v="3"/>
    <n v="1"/>
    <x v="12"/>
    <x v="0"/>
    <n v="8"/>
    <n v="32.9"/>
    <n v="263.2"/>
  </r>
  <r>
    <x v="2383"/>
    <x v="10"/>
    <x v="87"/>
    <d v="2025-03-30T00:00:00"/>
    <x v="1"/>
    <x v="1"/>
    <x v="2"/>
    <x v="0"/>
    <x v="3"/>
    <n v="1"/>
    <x v="12"/>
    <x v="1"/>
    <n v="2"/>
    <n v="43.6"/>
    <n v="87.2"/>
  </r>
  <r>
    <x v="2384"/>
    <x v="15"/>
    <x v="87"/>
    <d v="2025-03-30T00:00:00"/>
    <x v="1"/>
    <x v="2"/>
    <x v="0"/>
    <x v="0"/>
    <x v="3"/>
    <n v="1"/>
    <x v="12"/>
    <x v="1"/>
    <n v="4"/>
    <n v="78.400000000000006"/>
    <n v="313.60000000000002"/>
  </r>
  <r>
    <x v="2385"/>
    <x v="6"/>
    <x v="87"/>
    <d v="2025-04-02T00:00:00"/>
    <x v="1"/>
    <x v="1"/>
    <x v="1"/>
    <x v="0"/>
    <x v="3"/>
    <n v="4"/>
    <x v="12"/>
    <x v="1"/>
    <n v="2"/>
    <n v="56.5"/>
    <n v="113"/>
  </r>
  <r>
    <x v="2386"/>
    <x v="16"/>
    <x v="87"/>
    <d v="2025-03-30T00:00:00"/>
    <x v="2"/>
    <x v="0"/>
    <x v="2"/>
    <x v="0"/>
    <x v="3"/>
    <n v="1"/>
    <x v="12"/>
    <x v="2"/>
    <n v="1"/>
    <n v="36.700000000000003"/>
    <n v="36.700000000000003"/>
  </r>
  <r>
    <x v="2387"/>
    <x v="2"/>
    <x v="87"/>
    <d v="2025-04-09T00:00:00"/>
    <x v="1"/>
    <x v="4"/>
    <x v="2"/>
    <x v="0"/>
    <x v="3"/>
    <n v="11"/>
    <x v="12"/>
    <x v="1"/>
    <n v="4"/>
    <n v="103.6"/>
    <n v="414.4"/>
  </r>
  <r>
    <x v="2388"/>
    <x v="8"/>
    <x v="87"/>
    <d v="2025-04-02T00:00:00"/>
    <x v="1"/>
    <x v="1"/>
    <x v="2"/>
    <x v="0"/>
    <x v="6"/>
    <n v="4"/>
    <x v="12"/>
    <x v="1"/>
    <n v="6"/>
    <n v="16.2"/>
    <n v="97.199999999999989"/>
  </r>
  <r>
    <x v="2389"/>
    <x v="8"/>
    <x v="87"/>
    <d v="2025-03-30T00:00:00"/>
    <x v="2"/>
    <x v="0"/>
    <x v="0"/>
    <x v="0"/>
    <x v="6"/>
    <n v="1"/>
    <x v="12"/>
    <x v="2"/>
    <n v="2"/>
    <n v="20.2"/>
    <n v="40.4"/>
  </r>
  <r>
    <x v="2390"/>
    <x v="11"/>
    <x v="87"/>
    <d v="2025-03-31T00:00:00"/>
    <x v="2"/>
    <x v="2"/>
    <x v="0"/>
    <x v="0"/>
    <x v="6"/>
    <n v="2"/>
    <x v="12"/>
    <x v="2"/>
    <n v="2"/>
    <n v="26.9"/>
    <n v="53.8"/>
  </r>
  <r>
    <x v="2391"/>
    <x v="1"/>
    <x v="87"/>
    <d v="2025-04-01T00:00:00"/>
    <x v="0"/>
    <x v="0"/>
    <x v="0"/>
    <x v="0"/>
    <x v="7"/>
    <n v="3"/>
    <x v="12"/>
    <x v="0"/>
    <n v="2"/>
    <n v="82.4"/>
    <n v="164.8"/>
  </r>
  <r>
    <x v="2392"/>
    <x v="2"/>
    <x v="87"/>
    <d v="2025-03-31T00:00:00"/>
    <x v="1"/>
    <x v="1"/>
    <x v="2"/>
    <x v="0"/>
    <x v="8"/>
    <n v="2"/>
    <x v="12"/>
    <x v="1"/>
    <n v="2"/>
    <n v="117.8"/>
    <n v="235.6"/>
  </r>
  <r>
    <x v="2393"/>
    <x v="11"/>
    <x v="87"/>
    <d v="2025-03-30T00:00:00"/>
    <x v="1"/>
    <x v="1"/>
    <x v="0"/>
    <x v="0"/>
    <x v="8"/>
    <n v="1"/>
    <x v="12"/>
    <x v="1"/>
    <n v="4"/>
    <n v="36.700000000000003"/>
    <n v="146.80000000000001"/>
  </r>
  <r>
    <x v="2394"/>
    <x v="17"/>
    <x v="87"/>
    <d v="2025-03-30T00:00:00"/>
    <x v="1"/>
    <x v="4"/>
    <x v="2"/>
    <x v="0"/>
    <x v="10"/>
    <n v="1"/>
    <x v="12"/>
    <x v="1"/>
    <n v="3"/>
    <n v="46.8"/>
    <n v="140.39999999999998"/>
  </r>
  <r>
    <x v="2395"/>
    <x v="3"/>
    <x v="87"/>
    <d v="2025-03-30T00:00:00"/>
    <x v="1"/>
    <x v="1"/>
    <x v="0"/>
    <x v="0"/>
    <x v="10"/>
    <n v="1"/>
    <x v="12"/>
    <x v="1"/>
    <n v="1"/>
    <n v="61.4"/>
    <n v="61.4"/>
  </r>
  <r>
    <x v="2396"/>
    <x v="15"/>
    <x v="87"/>
    <d v="2025-03-30T00:00:00"/>
    <x v="1"/>
    <x v="0"/>
    <x v="0"/>
    <x v="0"/>
    <x v="11"/>
    <n v="1"/>
    <x v="12"/>
    <x v="1"/>
    <n v="2"/>
    <n v="22.9"/>
    <n v="45.8"/>
  </r>
  <r>
    <x v="2397"/>
    <x v="10"/>
    <x v="87"/>
    <d v="2025-03-30T00:00:00"/>
    <x v="2"/>
    <x v="4"/>
    <x v="0"/>
    <x v="0"/>
    <x v="11"/>
    <n v="1"/>
    <x v="12"/>
    <x v="2"/>
    <n v="2"/>
    <n v="22.1"/>
    <n v="44.2"/>
  </r>
  <r>
    <x v="2398"/>
    <x v="12"/>
    <x v="87"/>
    <d v="2025-03-31T00:00:00"/>
    <x v="2"/>
    <x v="2"/>
    <x v="0"/>
    <x v="0"/>
    <x v="18"/>
    <n v="2"/>
    <x v="12"/>
    <x v="2"/>
    <n v="2"/>
    <n v="31"/>
    <n v="62"/>
  </r>
  <r>
    <x v="2399"/>
    <x v="18"/>
    <x v="87"/>
    <d v="2025-03-31T00:00:00"/>
    <x v="1"/>
    <x v="2"/>
    <x v="2"/>
    <x v="0"/>
    <x v="13"/>
    <n v="2"/>
    <x v="12"/>
    <x v="1"/>
    <n v="2"/>
    <n v="84.2"/>
    <n v="16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E233AB-E6C2-4058-88CD-F52EED15EC9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product">
  <location ref="R60:T74" firstHeaderRow="0" firstDataRow="1" firstDataCol="1"/>
  <pivotFields count="15">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items count="5">
        <item x="2"/>
        <item x="1"/>
        <item x="0"/>
        <item x="3"/>
        <item t="default"/>
      </items>
    </pivotField>
    <pivotField showAll="0">
      <items count="6">
        <item h="1" x="0"/>
        <item h="1" x="3"/>
        <item h="1" x="4"/>
        <item h="1" x="2"/>
        <item x="1"/>
        <item t="default"/>
      </items>
    </pivotField>
    <pivotField showAll="0"/>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axis="axisRow" showAll="0">
      <items count="14">
        <item x="0"/>
        <item x="1"/>
        <item x="2"/>
        <item x="3"/>
        <item x="4"/>
        <item x="5"/>
        <item x="6"/>
        <item x="7"/>
        <item x="8"/>
        <item x="9"/>
        <item x="10"/>
        <item x="11"/>
        <item x="12"/>
        <item t="default"/>
      </items>
    </pivotField>
    <pivotField showAll="0"/>
    <pivotField dataField="1" showAll="0"/>
    <pivotField showAll="0"/>
    <pivotField dataField="1" showAll="0"/>
  </pivotFields>
  <rowFields count="1">
    <field x="10"/>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12" baseField="0" baseItem="0"/>
    <dataField name="Sum of Amount" fld="14" baseField="0" baseItem="0"/>
  </dataFields>
  <chartFormats count="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1"/>
          </reference>
        </references>
      </pivotArea>
    </chartFormat>
    <chartFormat chart="9" format="3"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1"/>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15" name="Order Date">
      <autoFilter ref="A1">
        <filterColumn colId="0">
          <customFilters and="1">
            <customFilter operator="greaterThanOrEqual" val="4565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131835-190A-4FB5-9BD2-6AC91AA60B9B}"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product">
  <location ref="E129:F173" firstHeaderRow="1" firstDataRow="1" firstDataCol="1"/>
  <pivotFields count="15">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items count="5">
        <item x="2"/>
        <item x="1"/>
        <item x="0"/>
        <item x="3"/>
        <item t="default"/>
      </items>
    </pivotField>
    <pivotField showAll="0">
      <items count="6">
        <item h="1" x="0"/>
        <item h="1" x="3"/>
        <item h="1" x="4"/>
        <item h="1" x="2"/>
        <item x="1"/>
        <item t="default"/>
      </items>
    </pivotField>
    <pivotField showAll="0"/>
    <pivotField showAll="0">
      <items count="2">
        <item x="0"/>
        <item t="default"/>
      </items>
    </pivotField>
    <pivotField axis="axisRow"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showAll="0"/>
    <pivotField dataField="1" showAll="0"/>
    <pivotField showAll="0"/>
    <pivotField showAll="0"/>
  </pivotFields>
  <rowFields count="1">
    <field x="8"/>
  </rowFields>
  <rowItems count="44">
    <i>
      <x/>
    </i>
    <i>
      <x v="2"/>
    </i>
    <i>
      <x v="3"/>
    </i>
    <i>
      <x v="5"/>
    </i>
    <i>
      <x v="6"/>
    </i>
    <i>
      <x v="9"/>
    </i>
    <i>
      <x v="10"/>
    </i>
    <i>
      <x v="11"/>
    </i>
    <i>
      <x v="12"/>
    </i>
    <i>
      <x v="14"/>
    </i>
    <i>
      <x v="15"/>
    </i>
    <i>
      <x v="16"/>
    </i>
    <i>
      <x v="18"/>
    </i>
    <i>
      <x v="19"/>
    </i>
    <i>
      <x v="20"/>
    </i>
    <i>
      <x v="22"/>
    </i>
    <i>
      <x v="23"/>
    </i>
    <i>
      <x v="26"/>
    </i>
    <i>
      <x v="27"/>
    </i>
    <i>
      <x v="28"/>
    </i>
    <i>
      <x v="29"/>
    </i>
    <i>
      <x v="30"/>
    </i>
    <i>
      <x v="32"/>
    </i>
    <i>
      <x v="33"/>
    </i>
    <i>
      <x v="35"/>
    </i>
    <i>
      <x v="36"/>
    </i>
    <i>
      <x v="37"/>
    </i>
    <i>
      <x v="38"/>
    </i>
    <i>
      <x v="40"/>
    </i>
    <i>
      <x v="41"/>
    </i>
    <i>
      <x v="42"/>
    </i>
    <i>
      <x v="43"/>
    </i>
    <i>
      <x v="44"/>
    </i>
    <i>
      <x v="46"/>
    </i>
    <i>
      <x v="47"/>
    </i>
    <i>
      <x v="48"/>
    </i>
    <i>
      <x v="49"/>
    </i>
    <i>
      <x v="51"/>
    </i>
    <i>
      <x v="52"/>
    </i>
    <i>
      <x v="53"/>
    </i>
    <i>
      <x v="54"/>
    </i>
    <i>
      <x v="55"/>
    </i>
    <i>
      <x v="56"/>
    </i>
    <i t="grand">
      <x/>
    </i>
  </rowItems>
  <colItems count="1">
    <i/>
  </colItems>
  <dataFields count="1">
    <dataField name="Sum of Quantity" fld="12" baseField="0" baseItem="0"/>
  </dataFields>
  <pivotTableStyleInfo name="PivotStyleLight16" showRowHeaders="1" showColHeaders="1" showRowStripes="0" showColStripes="0" showLastColumn="1"/>
  <filters count="1">
    <filter fld="2" type="dateBetween" evalOrder="-1" id="115" name="Order Date">
      <autoFilter ref="A1">
        <filterColumn colId="0">
          <customFilters and="1">
            <customFilter operator="greaterThanOrEqual" val="4565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39032A-9B31-4884-9ED4-4C89EE92A58F}"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product">
  <location ref="N120:O141" firstHeaderRow="1" firstDataRow="1" firstDataCol="1"/>
  <pivotFields count="15">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items count="21">
        <item x="14"/>
        <item x="10"/>
        <item x="12"/>
        <item x="15"/>
        <item x="4"/>
        <item x="7"/>
        <item x="6"/>
        <item x="19"/>
        <item x="18"/>
        <item x="11"/>
        <item x="17"/>
        <item x="5"/>
        <item x="0"/>
        <item x="2"/>
        <item x="9"/>
        <item x="16"/>
        <item x="1"/>
        <item x="13"/>
        <item x="8"/>
        <item x="3"/>
        <item t="default"/>
      </items>
    </pivotField>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items count="5">
        <item x="2"/>
        <item x="1"/>
        <item x="0"/>
        <item x="3"/>
        <item t="default"/>
      </items>
    </pivotField>
    <pivotField showAll="0">
      <items count="6">
        <item h="1" x="0"/>
        <item h="1" x="3"/>
        <item h="1" x="4"/>
        <item h="1" x="2"/>
        <item x="1"/>
        <item t="default"/>
      </items>
    </pivotField>
    <pivotField showAll="0"/>
    <pivotField showAll="0"/>
    <pivotField showAll="0"/>
    <pivotField dataField="1" showAll="0"/>
    <pivotField showAll="0"/>
    <pivotField showAll="0"/>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Days to Deliver" fld="9" subtotal="average" baseField="1" baseItem="0" numFmtId="1"/>
  </dataFields>
  <pivotTableStyleInfo name="PivotStyleLight16" showRowHeaders="1" showColHeaders="1" showRowStripes="0" showColStripes="0" showLastColumn="1"/>
  <filters count="1">
    <filter fld="2" type="dateBetween" evalOrder="-1" id="115" name="Order Date">
      <autoFilter ref="A1">
        <filterColumn colId="0">
          <customFilters and="1">
            <customFilter operator="greaterThanOrEqual" val="4565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FE3E8F-C751-4220-B8D7-37213ADAD5E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B40:E42" firstHeaderRow="0" firstDataRow="1" firstDataCol="1"/>
  <pivotFields count="15">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items count="5">
        <item x="2"/>
        <item x="1"/>
        <item x="0"/>
        <item x="3"/>
        <item t="default"/>
      </items>
    </pivotField>
    <pivotField axis="axisRow" showAll="0">
      <items count="6">
        <item h="1" x="0"/>
        <item h="1" x="3"/>
        <item h="1" x="4"/>
        <item h="1" x="2"/>
        <item x="1"/>
        <item t="default"/>
      </items>
    </pivotField>
    <pivotField showAll="0"/>
    <pivotField showAll="0"/>
    <pivotField showAll="0"/>
    <pivotField showAll="0"/>
    <pivotField showAll="0"/>
    <pivotField showAll="0">
      <items count="5">
        <item x="2"/>
        <item x="1"/>
        <item x="3"/>
        <item x="0"/>
        <item t="default"/>
      </items>
    </pivotField>
    <pivotField dataField="1" showAll="0"/>
    <pivotField dataField="1" showAll="0"/>
    <pivotField dataField="1" showAll="0"/>
  </pivotFields>
  <rowFields count="1">
    <field x="5"/>
  </rowFields>
  <rowItems count="2">
    <i>
      <x v="4"/>
    </i>
    <i t="grand">
      <x/>
    </i>
  </rowItems>
  <colFields count="1">
    <field x="-2"/>
  </colFields>
  <colItems count="3">
    <i>
      <x/>
    </i>
    <i i="1">
      <x v="1"/>
    </i>
    <i i="2">
      <x v="2"/>
    </i>
  </colItems>
  <dataFields count="3">
    <dataField name="Sum of Quantity" fld="12" baseField="0" baseItem="0"/>
    <dataField name="Sum of Unit Price" fld="13" baseField="0" baseItem="0"/>
    <dataField name="Sum of Amount" fld="14"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2"/>
          </reference>
        </references>
      </pivotArea>
    </chartFormat>
    <chartFormat chart="0" format="6">
      <pivotArea type="data" outline="0" fieldPosition="0">
        <references count="2">
          <reference field="4294967294" count="1" selected="0">
            <x v="0"/>
          </reference>
          <reference field="5" count="1" selected="0">
            <x v="3"/>
          </reference>
        </references>
      </pivotArea>
    </chartFormat>
    <chartFormat chart="0" format="7">
      <pivotArea type="data" outline="0" fieldPosition="0">
        <references count="2">
          <reference field="4294967294" count="1" selected="0">
            <x v="0"/>
          </reference>
          <reference field="5" count="1" selected="0">
            <x v="4"/>
          </reference>
        </references>
      </pivotArea>
    </chartFormat>
    <chartFormat chart="0" format="8">
      <pivotArea type="data" outline="0" fieldPosition="0">
        <references count="2">
          <reference field="4294967294" count="1" selected="0">
            <x v="1"/>
          </reference>
          <reference field="5" count="1" selected="0">
            <x v="0"/>
          </reference>
        </references>
      </pivotArea>
    </chartFormat>
    <chartFormat chart="0" format="9">
      <pivotArea type="data" outline="0" fieldPosition="0">
        <references count="2">
          <reference field="4294967294" count="1" selected="0">
            <x v="1"/>
          </reference>
          <reference field="5" count="1" selected="0">
            <x v="1"/>
          </reference>
        </references>
      </pivotArea>
    </chartFormat>
    <chartFormat chart="0" format="10">
      <pivotArea type="data" outline="0" fieldPosition="0">
        <references count="2">
          <reference field="4294967294" count="1" selected="0">
            <x v="1"/>
          </reference>
          <reference field="5" count="1" selected="0">
            <x v="2"/>
          </reference>
        </references>
      </pivotArea>
    </chartFormat>
    <chartFormat chart="0" format="11">
      <pivotArea type="data" outline="0" fieldPosition="0">
        <references count="2">
          <reference field="4294967294" count="1" selected="0">
            <x v="1"/>
          </reference>
          <reference field="5" count="1" selected="0">
            <x v="3"/>
          </reference>
        </references>
      </pivotArea>
    </chartFormat>
    <chartFormat chart="0" format="12">
      <pivotArea type="data" outline="0" fieldPosition="0">
        <references count="2">
          <reference field="4294967294" count="1" selected="0">
            <x v="1"/>
          </reference>
          <reference field="5" count="1" selected="0">
            <x v="4"/>
          </reference>
        </references>
      </pivotArea>
    </chartFormat>
    <chartFormat chart="0" format="13">
      <pivotArea type="data" outline="0" fieldPosition="0">
        <references count="2">
          <reference field="4294967294" count="1" selected="0">
            <x v="2"/>
          </reference>
          <reference field="5" count="1" selected="0">
            <x v="0"/>
          </reference>
        </references>
      </pivotArea>
    </chartFormat>
    <chartFormat chart="0" format="14">
      <pivotArea type="data" outline="0" fieldPosition="0">
        <references count="2">
          <reference field="4294967294" count="1" selected="0">
            <x v="2"/>
          </reference>
          <reference field="5" count="1" selected="0">
            <x v="1"/>
          </reference>
        </references>
      </pivotArea>
    </chartFormat>
    <chartFormat chart="0" format="15">
      <pivotArea type="data" outline="0" fieldPosition="0">
        <references count="2">
          <reference field="4294967294" count="1" selected="0">
            <x v="2"/>
          </reference>
          <reference field="5" count="1" selected="0">
            <x v="2"/>
          </reference>
        </references>
      </pivotArea>
    </chartFormat>
    <chartFormat chart="0" format="16">
      <pivotArea type="data" outline="0" fieldPosition="0">
        <references count="2">
          <reference field="4294967294" count="1" selected="0">
            <x v="2"/>
          </reference>
          <reference field="5" count="1" selected="0">
            <x v="3"/>
          </reference>
        </references>
      </pivotArea>
    </chartFormat>
    <chartFormat chart="0" format="17">
      <pivotArea type="data" outline="0" fieldPosition="0">
        <references count="2">
          <reference field="4294967294" count="1" selected="0">
            <x v="2"/>
          </reference>
          <reference field="5" count="1" selected="0">
            <x v="4"/>
          </reference>
        </references>
      </pivotArea>
    </chartFormat>
  </chartFormats>
  <pivotTableStyleInfo name="PivotStyleLight16" showRowHeaders="1" showColHeaders="1" showRowStripes="0" showColStripes="0" showLastColumn="1"/>
  <filters count="1">
    <filter fld="2" type="dateBetween" evalOrder="-1" id="115" name="Order Date">
      <autoFilter ref="A1">
        <filterColumn colId="0">
          <customFilters and="1">
            <customFilter operator="greaterThanOrEqual" val="4565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2B48CA-FB99-4113-9F76-DC60158FE518}"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product">
  <location ref="H109:I111" firstHeaderRow="1" firstDataRow="1" firstDataCol="1"/>
  <pivotFields count="15">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items count="5">
        <item x="2"/>
        <item x="1"/>
        <item x="0"/>
        <item x="3"/>
        <item t="default"/>
      </items>
    </pivotField>
    <pivotField axis="axisRow" showAll="0">
      <items count="6">
        <item h="1" x="0"/>
        <item h="1" x="3"/>
        <item h="1" x="4"/>
        <item h="1" x="2"/>
        <item x="1"/>
        <item t="default"/>
      </items>
    </pivotField>
    <pivotField showAll="0"/>
    <pivotField showAll="0"/>
    <pivotField showAll="0"/>
    <pivotField showAll="0"/>
    <pivotField showAll="0"/>
    <pivotField showAll="0"/>
    <pivotField dataField="1" showAll="0"/>
    <pivotField showAll="0"/>
    <pivotField showAll="0"/>
  </pivotFields>
  <rowFields count="1">
    <field x="5"/>
  </rowFields>
  <rowItems count="2">
    <i>
      <x v="4"/>
    </i>
    <i t="grand">
      <x/>
    </i>
  </rowItems>
  <colItems count="1">
    <i/>
  </colItems>
  <dataFields count="1">
    <dataField name="Sum of Quantity" fld="12" baseField="0" baseItem="0"/>
  </dataFields>
  <chartFormats count="10">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5" count="1" selected="0">
            <x v="0"/>
          </reference>
        </references>
      </pivotArea>
    </chartFormat>
    <chartFormat chart="18" format="9">
      <pivotArea type="data" outline="0" fieldPosition="0">
        <references count="2">
          <reference field="4294967294" count="1" selected="0">
            <x v="0"/>
          </reference>
          <reference field="5" count="1" selected="0">
            <x v="1"/>
          </reference>
        </references>
      </pivotArea>
    </chartFormat>
    <chartFormat chart="18" format="10">
      <pivotArea type="data" outline="0" fieldPosition="0">
        <references count="2">
          <reference field="4294967294" count="1" selected="0">
            <x v="0"/>
          </reference>
          <reference field="5" count="1" selected="0">
            <x v="2"/>
          </reference>
        </references>
      </pivotArea>
    </chartFormat>
    <chartFormat chart="18" format="11">
      <pivotArea type="data" outline="0" fieldPosition="0">
        <references count="2">
          <reference field="4294967294" count="1" selected="0">
            <x v="0"/>
          </reference>
          <reference field="5" count="1" selected="0">
            <x v="3"/>
          </reference>
        </references>
      </pivotArea>
    </chartFormat>
    <chartFormat chart="18" format="12">
      <pivotArea type="data" outline="0" fieldPosition="0">
        <references count="2">
          <reference field="4294967294" count="1" selected="0">
            <x v="0"/>
          </reference>
          <reference field="5" count="1" selected="0">
            <x v="4"/>
          </reference>
        </references>
      </pivotArea>
    </chartFormat>
    <chartFormat chart="14" format="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1">
    <filter fld="2" type="dateBetween" evalOrder="-1" id="115" name="Order Date">
      <autoFilter ref="A1">
        <filterColumn colId="0">
          <customFilters and="1">
            <customFilter operator="greaterThanOrEqual" val="4565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392B85-C2C6-4D5C-A498-11E80D6C421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30:E35" firstHeaderRow="0" firstDataRow="1" firstDataCol="1"/>
  <pivotFields count="15">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items count="5">
        <item x="2"/>
        <item x="1"/>
        <item x="0"/>
        <item x="3"/>
        <item t="default"/>
      </items>
    </pivotField>
    <pivotField showAll="0">
      <items count="6">
        <item h="1" x="0"/>
        <item h="1" x="3"/>
        <item h="1" x="4"/>
        <item h="1" x="2"/>
        <item x="1"/>
        <item t="default"/>
      </items>
    </pivotField>
    <pivotField showAll="0"/>
    <pivotField showAll="0"/>
    <pivotField showAll="0"/>
    <pivotField showAll="0"/>
    <pivotField showAll="0"/>
    <pivotField axis="axisRow" showAll="0">
      <items count="5">
        <item x="2"/>
        <item x="1"/>
        <item x="3"/>
        <item x="0"/>
        <item t="default"/>
      </items>
    </pivotField>
    <pivotField dataField="1" showAll="0"/>
    <pivotField dataField="1" showAll="0"/>
    <pivotField dataField="1" showAll="0"/>
  </pivotFields>
  <rowFields count="1">
    <field x="11"/>
  </rowFields>
  <rowItems count="5">
    <i>
      <x/>
    </i>
    <i>
      <x v="1"/>
    </i>
    <i>
      <x v="2"/>
    </i>
    <i>
      <x v="3"/>
    </i>
    <i t="grand">
      <x/>
    </i>
  </rowItems>
  <colFields count="1">
    <field x="-2"/>
  </colFields>
  <colItems count="3">
    <i>
      <x/>
    </i>
    <i i="1">
      <x v="1"/>
    </i>
    <i i="2">
      <x v="2"/>
    </i>
  </colItems>
  <dataFields count="3">
    <dataField name="Sum of Quantity" fld="12" baseField="0" baseItem="0"/>
    <dataField name="Sum of Unit Price" fld="13" baseField="0" baseItem="0"/>
    <dataField name="Sum of Amount" fld="14" baseField="0" baseItem="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11" count="1" selected="0">
            <x v="0"/>
          </reference>
        </references>
      </pivotArea>
    </chartFormat>
    <chartFormat chart="0" format="4">
      <pivotArea type="data" outline="0" fieldPosition="0">
        <references count="2">
          <reference field="4294967294" count="1" selected="0">
            <x v="0"/>
          </reference>
          <reference field="11" count="1" selected="0">
            <x v="1"/>
          </reference>
        </references>
      </pivotArea>
    </chartFormat>
    <chartFormat chart="0" format="5">
      <pivotArea type="data" outline="0" fieldPosition="0">
        <references count="2">
          <reference field="4294967294" count="1" selected="0">
            <x v="0"/>
          </reference>
          <reference field="11" count="1" selected="0">
            <x v="2"/>
          </reference>
        </references>
      </pivotArea>
    </chartFormat>
    <chartFormat chart="0" format="6">
      <pivotArea type="data" outline="0" fieldPosition="0">
        <references count="2">
          <reference field="4294967294" count="1" selected="0">
            <x v="0"/>
          </reference>
          <reference field="11" count="1" selected="0">
            <x v="3"/>
          </reference>
        </references>
      </pivotArea>
    </chartFormat>
    <chartFormat chart="0" format="7">
      <pivotArea type="data" outline="0" fieldPosition="0">
        <references count="2">
          <reference field="4294967294" count="1" selected="0">
            <x v="1"/>
          </reference>
          <reference field="11" count="1" selected="0">
            <x v="0"/>
          </reference>
        </references>
      </pivotArea>
    </chartFormat>
    <chartFormat chart="0" format="8">
      <pivotArea type="data" outline="0" fieldPosition="0">
        <references count="2">
          <reference field="4294967294" count="1" selected="0">
            <x v="1"/>
          </reference>
          <reference field="11" count="1" selected="0">
            <x v="1"/>
          </reference>
        </references>
      </pivotArea>
    </chartFormat>
    <chartFormat chart="0" format="9">
      <pivotArea type="data" outline="0" fieldPosition="0">
        <references count="2">
          <reference field="4294967294" count="1" selected="0">
            <x v="1"/>
          </reference>
          <reference field="11" count="1" selected="0">
            <x v="2"/>
          </reference>
        </references>
      </pivotArea>
    </chartFormat>
    <chartFormat chart="0" format="10">
      <pivotArea type="data" outline="0" fieldPosition="0">
        <references count="2">
          <reference field="4294967294" count="1" selected="0">
            <x v="1"/>
          </reference>
          <reference field="11" count="1" selected="0">
            <x v="3"/>
          </reference>
        </references>
      </pivotArea>
    </chartFormat>
    <chartFormat chart="0" format="11">
      <pivotArea type="data" outline="0" fieldPosition="0">
        <references count="2">
          <reference field="4294967294" count="1" selected="0">
            <x v="2"/>
          </reference>
          <reference field="11" count="1" selected="0">
            <x v="0"/>
          </reference>
        </references>
      </pivotArea>
    </chartFormat>
    <chartFormat chart="0" format="12">
      <pivotArea type="data" outline="0" fieldPosition="0">
        <references count="2">
          <reference field="4294967294" count="1" selected="0">
            <x v="2"/>
          </reference>
          <reference field="11" count="1" selected="0">
            <x v="1"/>
          </reference>
        </references>
      </pivotArea>
    </chartFormat>
    <chartFormat chart="0" format="13">
      <pivotArea type="data" outline="0" fieldPosition="0">
        <references count="2">
          <reference field="4294967294" count="1" selected="0">
            <x v="2"/>
          </reference>
          <reference field="11" count="1" selected="0">
            <x v="2"/>
          </reference>
        </references>
      </pivotArea>
    </chartFormat>
    <chartFormat chart="0" format="14">
      <pivotArea type="data" outline="0" fieldPosition="0">
        <references count="2">
          <reference field="4294967294" count="1" selected="0">
            <x v="2"/>
          </reference>
          <reference field="11" count="1" selected="0">
            <x v="3"/>
          </reference>
        </references>
      </pivotArea>
    </chartFormat>
  </chartFormats>
  <pivotTableStyleInfo name="PivotStyleLight16" showRowHeaders="1" showColHeaders="1" showRowStripes="0" showColStripes="0" showLastColumn="1"/>
  <filters count="1">
    <filter fld="2" type="dateBetween" evalOrder="-1" id="115" name="Order Date">
      <autoFilter ref="A1">
        <filterColumn colId="0">
          <customFilters and="1">
            <customFilter operator="greaterThanOrEqual" val="4565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6621A6-D1AB-413D-8986-0F9C668959B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
  <location ref="A3:D24" firstHeaderRow="0" firstDataRow="1" firstDataCol="1"/>
  <pivotFields count="15">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items count="21">
        <item x="14"/>
        <item x="10"/>
        <item x="12"/>
        <item x="15"/>
        <item x="4"/>
        <item x="7"/>
        <item x="6"/>
        <item x="19"/>
        <item x="18"/>
        <item x="11"/>
        <item x="17"/>
        <item x="5"/>
        <item x="0"/>
        <item x="2"/>
        <item x="9"/>
        <item x="16"/>
        <item x="1"/>
        <item x="13"/>
        <item x="8"/>
        <item x="3"/>
        <item t="default"/>
      </items>
    </pivotField>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items count="5">
        <item x="2"/>
        <item x="1"/>
        <item x="0"/>
        <item x="3"/>
        <item t="default"/>
      </items>
    </pivotField>
    <pivotField showAll="0">
      <items count="6">
        <item h="1" x="0"/>
        <item h="1" x="3"/>
        <item h="1" x="4"/>
        <item h="1" x="2"/>
        <item x="1"/>
        <item t="default"/>
      </items>
    </pivotField>
    <pivotField showAll="0"/>
    <pivotField showAll="0"/>
    <pivotField showAll="0"/>
    <pivotField showAll="0"/>
    <pivotField showAll="0"/>
    <pivotField showAll="0"/>
    <pivotField dataField="1" showAll="0"/>
    <pivotField dataField="1" showAll="0"/>
    <pivotField dataField="1"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Sum of Quantity" fld="12" baseField="0" baseItem="0"/>
    <dataField name="Sum of Unit Price" fld="13" baseField="0" baseItem="0"/>
    <dataField name="Sum of Amount" fld="14" baseField="0" baseItem="0"/>
  </dataFields>
  <pivotTableStyleInfo name="PivotStyleLight16" showRowHeaders="1" showColHeaders="1" showRowStripes="0" showColStripes="0" showLastColumn="1"/>
  <filters count="1">
    <filter fld="2" type="dateBetween" evalOrder="-1" id="115" name="Order Date">
      <autoFilter ref="A1">
        <filterColumn colId="0">
          <customFilters and="1">
            <customFilter operator="greaterThanOrEqual" val="4565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251AF8-A0DC-4B34-9347-61DB316C5A17}"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product">
  <location ref="B109:C114" firstHeaderRow="1" firstDataRow="1" firstDataCol="1"/>
  <pivotFields count="15">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axis="axisRow" showAll="0">
      <items count="5">
        <item x="2"/>
        <item x="1"/>
        <item x="0"/>
        <item x="3"/>
        <item t="default"/>
      </items>
    </pivotField>
    <pivotField showAll="0">
      <items count="6">
        <item h="1" x="0"/>
        <item h="1" x="3"/>
        <item h="1" x="4"/>
        <item h="1" x="2"/>
        <item x="1"/>
        <item t="default"/>
      </items>
    </pivotField>
    <pivotField dataField="1" showAll="0">
      <items count="6">
        <item x="3"/>
        <item x="4"/>
        <item x="1"/>
        <item x="0"/>
        <item x="2"/>
        <item t="default"/>
      </items>
    </pivotField>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items count="14">
        <item x="0"/>
        <item x="1"/>
        <item x="2"/>
        <item x="3"/>
        <item x="4"/>
        <item x="5"/>
        <item x="6"/>
        <item x="7"/>
        <item x="8"/>
        <item x="9"/>
        <item x="10"/>
        <item x="11"/>
        <item x="12"/>
        <item t="default"/>
      </items>
    </pivotField>
    <pivotField showAll="0"/>
    <pivotField showAll="0"/>
    <pivotField showAll="0"/>
    <pivotField showAll="0"/>
  </pivotFields>
  <rowFields count="1">
    <field x="4"/>
  </rowFields>
  <rowItems count="5">
    <i>
      <x/>
    </i>
    <i>
      <x v="1"/>
    </i>
    <i>
      <x v="2"/>
    </i>
    <i>
      <x v="3"/>
    </i>
    <i t="grand">
      <x/>
    </i>
  </rowItems>
  <colItems count="1">
    <i/>
  </colItems>
  <dataFields count="1">
    <dataField name="Average of Rating C" fld="6" subtotal="average" baseField="0" baseItem="0"/>
  </dataFields>
  <pivotTableStyleInfo name="PivotStyleLight16" showRowHeaders="1" showColHeaders="1" showRowStripes="0" showColStripes="0" showLastColumn="1"/>
  <filters count="1">
    <filter fld="2" type="dateBetween" evalOrder="-1" id="115" name="Order Date">
      <autoFilter ref="A1">
        <filterColumn colId="0">
          <customFilters and="1">
            <customFilter operator="greaterThanOrEqual" val="4565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B0E994-43FB-4E0B-99E2-409DCB330A3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product">
  <location ref="Q86:R107" firstHeaderRow="1" firstDataRow="1" firstDataCol="1"/>
  <pivotFields count="15">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items count="21">
        <item x="14"/>
        <item x="10"/>
        <item x="12"/>
        <item x="15"/>
        <item x="4"/>
        <item x="7"/>
        <item x="6"/>
        <item x="19"/>
        <item x="18"/>
        <item x="11"/>
        <item x="17"/>
        <item x="5"/>
        <item x="0"/>
        <item x="2"/>
        <item x="9"/>
        <item x="16"/>
        <item x="1"/>
        <item x="13"/>
        <item x="8"/>
        <item x="3"/>
        <item t="default"/>
      </items>
    </pivotField>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items count="5">
        <item x="2"/>
        <item x="1"/>
        <item x="0"/>
        <item x="3"/>
        <item t="default"/>
      </items>
    </pivotField>
    <pivotField showAll="0">
      <items count="6">
        <item h="1" x="0"/>
        <item h="1" x="3"/>
        <item h="1" x="4"/>
        <item h="1" x="2"/>
        <item x="1"/>
        <item t="default"/>
      </items>
    </pivotField>
    <pivotField showAll="0"/>
    <pivotField showAll="0"/>
    <pivotField showAll="0"/>
    <pivotField showAll="0"/>
    <pivotField showAll="0"/>
    <pivotField showAll="0"/>
    <pivotField dataField="1"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Quantity" fld="12"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15" name="Order Date">
      <autoFilter ref="A1">
        <filterColumn colId="0">
          <customFilters and="1">
            <customFilter operator="greaterThanOrEqual" val="4565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 xr10:uid="{8F94AC7D-1F3F-40E0-89BB-DA0DB764F511}" sourceName="Customer Gender">
  <pivotTables>
    <pivotTable tabId="6" name="PivotTable1"/>
    <pivotTable tabId="6" name="PivotTable2"/>
    <pivotTable tabId="6" name="PivotTable3"/>
    <pivotTable tabId="6" name="PivotTable5"/>
    <pivotTable tabId="6" name="PivotTable4"/>
    <pivotTable tabId="6" name="PivotTable6"/>
    <pivotTable tabId="6" name="PivotTable7"/>
    <pivotTable tabId="6" name="PivotTable8"/>
    <pivotTable tabId="6" name="PivotTable9"/>
  </pivotTables>
  <data>
    <tabular pivotCacheId="175143088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14AFF8B1-4F3C-4DE0-A45D-A48333E1CF50}" sourceName="Order Mode">
  <pivotTables>
    <pivotTable tabId="6" name="PivotTable1"/>
    <pivotTable tabId="6" name="PivotTable2"/>
    <pivotTable tabId="6" name="PivotTable3"/>
    <pivotTable tabId="6" name="PivotTable5"/>
    <pivotTable tabId="6" name="PivotTable4"/>
    <pivotTable tabId="6" name="PivotTable6"/>
    <pivotTable tabId="6" name="PivotTable7"/>
    <pivotTable tabId="6" name="PivotTable8"/>
    <pivotTable tabId="6" name="PivotTable9"/>
  </pivotTables>
  <data>
    <tabular pivotCacheId="1751430881">
      <items count="5">
        <i x="0"/>
        <i x="3"/>
        <i x="4"/>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Gender" xr10:uid="{FA18006A-1CFE-4701-B6EF-92E0F9A1AB12}" cache="Slicer_Customer_Gender" caption="Customer Gender" rowHeight="247650"/>
  <slicer name="Order Mode" xr10:uid="{474326EB-620E-465F-8481-C48865CE2D30}" cache="Slicer_Order_Mode" caption="Order Mod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Gender 1" xr10:uid="{69BEE86D-D487-4873-A1A1-08E24CAF5F1D}" cache="Slicer_Customer_Gender" caption="Customer Gender" rowHeight="247650"/>
  <slicer name="Order Mode 1" xr10:uid="{F4BCDCFF-EF3D-454B-9836-43ED2F8DAFE4}" cache="Slicer_Order_Mode" caption="Order M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autoFilter ref="A1:O2401" xr:uid="{32EEAC7A-86FC-461F-9D5F-511044F2AF9D}"/>
  <tableColumns count="15">
    <tableColumn id="1" xr3:uid="{835BDA26-C722-4E6F-9298-258C54C0B701}" name="TX ID"/>
    <tableColumn id="2" xr3:uid="{D1EF005A-5696-4529-BA61-93E2EAA2107A}" name="Product"/>
    <tableColumn id="6" xr3:uid="{F1CF05F9-0D26-457F-8C26-9F73C63CDAC6}" name="Order Date" dataDxfId="7"/>
    <tableColumn id="7" xr3:uid="{43BB5DBF-46E1-4185-80C0-4361F55A385C}" name="Ship Date" dataDxfId="6"/>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5">
      <calculatedColumnFormula>orders[[#This Row],[Ship Date]]-orders[[#This Row],[Order Date]]</calculatedColumnFormula>
    </tableColumn>
    <tableColumn id="12" xr3:uid="{B071C0DA-87A9-4516-B4D9-4F5B7D3FF44A}" name="Weeknum" dataDxfId="4">
      <calculatedColumnFormula>WEEKNUM(orders[[#This Row],[Order Date]])</calculatedColumnFormula>
    </tableColumn>
    <tableColumn id="13" xr3:uid="{B8EA9E28-7541-4E76-9935-C26438661A18}" name="Gender Value" dataDxfId="3">
      <calculatedColumnFormula array="1">_xlfn.IFS(orders[[#This Row],[Customer Gender]]="M","Male", orders[[#This Row],[Customer Gender]]="F","Female", orders[[#This Row],[Customer Gender]]="O","Other", TRUE,"Unknown")</calculatedColumnFormula>
    </tableColumn>
    <tableColumn id="17" xr3:uid="{68328EB7-D966-48FC-B27D-A2A5D5D9ED46}" name="Quantity" dataDxfId="2"/>
    <tableColumn id="18" xr3:uid="{E43873AE-AB6A-497C-A64A-50E8C854A317}" name="Unit Price" dataDxfId="1"/>
    <tableColumn id="19" xr3:uid="{7E7B7DC9-EA76-4815-9D9E-0CFE61549BB1}" name="Amount" dataDxfId="0"/>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57EFE-9043-4E4E-9203-9366BBD7612E}">
  <dimension ref="A3:T271"/>
  <sheetViews>
    <sheetView topLeftCell="C1" zoomScale="98" zoomScaleNormal="98" workbookViewId="0">
      <selection activeCell="O4" sqref="O4"/>
    </sheetView>
  </sheetViews>
  <sheetFormatPr defaultRowHeight="14.4" x14ac:dyDescent="0.3"/>
  <cols>
    <col min="1" max="1" width="19.44140625" bestFit="1" customWidth="1"/>
    <col min="2" max="2" width="11.77734375" bestFit="1" customWidth="1"/>
    <col min="3" max="3" width="17" bestFit="1" customWidth="1"/>
    <col min="4" max="4" width="15.5546875" bestFit="1" customWidth="1"/>
    <col min="5" max="5" width="19.77734375" bestFit="1" customWidth="1"/>
    <col min="6" max="6" width="14.5546875" bestFit="1" customWidth="1"/>
    <col min="8" max="8" width="10.77734375" bestFit="1" customWidth="1"/>
    <col min="9" max="9" width="14.5546875" bestFit="1" customWidth="1"/>
    <col min="12" max="12" width="21.109375" bestFit="1" customWidth="1"/>
    <col min="14" max="14" width="19.44140625" bestFit="1" customWidth="1"/>
    <col min="15" max="15" width="22.77734375" bestFit="1" customWidth="1"/>
    <col min="16" max="16" width="20.21875" bestFit="1" customWidth="1"/>
    <col min="17" max="17" width="19.44140625" bestFit="1" customWidth="1"/>
    <col min="18" max="19" width="14.5546875" bestFit="1" customWidth="1"/>
    <col min="20" max="20" width="13.77734375" bestFit="1" customWidth="1"/>
    <col min="21" max="21" width="14.6640625" bestFit="1" customWidth="1"/>
    <col min="22" max="22" width="13.88671875" bestFit="1" customWidth="1"/>
  </cols>
  <sheetData>
    <row r="3" spans="1:16" x14ac:dyDescent="0.3">
      <c r="A3" s="8" t="s">
        <v>2530</v>
      </c>
      <c r="B3" t="s">
        <v>2522</v>
      </c>
      <c r="C3" t="s">
        <v>2521</v>
      </c>
      <c r="D3" t="s">
        <v>2520</v>
      </c>
      <c r="N3" t="s">
        <v>2523</v>
      </c>
      <c r="O3" t="s">
        <v>2524</v>
      </c>
      <c r="P3" t="s">
        <v>2525</v>
      </c>
    </row>
    <row r="4" spans="1:16" x14ac:dyDescent="0.3">
      <c r="A4" s="9" t="s">
        <v>80</v>
      </c>
      <c r="B4" s="12">
        <v>32</v>
      </c>
      <c r="C4" s="12">
        <v>221.09999999999997</v>
      </c>
      <c r="D4" s="12">
        <v>852</v>
      </c>
      <c r="N4">
        <f>GETPIVOTDATA("Sum of Quantity",$A$3)</f>
        <v>2666</v>
      </c>
      <c r="O4">
        <f>GETPIVOTDATA("Sum of Unit Price",$A$3)</f>
        <v>32215.300000000007</v>
      </c>
      <c r="P4">
        <f>GETPIVOTDATA("Sum of Amount",$A$3)</f>
        <v>152796.40000000002</v>
      </c>
    </row>
    <row r="5" spans="1:16" x14ac:dyDescent="0.3">
      <c r="A5" s="9" t="s">
        <v>53</v>
      </c>
      <c r="B5" s="12">
        <v>102</v>
      </c>
      <c r="C5" s="12">
        <v>1251.4999999999998</v>
      </c>
      <c r="D5" s="12">
        <v>4672.2</v>
      </c>
    </row>
    <row r="6" spans="1:16" x14ac:dyDescent="0.3">
      <c r="A6" s="9" t="s">
        <v>68</v>
      </c>
      <c r="B6" s="12">
        <v>85</v>
      </c>
      <c r="C6" s="12">
        <v>1347.8</v>
      </c>
      <c r="D6" s="12">
        <v>5345.7</v>
      </c>
    </row>
    <row r="7" spans="1:16" x14ac:dyDescent="0.3">
      <c r="A7" s="9" t="s">
        <v>122</v>
      </c>
      <c r="B7" s="12">
        <v>74</v>
      </c>
      <c r="C7" s="12">
        <v>603.69999999999993</v>
      </c>
      <c r="D7" s="12">
        <v>3458.9000000000005</v>
      </c>
    </row>
    <row r="8" spans="1:16" x14ac:dyDescent="0.3">
      <c r="A8" s="9" t="s">
        <v>31</v>
      </c>
      <c r="B8" s="12">
        <v>130</v>
      </c>
      <c r="C8" s="12">
        <v>969.1</v>
      </c>
      <c r="D8" s="12">
        <v>4984.3</v>
      </c>
    </row>
    <row r="9" spans="1:16" x14ac:dyDescent="0.3">
      <c r="A9" s="9" t="s">
        <v>41</v>
      </c>
      <c r="B9" s="12">
        <v>114</v>
      </c>
      <c r="C9" s="12">
        <v>1591.4</v>
      </c>
      <c r="D9" s="12">
        <v>7334.4000000000015</v>
      </c>
    </row>
    <row r="10" spans="1:16" x14ac:dyDescent="0.3">
      <c r="A10" s="9" t="s">
        <v>38</v>
      </c>
      <c r="B10" s="12">
        <v>382</v>
      </c>
      <c r="C10" s="12">
        <v>5450.4000000000015</v>
      </c>
      <c r="D10" s="12">
        <v>27108.999999999996</v>
      </c>
    </row>
    <row r="11" spans="1:16" x14ac:dyDescent="0.3">
      <c r="A11" s="9" t="s">
        <v>170</v>
      </c>
      <c r="B11" s="12">
        <v>21</v>
      </c>
      <c r="C11" s="12">
        <v>137.6</v>
      </c>
      <c r="D11" s="12">
        <v>648.40000000000009</v>
      </c>
    </row>
    <row r="12" spans="1:16" x14ac:dyDescent="0.3">
      <c r="A12" s="9" t="s">
        <v>145</v>
      </c>
      <c r="B12" s="12">
        <v>39</v>
      </c>
      <c r="C12" s="12">
        <v>827.7</v>
      </c>
      <c r="D12" s="12">
        <v>1987.7000000000003</v>
      </c>
    </row>
    <row r="13" spans="1:16" x14ac:dyDescent="0.3">
      <c r="A13" s="9" t="s">
        <v>66</v>
      </c>
      <c r="B13" s="12">
        <v>87</v>
      </c>
      <c r="C13" s="12">
        <v>701.3</v>
      </c>
      <c r="D13" s="12">
        <v>4151.6000000000004</v>
      </c>
    </row>
    <row r="14" spans="1:16" x14ac:dyDescent="0.3">
      <c r="A14" s="9" t="s">
        <v>134</v>
      </c>
      <c r="B14" s="12">
        <v>137</v>
      </c>
      <c r="C14" s="12">
        <v>801.9</v>
      </c>
      <c r="D14" s="12">
        <v>5911.2000000000007</v>
      </c>
    </row>
    <row r="15" spans="1:16" x14ac:dyDescent="0.3">
      <c r="A15" s="9" t="s">
        <v>36</v>
      </c>
      <c r="B15" s="12">
        <v>107</v>
      </c>
      <c r="C15" s="12">
        <v>1489.6000000000001</v>
      </c>
      <c r="D15" s="12">
        <v>7421.1</v>
      </c>
    </row>
    <row r="16" spans="1:16" x14ac:dyDescent="0.3">
      <c r="A16" s="9" t="s">
        <v>16</v>
      </c>
      <c r="B16" s="12">
        <v>126</v>
      </c>
      <c r="C16" s="12">
        <v>612.59999999999991</v>
      </c>
      <c r="D16" s="12">
        <v>2545.0999999999995</v>
      </c>
    </row>
    <row r="17" spans="1:5" x14ac:dyDescent="0.3">
      <c r="A17" s="9" t="s">
        <v>25</v>
      </c>
      <c r="B17" s="12">
        <v>284</v>
      </c>
      <c r="C17" s="12">
        <v>7386.3</v>
      </c>
      <c r="D17" s="12">
        <v>32742.100000000006</v>
      </c>
    </row>
    <row r="18" spans="1:5" x14ac:dyDescent="0.3">
      <c r="A18" s="9" t="s">
        <v>45</v>
      </c>
      <c r="B18" s="12">
        <v>105</v>
      </c>
      <c r="C18" s="12">
        <v>1450.8000000000002</v>
      </c>
      <c r="D18" s="12">
        <v>5812.8</v>
      </c>
    </row>
    <row r="19" spans="1:5" x14ac:dyDescent="0.3">
      <c r="A19" s="9" t="s">
        <v>127</v>
      </c>
      <c r="B19" s="12">
        <v>37</v>
      </c>
      <c r="C19" s="12">
        <v>612.4</v>
      </c>
      <c r="D19" s="12">
        <v>2379.8999999999996</v>
      </c>
    </row>
    <row r="20" spans="1:5" x14ac:dyDescent="0.3">
      <c r="A20" s="9" t="s">
        <v>21</v>
      </c>
      <c r="B20" s="12">
        <v>250</v>
      </c>
      <c r="C20" s="12">
        <v>2804.3000000000011</v>
      </c>
      <c r="D20" s="12">
        <v>15357.400000000001</v>
      </c>
    </row>
    <row r="21" spans="1:5" x14ac:dyDescent="0.3">
      <c r="A21" s="9" t="s">
        <v>75</v>
      </c>
      <c r="B21" s="12">
        <v>90</v>
      </c>
      <c r="C21" s="12">
        <v>553.6</v>
      </c>
      <c r="D21" s="12">
        <v>2953.3999999999996</v>
      </c>
    </row>
    <row r="22" spans="1:5" x14ac:dyDescent="0.3">
      <c r="A22" s="9" t="s">
        <v>43</v>
      </c>
      <c r="B22" s="12">
        <v>399</v>
      </c>
      <c r="C22" s="12">
        <v>2389.2000000000003</v>
      </c>
      <c r="D22" s="12">
        <v>13070.100000000004</v>
      </c>
    </row>
    <row r="23" spans="1:5" x14ac:dyDescent="0.3">
      <c r="A23" s="9" t="s">
        <v>29</v>
      </c>
      <c r="B23" s="12">
        <v>65</v>
      </c>
      <c r="C23" s="12">
        <v>1013</v>
      </c>
      <c r="D23" s="12">
        <v>4059.1000000000004</v>
      </c>
    </row>
    <row r="24" spans="1:5" x14ac:dyDescent="0.3">
      <c r="A24" s="9" t="s">
        <v>2519</v>
      </c>
      <c r="B24" s="12">
        <v>2666</v>
      </c>
      <c r="C24" s="12">
        <v>32215.300000000007</v>
      </c>
      <c r="D24" s="12">
        <v>152796.40000000002</v>
      </c>
    </row>
    <row r="30" spans="1:5" x14ac:dyDescent="0.3">
      <c r="B30" s="8" t="s">
        <v>2518</v>
      </c>
      <c r="C30" t="s">
        <v>2522</v>
      </c>
      <c r="D30" t="s">
        <v>2521</v>
      </c>
      <c r="E30" t="s">
        <v>2520</v>
      </c>
    </row>
    <row r="31" spans="1:5" x14ac:dyDescent="0.3">
      <c r="B31" s="9" t="s">
        <v>2526</v>
      </c>
      <c r="C31" s="12">
        <v>1312</v>
      </c>
      <c r="D31" s="12">
        <v>17294.7</v>
      </c>
      <c r="E31" s="12">
        <v>81270.899999999994</v>
      </c>
    </row>
    <row r="32" spans="1:5" x14ac:dyDescent="0.3">
      <c r="B32" s="9" t="s">
        <v>2527</v>
      </c>
      <c r="C32" s="12">
        <v>1148</v>
      </c>
      <c r="D32" s="12">
        <v>12554.300000000001</v>
      </c>
      <c r="E32" s="12">
        <v>59380.6</v>
      </c>
    </row>
    <row r="33" spans="2:5" x14ac:dyDescent="0.3">
      <c r="B33" s="9" t="s">
        <v>2528</v>
      </c>
      <c r="C33" s="12">
        <v>72</v>
      </c>
      <c r="D33" s="12">
        <v>860.2</v>
      </c>
      <c r="E33" s="12">
        <v>4091.6000000000004</v>
      </c>
    </row>
    <row r="34" spans="2:5" x14ac:dyDescent="0.3">
      <c r="B34" s="9" t="s">
        <v>2529</v>
      </c>
      <c r="C34" s="12">
        <v>134</v>
      </c>
      <c r="D34" s="12">
        <v>1506.1000000000001</v>
      </c>
      <c r="E34" s="12">
        <v>8053.2999999999984</v>
      </c>
    </row>
    <row r="35" spans="2:5" x14ac:dyDescent="0.3">
      <c r="B35" s="9" t="s">
        <v>2519</v>
      </c>
      <c r="C35" s="12">
        <v>2666</v>
      </c>
      <c r="D35" s="12">
        <v>32215.3</v>
      </c>
      <c r="E35" s="12">
        <v>152796.4</v>
      </c>
    </row>
    <row r="40" spans="2:5" x14ac:dyDescent="0.3">
      <c r="B40" s="8" t="s">
        <v>2518</v>
      </c>
      <c r="C40" t="s">
        <v>2522</v>
      </c>
      <c r="D40" t="s">
        <v>2521</v>
      </c>
      <c r="E40" t="s">
        <v>2520</v>
      </c>
    </row>
    <row r="41" spans="2:5" x14ac:dyDescent="0.3">
      <c r="B41" s="9" t="s">
        <v>34</v>
      </c>
      <c r="C41" s="12">
        <v>2666</v>
      </c>
      <c r="D41" s="12">
        <v>32215.30000000001</v>
      </c>
      <c r="E41" s="12">
        <v>152796.40000000017</v>
      </c>
    </row>
    <row r="42" spans="2:5" x14ac:dyDescent="0.3">
      <c r="B42" s="9" t="s">
        <v>2519</v>
      </c>
      <c r="C42" s="12">
        <v>2666</v>
      </c>
      <c r="D42" s="12">
        <v>32215.30000000001</v>
      </c>
      <c r="E42" s="12">
        <v>152796.40000000017</v>
      </c>
    </row>
    <row r="60" spans="18:20" x14ac:dyDescent="0.3">
      <c r="R60" s="8" t="s">
        <v>2530</v>
      </c>
      <c r="S60" t="s">
        <v>2522</v>
      </c>
      <c r="T60" t="s">
        <v>2520</v>
      </c>
    </row>
    <row r="61" spans="18:20" x14ac:dyDescent="0.3">
      <c r="R61" s="9">
        <v>1</v>
      </c>
      <c r="S61" s="12">
        <v>106</v>
      </c>
      <c r="T61" s="12">
        <v>5530.5999999999995</v>
      </c>
    </row>
    <row r="62" spans="18:20" x14ac:dyDescent="0.3">
      <c r="R62" s="9">
        <v>2</v>
      </c>
      <c r="S62" s="12">
        <v>235</v>
      </c>
      <c r="T62" s="12">
        <v>11648.6</v>
      </c>
    </row>
    <row r="63" spans="18:20" x14ac:dyDescent="0.3">
      <c r="R63" s="9">
        <v>3</v>
      </c>
      <c r="S63" s="12">
        <v>239</v>
      </c>
      <c r="T63" s="12">
        <v>14960.699999999999</v>
      </c>
    </row>
    <row r="64" spans="18:20" x14ac:dyDescent="0.3">
      <c r="R64" s="9">
        <v>4</v>
      </c>
      <c r="S64" s="12">
        <v>186</v>
      </c>
      <c r="T64" s="12">
        <v>10358.900000000001</v>
      </c>
    </row>
    <row r="65" spans="18:20" x14ac:dyDescent="0.3">
      <c r="R65" s="9">
        <v>5</v>
      </c>
      <c r="S65" s="12">
        <v>132</v>
      </c>
      <c r="T65" s="12">
        <v>7508.0000000000018</v>
      </c>
    </row>
    <row r="66" spans="18:20" x14ac:dyDescent="0.3">
      <c r="R66" s="9">
        <v>6</v>
      </c>
      <c r="S66" s="12">
        <v>224</v>
      </c>
      <c r="T66" s="12">
        <v>14115.399999999998</v>
      </c>
    </row>
    <row r="67" spans="18:20" x14ac:dyDescent="0.3">
      <c r="R67" s="9">
        <v>7</v>
      </c>
      <c r="S67" s="12">
        <v>226</v>
      </c>
      <c r="T67" s="12">
        <v>12354.4</v>
      </c>
    </row>
    <row r="68" spans="18:20" x14ac:dyDescent="0.3">
      <c r="R68" s="9">
        <v>8</v>
      </c>
      <c r="S68" s="12">
        <v>253</v>
      </c>
      <c r="T68" s="12">
        <v>15048.500000000005</v>
      </c>
    </row>
    <row r="69" spans="18:20" x14ac:dyDescent="0.3">
      <c r="R69" s="9">
        <v>9</v>
      </c>
      <c r="S69" s="12">
        <v>202</v>
      </c>
      <c r="T69" s="12">
        <v>10938.800000000001</v>
      </c>
    </row>
    <row r="70" spans="18:20" x14ac:dyDescent="0.3">
      <c r="R70" s="9">
        <v>10</v>
      </c>
      <c r="S70" s="12">
        <v>217</v>
      </c>
      <c r="T70" s="12">
        <v>14980.4</v>
      </c>
    </row>
    <row r="71" spans="18:20" x14ac:dyDescent="0.3">
      <c r="R71" s="9">
        <v>11</v>
      </c>
      <c r="S71" s="12">
        <v>202</v>
      </c>
      <c r="T71" s="12">
        <v>10512.100000000002</v>
      </c>
    </row>
    <row r="72" spans="18:20" x14ac:dyDescent="0.3">
      <c r="R72" s="9">
        <v>12</v>
      </c>
      <c r="S72" s="12">
        <v>233</v>
      </c>
      <c r="T72" s="12">
        <v>12628</v>
      </c>
    </row>
    <row r="73" spans="18:20" x14ac:dyDescent="0.3">
      <c r="R73" s="9">
        <v>13</v>
      </c>
      <c r="S73" s="12">
        <v>211</v>
      </c>
      <c r="T73" s="12">
        <v>12212.000000000002</v>
      </c>
    </row>
    <row r="74" spans="18:20" x14ac:dyDescent="0.3">
      <c r="R74" s="9" t="s">
        <v>2519</v>
      </c>
      <c r="S74" s="12">
        <v>2666</v>
      </c>
      <c r="T74" s="12">
        <v>152796.4</v>
      </c>
    </row>
    <row r="86" spans="17:18" x14ac:dyDescent="0.3">
      <c r="Q86" s="8" t="s">
        <v>2530</v>
      </c>
      <c r="R86" t="s">
        <v>2522</v>
      </c>
    </row>
    <row r="87" spans="17:18" x14ac:dyDescent="0.3">
      <c r="Q87" s="9" t="s">
        <v>80</v>
      </c>
      <c r="R87" s="12">
        <v>32</v>
      </c>
    </row>
    <row r="88" spans="17:18" x14ac:dyDescent="0.3">
      <c r="Q88" s="9" t="s">
        <v>53</v>
      </c>
      <c r="R88" s="12">
        <v>102</v>
      </c>
    </row>
    <row r="89" spans="17:18" x14ac:dyDescent="0.3">
      <c r="Q89" s="9" t="s">
        <v>68</v>
      </c>
      <c r="R89" s="12">
        <v>85</v>
      </c>
    </row>
    <row r="90" spans="17:18" x14ac:dyDescent="0.3">
      <c r="Q90" s="9" t="s">
        <v>122</v>
      </c>
      <c r="R90" s="12">
        <v>74</v>
      </c>
    </row>
    <row r="91" spans="17:18" x14ac:dyDescent="0.3">
      <c r="Q91" s="9" t="s">
        <v>31</v>
      </c>
      <c r="R91" s="12">
        <v>130</v>
      </c>
    </row>
    <row r="92" spans="17:18" x14ac:dyDescent="0.3">
      <c r="Q92" s="9" t="s">
        <v>41</v>
      </c>
      <c r="R92" s="12">
        <v>114</v>
      </c>
    </row>
    <row r="93" spans="17:18" x14ac:dyDescent="0.3">
      <c r="Q93" s="9" t="s">
        <v>38</v>
      </c>
      <c r="R93" s="12">
        <v>382</v>
      </c>
    </row>
    <row r="94" spans="17:18" x14ac:dyDescent="0.3">
      <c r="Q94" s="9" t="s">
        <v>170</v>
      </c>
      <c r="R94" s="12">
        <v>21</v>
      </c>
    </row>
    <row r="95" spans="17:18" x14ac:dyDescent="0.3">
      <c r="Q95" s="9" t="s">
        <v>145</v>
      </c>
      <c r="R95" s="12">
        <v>39</v>
      </c>
    </row>
    <row r="96" spans="17:18" x14ac:dyDescent="0.3">
      <c r="Q96" s="9" t="s">
        <v>66</v>
      </c>
      <c r="R96" s="12">
        <v>87</v>
      </c>
    </row>
    <row r="97" spans="2:18" x14ac:dyDescent="0.3">
      <c r="Q97" s="9" t="s">
        <v>134</v>
      </c>
      <c r="R97" s="12">
        <v>137</v>
      </c>
    </row>
    <row r="98" spans="2:18" x14ac:dyDescent="0.3">
      <c r="Q98" s="9" t="s">
        <v>36</v>
      </c>
      <c r="R98" s="12">
        <v>107</v>
      </c>
    </row>
    <row r="99" spans="2:18" x14ac:dyDescent="0.3">
      <c r="Q99" s="9" t="s">
        <v>16</v>
      </c>
      <c r="R99" s="12">
        <v>126</v>
      </c>
    </row>
    <row r="100" spans="2:18" x14ac:dyDescent="0.3">
      <c r="Q100" s="9" t="s">
        <v>25</v>
      </c>
      <c r="R100" s="12">
        <v>284</v>
      </c>
    </row>
    <row r="101" spans="2:18" x14ac:dyDescent="0.3">
      <c r="Q101" s="9" t="s">
        <v>45</v>
      </c>
      <c r="R101" s="12">
        <v>105</v>
      </c>
    </row>
    <row r="102" spans="2:18" x14ac:dyDescent="0.3">
      <c r="Q102" s="9" t="s">
        <v>127</v>
      </c>
      <c r="R102" s="12">
        <v>37</v>
      </c>
    </row>
    <row r="103" spans="2:18" x14ac:dyDescent="0.3">
      <c r="Q103" s="9" t="s">
        <v>21</v>
      </c>
      <c r="R103" s="12">
        <v>250</v>
      </c>
    </row>
    <row r="104" spans="2:18" x14ac:dyDescent="0.3">
      <c r="Q104" s="9" t="s">
        <v>75</v>
      </c>
      <c r="R104" s="12">
        <v>90</v>
      </c>
    </row>
    <row r="105" spans="2:18" x14ac:dyDescent="0.3">
      <c r="Q105" s="9" t="s">
        <v>43</v>
      </c>
      <c r="R105" s="12">
        <v>399</v>
      </c>
    </row>
    <row r="106" spans="2:18" x14ac:dyDescent="0.3">
      <c r="Q106" s="9" t="s">
        <v>29</v>
      </c>
      <c r="R106" s="12">
        <v>65</v>
      </c>
    </row>
    <row r="107" spans="2:18" x14ac:dyDescent="0.3">
      <c r="Q107" s="9" t="s">
        <v>2519</v>
      </c>
      <c r="R107" s="12">
        <v>2666</v>
      </c>
    </row>
    <row r="109" spans="2:18" x14ac:dyDescent="0.3">
      <c r="B109" s="8" t="s">
        <v>2530</v>
      </c>
      <c r="C109" t="s">
        <v>2531</v>
      </c>
      <c r="H109" s="8" t="s">
        <v>2530</v>
      </c>
      <c r="I109" t="s">
        <v>2522</v>
      </c>
    </row>
    <row r="110" spans="2:18" x14ac:dyDescent="0.3">
      <c r="B110" s="9" t="s">
        <v>26</v>
      </c>
      <c r="C110" s="12">
        <v>3.9862542955326461</v>
      </c>
      <c r="H110" s="9" t="s">
        <v>34</v>
      </c>
      <c r="I110" s="12">
        <v>2666</v>
      </c>
    </row>
    <row r="111" spans="2:18" x14ac:dyDescent="0.3">
      <c r="B111" s="9" t="s">
        <v>22</v>
      </c>
      <c r="C111" s="12">
        <v>3.9393939393939394</v>
      </c>
      <c r="H111" s="9" t="s">
        <v>2519</v>
      </c>
      <c r="I111" s="12">
        <v>2666</v>
      </c>
    </row>
    <row r="112" spans="2:18" x14ac:dyDescent="0.3">
      <c r="B112" s="9" t="s">
        <v>2517</v>
      </c>
      <c r="C112" s="12">
        <v>3.903225806451613</v>
      </c>
    </row>
    <row r="113" spans="2:15" x14ac:dyDescent="0.3">
      <c r="B113" s="9" t="s">
        <v>88</v>
      </c>
      <c r="C113" s="12">
        <v>3.8125</v>
      </c>
    </row>
    <row r="114" spans="2:15" x14ac:dyDescent="0.3">
      <c r="B114" s="9" t="s">
        <v>2519</v>
      </c>
      <c r="C114" s="12">
        <v>3.9578207381370825</v>
      </c>
    </row>
    <row r="120" spans="2:15" x14ac:dyDescent="0.3">
      <c r="C120">
        <f>GETPIVOTDATA("Rating C",$B$109)</f>
        <v>3.9578207381370825</v>
      </c>
      <c r="N120" s="8" t="s">
        <v>2530</v>
      </c>
      <c r="O120" t="s">
        <v>2532</v>
      </c>
    </row>
    <row r="121" spans="2:15" x14ac:dyDescent="0.3">
      <c r="N121" s="9" t="s">
        <v>80</v>
      </c>
      <c r="O121" s="11">
        <v>2.375</v>
      </c>
    </row>
    <row r="122" spans="2:15" x14ac:dyDescent="0.3">
      <c r="N122" s="9" t="s">
        <v>53</v>
      </c>
      <c r="O122" s="11">
        <v>1.6551724137931034</v>
      </c>
    </row>
    <row r="123" spans="2:15" x14ac:dyDescent="0.3">
      <c r="N123" s="9" t="s">
        <v>68</v>
      </c>
      <c r="O123" s="11">
        <v>2.0952380952380953</v>
      </c>
    </row>
    <row r="124" spans="2:15" x14ac:dyDescent="0.3">
      <c r="N124" s="9" t="s">
        <v>122</v>
      </c>
      <c r="O124" s="11">
        <v>1.4615384615384615</v>
      </c>
    </row>
    <row r="125" spans="2:15" x14ac:dyDescent="0.3">
      <c r="N125" s="9" t="s">
        <v>31</v>
      </c>
      <c r="O125" s="11">
        <v>2.2142857142857144</v>
      </c>
    </row>
    <row r="126" spans="2:15" x14ac:dyDescent="0.3">
      <c r="N126" s="9" t="s">
        <v>41</v>
      </c>
      <c r="O126" s="11">
        <v>3</v>
      </c>
    </row>
    <row r="127" spans="2:15" x14ac:dyDescent="0.3">
      <c r="N127" s="9" t="s">
        <v>38</v>
      </c>
      <c r="O127" s="11">
        <v>1.9466666666666668</v>
      </c>
    </row>
    <row r="128" spans="2:15" x14ac:dyDescent="0.3">
      <c r="N128" s="9" t="s">
        <v>170</v>
      </c>
      <c r="O128" s="11">
        <v>4.5999999999999996</v>
      </c>
    </row>
    <row r="129" spans="5:15" x14ac:dyDescent="0.3">
      <c r="E129" s="8" t="s">
        <v>2530</v>
      </c>
      <c r="F129" t="s">
        <v>2522</v>
      </c>
      <c r="N129" s="9" t="s">
        <v>145</v>
      </c>
      <c r="O129" s="11">
        <v>1.7142857142857142</v>
      </c>
    </row>
    <row r="130" spans="5:15" x14ac:dyDescent="0.3">
      <c r="E130" s="9" t="s">
        <v>114</v>
      </c>
      <c r="F130" s="12">
        <v>129</v>
      </c>
      <c r="N130" s="9" t="s">
        <v>66</v>
      </c>
      <c r="O130" s="11">
        <v>2.1333333333333333</v>
      </c>
    </row>
    <row r="131" spans="5:15" x14ac:dyDescent="0.3">
      <c r="E131" s="9" t="s">
        <v>640</v>
      </c>
      <c r="F131" s="12">
        <v>3</v>
      </c>
      <c r="N131" s="9" t="s">
        <v>134</v>
      </c>
      <c r="O131" s="11">
        <v>1.631578947368421</v>
      </c>
    </row>
    <row r="132" spans="5:15" x14ac:dyDescent="0.3">
      <c r="E132" s="9" t="s">
        <v>966</v>
      </c>
      <c r="F132" s="12">
        <v>12</v>
      </c>
      <c r="N132" s="9" t="s">
        <v>36</v>
      </c>
      <c r="O132" s="11">
        <v>2.2608695652173911</v>
      </c>
    </row>
    <row r="133" spans="5:15" x14ac:dyDescent="0.3">
      <c r="E133" s="9" t="s">
        <v>1382</v>
      </c>
      <c r="F133" s="12">
        <v>1</v>
      </c>
      <c r="N133" s="9" t="s">
        <v>16</v>
      </c>
      <c r="O133" s="11">
        <v>2.3333333333333335</v>
      </c>
    </row>
    <row r="134" spans="5:15" x14ac:dyDescent="0.3">
      <c r="E134" s="9" t="s">
        <v>23</v>
      </c>
      <c r="F134" s="12">
        <v>48</v>
      </c>
      <c r="N134" s="9" t="s">
        <v>25</v>
      </c>
      <c r="O134" s="11">
        <v>2.3382352941176472</v>
      </c>
    </row>
    <row r="135" spans="5:15" x14ac:dyDescent="0.3">
      <c r="E135" s="9" t="s">
        <v>27</v>
      </c>
      <c r="F135" s="12">
        <v>46</v>
      </c>
      <c r="N135" s="9" t="s">
        <v>45</v>
      </c>
      <c r="O135" s="11">
        <v>2.0666666666666669</v>
      </c>
    </row>
    <row r="136" spans="5:15" x14ac:dyDescent="0.3">
      <c r="E136" s="9" t="s">
        <v>207</v>
      </c>
      <c r="F136" s="12">
        <v>5</v>
      </c>
      <c r="N136" s="9" t="s">
        <v>127</v>
      </c>
      <c r="O136" s="11">
        <v>2</v>
      </c>
    </row>
    <row r="137" spans="5:15" x14ac:dyDescent="0.3">
      <c r="E137" s="9" t="s">
        <v>586</v>
      </c>
      <c r="F137" s="12">
        <v>3</v>
      </c>
      <c r="N137" s="9" t="s">
        <v>21</v>
      </c>
      <c r="O137" s="11">
        <v>2</v>
      </c>
    </row>
    <row r="138" spans="5:15" x14ac:dyDescent="0.3">
      <c r="E138" s="9" t="s">
        <v>330</v>
      </c>
      <c r="F138" s="12">
        <v>9</v>
      </c>
      <c r="N138" s="9" t="s">
        <v>75</v>
      </c>
      <c r="O138" s="11">
        <v>1.8666666666666667</v>
      </c>
    </row>
    <row r="139" spans="5:15" x14ac:dyDescent="0.3">
      <c r="E139" s="9" t="s">
        <v>146</v>
      </c>
      <c r="F139" s="12">
        <v>56</v>
      </c>
      <c r="N139" s="9" t="s">
        <v>43</v>
      </c>
      <c r="O139" s="11">
        <v>2.7402597402597402</v>
      </c>
    </row>
    <row r="140" spans="5:15" x14ac:dyDescent="0.3">
      <c r="E140" s="9" t="s">
        <v>333</v>
      </c>
      <c r="F140" s="12">
        <v>12</v>
      </c>
      <c r="N140" s="9" t="s">
        <v>29</v>
      </c>
      <c r="O140" s="11">
        <v>2.4705882352941178</v>
      </c>
    </row>
    <row r="141" spans="5:15" x14ac:dyDescent="0.3">
      <c r="E141" s="9" t="s">
        <v>948</v>
      </c>
      <c r="F141" s="12">
        <v>12</v>
      </c>
      <c r="N141" s="9" t="s">
        <v>2519</v>
      </c>
      <c r="O141" s="11">
        <v>2.2161687170474518</v>
      </c>
    </row>
    <row r="142" spans="5:15" x14ac:dyDescent="0.3">
      <c r="E142" s="9" t="s">
        <v>32</v>
      </c>
      <c r="F142" s="12">
        <v>836</v>
      </c>
    </row>
    <row r="143" spans="5:15" x14ac:dyDescent="0.3">
      <c r="E143" s="9" t="s">
        <v>363</v>
      </c>
      <c r="F143" s="12">
        <v>13</v>
      </c>
    </row>
    <row r="144" spans="5:15" x14ac:dyDescent="0.3">
      <c r="E144" s="9" t="s">
        <v>544</v>
      </c>
      <c r="F144" s="12">
        <v>8</v>
      </c>
    </row>
    <row r="145" spans="5:14" x14ac:dyDescent="0.3">
      <c r="E145" s="9" t="s">
        <v>257</v>
      </c>
      <c r="F145" s="12">
        <v>6</v>
      </c>
      <c r="N145">
        <f>ROUND(GETPIVOTDATA("Days to Deliver",$N$120),1)</f>
        <v>2.2000000000000002</v>
      </c>
    </row>
    <row r="146" spans="5:14" x14ac:dyDescent="0.3">
      <c r="E146" s="9" t="s">
        <v>185</v>
      </c>
      <c r="F146" s="12">
        <v>19</v>
      </c>
    </row>
    <row r="147" spans="5:14" x14ac:dyDescent="0.3">
      <c r="E147" s="9" t="s">
        <v>801</v>
      </c>
      <c r="F147" s="12">
        <v>3</v>
      </c>
    </row>
    <row r="148" spans="5:14" x14ac:dyDescent="0.3">
      <c r="E148" s="9" t="s">
        <v>97</v>
      </c>
      <c r="F148" s="12">
        <v>30</v>
      </c>
    </row>
    <row r="149" spans="5:14" x14ac:dyDescent="0.3">
      <c r="E149" s="9" t="s">
        <v>48</v>
      </c>
      <c r="F149" s="12">
        <v>12</v>
      </c>
    </row>
    <row r="150" spans="5:14" x14ac:dyDescent="0.3">
      <c r="E150" s="9" t="s">
        <v>187</v>
      </c>
      <c r="F150" s="12">
        <v>16</v>
      </c>
    </row>
    <row r="151" spans="5:14" x14ac:dyDescent="0.3">
      <c r="E151" s="9" t="s">
        <v>51</v>
      </c>
      <c r="F151" s="12">
        <v>31</v>
      </c>
    </row>
    <row r="152" spans="5:14" x14ac:dyDescent="0.3">
      <c r="E152" s="9" t="s">
        <v>157</v>
      </c>
      <c r="F152" s="12">
        <v>18</v>
      </c>
    </row>
    <row r="153" spans="5:14" x14ac:dyDescent="0.3">
      <c r="E153" s="9" t="s">
        <v>54</v>
      </c>
      <c r="F153" s="12">
        <v>258</v>
      </c>
    </row>
    <row r="154" spans="5:14" x14ac:dyDescent="0.3">
      <c r="E154" s="9" t="s">
        <v>58</v>
      </c>
      <c r="F154" s="12">
        <v>71</v>
      </c>
    </row>
    <row r="155" spans="5:14" x14ac:dyDescent="0.3">
      <c r="E155" s="9" t="s">
        <v>61</v>
      </c>
      <c r="F155" s="12">
        <v>326</v>
      </c>
    </row>
    <row r="156" spans="5:14" x14ac:dyDescent="0.3">
      <c r="E156" s="9" t="s">
        <v>102</v>
      </c>
      <c r="F156" s="12">
        <v>29</v>
      </c>
    </row>
    <row r="157" spans="5:14" x14ac:dyDescent="0.3">
      <c r="E157" s="9" t="s">
        <v>200</v>
      </c>
      <c r="F157" s="12">
        <v>27</v>
      </c>
    </row>
    <row r="158" spans="5:14" x14ac:dyDescent="0.3">
      <c r="E158" s="9" t="s">
        <v>71</v>
      </c>
      <c r="F158" s="12">
        <v>95</v>
      </c>
    </row>
    <row r="159" spans="5:14" x14ac:dyDescent="0.3">
      <c r="E159" s="9" t="s">
        <v>73</v>
      </c>
      <c r="F159" s="12">
        <v>28</v>
      </c>
    </row>
    <row r="160" spans="5:14" x14ac:dyDescent="0.3">
      <c r="E160" s="9" t="s">
        <v>76</v>
      </c>
      <c r="F160" s="12">
        <v>177</v>
      </c>
    </row>
    <row r="161" spans="5:13" x14ac:dyDescent="0.3">
      <c r="E161" s="9" t="s">
        <v>308</v>
      </c>
      <c r="F161" s="12">
        <v>16</v>
      </c>
    </row>
    <row r="162" spans="5:13" x14ac:dyDescent="0.3">
      <c r="E162" s="9" t="s">
        <v>1115</v>
      </c>
      <c r="F162" s="12">
        <v>38</v>
      </c>
    </row>
    <row r="163" spans="5:13" x14ac:dyDescent="0.3">
      <c r="E163" s="9" t="s">
        <v>267</v>
      </c>
      <c r="F163" s="12">
        <v>2</v>
      </c>
    </row>
    <row r="164" spans="5:13" x14ac:dyDescent="0.3">
      <c r="E164" s="9" t="s">
        <v>376</v>
      </c>
      <c r="F164" s="12">
        <v>30</v>
      </c>
    </row>
    <row r="165" spans="5:13" x14ac:dyDescent="0.3">
      <c r="E165" s="9" t="s">
        <v>107</v>
      </c>
      <c r="F165" s="12">
        <v>99</v>
      </c>
    </row>
    <row r="166" spans="5:13" x14ac:dyDescent="0.3">
      <c r="E166" s="9" t="s">
        <v>109</v>
      </c>
      <c r="F166" s="12">
        <v>47</v>
      </c>
    </row>
    <row r="167" spans="5:13" x14ac:dyDescent="0.3">
      <c r="E167" s="9" t="s">
        <v>78</v>
      </c>
      <c r="F167" s="12">
        <v>6</v>
      </c>
    </row>
    <row r="168" spans="5:13" x14ac:dyDescent="0.3">
      <c r="E168" s="9" t="s">
        <v>607</v>
      </c>
      <c r="F168" s="12">
        <v>5</v>
      </c>
    </row>
    <row r="169" spans="5:13" x14ac:dyDescent="0.3">
      <c r="E169" s="9" t="s">
        <v>112</v>
      </c>
      <c r="F169" s="12">
        <v>22</v>
      </c>
    </row>
    <row r="170" spans="5:13" x14ac:dyDescent="0.3">
      <c r="E170" s="9" t="s">
        <v>996</v>
      </c>
      <c r="F170" s="12">
        <v>9</v>
      </c>
    </row>
    <row r="171" spans="5:13" x14ac:dyDescent="0.3">
      <c r="E171" s="9" t="s">
        <v>81</v>
      </c>
      <c r="F171" s="12">
        <v>51</v>
      </c>
    </row>
    <row r="172" spans="5:13" x14ac:dyDescent="0.3">
      <c r="E172" s="9" t="s">
        <v>242</v>
      </c>
      <c r="F172" s="12">
        <v>2</v>
      </c>
    </row>
    <row r="173" spans="5:13" x14ac:dyDescent="0.3">
      <c r="E173" s="9" t="s">
        <v>2519</v>
      </c>
      <c r="F173" s="12">
        <v>2666</v>
      </c>
      <c r="L173" t="s">
        <v>2533</v>
      </c>
    </row>
    <row r="174" spans="5:13" x14ac:dyDescent="0.3">
      <c r="L174" s="3" t="s">
        <v>114</v>
      </c>
      <c r="M174" t="e">
        <f>-GETPIVOTDATA("Quantity",$E$129,"State",L174)</f>
        <v>#REF!</v>
      </c>
    </row>
    <row r="175" spans="5:13" x14ac:dyDescent="0.3">
      <c r="L175" s="3" t="s">
        <v>19</v>
      </c>
    </row>
    <row r="176" spans="5:13" x14ac:dyDescent="0.3">
      <c r="L176" s="3" t="s">
        <v>640</v>
      </c>
    </row>
    <row r="177" spans="12:12" x14ac:dyDescent="0.3">
      <c r="L177" s="3" t="s">
        <v>966</v>
      </c>
    </row>
    <row r="178" spans="12:12" x14ac:dyDescent="0.3">
      <c r="L178" s="3" t="s">
        <v>83</v>
      </c>
    </row>
    <row r="179" spans="12:12" x14ac:dyDescent="0.3">
      <c r="L179" s="3" t="s">
        <v>1382</v>
      </c>
    </row>
    <row r="180" spans="12:12" x14ac:dyDescent="0.3">
      <c r="L180" s="3" t="s">
        <v>23</v>
      </c>
    </row>
    <row r="181" spans="12:12" x14ac:dyDescent="0.3">
      <c r="L181" s="3" t="s">
        <v>2203</v>
      </c>
    </row>
    <row r="182" spans="12:12" x14ac:dyDescent="0.3">
      <c r="L182" s="3" t="s">
        <v>436</v>
      </c>
    </row>
    <row r="183" spans="12:12" x14ac:dyDescent="0.3">
      <c r="L183" s="3" t="s">
        <v>27</v>
      </c>
    </row>
    <row r="184" spans="12:12" x14ac:dyDescent="0.3">
      <c r="L184" s="3" t="s">
        <v>207</v>
      </c>
    </row>
    <row r="185" spans="12:12" x14ac:dyDescent="0.3">
      <c r="L185" s="3" t="s">
        <v>586</v>
      </c>
    </row>
    <row r="186" spans="12:12" x14ac:dyDescent="0.3">
      <c r="L186" s="3" t="s">
        <v>330</v>
      </c>
    </row>
    <row r="187" spans="12:12" x14ac:dyDescent="0.3">
      <c r="L187" s="3" t="s">
        <v>85</v>
      </c>
    </row>
    <row r="188" spans="12:12" x14ac:dyDescent="0.3">
      <c r="L188" s="3" t="s">
        <v>146</v>
      </c>
    </row>
    <row r="189" spans="12:12" x14ac:dyDescent="0.3">
      <c r="L189" s="3" t="s">
        <v>333</v>
      </c>
    </row>
    <row r="190" spans="12:12" x14ac:dyDescent="0.3">
      <c r="L190" s="3" t="s">
        <v>948</v>
      </c>
    </row>
    <row r="191" spans="12:12" x14ac:dyDescent="0.3">
      <c r="L191" s="3" t="s">
        <v>1425</v>
      </c>
    </row>
    <row r="192" spans="12:12" x14ac:dyDescent="0.3">
      <c r="L192" s="3" t="s">
        <v>32</v>
      </c>
    </row>
    <row r="193" spans="12:12" x14ac:dyDescent="0.3">
      <c r="L193" s="3" t="s">
        <v>363</v>
      </c>
    </row>
    <row r="194" spans="12:12" x14ac:dyDescent="0.3">
      <c r="L194" s="3" t="s">
        <v>544</v>
      </c>
    </row>
    <row r="195" spans="12:12" x14ac:dyDescent="0.3">
      <c r="L195" s="3" t="s">
        <v>415</v>
      </c>
    </row>
    <row r="196" spans="12:12" x14ac:dyDescent="0.3">
      <c r="L196" s="3" t="s">
        <v>257</v>
      </c>
    </row>
    <row r="197" spans="12:12" x14ac:dyDescent="0.3">
      <c r="L197" s="3" t="s">
        <v>185</v>
      </c>
    </row>
    <row r="198" spans="12:12" x14ac:dyDescent="0.3">
      <c r="L198" s="3" t="s">
        <v>391</v>
      </c>
    </row>
    <row r="199" spans="12:12" x14ac:dyDescent="0.3">
      <c r="L199" s="3" t="s">
        <v>669</v>
      </c>
    </row>
    <row r="200" spans="12:12" x14ac:dyDescent="0.3">
      <c r="L200" s="3" t="s">
        <v>801</v>
      </c>
    </row>
    <row r="201" spans="12:12" x14ac:dyDescent="0.3">
      <c r="L201" s="3" t="s">
        <v>97</v>
      </c>
    </row>
    <row r="202" spans="12:12" x14ac:dyDescent="0.3">
      <c r="L202" s="3" t="s">
        <v>48</v>
      </c>
    </row>
    <row r="203" spans="12:12" x14ac:dyDescent="0.3">
      <c r="L203" s="3" t="s">
        <v>187</v>
      </c>
    </row>
    <row r="204" spans="12:12" x14ac:dyDescent="0.3">
      <c r="L204" s="3" t="s">
        <v>51</v>
      </c>
    </row>
    <row r="205" spans="12:12" x14ac:dyDescent="0.3">
      <c r="L205" s="3" t="s">
        <v>337</v>
      </c>
    </row>
    <row r="206" spans="12:12" x14ac:dyDescent="0.3">
      <c r="L206" s="3" t="s">
        <v>157</v>
      </c>
    </row>
    <row r="207" spans="12:12" x14ac:dyDescent="0.3">
      <c r="L207" s="3" t="s">
        <v>54</v>
      </c>
    </row>
    <row r="208" spans="12:12" x14ac:dyDescent="0.3">
      <c r="L208" s="3" t="s">
        <v>341</v>
      </c>
    </row>
    <row r="209" spans="4:12" x14ac:dyDescent="0.3">
      <c r="L209" s="3" t="s">
        <v>58</v>
      </c>
    </row>
    <row r="210" spans="4:12" x14ac:dyDescent="0.3">
      <c r="L210" s="3" t="s">
        <v>61</v>
      </c>
    </row>
    <row r="211" spans="4:12" x14ac:dyDescent="0.3">
      <c r="L211" s="3" t="s">
        <v>102</v>
      </c>
    </row>
    <row r="212" spans="4:12" x14ac:dyDescent="0.3">
      <c r="L212" s="3" t="s">
        <v>200</v>
      </c>
    </row>
    <row r="213" spans="4:12" x14ac:dyDescent="0.3">
      <c r="D213" s="10" t="s">
        <v>2530</v>
      </c>
      <c r="E213" s="10" t="s">
        <v>2522</v>
      </c>
      <c r="L213" s="3" t="s">
        <v>428</v>
      </c>
    </row>
    <row r="214" spans="4:12" x14ac:dyDescent="0.3">
      <c r="D214" s="9" t="s">
        <v>114</v>
      </c>
      <c r="E214">
        <f>GETPIVOTDATA("Quantity",$E$129,"County",D214)</f>
        <v>129</v>
      </c>
      <c r="L214" s="3" t="s">
        <v>71</v>
      </c>
    </row>
    <row r="215" spans="4:12" x14ac:dyDescent="0.3">
      <c r="D215" s="9" t="s">
        <v>19</v>
      </c>
      <c r="E215" t="e">
        <f t="shared" ref="E215:E271" si="0">GETPIVOTDATA("Quantity",$E$129,"County",D215)</f>
        <v>#REF!</v>
      </c>
      <c r="L215" s="3" t="s">
        <v>73</v>
      </c>
    </row>
    <row r="216" spans="4:12" x14ac:dyDescent="0.3">
      <c r="D216" s="9" t="s">
        <v>640</v>
      </c>
      <c r="E216">
        <f t="shared" si="0"/>
        <v>3</v>
      </c>
      <c r="L216" s="3" t="s">
        <v>76</v>
      </c>
    </row>
    <row r="217" spans="4:12" x14ac:dyDescent="0.3">
      <c r="D217" s="9" t="s">
        <v>966</v>
      </c>
      <c r="E217">
        <f t="shared" si="0"/>
        <v>12</v>
      </c>
      <c r="L217" s="3" t="s">
        <v>308</v>
      </c>
    </row>
    <row r="218" spans="4:12" x14ac:dyDescent="0.3">
      <c r="D218" s="9" t="s">
        <v>83</v>
      </c>
      <c r="E218" t="e">
        <f t="shared" si="0"/>
        <v>#REF!</v>
      </c>
      <c r="L218" s="3" t="s">
        <v>1115</v>
      </c>
    </row>
    <row r="219" spans="4:12" x14ac:dyDescent="0.3">
      <c r="D219" s="9" t="s">
        <v>1382</v>
      </c>
      <c r="E219">
        <f t="shared" si="0"/>
        <v>1</v>
      </c>
      <c r="L219" s="3" t="s">
        <v>699</v>
      </c>
    </row>
    <row r="220" spans="4:12" x14ac:dyDescent="0.3">
      <c r="D220" s="9" t="s">
        <v>23</v>
      </c>
      <c r="E220">
        <f t="shared" si="0"/>
        <v>48</v>
      </c>
      <c r="L220" s="3" t="s">
        <v>267</v>
      </c>
    </row>
    <row r="221" spans="4:12" x14ac:dyDescent="0.3">
      <c r="D221" s="9" t="s">
        <v>2203</v>
      </c>
      <c r="E221" t="e">
        <f t="shared" si="0"/>
        <v>#REF!</v>
      </c>
      <c r="L221" s="3" t="s">
        <v>376</v>
      </c>
    </row>
    <row r="222" spans="4:12" x14ac:dyDescent="0.3">
      <c r="D222" s="9" t="s">
        <v>436</v>
      </c>
      <c r="E222" t="e">
        <f t="shared" si="0"/>
        <v>#REF!</v>
      </c>
      <c r="L222" s="3" t="s">
        <v>107</v>
      </c>
    </row>
    <row r="223" spans="4:12" x14ac:dyDescent="0.3">
      <c r="D223" s="9" t="s">
        <v>27</v>
      </c>
      <c r="E223">
        <f t="shared" si="0"/>
        <v>46</v>
      </c>
      <c r="L223" s="3" t="s">
        <v>109</v>
      </c>
    </row>
    <row r="224" spans="4:12" x14ac:dyDescent="0.3">
      <c r="D224" s="9" t="s">
        <v>207</v>
      </c>
      <c r="E224">
        <f t="shared" si="0"/>
        <v>5</v>
      </c>
      <c r="L224" s="3" t="s">
        <v>291</v>
      </c>
    </row>
    <row r="225" spans="4:12" x14ac:dyDescent="0.3">
      <c r="D225" s="9" t="s">
        <v>586</v>
      </c>
      <c r="E225">
        <f t="shared" si="0"/>
        <v>3</v>
      </c>
      <c r="L225" s="3" t="s">
        <v>78</v>
      </c>
    </row>
    <row r="226" spans="4:12" x14ac:dyDescent="0.3">
      <c r="D226" s="9" t="s">
        <v>330</v>
      </c>
      <c r="E226">
        <f t="shared" si="0"/>
        <v>9</v>
      </c>
      <c r="L226" s="3" t="s">
        <v>607</v>
      </c>
    </row>
    <row r="227" spans="4:12" x14ac:dyDescent="0.3">
      <c r="D227" s="9" t="s">
        <v>85</v>
      </c>
      <c r="E227" t="e">
        <f t="shared" si="0"/>
        <v>#REF!</v>
      </c>
      <c r="L227" s="3" t="s">
        <v>112</v>
      </c>
    </row>
    <row r="228" spans="4:12" x14ac:dyDescent="0.3">
      <c r="D228" s="9" t="s">
        <v>146</v>
      </c>
      <c r="E228">
        <f t="shared" si="0"/>
        <v>56</v>
      </c>
      <c r="L228" s="3" t="s">
        <v>996</v>
      </c>
    </row>
    <row r="229" spans="4:12" x14ac:dyDescent="0.3">
      <c r="D229" s="9" t="s">
        <v>333</v>
      </c>
      <c r="E229">
        <f t="shared" si="0"/>
        <v>12</v>
      </c>
      <c r="L229" s="3" t="s">
        <v>81</v>
      </c>
    </row>
    <row r="230" spans="4:12" x14ac:dyDescent="0.3">
      <c r="D230" s="9" t="s">
        <v>948</v>
      </c>
      <c r="E230">
        <f t="shared" si="0"/>
        <v>12</v>
      </c>
      <c r="L230" s="3" t="s">
        <v>242</v>
      </c>
    </row>
    <row r="231" spans="4:12" x14ac:dyDescent="0.3">
      <c r="D231" s="9" t="s">
        <v>1425</v>
      </c>
      <c r="E231" t="e">
        <f t="shared" si="0"/>
        <v>#REF!</v>
      </c>
      <c r="L231" s="3" t="s">
        <v>1910</v>
      </c>
    </row>
    <row r="232" spans="4:12" x14ac:dyDescent="0.3">
      <c r="D232" s="9" t="s">
        <v>32</v>
      </c>
      <c r="E232">
        <f t="shared" si="0"/>
        <v>836</v>
      </c>
    </row>
    <row r="233" spans="4:12" x14ac:dyDescent="0.3">
      <c r="D233" s="9" t="s">
        <v>363</v>
      </c>
      <c r="E233">
        <f t="shared" si="0"/>
        <v>13</v>
      </c>
    </row>
    <row r="234" spans="4:12" x14ac:dyDescent="0.3">
      <c r="D234" s="9" t="s">
        <v>544</v>
      </c>
      <c r="E234">
        <f t="shared" si="0"/>
        <v>8</v>
      </c>
    </row>
    <row r="235" spans="4:12" x14ac:dyDescent="0.3">
      <c r="D235" s="9" t="s">
        <v>415</v>
      </c>
      <c r="E235" t="e">
        <f t="shared" si="0"/>
        <v>#REF!</v>
      </c>
    </row>
    <row r="236" spans="4:12" x14ac:dyDescent="0.3">
      <c r="D236" s="9" t="s">
        <v>257</v>
      </c>
      <c r="E236">
        <f t="shared" si="0"/>
        <v>6</v>
      </c>
    </row>
    <row r="237" spans="4:12" x14ac:dyDescent="0.3">
      <c r="D237" s="9" t="s">
        <v>185</v>
      </c>
      <c r="E237">
        <f t="shared" si="0"/>
        <v>19</v>
      </c>
    </row>
    <row r="238" spans="4:12" x14ac:dyDescent="0.3">
      <c r="D238" s="9" t="s">
        <v>391</v>
      </c>
      <c r="E238" t="e">
        <f t="shared" si="0"/>
        <v>#REF!</v>
      </c>
    </row>
    <row r="239" spans="4:12" x14ac:dyDescent="0.3">
      <c r="D239" s="9" t="s">
        <v>669</v>
      </c>
      <c r="E239" t="e">
        <f t="shared" si="0"/>
        <v>#REF!</v>
      </c>
    </row>
    <row r="240" spans="4:12" x14ac:dyDescent="0.3">
      <c r="D240" s="9" t="s">
        <v>801</v>
      </c>
      <c r="E240">
        <f t="shared" si="0"/>
        <v>3</v>
      </c>
    </row>
    <row r="241" spans="4:5" x14ac:dyDescent="0.3">
      <c r="D241" s="9" t="s">
        <v>97</v>
      </c>
      <c r="E241">
        <f t="shared" si="0"/>
        <v>30</v>
      </c>
    </row>
    <row r="242" spans="4:5" x14ac:dyDescent="0.3">
      <c r="D242" s="9" t="s">
        <v>48</v>
      </c>
      <c r="E242">
        <f t="shared" si="0"/>
        <v>12</v>
      </c>
    </row>
    <row r="243" spans="4:5" x14ac:dyDescent="0.3">
      <c r="D243" s="9" t="s">
        <v>187</v>
      </c>
      <c r="E243">
        <f t="shared" si="0"/>
        <v>16</v>
      </c>
    </row>
    <row r="244" spans="4:5" x14ac:dyDescent="0.3">
      <c r="D244" s="9" t="s">
        <v>51</v>
      </c>
      <c r="E244">
        <f t="shared" si="0"/>
        <v>31</v>
      </c>
    </row>
    <row r="245" spans="4:5" x14ac:dyDescent="0.3">
      <c r="D245" s="9" t="s">
        <v>337</v>
      </c>
      <c r="E245" t="e">
        <f t="shared" si="0"/>
        <v>#REF!</v>
      </c>
    </row>
    <row r="246" spans="4:5" x14ac:dyDescent="0.3">
      <c r="D246" s="9" t="s">
        <v>157</v>
      </c>
      <c r="E246">
        <f t="shared" si="0"/>
        <v>18</v>
      </c>
    </row>
    <row r="247" spans="4:5" x14ac:dyDescent="0.3">
      <c r="D247" s="9" t="s">
        <v>54</v>
      </c>
      <c r="E247">
        <f t="shared" si="0"/>
        <v>258</v>
      </c>
    </row>
    <row r="248" spans="4:5" x14ac:dyDescent="0.3">
      <c r="D248" s="9" t="s">
        <v>341</v>
      </c>
      <c r="E248" t="e">
        <f t="shared" si="0"/>
        <v>#REF!</v>
      </c>
    </row>
    <row r="249" spans="4:5" x14ac:dyDescent="0.3">
      <c r="D249" s="9" t="s">
        <v>58</v>
      </c>
      <c r="E249">
        <f t="shared" si="0"/>
        <v>71</v>
      </c>
    </row>
    <row r="250" spans="4:5" x14ac:dyDescent="0.3">
      <c r="D250" s="9" t="s">
        <v>61</v>
      </c>
      <c r="E250">
        <f t="shared" si="0"/>
        <v>326</v>
      </c>
    </row>
    <row r="251" spans="4:5" x14ac:dyDescent="0.3">
      <c r="D251" s="9" t="s">
        <v>102</v>
      </c>
      <c r="E251">
        <f t="shared" si="0"/>
        <v>29</v>
      </c>
    </row>
    <row r="252" spans="4:5" x14ac:dyDescent="0.3">
      <c r="D252" s="9" t="s">
        <v>200</v>
      </c>
      <c r="E252">
        <f t="shared" si="0"/>
        <v>27</v>
      </c>
    </row>
    <row r="253" spans="4:5" x14ac:dyDescent="0.3">
      <c r="D253" s="9" t="s">
        <v>428</v>
      </c>
      <c r="E253" t="e">
        <f t="shared" si="0"/>
        <v>#REF!</v>
      </c>
    </row>
    <row r="254" spans="4:5" x14ac:dyDescent="0.3">
      <c r="D254" s="9" t="s">
        <v>71</v>
      </c>
      <c r="E254">
        <f t="shared" si="0"/>
        <v>95</v>
      </c>
    </row>
    <row r="255" spans="4:5" x14ac:dyDescent="0.3">
      <c r="D255" s="9" t="s">
        <v>73</v>
      </c>
      <c r="E255">
        <f t="shared" si="0"/>
        <v>28</v>
      </c>
    </row>
    <row r="256" spans="4:5" x14ac:dyDescent="0.3">
      <c r="D256" s="9" t="s">
        <v>76</v>
      </c>
      <c r="E256">
        <f t="shared" si="0"/>
        <v>177</v>
      </c>
    </row>
    <row r="257" spans="4:5" x14ac:dyDescent="0.3">
      <c r="D257" s="9" t="s">
        <v>308</v>
      </c>
      <c r="E257">
        <f t="shared" si="0"/>
        <v>16</v>
      </c>
    </row>
    <row r="258" spans="4:5" x14ac:dyDescent="0.3">
      <c r="D258" s="9" t="s">
        <v>1115</v>
      </c>
      <c r="E258">
        <f t="shared" si="0"/>
        <v>38</v>
      </c>
    </row>
    <row r="259" spans="4:5" x14ac:dyDescent="0.3">
      <c r="D259" s="9" t="s">
        <v>699</v>
      </c>
      <c r="E259" t="e">
        <f t="shared" si="0"/>
        <v>#REF!</v>
      </c>
    </row>
    <row r="260" spans="4:5" x14ac:dyDescent="0.3">
      <c r="D260" s="9" t="s">
        <v>267</v>
      </c>
      <c r="E260">
        <f t="shared" si="0"/>
        <v>2</v>
      </c>
    </row>
    <row r="261" spans="4:5" x14ac:dyDescent="0.3">
      <c r="D261" s="9" t="s">
        <v>376</v>
      </c>
      <c r="E261">
        <f t="shared" si="0"/>
        <v>30</v>
      </c>
    </row>
    <row r="262" spans="4:5" x14ac:dyDescent="0.3">
      <c r="D262" s="9" t="s">
        <v>107</v>
      </c>
      <c r="E262">
        <f t="shared" si="0"/>
        <v>99</v>
      </c>
    </row>
    <row r="263" spans="4:5" x14ac:dyDescent="0.3">
      <c r="D263" s="9" t="s">
        <v>109</v>
      </c>
      <c r="E263">
        <f t="shared" si="0"/>
        <v>47</v>
      </c>
    </row>
    <row r="264" spans="4:5" x14ac:dyDescent="0.3">
      <c r="D264" s="9" t="s">
        <v>291</v>
      </c>
      <c r="E264" t="e">
        <f t="shared" si="0"/>
        <v>#REF!</v>
      </c>
    </row>
    <row r="265" spans="4:5" x14ac:dyDescent="0.3">
      <c r="D265" s="9" t="s">
        <v>78</v>
      </c>
      <c r="E265">
        <f t="shared" si="0"/>
        <v>6</v>
      </c>
    </row>
    <row r="266" spans="4:5" x14ac:dyDescent="0.3">
      <c r="D266" s="9" t="s">
        <v>607</v>
      </c>
      <c r="E266">
        <f t="shared" si="0"/>
        <v>5</v>
      </c>
    </row>
    <row r="267" spans="4:5" x14ac:dyDescent="0.3">
      <c r="D267" s="9" t="s">
        <v>112</v>
      </c>
      <c r="E267">
        <f t="shared" si="0"/>
        <v>22</v>
      </c>
    </row>
    <row r="268" spans="4:5" x14ac:dyDescent="0.3">
      <c r="D268" s="9" t="s">
        <v>996</v>
      </c>
      <c r="E268">
        <f t="shared" si="0"/>
        <v>9</v>
      </c>
    </row>
    <row r="269" spans="4:5" x14ac:dyDescent="0.3">
      <c r="D269" s="9" t="s">
        <v>81</v>
      </c>
      <c r="E269">
        <f t="shared" si="0"/>
        <v>51</v>
      </c>
    </row>
    <row r="270" spans="4:5" x14ac:dyDescent="0.3">
      <c r="D270" s="9" t="s">
        <v>242</v>
      </c>
      <c r="E270">
        <f t="shared" si="0"/>
        <v>2</v>
      </c>
    </row>
    <row r="271" spans="4:5" x14ac:dyDescent="0.3">
      <c r="D271" s="9" t="s">
        <v>1910</v>
      </c>
      <c r="E271" t="e">
        <f t="shared" si="0"/>
        <v>#REF!</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1729" workbookViewId="0">
      <selection activeCell="A2" sqref="A2:O2401"/>
    </sheetView>
  </sheetViews>
  <sheetFormatPr defaultRowHeight="14.4" x14ac:dyDescent="0.3"/>
  <cols>
    <col min="2" max="2" width="19.109375" bestFit="1" customWidth="1"/>
    <col min="3" max="3" width="10" style="7" bestFit="1" customWidth="1"/>
    <col min="4" max="4" width="9.44140625" style="7" bestFit="1" customWidth="1"/>
    <col min="5" max="5" width="15.6640625" bestFit="1" customWidth="1"/>
    <col min="6" max="6" width="10.6640625" bestFit="1" customWidth="1"/>
    <col min="7" max="7" width="7.77734375" bestFit="1" customWidth="1"/>
    <col min="8" max="8" width="8.77734375" bestFit="1" customWidth="1"/>
    <col min="9" max="9" width="19.6640625" bestFit="1" customWidth="1"/>
    <col min="10" max="10" width="13.33203125" bestFit="1" customWidth="1"/>
    <col min="11" max="11" width="9.33203125" bestFit="1" customWidth="1"/>
    <col min="12" max="12" width="12.109375" bestFit="1" customWidth="1"/>
    <col min="13" max="13" width="10.33203125" bestFit="1" customWidth="1"/>
    <col min="14" max="14" width="11.33203125" bestFit="1" customWidth="1"/>
  </cols>
  <sheetData>
    <row r="1" spans="1:15" ht="15" thickBot="1" x14ac:dyDescent="0.35">
      <c r="A1" t="s">
        <v>0</v>
      </c>
      <c r="B1" t="s">
        <v>1</v>
      </c>
      <c r="C1" s="7" t="s">
        <v>5</v>
      </c>
      <c r="D1" s="7" t="s">
        <v>6</v>
      </c>
      <c r="E1" t="s">
        <v>7</v>
      </c>
      <c r="F1" t="s">
        <v>8</v>
      </c>
      <c r="G1" t="s">
        <v>9</v>
      </c>
      <c r="H1" t="s">
        <v>10</v>
      </c>
      <c r="I1" t="s">
        <v>11</v>
      </c>
      <c r="J1" s="1" t="s">
        <v>12</v>
      </c>
      <c r="K1" s="1" t="s">
        <v>13</v>
      </c>
      <c r="L1" s="1" t="s">
        <v>14</v>
      </c>
      <c r="M1" t="s">
        <v>2</v>
      </c>
      <c r="N1" t="s">
        <v>3</v>
      </c>
      <c r="O1" s="4" t="s">
        <v>4</v>
      </c>
    </row>
    <row r="2" spans="1:15" x14ac:dyDescent="0.3">
      <c r="A2" t="s">
        <v>15</v>
      </c>
      <c r="B2" t="s">
        <v>16</v>
      </c>
      <c r="C2" s="7">
        <v>45658</v>
      </c>
      <c r="D2" s="7">
        <v>45663</v>
      </c>
      <c r="E2" t="s">
        <v>2517</v>
      </c>
      <c r="F2" t="s">
        <v>17</v>
      </c>
      <c r="G2">
        <v>4</v>
      </c>
      <c r="H2" t="s">
        <v>18</v>
      </c>
      <c r="I2" t="s">
        <v>19</v>
      </c>
      <c r="J2">
        <f>orders[[#This Row],[Ship Date]]-orders[[#This Row],[Order Date]]</f>
        <v>5</v>
      </c>
      <c r="K2">
        <f>WEEKNUM(orders[[#This Row],[Order Date]])</f>
        <v>1</v>
      </c>
      <c r="L2" t="str" cm="1">
        <f t="array" ref="L2">_xlfn.IFS(orders[[#This Row],[Customer Gender]]="M","Male", orders[[#This Row],[Customer Gender]]="F","Female", orders[[#This Row],[Customer Gender]]="O","Other", TRUE,"Unknown")</f>
        <v>Unknown</v>
      </c>
      <c r="M2">
        <v>1</v>
      </c>
      <c r="N2">
        <v>10.9</v>
      </c>
      <c r="O2" s="5">
        <v>10.9</v>
      </c>
    </row>
    <row r="3" spans="1:15" x14ac:dyDescent="0.3">
      <c r="A3" t="s">
        <v>20</v>
      </c>
      <c r="B3" t="s">
        <v>21</v>
      </c>
      <c r="C3" s="7">
        <v>45658</v>
      </c>
      <c r="D3" s="7">
        <v>45660</v>
      </c>
      <c r="E3" t="s">
        <v>22</v>
      </c>
      <c r="F3" t="s">
        <v>17</v>
      </c>
      <c r="G3">
        <v>4</v>
      </c>
      <c r="H3" t="s">
        <v>18</v>
      </c>
      <c r="I3" t="s">
        <v>23</v>
      </c>
      <c r="J3">
        <f>orders[[#This Row],[Ship Date]]-orders[[#This Row],[Order Date]]</f>
        <v>2</v>
      </c>
      <c r="K3">
        <f>WEEKNUM(orders[[#This Row],[Order Date]])</f>
        <v>1</v>
      </c>
      <c r="L3" t="str" cm="1">
        <f t="array" ref="L3">_xlfn.IFS(orders[[#This Row],[Customer Gender]]="M","Male", orders[[#This Row],[Customer Gender]]="F","Female", orders[[#This Row],[Customer Gender]]="O","Other", TRUE,"Unknown")</f>
        <v>Male</v>
      </c>
      <c r="M3">
        <v>2</v>
      </c>
      <c r="N3">
        <v>30.6</v>
      </c>
      <c r="O3">
        <v>61.2</v>
      </c>
    </row>
    <row r="4" spans="1:15" x14ac:dyDescent="0.3">
      <c r="A4" t="s">
        <v>24</v>
      </c>
      <c r="B4" t="s">
        <v>25</v>
      </c>
      <c r="C4" s="7">
        <v>45658</v>
      </c>
      <c r="D4" s="7">
        <v>45661</v>
      </c>
      <c r="E4" t="s">
        <v>26</v>
      </c>
      <c r="F4" t="s">
        <v>17</v>
      </c>
      <c r="G4">
        <v>3</v>
      </c>
      <c r="H4" t="s">
        <v>18</v>
      </c>
      <c r="I4" t="s">
        <v>27</v>
      </c>
      <c r="J4">
        <f>orders[[#This Row],[Ship Date]]-orders[[#This Row],[Order Date]]</f>
        <v>3</v>
      </c>
      <c r="K4">
        <f>WEEKNUM(orders[[#This Row],[Order Date]])</f>
        <v>1</v>
      </c>
      <c r="L4" t="str" cm="1">
        <f t="array" ref="L4">_xlfn.IFS(orders[[#This Row],[Customer Gender]]="M","Male", orders[[#This Row],[Customer Gender]]="F","Female", orders[[#This Row],[Customer Gender]]="O","Other", TRUE,"Unknown")</f>
        <v>Female</v>
      </c>
      <c r="M4">
        <v>3</v>
      </c>
      <c r="N4">
        <v>109.4</v>
      </c>
      <c r="O4" s="5">
        <v>328.20000000000005</v>
      </c>
    </row>
    <row r="5" spans="1:15" x14ac:dyDescent="0.3">
      <c r="A5" t="s">
        <v>28</v>
      </c>
      <c r="B5" t="s">
        <v>29</v>
      </c>
      <c r="C5" s="7">
        <v>45658</v>
      </c>
      <c r="D5" s="7">
        <v>45659</v>
      </c>
      <c r="E5" t="s">
        <v>26</v>
      </c>
      <c r="F5" t="s">
        <v>17</v>
      </c>
      <c r="G5">
        <v>4</v>
      </c>
      <c r="H5" t="s">
        <v>18</v>
      </c>
      <c r="I5" t="s">
        <v>27</v>
      </c>
      <c r="J5">
        <f>orders[[#This Row],[Ship Date]]-orders[[#This Row],[Order Date]]</f>
        <v>1</v>
      </c>
      <c r="K5">
        <f>WEEKNUM(orders[[#This Row],[Order Date]])</f>
        <v>1</v>
      </c>
      <c r="L5" t="str" cm="1">
        <f t="array" ref="L5">_xlfn.IFS(orders[[#This Row],[Customer Gender]]="M","Male", orders[[#This Row],[Customer Gender]]="F","Female", orders[[#This Row],[Customer Gender]]="O","Other", TRUE,"Unknown")</f>
        <v>Female</v>
      </c>
      <c r="M5">
        <v>7</v>
      </c>
      <c r="N5">
        <v>37.700000000000003</v>
      </c>
      <c r="O5">
        <v>263.90000000000003</v>
      </c>
    </row>
    <row r="6" spans="1:15" x14ac:dyDescent="0.3">
      <c r="A6" t="s">
        <v>30</v>
      </c>
      <c r="B6" t="s">
        <v>31</v>
      </c>
      <c r="C6" s="7">
        <v>45658</v>
      </c>
      <c r="D6" s="7">
        <v>45661</v>
      </c>
      <c r="E6" t="s">
        <v>26</v>
      </c>
      <c r="F6" t="s">
        <v>17</v>
      </c>
      <c r="G6">
        <v>5</v>
      </c>
      <c r="H6" t="s">
        <v>18</v>
      </c>
      <c r="I6" t="s">
        <v>32</v>
      </c>
      <c r="J6">
        <f>orders[[#This Row],[Ship Date]]-orders[[#This Row],[Order Date]]</f>
        <v>3</v>
      </c>
      <c r="K6">
        <f>WEEKNUM(orders[[#This Row],[Order Date]])</f>
        <v>1</v>
      </c>
      <c r="L6" t="str" cm="1">
        <f t="array" ref="L6">_xlfn.IFS(orders[[#This Row],[Customer Gender]]="M","Male", orders[[#This Row],[Customer Gender]]="F","Female", orders[[#This Row],[Customer Gender]]="O","Other", TRUE,"Unknown")</f>
        <v>Female</v>
      </c>
      <c r="M6">
        <v>3</v>
      </c>
      <c r="N6">
        <v>56.7</v>
      </c>
      <c r="O6" s="5">
        <v>170.10000000000002</v>
      </c>
    </row>
    <row r="7" spans="1:15" x14ac:dyDescent="0.3">
      <c r="A7" t="s">
        <v>33</v>
      </c>
      <c r="B7" t="s">
        <v>21</v>
      </c>
      <c r="C7" s="7">
        <v>45658</v>
      </c>
      <c r="D7" s="7">
        <v>45661</v>
      </c>
      <c r="E7" t="s">
        <v>22</v>
      </c>
      <c r="F7" t="s">
        <v>34</v>
      </c>
      <c r="G7">
        <v>4</v>
      </c>
      <c r="H7" t="s">
        <v>18</v>
      </c>
      <c r="I7" t="s">
        <v>32</v>
      </c>
      <c r="J7">
        <f>orders[[#This Row],[Ship Date]]-orders[[#This Row],[Order Date]]</f>
        <v>3</v>
      </c>
      <c r="K7">
        <f>WEEKNUM(orders[[#This Row],[Order Date]])</f>
        <v>1</v>
      </c>
      <c r="L7" t="str" cm="1">
        <f t="array" ref="L7">_xlfn.IFS(orders[[#This Row],[Customer Gender]]="M","Male", orders[[#This Row],[Customer Gender]]="F","Female", orders[[#This Row],[Customer Gender]]="O","Other", TRUE,"Unknown")</f>
        <v>Male</v>
      </c>
      <c r="M7">
        <v>12</v>
      </c>
      <c r="N7">
        <v>83.5</v>
      </c>
      <c r="O7">
        <v>1002</v>
      </c>
    </row>
    <row r="8" spans="1:15" x14ac:dyDescent="0.3">
      <c r="A8" t="s">
        <v>35</v>
      </c>
      <c r="B8" t="s">
        <v>36</v>
      </c>
      <c r="C8" s="7">
        <v>45658</v>
      </c>
      <c r="D8" s="7">
        <v>45659</v>
      </c>
      <c r="E8" t="s">
        <v>26</v>
      </c>
      <c r="F8" t="s">
        <v>17</v>
      </c>
      <c r="G8">
        <v>4</v>
      </c>
      <c r="H8" t="s">
        <v>18</v>
      </c>
      <c r="I8" t="s">
        <v>32</v>
      </c>
      <c r="J8">
        <f>orders[[#This Row],[Ship Date]]-orders[[#This Row],[Order Date]]</f>
        <v>1</v>
      </c>
      <c r="K8">
        <f>WEEKNUM(orders[[#This Row],[Order Date]])</f>
        <v>1</v>
      </c>
      <c r="L8" t="str" cm="1">
        <f t="array" ref="L8">_xlfn.IFS(orders[[#This Row],[Customer Gender]]="M","Male", orders[[#This Row],[Customer Gender]]="F","Female", orders[[#This Row],[Customer Gender]]="O","Other", TRUE,"Unknown")</f>
        <v>Female</v>
      </c>
      <c r="M8">
        <v>1</v>
      </c>
      <c r="N8">
        <v>55.3</v>
      </c>
      <c r="O8" s="5">
        <v>55.3</v>
      </c>
    </row>
    <row r="9" spans="1:15" x14ac:dyDescent="0.3">
      <c r="A9" t="s">
        <v>37</v>
      </c>
      <c r="B9" t="s">
        <v>38</v>
      </c>
      <c r="C9" s="7">
        <v>45658</v>
      </c>
      <c r="D9" s="7">
        <v>45659</v>
      </c>
      <c r="E9" t="s">
        <v>22</v>
      </c>
      <c r="F9" t="s">
        <v>39</v>
      </c>
      <c r="G9">
        <v>5</v>
      </c>
      <c r="H9" t="s">
        <v>18</v>
      </c>
      <c r="I9" t="s">
        <v>32</v>
      </c>
      <c r="J9">
        <f>orders[[#This Row],[Ship Date]]-orders[[#This Row],[Order Date]]</f>
        <v>1</v>
      </c>
      <c r="K9">
        <f>WEEKNUM(orders[[#This Row],[Order Date]])</f>
        <v>1</v>
      </c>
      <c r="L9" t="str" cm="1">
        <f t="array" ref="L9">_xlfn.IFS(orders[[#This Row],[Customer Gender]]="M","Male", orders[[#This Row],[Customer Gender]]="F","Female", orders[[#This Row],[Customer Gender]]="O","Other", TRUE,"Unknown")</f>
        <v>Male</v>
      </c>
      <c r="M9">
        <v>2</v>
      </c>
      <c r="N9">
        <v>40.299999999999997</v>
      </c>
      <c r="O9">
        <v>80.599999999999994</v>
      </c>
    </row>
    <row r="10" spans="1:15" x14ac:dyDescent="0.3">
      <c r="A10" t="s">
        <v>40</v>
      </c>
      <c r="B10" t="s">
        <v>41</v>
      </c>
      <c r="C10" s="7">
        <v>45658</v>
      </c>
      <c r="D10" s="7">
        <v>45659</v>
      </c>
      <c r="E10" t="s">
        <v>26</v>
      </c>
      <c r="F10" t="s">
        <v>17</v>
      </c>
      <c r="G10">
        <v>4</v>
      </c>
      <c r="H10" t="s">
        <v>18</v>
      </c>
      <c r="I10" t="s">
        <v>32</v>
      </c>
      <c r="J10">
        <f>orders[[#This Row],[Ship Date]]-orders[[#This Row],[Order Date]]</f>
        <v>1</v>
      </c>
      <c r="K10">
        <f>WEEKNUM(orders[[#This Row],[Order Date]])</f>
        <v>1</v>
      </c>
      <c r="L10" t="str" cm="1">
        <f t="array" ref="L10">_xlfn.IFS(orders[[#This Row],[Customer Gender]]="M","Male", orders[[#This Row],[Customer Gender]]="F","Female", orders[[#This Row],[Customer Gender]]="O","Other", TRUE,"Unknown")</f>
        <v>Female</v>
      </c>
      <c r="M10">
        <v>11</v>
      </c>
      <c r="N10">
        <v>35.700000000000003</v>
      </c>
      <c r="O10" s="5">
        <v>392.70000000000005</v>
      </c>
    </row>
    <row r="11" spans="1:15" x14ac:dyDescent="0.3">
      <c r="A11" t="s">
        <v>42</v>
      </c>
      <c r="B11" t="s">
        <v>43</v>
      </c>
      <c r="C11" s="7">
        <v>45658</v>
      </c>
      <c r="D11" s="7">
        <v>45661</v>
      </c>
      <c r="E11" t="s">
        <v>22</v>
      </c>
      <c r="F11" t="s">
        <v>17</v>
      </c>
      <c r="G11">
        <v>3</v>
      </c>
      <c r="H11" t="s">
        <v>18</v>
      </c>
      <c r="I11" t="s">
        <v>32</v>
      </c>
      <c r="J11">
        <f>orders[[#This Row],[Ship Date]]-orders[[#This Row],[Order Date]]</f>
        <v>3</v>
      </c>
      <c r="K11">
        <f>WEEKNUM(orders[[#This Row],[Order Date]])</f>
        <v>1</v>
      </c>
      <c r="L11" t="str" cm="1">
        <f t="array" ref="L11">_xlfn.IFS(orders[[#This Row],[Customer Gender]]="M","Male", orders[[#This Row],[Customer Gender]]="F","Female", orders[[#This Row],[Customer Gender]]="O","Other", TRUE,"Unknown")</f>
        <v>Male</v>
      </c>
      <c r="M11">
        <v>7</v>
      </c>
      <c r="N11">
        <v>22.4</v>
      </c>
      <c r="O11">
        <v>156.79999999999998</v>
      </c>
    </row>
    <row r="12" spans="1:15" x14ac:dyDescent="0.3">
      <c r="A12" t="s">
        <v>44</v>
      </c>
      <c r="B12" t="s">
        <v>45</v>
      </c>
      <c r="C12" s="7">
        <v>45658</v>
      </c>
      <c r="D12" s="7">
        <v>45664</v>
      </c>
      <c r="E12" t="s">
        <v>26</v>
      </c>
      <c r="F12" t="s">
        <v>17</v>
      </c>
      <c r="G12">
        <v>4</v>
      </c>
      <c r="H12" t="s">
        <v>18</v>
      </c>
      <c r="I12" t="s">
        <v>32</v>
      </c>
      <c r="J12">
        <f>orders[[#This Row],[Ship Date]]-orders[[#This Row],[Order Date]]</f>
        <v>6</v>
      </c>
      <c r="K12">
        <f>WEEKNUM(orders[[#This Row],[Order Date]])</f>
        <v>1</v>
      </c>
      <c r="L12" t="str" cm="1">
        <f t="array" ref="L12">_xlfn.IFS(orders[[#This Row],[Customer Gender]]="M","Male", orders[[#This Row],[Customer Gender]]="F","Female", orders[[#This Row],[Customer Gender]]="O","Other", TRUE,"Unknown")</f>
        <v>Female</v>
      </c>
      <c r="M12">
        <v>2</v>
      </c>
      <c r="N12">
        <v>54.4</v>
      </c>
      <c r="O12" s="5">
        <v>108.8</v>
      </c>
    </row>
    <row r="13" spans="1:15" x14ac:dyDescent="0.3">
      <c r="A13" t="s">
        <v>46</v>
      </c>
      <c r="B13" t="s">
        <v>45</v>
      </c>
      <c r="C13" s="7">
        <v>45658</v>
      </c>
      <c r="D13" s="7">
        <v>45660</v>
      </c>
      <c r="E13" t="s">
        <v>26</v>
      </c>
      <c r="F13" t="s">
        <v>39</v>
      </c>
      <c r="G13">
        <v>3</v>
      </c>
      <c r="H13" t="s">
        <v>18</v>
      </c>
      <c r="I13" t="s">
        <v>32</v>
      </c>
      <c r="J13">
        <f>orders[[#This Row],[Ship Date]]-orders[[#This Row],[Order Date]]</f>
        <v>2</v>
      </c>
      <c r="K13">
        <f>WEEKNUM(orders[[#This Row],[Order Date]])</f>
        <v>1</v>
      </c>
      <c r="L13" t="str" cm="1">
        <f t="array" ref="L13">_xlfn.IFS(orders[[#This Row],[Customer Gender]]="M","Male", orders[[#This Row],[Customer Gender]]="F","Female", orders[[#This Row],[Customer Gender]]="O","Other", TRUE,"Unknown")</f>
        <v>Female</v>
      </c>
      <c r="M13">
        <v>2</v>
      </c>
      <c r="N13">
        <v>49</v>
      </c>
      <c r="O13">
        <v>98</v>
      </c>
    </row>
    <row r="14" spans="1:15" x14ac:dyDescent="0.3">
      <c r="A14" t="s">
        <v>47</v>
      </c>
      <c r="B14" t="s">
        <v>36</v>
      </c>
      <c r="C14" s="7">
        <v>45658</v>
      </c>
      <c r="D14" s="7">
        <v>45662</v>
      </c>
      <c r="E14" t="s">
        <v>26</v>
      </c>
      <c r="F14" t="s">
        <v>34</v>
      </c>
      <c r="G14">
        <v>4</v>
      </c>
      <c r="H14" t="s">
        <v>18</v>
      </c>
      <c r="I14" t="s">
        <v>48</v>
      </c>
      <c r="J14">
        <f>orders[[#This Row],[Ship Date]]-orders[[#This Row],[Order Date]]</f>
        <v>4</v>
      </c>
      <c r="K14">
        <f>WEEKNUM(orders[[#This Row],[Order Date]])</f>
        <v>1</v>
      </c>
      <c r="L14" t="str" cm="1">
        <f t="array" ref="L14">_xlfn.IFS(orders[[#This Row],[Customer Gender]]="M","Male", orders[[#This Row],[Customer Gender]]="F","Female", orders[[#This Row],[Customer Gender]]="O","Other", TRUE,"Unknown")</f>
        <v>Female</v>
      </c>
      <c r="M14">
        <v>7</v>
      </c>
      <c r="N14">
        <v>118.6</v>
      </c>
      <c r="O14" s="5">
        <v>830.19999999999993</v>
      </c>
    </row>
    <row r="15" spans="1:15" x14ac:dyDescent="0.3">
      <c r="A15" t="s">
        <v>49</v>
      </c>
      <c r="B15" t="s">
        <v>38</v>
      </c>
      <c r="C15" s="7">
        <v>45658</v>
      </c>
      <c r="D15" s="7">
        <v>45665</v>
      </c>
      <c r="E15" t="s">
        <v>22</v>
      </c>
      <c r="F15" t="s">
        <v>50</v>
      </c>
      <c r="G15">
        <v>4</v>
      </c>
      <c r="H15" t="s">
        <v>18</v>
      </c>
      <c r="I15" t="s">
        <v>51</v>
      </c>
      <c r="J15">
        <f>orders[[#This Row],[Ship Date]]-orders[[#This Row],[Order Date]]</f>
        <v>7</v>
      </c>
      <c r="K15">
        <f>WEEKNUM(orders[[#This Row],[Order Date]])</f>
        <v>1</v>
      </c>
      <c r="L15" t="str" cm="1">
        <f t="array" ref="L15">_xlfn.IFS(orders[[#This Row],[Customer Gender]]="M","Male", orders[[#This Row],[Customer Gender]]="F","Female", orders[[#This Row],[Customer Gender]]="O","Other", TRUE,"Unknown")</f>
        <v>Male</v>
      </c>
      <c r="M15">
        <v>27</v>
      </c>
      <c r="N15">
        <v>88.4</v>
      </c>
      <c r="O15">
        <v>2386.8000000000002</v>
      </c>
    </row>
    <row r="16" spans="1:15" x14ac:dyDescent="0.3">
      <c r="A16" t="s">
        <v>52</v>
      </c>
      <c r="B16" t="s">
        <v>53</v>
      </c>
      <c r="C16" s="7">
        <v>45658</v>
      </c>
      <c r="D16" s="7">
        <v>45661</v>
      </c>
      <c r="E16" t="s">
        <v>22</v>
      </c>
      <c r="F16" t="s">
        <v>17</v>
      </c>
      <c r="G16">
        <v>4</v>
      </c>
      <c r="H16" t="s">
        <v>18</v>
      </c>
      <c r="I16" t="s">
        <v>54</v>
      </c>
      <c r="J16">
        <f>orders[[#This Row],[Ship Date]]-orders[[#This Row],[Order Date]]</f>
        <v>3</v>
      </c>
      <c r="K16">
        <f>WEEKNUM(orders[[#This Row],[Order Date]])</f>
        <v>1</v>
      </c>
      <c r="L16" t="str" cm="1">
        <f t="array" ref="L16">_xlfn.IFS(orders[[#This Row],[Customer Gender]]="M","Male", orders[[#This Row],[Customer Gender]]="F","Female", orders[[#This Row],[Customer Gender]]="O","Other", TRUE,"Unknown")</f>
        <v>Male</v>
      </c>
      <c r="M16">
        <v>1</v>
      </c>
      <c r="N16">
        <v>66.7</v>
      </c>
      <c r="O16" s="5">
        <v>66.7</v>
      </c>
    </row>
    <row r="17" spans="1:15" x14ac:dyDescent="0.3">
      <c r="A17" t="s">
        <v>55</v>
      </c>
      <c r="B17" t="s">
        <v>45</v>
      </c>
      <c r="C17" s="7">
        <v>45658</v>
      </c>
      <c r="D17" s="7">
        <v>45659</v>
      </c>
      <c r="E17" t="s">
        <v>22</v>
      </c>
      <c r="F17" t="s">
        <v>34</v>
      </c>
      <c r="G17">
        <v>5</v>
      </c>
      <c r="H17" t="s">
        <v>18</v>
      </c>
      <c r="I17" t="s">
        <v>54</v>
      </c>
      <c r="J17">
        <f>orders[[#This Row],[Ship Date]]-orders[[#This Row],[Order Date]]</f>
        <v>1</v>
      </c>
      <c r="K17">
        <f>WEEKNUM(orders[[#This Row],[Order Date]])</f>
        <v>1</v>
      </c>
      <c r="L17" t="str" cm="1">
        <f t="array" ref="L17">_xlfn.IFS(orders[[#This Row],[Customer Gender]]="M","Male", orders[[#This Row],[Customer Gender]]="F","Female", orders[[#This Row],[Customer Gender]]="O","Other", TRUE,"Unknown")</f>
        <v>Male</v>
      </c>
      <c r="M17">
        <v>10</v>
      </c>
      <c r="N17">
        <v>30.9</v>
      </c>
      <c r="O17">
        <v>309</v>
      </c>
    </row>
    <row r="18" spans="1:15" x14ac:dyDescent="0.3">
      <c r="A18" t="s">
        <v>56</v>
      </c>
      <c r="B18" t="s">
        <v>31</v>
      </c>
      <c r="C18" s="7">
        <v>45658</v>
      </c>
      <c r="D18" s="7">
        <v>45659</v>
      </c>
      <c r="E18" t="s">
        <v>26</v>
      </c>
      <c r="F18" t="s">
        <v>17</v>
      </c>
      <c r="G18">
        <v>3</v>
      </c>
      <c r="H18" t="s">
        <v>18</v>
      </c>
      <c r="I18" t="s">
        <v>54</v>
      </c>
      <c r="J18">
        <f>orders[[#This Row],[Ship Date]]-orders[[#This Row],[Order Date]]</f>
        <v>1</v>
      </c>
      <c r="K18">
        <f>WEEKNUM(orders[[#This Row],[Order Date]])</f>
        <v>1</v>
      </c>
      <c r="L18" t="str" cm="1">
        <f t="array" ref="L18">_xlfn.IFS(orders[[#This Row],[Customer Gender]]="M","Male", orders[[#This Row],[Customer Gender]]="F","Female", orders[[#This Row],[Customer Gender]]="O","Other", TRUE,"Unknown")</f>
        <v>Female</v>
      </c>
      <c r="M18">
        <v>3</v>
      </c>
      <c r="N18">
        <v>31.1</v>
      </c>
      <c r="O18" s="5">
        <v>93.300000000000011</v>
      </c>
    </row>
    <row r="19" spans="1:15" x14ac:dyDescent="0.3">
      <c r="A19" t="s">
        <v>57</v>
      </c>
      <c r="B19" t="s">
        <v>41</v>
      </c>
      <c r="C19" s="7">
        <v>45658</v>
      </c>
      <c r="D19" s="7">
        <v>45661</v>
      </c>
      <c r="E19" t="s">
        <v>26</v>
      </c>
      <c r="F19" t="s">
        <v>17</v>
      </c>
      <c r="G19">
        <v>4</v>
      </c>
      <c r="H19" t="s">
        <v>18</v>
      </c>
      <c r="I19" t="s">
        <v>58</v>
      </c>
      <c r="J19">
        <f>orders[[#This Row],[Ship Date]]-orders[[#This Row],[Order Date]]</f>
        <v>3</v>
      </c>
      <c r="K19">
        <f>WEEKNUM(orders[[#This Row],[Order Date]])</f>
        <v>1</v>
      </c>
      <c r="L19" t="str" cm="1">
        <f t="array" ref="L19">_xlfn.IFS(orders[[#This Row],[Customer Gender]]="M","Male", orders[[#This Row],[Customer Gender]]="F","Female", orders[[#This Row],[Customer Gender]]="O","Other", TRUE,"Unknown")</f>
        <v>Female</v>
      </c>
      <c r="M19">
        <v>3</v>
      </c>
      <c r="N19">
        <v>36.6</v>
      </c>
      <c r="O19">
        <v>109.80000000000001</v>
      </c>
    </row>
    <row r="20" spans="1:15" x14ac:dyDescent="0.3">
      <c r="A20" t="s">
        <v>59</v>
      </c>
      <c r="B20" t="s">
        <v>38</v>
      </c>
      <c r="C20" s="7">
        <v>45658</v>
      </c>
      <c r="D20" s="7">
        <v>45661</v>
      </c>
      <c r="E20" t="s">
        <v>26</v>
      </c>
      <c r="F20" t="s">
        <v>39</v>
      </c>
      <c r="G20">
        <v>1</v>
      </c>
      <c r="H20" t="s">
        <v>18</v>
      </c>
      <c r="I20" t="s">
        <v>58</v>
      </c>
      <c r="J20">
        <f>orders[[#This Row],[Ship Date]]-orders[[#This Row],[Order Date]]</f>
        <v>3</v>
      </c>
      <c r="K20">
        <f>WEEKNUM(orders[[#This Row],[Order Date]])</f>
        <v>1</v>
      </c>
      <c r="L20" t="str" cm="1">
        <f t="array" ref="L20">_xlfn.IFS(orders[[#This Row],[Customer Gender]]="M","Male", orders[[#This Row],[Customer Gender]]="F","Female", orders[[#This Row],[Customer Gender]]="O","Other", TRUE,"Unknown")</f>
        <v>Female</v>
      </c>
      <c r="M20">
        <v>8</v>
      </c>
      <c r="N20">
        <v>51.1</v>
      </c>
      <c r="O20" s="5">
        <v>408.8</v>
      </c>
    </row>
    <row r="21" spans="1:15" x14ac:dyDescent="0.3">
      <c r="A21" t="s">
        <v>60</v>
      </c>
      <c r="B21" t="s">
        <v>45</v>
      </c>
      <c r="C21" s="7">
        <v>45658</v>
      </c>
      <c r="D21" s="7">
        <v>45659</v>
      </c>
      <c r="E21" t="s">
        <v>26</v>
      </c>
      <c r="F21" t="s">
        <v>34</v>
      </c>
      <c r="G21">
        <v>5</v>
      </c>
      <c r="H21" t="s">
        <v>18</v>
      </c>
      <c r="I21" t="s">
        <v>61</v>
      </c>
      <c r="J21">
        <f>orders[[#This Row],[Ship Date]]-orders[[#This Row],[Order Date]]</f>
        <v>1</v>
      </c>
      <c r="K21">
        <f>WEEKNUM(orders[[#This Row],[Order Date]])</f>
        <v>1</v>
      </c>
      <c r="L21" t="str" cm="1">
        <f t="array" ref="L21">_xlfn.IFS(orders[[#This Row],[Customer Gender]]="M","Male", orders[[#This Row],[Customer Gender]]="F","Female", orders[[#This Row],[Customer Gender]]="O","Other", TRUE,"Unknown")</f>
        <v>Female</v>
      </c>
      <c r="M21">
        <v>1</v>
      </c>
      <c r="N21">
        <v>25.2</v>
      </c>
      <c r="O21">
        <v>25.2</v>
      </c>
    </row>
    <row r="22" spans="1:15" x14ac:dyDescent="0.3">
      <c r="A22" t="s">
        <v>62</v>
      </c>
      <c r="B22" t="s">
        <v>45</v>
      </c>
      <c r="C22" s="7">
        <v>45658</v>
      </c>
      <c r="D22" s="7">
        <v>45661</v>
      </c>
      <c r="E22" t="s">
        <v>26</v>
      </c>
      <c r="F22" t="s">
        <v>39</v>
      </c>
      <c r="G22">
        <v>4</v>
      </c>
      <c r="H22" t="s">
        <v>18</v>
      </c>
      <c r="I22" t="s">
        <v>61</v>
      </c>
      <c r="J22">
        <f>orders[[#This Row],[Ship Date]]-orders[[#This Row],[Order Date]]</f>
        <v>3</v>
      </c>
      <c r="K22">
        <f>WEEKNUM(orders[[#This Row],[Order Date]])</f>
        <v>1</v>
      </c>
      <c r="L22" t="str" cm="1">
        <f t="array" ref="L22">_xlfn.IFS(orders[[#This Row],[Customer Gender]]="M","Male", orders[[#This Row],[Customer Gender]]="F","Female", orders[[#This Row],[Customer Gender]]="O","Other", TRUE,"Unknown")</f>
        <v>Female</v>
      </c>
      <c r="M22">
        <v>5</v>
      </c>
      <c r="N22">
        <v>43.8</v>
      </c>
      <c r="O22" s="5">
        <v>219</v>
      </c>
    </row>
    <row r="23" spans="1:15" x14ac:dyDescent="0.3">
      <c r="A23" t="s">
        <v>63</v>
      </c>
      <c r="B23" t="s">
        <v>43</v>
      </c>
      <c r="C23" s="7">
        <v>45658</v>
      </c>
      <c r="D23" s="7">
        <v>45659</v>
      </c>
      <c r="E23" t="s">
        <v>26</v>
      </c>
      <c r="F23" t="s">
        <v>34</v>
      </c>
      <c r="G23">
        <v>3</v>
      </c>
      <c r="H23" t="s">
        <v>18</v>
      </c>
      <c r="I23" t="s">
        <v>61</v>
      </c>
      <c r="J23">
        <f>orders[[#This Row],[Ship Date]]-orders[[#This Row],[Order Date]]</f>
        <v>1</v>
      </c>
      <c r="K23">
        <f>WEEKNUM(orders[[#This Row],[Order Date]])</f>
        <v>1</v>
      </c>
      <c r="L23" t="str" cm="1">
        <f t="array" ref="L23">_xlfn.IFS(orders[[#This Row],[Customer Gender]]="M","Male", orders[[#This Row],[Customer Gender]]="F","Female", orders[[#This Row],[Customer Gender]]="O","Other", TRUE,"Unknown")</f>
        <v>Female</v>
      </c>
      <c r="M23">
        <v>12</v>
      </c>
      <c r="N23">
        <v>46.7</v>
      </c>
      <c r="O23">
        <v>560.40000000000009</v>
      </c>
    </row>
    <row r="24" spans="1:15" x14ac:dyDescent="0.3">
      <c r="A24" t="s">
        <v>64</v>
      </c>
      <c r="B24" t="s">
        <v>29</v>
      </c>
      <c r="C24" s="7">
        <v>45658</v>
      </c>
      <c r="D24" s="7">
        <v>45659</v>
      </c>
      <c r="E24" t="s">
        <v>22</v>
      </c>
      <c r="F24" t="s">
        <v>17</v>
      </c>
      <c r="G24">
        <v>5</v>
      </c>
      <c r="H24" t="s">
        <v>18</v>
      </c>
      <c r="I24" t="s">
        <v>61</v>
      </c>
      <c r="J24">
        <f>orders[[#This Row],[Ship Date]]-orders[[#This Row],[Order Date]]</f>
        <v>1</v>
      </c>
      <c r="K24">
        <f>WEEKNUM(orders[[#This Row],[Order Date]])</f>
        <v>1</v>
      </c>
      <c r="L24" t="str" cm="1">
        <f t="array" ref="L24">_xlfn.IFS(orders[[#This Row],[Customer Gender]]="M","Male", orders[[#This Row],[Customer Gender]]="F","Female", orders[[#This Row],[Customer Gender]]="O","Other", TRUE,"Unknown")</f>
        <v>Male</v>
      </c>
      <c r="M24">
        <v>19</v>
      </c>
      <c r="N24">
        <v>79.900000000000006</v>
      </c>
      <c r="O24" s="5">
        <v>1518.1000000000001</v>
      </c>
    </row>
    <row r="25" spans="1:15" x14ac:dyDescent="0.3">
      <c r="A25" t="s">
        <v>65</v>
      </c>
      <c r="B25" t="s">
        <v>66</v>
      </c>
      <c r="C25" s="7">
        <v>45658</v>
      </c>
      <c r="D25" s="7">
        <v>45659</v>
      </c>
      <c r="E25" t="s">
        <v>26</v>
      </c>
      <c r="F25" t="s">
        <v>50</v>
      </c>
      <c r="G25">
        <v>4</v>
      </c>
      <c r="H25" t="s">
        <v>18</v>
      </c>
      <c r="I25" t="s">
        <v>61</v>
      </c>
      <c r="J25">
        <f>orders[[#This Row],[Ship Date]]-orders[[#This Row],[Order Date]]</f>
        <v>1</v>
      </c>
      <c r="K25">
        <f>WEEKNUM(orders[[#This Row],[Order Date]])</f>
        <v>1</v>
      </c>
      <c r="L25" t="str" cm="1">
        <f t="array" ref="L25">_xlfn.IFS(orders[[#This Row],[Customer Gender]]="M","Male", orders[[#This Row],[Customer Gender]]="F","Female", orders[[#This Row],[Customer Gender]]="O","Other", TRUE,"Unknown")</f>
        <v>Female</v>
      </c>
      <c r="M25">
        <v>8</v>
      </c>
      <c r="N25">
        <v>26.4</v>
      </c>
      <c r="O25">
        <v>211.2</v>
      </c>
    </row>
    <row r="26" spans="1:15" x14ac:dyDescent="0.3">
      <c r="A26" t="s">
        <v>67</v>
      </c>
      <c r="B26" t="s">
        <v>68</v>
      </c>
      <c r="C26" s="7">
        <v>45658</v>
      </c>
      <c r="D26" s="7">
        <v>45659</v>
      </c>
      <c r="E26" t="s">
        <v>26</v>
      </c>
      <c r="F26" t="s">
        <v>69</v>
      </c>
      <c r="G26">
        <v>4</v>
      </c>
      <c r="H26" t="s">
        <v>18</v>
      </c>
      <c r="I26" t="s">
        <v>61</v>
      </c>
      <c r="J26">
        <f>orders[[#This Row],[Ship Date]]-orders[[#This Row],[Order Date]]</f>
        <v>1</v>
      </c>
      <c r="K26">
        <f>WEEKNUM(orders[[#This Row],[Order Date]])</f>
        <v>1</v>
      </c>
      <c r="L26" t="str" cm="1">
        <f t="array" ref="L26">_xlfn.IFS(orders[[#This Row],[Customer Gender]]="M","Male", orders[[#This Row],[Customer Gender]]="F","Female", orders[[#This Row],[Customer Gender]]="O","Other", TRUE,"Unknown")</f>
        <v>Female</v>
      </c>
      <c r="M26">
        <v>8</v>
      </c>
      <c r="N26">
        <v>88.8</v>
      </c>
      <c r="O26" s="5">
        <v>710.4</v>
      </c>
    </row>
    <row r="27" spans="1:15" x14ac:dyDescent="0.3">
      <c r="A27" t="s">
        <v>70</v>
      </c>
      <c r="B27" t="s">
        <v>16</v>
      </c>
      <c r="C27" s="7">
        <v>45658</v>
      </c>
      <c r="D27" s="7">
        <v>45659</v>
      </c>
      <c r="E27" t="s">
        <v>26</v>
      </c>
      <c r="F27" t="s">
        <v>39</v>
      </c>
      <c r="G27">
        <v>4</v>
      </c>
      <c r="H27" t="s">
        <v>18</v>
      </c>
      <c r="I27" t="s">
        <v>71</v>
      </c>
      <c r="J27">
        <f>orders[[#This Row],[Ship Date]]-orders[[#This Row],[Order Date]]</f>
        <v>1</v>
      </c>
      <c r="K27">
        <f>WEEKNUM(orders[[#This Row],[Order Date]])</f>
        <v>1</v>
      </c>
      <c r="L27" t="str" cm="1">
        <f t="array" ref="L27">_xlfn.IFS(orders[[#This Row],[Customer Gender]]="M","Male", orders[[#This Row],[Customer Gender]]="F","Female", orders[[#This Row],[Customer Gender]]="O","Other", TRUE,"Unknown")</f>
        <v>Female</v>
      </c>
      <c r="M27">
        <v>10</v>
      </c>
      <c r="N27">
        <v>17.5</v>
      </c>
      <c r="O27">
        <v>175</v>
      </c>
    </row>
    <row r="28" spans="1:15" x14ac:dyDescent="0.3">
      <c r="A28" t="s">
        <v>72</v>
      </c>
      <c r="B28" t="s">
        <v>21</v>
      </c>
      <c r="C28" s="7">
        <v>45658</v>
      </c>
      <c r="D28" s="7">
        <v>45661</v>
      </c>
      <c r="E28" t="s">
        <v>22</v>
      </c>
      <c r="F28" t="s">
        <v>34</v>
      </c>
      <c r="G28">
        <v>4</v>
      </c>
      <c r="H28" t="s">
        <v>18</v>
      </c>
      <c r="I28" t="s">
        <v>73</v>
      </c>
      <c r="J28">
        <f>orders[[#This Row],[Ship Date]]-orders[[#This Row],[Order Date]]</f>
        <v>3</v>
      </c>
      <c r="K28">
        <f>WEEKNUM(orders[[#This Row],[Order Date]])</f>
        <v>1</v>
      </c>
      <c r="L28" t="str" cm="1">
        <f t="array" ref="L28">_xlfn.IFS(orders[[#This Row],[Customer Gender]]="M","Male", orders[[#This Row],[Customer Gender]]="F","Female", orders[[#This Row],[Customer Gender]]="O","Other", TRUE,"Unknown")</f>
        <v>Male</v>
      </c>
      <c r="M28">
        <v>9</v>
      </c>
      <c r="N28">
        <v>38.700000000000003</v>
      </c>
      <c r="O28" s="5">
        <v>348.3</v>
      </c>
    </row>
    <row r="29" spans="1:15" x14ac:dyDescent="0.3">
      <c r="A29" t="s">
        <v>74</v>
      </c>
      <c r="B29" t="s">
        <v>75</v>
      </c>
      <c r="C29" s="7">
        <v>45658</v>
      </c>
      <c r="D29" s="7">
        <v>45660</v>
      </c>
      <c r="E29" t="s">
        <v>2517</v>
      </c>
      <c r="F29" t="s">
        <v>34</v>
      </c>
      <c r="G29">
        <v>5</v>
      </c>
      <c r="H29" t="s">
        <v>18</v>
      </c>
      <c r="I29" t="s">
        <v>76</v>
      </c>
      <c r="J29">
        <f>orders[[#This Row],[Ship Date]]-orders[[#This Row],[Order Date]]</f>
        <v>2</v>
      </c>
      <c r="K29">
        <f>WEEKNUM(orders[[#This Row],[Order Date]])</f>
        <v>1</v>
      </c>
      <c r="L29" t="str" cm="1">
        <f t="array" ref="L29">_xlfn.IFS(orders[[#This Row],[Customer Gender]]="M","Male", orders[[#This Row],[Customer Gender]]="F","Female", orders[[#This Row],[Customer Gender]]="O","Other", TRUE,"Unknown")</f>
        <v>Unknown</v>
      </c>
      <c r="M29">
        <v>4</v>
      </c>
      <c r="N29">
        <v>57.2</v>
      </c>
      <c r="O29">
        <v>228.8</v>
      </c>
    </row>
    <row r="30" spans="1:15" x14ac:dyDescent="0.3">
      <c r="A30" t="s">
        <v>77</v>
      </c>
      <c r="B30" t="s">
        <v>38</v>
      </c>
      <c r="C30" s="7">
        <v>45658</v>
      </c>
      <c r="D30" s="7">
        <v>45664</v>
      </c>
      <c r="E30" t="s">
        <v>2517</v>
      </c>
      <c r="F30" t="s">
        <v>34</v>
      </c>
      <c r="G30">
        <v>5</v>
      </c>
      <c r="H30" t="s">
        <v>18</v>
      </c>
      <c r="I30" t="s">
        <v>78</v>
      </c>
      <c r="J30">
        <f>orders[[#This Row],[Ship Date]]-orders[[#This Row],[Order Date]]</f>
        <v>6</v>
      </c>
      <c r="K30">
        <f>WEEKNUM(orders[[#This Row],[Order Date]])</f>
        <v>1</v>
      </c>
      <c r="L30" t="str" cm="1">
        <f t="array" ref="L30">_xlfn.IFS(orders[[#This Row],[Customer Gender]]="M","Male", orders[[#This Row],[Customer Gender]]="F","Female", orders[[#This Row],[Customer Gender]]="O","Other", TRUE,"Unknown")</f>
        <v>Unknown</v>
      </c>
      <c r="M30">
        <v>5</v>
      </c>
      <c r="N30">
        <v>50.9</v>
      </c>
      <c r="O30" s="5">
        <v>254.5</v>
      </c>
    </row>
    <row r="31" spans="1:15" x14ac:dyDescent="0.3">
      <c r="A31" t="s">
        <v>79</v>
      </c>
      <c r="B31" t="s">
        <v>80</v>
      </c>
      <c r="C31" s="7">
        <v>45658</v>
      </c>
      <c r="D31" s="7">
        <v>45662</v>
      </c>
      <c r="E31" t="s">
        <v>26</v>
      </c>
      <c r="F31" t="s">
        <v>34</v>
      </c>
      <c r="G31">
        <v>4</v>
      </c>
      <c r="H31" t="s">
        <v>18</v>
      </c>
      <c r="I31" t="s">
        <v>81</v>
      </c>
      <c r="J31">
        <f>orders[[#This Row],[Ship Date]]-orders[[#This Row],[Order Date]]</f>
        <v>4</v>
      </c>
      <c r="K31">
        <f>WEEKNUM(orders[[#This Row],[Order Date]])</f>
        <v>1</v>
      </c>
      <c r="L31" t="str" cm="1">
        <f t="array" ref="L31">_xlfn.IFS(orders[[#This Row],[Customer Gender]]="M","Male", orders[[#This Row],[Customer Gender]]="F","Female", orders[[#This Row],[Customer Gender]]="O","Other", TRUE,"Unknown")</f>
        <v>Female</v>
      </c>
      <c r="M31">
        <v>7</v>
      </c>
      <c r="N31">
        <v>41</v>
      </c>
      <c r="O31">
        <v>287</v>
      </c>
    </row>
    <row r="32" spans="1:15" x14ac:dyDescent="0.3">
      <c r="A32" t="s">
        <v>82</v>
      </c>
      <c r="B32" t="s">
        <v>43</v>
      </c>
      <c r="C32" s="7">
        <v>45658</v>
      </c>
      <c r="D32" s="7">
        <v>45662</v>
      </c>
      <c r="E32" t="s">
        <v>22</v>
      </c>
      <c r="F32" t="s">
        <v>17</v>
      </c>
      <c r="G32">
        <v>5</v>
      </c>
      <c r="H32" t="s">
        <v>18</v>
      </c>
      <c r="I32" t="s">
        <v>83</v>
      </c>
      <c r="J32">
        <f>orders[[#This Row],[Ship Date]]-orders[[#This Row],[Order Date]]</f>
        <v>4</v>
      </c>
      <c r="K32">
        <f>WEEKNUM(orders[[#This Row],[Order Date]])</f>
        <v>1</v>
      </c>
      <c r="L32" t="str" cm="1">
        <f t="array" ref="L32">_xlfn.IFS(orders[[#This Row],[Customer Gender]]="M","Male", orders[[#This Row],[Customer Gender]]="F","Female", orders[[#This Row],[Customer Gender]]="O","Other", TRUE,"Unknown")</f>
        <v>Male</v>
      </c>
      <c r="M32">
        <v>7</v>
      </c>
      <c r="N32">
        <v>19.100000000000001</v>
      </c>
      <c r="O32" s="5">
        <v>133.70000000000002</v>
      </c>
    </row>
    <row r="33" spans="1:15" x14ac:dyDescent="0.3">
      <c r="A33" t="s">
        <v>84</v>
      </c>
      <c r="B33" t="s">
        <v>25</v>
      </c>
      <c r="C33" s="7">
        <v>45658</v>
      </c>
      <c r="D33" s="7">
        <v>45661</v>
      </c>
      <c r="E33" t="s">
        <v>22</v>
      </c>
      <c r="F33" t="s">
        <v>17</v>
      </c>
      <c r="G33">
        <v>4</v>
      </c>
      <c r="H33" t="s">
        <v>18</v>
      </c>
      <c r="I33" t="s">
        <v>85</v>
      </c>
      <c r="J33">
        <f>orders[[#This Row],[Ship Date]]-orders[[#This Row],[Order Date]]</f>
        <v>3</v>
      </c>
      <c r="K33">
        <f>WEEKNUM(orders[[#This Row],[Order Date]])</f>
        <v>1</v>
      </c>
      <c r="L33" t="str" cm="1">
        <f t="array" ref="L33">_xlfn.IFS(orders[[#This Row],[Customer Gender]]="M","Male", orders[[#This Row],[Customer Gender]]="F","Female", orders[[#This Row],[Customer Gender]]="O","Other", TRUE,"Unknown")</f>
        <v>Male</v>
      </c>
      <c r="M33">
        <v>5</v>
      </c>
      <c r="N33">
        <v>166.1</v>
      </c>
      <c r="O33">
        <v>830.5</v>
      </c>
    </row>
    <row r="34" spans="1:15" x14ac:dyDescent="0.3">
      <c r="A34" t="s">
        <v>86</v>
      </c>
      <c r="B34" t="s">
        <v>31</v>
      </c>
      <c r="C34" s="7">
        <v>45658</v>
      </c>
      <c r="D34" s="7">
        <v>45659</v>
      </c>
      <c r="E34" t="s">
        <v>22</v>
      </c>
      <c r="F34" t="s">
        <v>50</v>
      </c>
      <c r="G34">
        <v>4</v>
      </c>
      <c r="H34" t="s">
        <v>18</v>
      </c>
      <c r="I34" t="s">
        <v>32</v>
      </c>
      <c r="J34">
        <f>orders[[#This Row],[Ship Date]]-orders[[#This Row],[Order Date]]</f>
        <v>1</v>
      </c>
      <c r="K34">
        <f>WEEKNUM(orders[[#This Row],[Order Date]])</f>
        <v>1</v>
      </c>
      <c r="L34" t="str" cm="1">
        <f t="array" ref="L34">_xlfn.IFS(orders[[#This Row],[Customer Gender]]="M","Male", orders[[#This Row],[Customer Gender]]="F","Female", orders[[#This Row],[Customer Gender]]="O","Other", TRUE,"Unknown")</f>
        <v>Male</v>
      </c>
      <c r="M34">
        <v>3</v>
      </c>
      <c r="N34">
        <v>29.9</v>
      </c>
      <c r="O34" s="5">
        <v>89.699999999999989</v>
      </c>
    </row>
    <row r="35" spans="1:15" x14ac:dyDescent="0.3">
      <c r="A35" t="s">
        <v>87</v>
      </c>
      <c r="B35" t="s">
        <v>53</v>
      </c>
      <c r="C35" s="7">
        <v>45658</v>
      </c>
      <c r="D35" s="7">
        <v>45660</v>
      </c>
      <c r="E35" t="s">
        <v>88</v>
      </c>
      <c r="F35" t="s">
        <v>39</v>
      </c>
      <c r="G35">
        <v>5</v>
      </c>
      <c r="H35" t="s">
        <v>18</v>
      </c>
      <c r="I35" t="s">
        <v>32</v>
      </c>
      <c r="J35">
        <f>orders[[#This Row],[Ship Date]]-orders[[#This Row],[Order Date]]</f>
        <v>2</v>
      </c>
      <c r="K35">
        <f>WEEKNUM(orders[[#This Row],[Order Date]])</f>
        <v>1</v>
      </c>
      <c r="L35" t="str" cm="1">
        <f t="array" ref="L35">_xlfn.IFS(orders[[#This Row],[Customer Gender]]="M","Male", orders[[#This Row],[Customer Gender]]="F","Female", orders[[#This Row],[Customer Gender]]="O","Other", TRUE,"Unknown")</f>
        <v>Other</v>
      </c>
      <c r="M35">
        <v>6</v>
      </c>
      <c r="N35">
        <v>21.7</v>
      </c>
      <c r="O35">
        <v>130.19999999999999</v>
      </c>
    </row>
    <row r="36" spans="1:15" x14ac:dyDescent="0.3">
      <c r="A36" t="s">
        <v>89</v>
      </c>
      <c r="B36" t="s">
        <v>66</v>
      </c>
      <c r="C36" s="7">
        <v>45658</v>
      </c>
      <c r="D36" s="7">
        <v>45661</v>
      </c>
      <c r="E36" t="s">
        <v>22</v>
      </c>
      <c r="F36" t="s">
        <v>17</v>
      </c>
      <c r="G36">
        <v>5</v>
      </c>
      <c r="H36" t="s">
        <v>18</v>
      </c>
      <c r="I36" t="s">
        <v>32</v>
      </c>
      <c r="J36">
        <f>orders[[#This Row],[Ship Date]]-orders[[#This Row],[Order Date]]</f>
        <v>3</v>
      </c>
      <c r="K36">
        <f>WEEKNUM(orders[[#This Row],[Order Date]])</f>
        <v>1</v>
      </c>
      <c r="L36" t="str" cm="1">
        <f t="array" ref="L36">_xlfn.IFS(orders[[#This Row],[Customer Gender]]="M","Male", orders[[#This Row],[Customer Gender]]="F","Female", orders[[#This Row],[Customer Gender]]="O","Other", TRUE,"Unknown")</f>
        <v>Male</v>
      </c>
      <c r="M36">
        <v>2</v>
      </c>
      <c r="N36">
        <v>32</v>
      </c>
      <c r="O36" s="5">
        <v>64</v>
      </c>
    </row>
    <row r="37" spans="1:15" x14ac:dyDescent="0.3">
      <c r="A37" t="s">
        <v>90</v>
      </c>
      <c r="B37" t="s">
        <v>43</v>
      </c>
      <c r="C37" s="7">
        <v>45658</v>
      </c>
      <c r="D37" s="7">
        <v>45659</v>
      </c>
      <c r="E37" t="s">
        <v>22</v>
      </c>
      <c r="F37" t="s">
        <v>69</v>
      </c>
      <c r="G37">
        <v>5</v>
      </c>
      <c r="H37" t="s">
        <v>18</v>
      </c>
      <c r="I37" t="s">
        <v>32</v>
      </c>
      <c r="J37">
        <f>orders[[#This Row],[Ship Date]]-orders[[#This Row],[Order Date]]</f>
        <v>1</v>
      </c>
      <c r="K37">
        <f>WEEKNUM(orders[[#This Row],[Order Date]])</f>
        <v>1</v>
      </c>
      <c r="L37" t="str" cm="1">
        <f t="array" ref="L37">_xlfn.IFS(orders[[#This Row],[Customer Gender]]="M","Male", orders[[#This Row],[Customer Gender]]="F","Female", orders[[#This Row],[Customer Gender]]="O","Other", TRUE,"Unknown")</f>
        <v>Male</v>
      </c>
      <c r="M37">
        <v>2</v>
      </c>
      <c r="N37">
        <v>15.8</v>
      </c>
      <c r="O37">
        <v>31.6</v>
      </c>
    </row>
    <row r="38" spans="1:15" x14ac:dyDescent="0.3">
      <c r="A38" t="s">
        <v>91</v>
      </c>
      <c r="B38" t="s">
        <v>25</v>
      </c>
      <c r="C38" s="7">
        <v>45658</v>
      </c>
      <c r="D38" s="7">
        <v>45662</v>
      </c>
      <c r="E38" t="s">
        <v>22</v>
      </c>
      <c r="F38" t="s">
        <v>50</v>
      </c>
      <c r="G38">
        <v>3</v>
      </c>
      <c r="H38" t="s">
        <v>18</v>
      </c>
      <c r="I38" t="s">
        <v>32</v>
      </c>
      <c r="J38">
        <f>orders[[#This Row],[Ship Date]]-orders[[#This Row],[Order Date]]</f>
        <v>4</v>
      </c>
      <c r="K38">
        <f>WEEKNUM(orders[[#This Row],[Order Date]])</f>
        <v>1</v>
      </c>
      <c r="L38" t="str" cm="1">
        <f t="array" ref="L38">_xlfn.IFS(orders[[#This Row],[Customer Gender]]="M","Male", orders[[#This Row],[Customer Gender]]="F","Female", orders[[#This Row],[Customer Gender]]="O","Other", TRUE,"Unknown")</f>
        <v>Male</v>
      </c>
      <c r="M38">
        <v>17</v>
      </c>
      <c r="N38">
        <v>203.1</v>
      </c>
      <c r="O38" s="5">
        <v>3452.7</v>
      </c>
    </row>
    <row r="39" spans="1:15" x14ac:dyDescent="0.3">
      <c r="A39" t="s">
        <v>92</v>
      </c>
      <c r="B39" t="s">
        <v>41</v>
      </c>
      <c r="C39" s="7">
        <v>45658</v>
      </c>
      <c r="D39" s="7">
        <v>45664</v>
      </c>
      <c r="E39" t="s">
        <v>22</v>
      </c>
      <c r="F39" t="s">
        <v>17</v>
      </c>
      <c r="G39">
        <v>5</v>
      </c>
      <c r="H39" t="s">
        <v>18</v>
      </c>
      <c r="I39" t="s">
        <v>32</v>
      </c>
      <c r="J39">
        <f>orders[[#This Row],[Ship Date]]-orders[[#This Row],[Order Date]]</f>
        <v>6</v>
      </c>
      <c r="K39">
        <f>WEEKNUM(orders[[#This Row],[Order Date]])</f>
        <v>1</v>
      </c>
      <c r="L39" t="str" cm="1">
        <f t="array" ref="L39">_xlfn.IFS(orders[[#This Row],[Customer Gender]]="M","Male", orders[[#This Row],[Customer Gender]]="F","Female", orders[[#This Row],[Customer Gender]]="O","Other", TRUE,"Unknown")</f>
        <v>Male</v>
      </c>
      <c r="M39">
        <v>13</v>
      </c>
      <c r="N39">
        <v>39</v>
      </c>
      <c r="O39">
        <v>507</v>
      </c>
    </row>
    <row r="40" spans="1:15" x14ac:dyDescent="0.3">
      <c r="A40" t="s">
        <v>93</v>
      </c>
      <c r="B40" t="s">
        <v>53</v>
      </c>
      <c r="C40" s="7">
        <v>45659</v>
      </c>
      <c r="D40" s="7">
        <v>45660</v>
      </c>
      <c r="E40" t="s">
        <v>22</v>
      </c>
      <c r="F40" t="s">
        <v>39</v>
      </c>
      <c r="G40">
        <v>4</v>
      </c>
      <c r="H40" t="s">
        <v>18</v>
      </c>
      <c r="I40" t="s">
        <v>32</v>
      </c>
      <c r="J40">
        <f>orders[[#This Row],[Ship Date]]-orders[[#This Row],[Order Date]]</f>
        <v>1</v>
      </c>
      <c r="K40">
        <f>WEEKNUM(orders[[#This Row],[Order Date]])</f>
        <v>1</v>
      </c>
      <c r="L40" t="str" cm="1">
        <f t="array" ref="L40">_xlfn.IFS(orders[[#This Row],[Customer Gender]]="M","Male", orders[[#This Row],[Customer Gender]]="F","Female", orders[[#This Row],[Customer Gender]]="O","Other", TRUE,"Unknown")</f>
        <v>Male</v>
      </c>
      <c r="M40">
        <v>1</v>
      </c>
      <c r="N40">
        <v>26.5</v>
      </c>
      <c r="O40" s="5">
        <v>26.5</v>
      </c>
    </row>
    <row r="41" spans="1:15" x14ac:dyDescent="0.3">
      <c r="A41" t="s">
        <v>94</v>
      </c>
      <c r="B41" t="s">
        <v>36</v>
      </c>
      <c r="C41" s="7">
        <v>45659</v>
      </c>
      <c r="D41" s="7">
        <v>45660</v>
      </c>
      <c r="E41" t="s">
        <v>26</v>
      </c>
      <c r="F41" t="s">
        <v>39</v>
      </c>
      <c r="G41">
        <v>3</v>
      </c>
      <c r="H41" t="s">
        <v>18</v>
      </c>
      <c r="I41" t="s">
        <v>32</v>
      </c>
      <c r="J41">
        <f>orders[[#This Row],[Ship Date]]-orders[[#This Row],[Order Date]]</f>
        <v>1</v>
      </c>
      <c r="K41">
        <f>WEEKNUM(orders[[#This Row],[Order Date]])</f>
        <v>1</v>
      </c>
      <c r="L41" t="str" cm="1">
        <f t="array" ref="L41">_xlfn.IFS(orders[[#This Row],[Customer Gender]]="M","Male", orders[[#This Row],[Customer Gender]]="F","Female", orders[[#This Row],[Customer Gender]]="O","Other", TRUE,"Unknown")</f>
        <v>Female</v>
      </c>
      <c r="M41">
        <v>1</v>
      </c>
      <c r="N41">
        <v>43.1</v>
      </c>
      <c r="O41">
        <v>43.1</v>
      </c>
    </row>
    <row r="42" spans="1:15" x14ac:dyDescent="0.3">
      <c r="A42" t="s">
        <v>95</v>
      </c>
      <c r="B42" t="s">
        <v>21</v>
      </c>
      <c r="C42" s="7">
        <v>45659</v>
      </c>
      <c r="D42" s="7">
        <v>45660</v>
      </c>
      <c r="E42" t="s">
        <v>26</v>
      </c>
      <c r="F42" t="s">
        <v>69</v>
      </c>
      <c r="G42">
        <v>5</v>
      </c>
      <c r="H42" t="s">
        <v>18</v>
      </c>
      <c r="I42" t="s">
        <v>32</v>
      </c>
      <c r="J42">
        <f>orders[[#This Row],[Ship Date]]-orders[[#This Row],[Order Date]]</f>
        <v>1</v>
      </c>
      <c r="K42">
        <f>WEEKNUM(orders[[#This Row],[Order Date]])</f>
        <v>1</v>
      </c>
      <c r="L42" t="str" cm="1">
        <f t="array" ref="L42">_xlfn.IFS(orders[[#This Row],[Customer Gender]]="M","Male", orders[[#This Row],[Customer Gender]]="F","Female", orders[[#This Row],[Customer Gender]]="O","Other", TRUE,"Unknown")</f>
        <v>Female</v>
      </c>
      <c r="M42">
        <v>3</v>
      </c>
      <c r="N42">
        <v>139</v>
      </c>
      <c r="O42" s="5">
        <v>417</v>
      </c>
    </row>
    <row r="43" spans="1:15" x14ac:dyDescent="0.3">
      <c r="A43" t="s">
        <v>96</v>
      </c>
      <c r="B43" t="s">
        <v>68</v>
      </c>
      <c r="C43" s="7">
        <v>45659</v>
      </c>
      <c r="D43" s="7">
        <v>45660</v>
      </c>
      <c r="E43" t="s">
        <v>22</v>
      </c>
      <c r="F43" t="s">
        <v>17</v>
      </c>
      <c r="G43">
        <v>5</v>
      </c>
      <c r="H43" t="s">
        <v>18</v>
      </c>
      <c r="I43" t="s">
        <v>97</v>
      </c>
      <c r="J43">
        <f>orders[[#This Row],[Ship Date]]-orders[[#This Row],[Order Date]]</f>
        <v>1</v>
      </c>
      <c r="K43">
        <f>WEEKNUM(orders[[#This Row],[Order Date]])</f>
        <v>1</v>
      </c>
      <c r="L43" t="str" cm="1">
        <f t="array" ref="L43">_xlfn.IFS(orders[[#This Row],[Customer Gender]]="M","Male", orders[[#This Row],[Customer Gender]]="F","Female", orders[[#This Row],[Customer Gender]]="O","Other", TRUE,"Unknown")</f>
        <v>Male</v>
      </c>
      <c r="M43">
        <v>1</v>
      </c>
      <c r="N43">
        <v>80.7</v>
      </c>
      <c r="O43">
        <v>80.7</v>
      </c>
    </row>
    <row r="44" spans="1:15" x14ac:dyDescent="0.3">
      <c r="A44" t="s">
        <v>98</v>
      </c>
      <c r="B44" t="s">
        <v>31</v>
      </c>
      <c r="C44" s="7">
        <v>45659</v>
      </c>
      <c r="D44" s="7">
        <v>45661</v>
      </c>
      <c r="E44" t="s">
        <v>22</v>
      </c>
      <c r="F44" t="s">
        <v>34</v>
      </c>
      <c r="G44">
        <v>3</v>
      </c>
      <c r="H44" t="s">
        <v>18</v>
      </c>
      <c r="I44" t="s">
        <v>54</v>
      </c>
      <c r="J44">
        <f>orders[[#This Row],[Ship Date]]-orders[[#This Row],[Order Date]]</f>
        <v>2</v>
      </c>
      <c r="K44">
        <f>WEEKNUM(orders[[#This Row],[Order Date]])</f>
        <v>1</v>
      </c>
      <c r="L44" t="str" cm="1">
        <f t="array" ref="L44">_xlfn.IFS(orders[[#This Row],[Customer Gender]]="M","Male", orders[[#This Row],[Customer Gender]]="F","Female", orders[[#This Row],[Customer Gender]]="O","Other", TRUE,"Unknown")</f>
        <v>Male</v>
      </c>
      <c r="M44">
        <v>2</v>
      </c>
      <c r="N44">
        <v>54.5</v>
      </c>
      <c r="O44" s="5">
        <v>109</v>
      </c>
    </row>
    <row r="45" spans="1:15" x14ac:dyDescent="0.3">
      <c r="A45" t="s">
        <v>99</v>
      </c>
      <c r="B45" t="s">
        <v>38</v>
      </c>
      <c r="C45" s="7">
        <v>45659</v>
      </c>
      <c r="D45" s="7">
        <v>45659</v>
      </c>
      <c r="E45" t="s">
        <v>26</v>
      </c>
      <c r="F45" t="s">
        <v>17</v>
      </c>
      <c r="G45">
        <v>3</v>
      </c>
      <c r="H45" t="s">
        <v>18</v>
      </c>
      <c r="I45" t="s">
        <v>61</v>
      </c>
      <c r="J45">
        <f>orders[[#This Row],[Ship Date]]-orders[[#This Row],[Order Date]]</f>
        <v>0</v>
      </c>
      <c r="K45">
        <f>WEEKNUM(orders[[#This Row],[Order Date]])</f>
        <v>1</v>
      </c>
      <c r="L45" t="str" cm="1">
        <f t="array" ref="L45">_xlfn.IFS(orders[[#This Row],[Customer Gender]]="M","Male", orders[[#This Row],[Customer Gender]]="F","Female", orders[[#This Row],[Customer Gender]]="O","Other", TRUE,"Unknown")</f>
        <v>Female</v>
      </c>
      <c r="M45">
        <v>3</v>
      </c>
      <c r="N45">
        <v>68.599999999999994</v>
      </c>
      <c r="O45">
        <v>205.79999999999998</v>
      </c>
    </row>
    <row r="46" spans="1:15" x14ac:dyDescent="0.3">
      <c r="A46" t="s">
        <v>100</v>
      </c>
      <c r="B46" t="s">
        <v>25</v>
      </c>
      <c r="C46" s="7">
        <v>45659</v>
      </c>
      <c r="D46" s="7">
        <v>45660</v>
      </c>
      <c r="E46" t="s">
        <v>26</v>
      </c>
      <c r="F46" t="s">
        <v>39</v>
      </c>
      <c r="G46">
        <v>5</v>
      </c>
      <c r="H46" t="s">
        <v>18</v>
      </c>
      <c r="I46" t="s">
        <v>61</v>
      </c>
      <c r="J46">
        <f>orders[[#This Row],[Ship Date]]-orders[[#This Row],[Order Date]]</f>
        <v>1</v>
      </c>
      <c r="K46">
        <f>WEEKNUM(orders[[#This Row],[Order Date]])</f>
        <v>1</v>
      </c>
      <c r="L46" t="str" cm="1">
        <f t="array" ref="L46">_xlfn.IFS(orders[[#This Row],[Customer Gender]]="M","Male", orders[[#This Row],[Customer Gender]]="F","Female", orders[[#This Row],[Customer Gender]]="O","Other", TRUE,"Unknown")</f>
        <v>Female</v>
      </c>
      <c r="M46">
        <v>4</v>
      </c>
      <c r="N46">
        <v>135.9</v>
      </c>
      <c r="O46" s="5">
        <v>543.6</v>
      </c>
    </row>
    <row r="47" spans="1:15" x14ac:dyDescent="0.3">
      <c r="A47" t="s">
        <v>101</v>
      </c>
      <c r="B47" t="s">
        <v>25</v>
      </c>
      <c r="C47" s="7">
        <v>45659</v>
      </c>
      <c r="D47" s="7">
        <v>45660</v>
      </c>
      <c r="E47" t="s">
        <v>26</v>
      </c>
      <c r="F47" t="s">
        <v>17</v>
      </c>
      <c r="G47">
        <v>4</v>
      </c>
      <c r="H47" t="s">
        <v>18</v>
      </c>
      <c r="I47" t="s">
        <v>102</v>
      </c>
      <c r="J47">
        <f>orders[[#This Row],[Ship Date]]-orders[[#This Row],[Order Date]]</f>
        <v>1</v>
      </c>
      <c r="K47">
        <f>WEEKNUM(orders[[#This Row],[Order Date]])</f>
        <v>1</v>
      </c>
      <c r="L47" t="str" cm="1">
        <f t="array" ref="L47">_xlfn.IFS(orders[[#This Row],[Customer Gender]]="M","Male", orders[[#This Row],[Customer Gender]]="F","Female", orders[[#This Row],[Customer Gender]]="O","Other", TRUE,"Unknown")</f>
        <v>Female</v>
      </c>
      <c r="M47">
        <v>4</v>
      </c>
      <c r="N47">
        <v>70.900000000000006</v>
      </c>
      <c r="O47">
        <v>283.60000000000002</v>
      </c>
    </row>
    <row r="48" spans="1:15" x14ac:dyDescent="0.3">
      <c r="A48" t="s">
        <v>103</v>
      </c>
      <c r="B48" t="s">
        <v>21</v>
      </c>
      <c r="C48" s="7">
        <v>45659</v>
      </c>
      <c r="D48" s="7">
        <v>45660</v>
      </c>
      <c r="E48" t="s">
        <v>22</v>
      </c>
      <c r="F48" t="s">
        <v>34</v>
      </c>
      <c r="G48">
        <v>3</v>
      </c>
      <c r="H48" t="s">
        <v>18</v>
      </c>
      <c r="I48" t="s">
        <v>71</v>
      </c>
      <c r="J48">
        <f>orders[[#This Row],[Ship Date]]-orders[[#This Row],[Order Date]]</f>
        <v>1</v>
      </c>
      <c r="K48">
        <f>WEEKNUM(orders[[#This Row],[Order Date]])</f>
        <v>1</v>
      </c>
      <c r="L48" t="str" cm="1">
        <f t="array" ref="L48">_xlfn.IFS(orders[[#This Row],[Customer Gender]]="M","Male", orders[[#This Row],[Customer Gender]]="F","Female", orders[[#This Row],[Customer Gender]]="O","Other", TRUE,"Unknown")</f>
        <v>Male</v>
      </c>
      <c r="M48">
        <v>5</v>
      </c>
      <c r="N48">
        <v>63.7</v>
      </c>
      <c r="O48" s="5">
        <v>318.5</v>
      </c>
    </row>
    <row r="49" spans="1:15" x14ac:dyDescent="0.3">
      <c r="A49" t="s">
        <v>104</v>
      </c>
      <c r="B49" t="s">
        <v>75</v>
      </c>
      <c r="C49" s="7">
        <v>45659</v>
      </c>
      <c r="D49" s="7">
        <v>45661</v>
      </c>
      <c r="E49" t="s">
        <v>26</v>
      </c>
      <c r="F49" t="s">
        <v>34</v>
      </c>
      <c r="G49">
        <v>4</v>
      </c>
      <c r="H49" t="s">
        <v>18</v>
      </c>
      <c r="I49" t="s">
        <v>76</v>
      </c>
      <c r="J49">
        <f>orders[[#This Row],[Ship Date]]-orders[[#This Row],[Order Date]]</f>
        <v>2</v>
      </c>
      <c r="K49">
        <f>WEEKNUM(orders[[#This Row],[Order Date]])</f>
        <v>1</v>
      </c>
      <c r="L49" t="str" cm="1">
        <f t="array" ref="L49">_xlfn.IFS(orders[[#This Row],[Customer Gender]]="M","Male", orders[[#This Row],[Customer Gender]]="F","Female", orders[[#This Row],[Customer Gender]]="O","Other", TRUE,"Unknown")</f>
        <v>Female</v>
      </c>
      <c r="M49">
        <v>1</v>
      </c>
      <c r="N49">
        <v>29.7</v>
      </c>
      <c r="O49">
        <v>29.7</v>
      </c>
    </row>
    <row r="50" spans="1:15" x14ac:dyDescent="0.3">
      <c r="A50" t="s">
        <v>105</v>
      </c>
      <c r="B50" t="s">
        <v>31</v>
      </c>
      <c r="C50" s="7">
        <v>45659</v>
      </c>
      <c r="D50" s="7">
        <v>45668</v>
      </c>
      <c r="E50" t="s">
        <v>26</v>
      </c>
      <c r="F50" t="s">
        <v>34</v>
      </c>
      <c r="G50">
        <v>5</v>
      </c>
      <c r="H50" t="s">
        <v>18</v>
      </c>
      <c r="I50" t="s">
        <v>76</v>
      </c>
      <c r="J50">
        <f>orders[[#This Row],[Ship Date]]-orders[[#This Row],[Order Date]]</f>
        <v>9</v>
      </c>
      <c r="K50">
        <f>WEEKNUM(orders[[#This Row],[Order Date]])</f>
        <v>1</v>
      </c>
      <c r="L50" t="str" cm="1">
        <f t="array" ref="L50">_xlfn.IFS(orders[[#This Row],[Customer Gender]]="M","Male", orders[[#This Row],[Customer Gender]]="F","Female", orders[[#This Row],[Customer Gender]]="O","Other", TRUE,"Unknown")</f>
        <v>Female</v>
      </c>
      <c r="M50">
        <v>3</v>
      </c>
      <c r="N50">
        <v>26.8</v>
      </c>
      <c r="O50" s="5">
        <v>80.400000000000006</v>
      </c>
    </row>
    <row r="51" spans="1:15" x14ac:dyDescent="0.3">
      <c r="A51" t="s">
        <v>106</v>
      </c>
      <c r="B51" t="s">
        <v>80</v>
      </c>
      <c r="C51" s="7">
        <v>45659</v>
      </c>
      <c r="D51" s="7">
        <v>45661</v>
      </c>
      <c r="E51" t="s">
        <v>26</v>
      </c>
      <c r="F51" t="s">
        <v>17</v>
      </c>
      <c r="G51">
        <v>4</v>
      </c>
      <c r="H51" t="s">
        <v>18</v>
      </c>
      <c r="I51" t="s">
        <v>107</v>
      </c>
      <c r="J51">
        <f>orders[[#This Row],[Ship Date]]-orders[[#This Row],[Order Date]]</f>
        <v>2</v>
      </c>
      <c r="K51">
        <f>WEEKNUM(orders[[#This Row],[Order Date]])</f>
        <v>1</v>
      </c>
      <c r="L51" t="str" cm="1">
        <f t="array" ref="L51">_xlfn.IFS(orders[[#This Row],[Customer Gender]]="M","Male", orders[[#This Row],[Customer Gender]]="F","Female", orders[[#This Row],[Customer Gender]]="O","Other", TRUE,"Unknown")</f>
        <v>Female</v>
      </c>
      <c r="M51">
        <v>1</v>
      </c>
      <c r="N51">
        <v>27</v>
      </c>
      <c r="O51">
        <v>27</v>
      </c>
    </row>
    <row r="52" spans="1:15" x14ac:dyDescent="0.3">
      <c r="A52" t="s">
        <v>108</v>
      </c>
      <c r="B52" t="s">
        <v>43</v>
      </c>
      <c r="C52" s="7">
        <v>45659</v>
      </c>
      <c r="D52" s="7">
        <v>45660</v>
      </c>
      <c r="E52" t="s">
        <v>22</v>
      </c>
      <c r="F52" t="s">
        <v>34</v>
      </c>
      <c r="G52">
        <v>5</v>
      </c>
      <c r="H52" t="s">
        <v>18</v>
      </c>
      <c r="I52" t="s">
        <v>109</v>
      </c>
      <c r="J52">
        <f>orders[[#This Row],[Ship Date]]-orders[[#This Row],[Order Date]]</f>
        <v>1</v>
      </c>
      <c r="K52">
        <f>WEEKNUM(orders[[#This Row],[Order Date]])</f>
        <v>1</v>
      </c>
      <c r="L52" t="str" cm="1">
        <f t="array" ref="L52">_xlfn.IFS(orders[[#This Row],[Customer Gender]]="M","Male", orders[[#This Row],[Customer Gender]]="F","Female", orders[[#This Row],[Customer Gender]]="O","Other", TRUE,"Unknown")</f>
        <v>Male</v>
      </c>
      <c r="M52">
        <v>1</v>
      </c>
      <c r="N52">
        <v>41.4</v>
      </c>
      <c r="O52" s="5">
        <v>41.4</v>
      </c>
    </row>
    <row r="53" spans="1:15" x14ac:dyDescent="0.3">
      <c r="A53" t="s">
        <v>110</v>
      </c>
      <c r="B53" t="s">
        <v>43</v>
      </c>
      <c r="C53" s="7">
        <v>45659</v>
      </c>
      <c r="D53" s="7">
        <v>45662</v>
      </c>
      <c r="E53" t="s">
        <v>26</v>
      </c>
      <c r="F53" t="s">
        <v>34</v>
      </c>
      <c r="G53">
        <v>4</v>
      </c>
      <c r="H53" t="s">
        <v>18</v>
      </c>
      <c r="I53" t="s">
        <v>109</v>
      </c>
      <c r="J53">
        <f>orders[[#This Row],[Ship Date]]-orders[[#This Row],[Order Date]]</f>
        <v>3</v>
      </c>
      <c r="K53">
        <f>WEEKNUM(orders[[#This Row],[Order Date]])</f>
        <v>1</v>
      </c>
      <c r="L53" t="str" cm="1">
        <f t="array" ref="L53">_xlfn.IFS(orders[[#This Row],[Customer Gender]]="M","Male", orders[[#This Row],[Customer Gender]]="F","Female", orders[[#This Row],[Customer Gender]]="O","Other", TRUE,"Unknown")</f>
        <v>Female</v>
      </c>
      <c r="M53">
        <v>2</v>
      </c>
      <c r="N53">
        <v>24.3</v>
      </c>
      <c r="O53">
        <v>48.6</v>
      </c>
    </row>
    <row r="54" spans="1:15" x14ac:dyDescent="0.3">
      <c r="A54" t="s">
        <v>111</v>
      </c>
      <c r="B54" t="s">
        <v>43</v>
      </c>
      <c r="C54" s="7">
        <v>45659</v>
      </c>
      <c r="D54" s="7">
        <v>45661</v>
      </c>
      <c r="E54" t="s">
        <v>22</v>
      </c>
      <c r="F54" t="s">
        <v>17</v>
      </c>
      <c r="G54">
        <v>5</v>
      </c>
      <c r="H54" t="s">
        <v>18</v>
      </c>
      <c r="I54" t="s">
        <v>112</v>
      </c>
      <c r="J54">
        <f>orders[[#This Row],[Ship Date]]-orders[[#This Row],[Order Date]]</f>
        <v>2</v>
      </c>
      <c r="K54">
        <f>WEEKNUM(orders[[#This Row],[Order Date]])</f>
        <v>1</v>
      </c>
      <c r="L54" t="str" cm="1">
        <f t="array" ref="L54">_xlfn.IFS(orders[[#This Row],[Customer Gender]]="M","Male", orders[[#This Row],[Customer Gender]]="F","Female", orders[[#This Row],[Customer Gender]]="O","Other", TRUE,"Unknown")</f>
        <v>Male</v>
      </c>
      <c r="M54">
        <v>3</v>
      </c>
      <c r="N54">
        <v>41.7</v>
      </c>
      <c r="O54" s="5">
        <v>125.10000000000001</v>
      </c>
    </row>
    <row r="55" spans="1:15" x14ac:dyDescent="0.3">
      <c r="A55" t="s">
        <v>113</v>
      </c>
      <c r="B55" t="s">
        <v>16</v>
      </c>
      <c r="C55" s="7">
        <v>45659</v>
      </c>
      <c r="D55" s="7">
        <v>45660</v>
      </c>
      <c r="E55" t="s">
        <v>26</v>
      </c>
      <c r="F55" t="s">
        <v>17</v>
      </c>
      <c r="G55">
        <v>5</v>
      </c>
      <c r="H55" t="s">
        <v>18</v>
      </c>
      <c r="I55" t="s">
        <v>114</v>
      </c>
      <c r="J55">
        <f>orders[[#This Row],[Ship Date]]-orders[[#This Row],[Order Date]]</f>
        <v>1</v>
      </c>
      <c r="K55">
        <f>WEEKNUM(orders[[#This Row],[Order Date]])</f>
        <v>1</v>
      </c>
      <c r="L55" t="str" cm="1">
        <f t="array" ref="L55">_xlfn.IFS(orders[[#This Row],[Customer Gender]]="M","Male", orders[[#This Row],[Customer Gender]]="F","Female", orders[[#This Row],[Customer Gender]]="O","Other", TRUE,"Unknown")</f>
        <v>Female</v>
      </c>
      <c r="M55">
        <v>2</v>
      </c>
      <c r="N55">
        <v>18</v>
      </c>
      <c r="O55">
        <v>36</v>
      </c>
    </row>
    <row r="56" spans="1:15" x14ac:dyDescent="0.3">
      <c r="A56" t="s">
        <v>115</v>
      </c>
      <c r="B56" t="s">
        <v>41</v>
      </c>
      <c r="C56" s="7">
        <v>45659</v>
      </c>
      <c r="D56" s="7">
        <v>45662</v>
      </c>
      <c r="E56" t="s">
        <v>22</v>
      </c>
      <c r="F56" t="s">
        <v>39</v>
      </c>
      <c r="G56">
        <v>5</v>
      </c>
      <c r="H56" t="s">
        <v>18</v>
      </c>
      <c r="I56" t="s">
        <v>32</v>
      </c>
      <c r="J56">
        <f>orders[[#This Row],[Ship Date]]-orders[[#This Row],[Order Date]]</f>
        <v>3</v>
      </c>
      <c r="K56">
        <f>WEEKNUM(orders[[#This Row],[Order Date]])</f>
        <v>1</v>
      </c>
      <c r="L56" t="str" cm="1">
        <f t="array" ref="L56">_xlfn.IFS(orders[[#This Row],[Customer Gender]]="M","Male", orders[[#This Row],[Customer Gender]]="F","Female", orders[[#This Row],[Customer Gender]]="O","Other", TRUE,"Unknown")</f>
        <v>Male</v>
      </c>
      <c r="M56">
        <v>3</v>
      </c>
      <c r="N56">
        <v>91.3</v>
      </c>
      <c r="O56" s="5">
        <v>273.89999999999998</v>
      </c>
    </row>
    <row r="57" spans="1:15" x14ac:dyDescent="0.3">
      <c r="A57" t="s">
        <v>116</v>
      </c>
      <c r="B57" t="s">
        <v>43</v>
      </c>
      <c r="C57" s="7">
        <v>45659</v>
      </c>
      <c r="D57" s="7">
        <v>45660</v>
      </c>
      <c r="E57" t="s">
        <v>22</v>
      </c>
      <c r="F57" t="s">
        <v>17</v>
      </c>
      <c r="G57">
        <v>4</v>
      </c>
      <c r="H57" t="s">
        <v>18</v>
      </c>
      <c r="I57" t="s">
        <v>32</v>
      </c>
      <c r="J57">
        <f>orders[[#This Row],[Ship Date]]-orders[[#This Row],[Order Date]]</f>
        <v>1</v>
      </c>
      <c r="K57">
        <f>WEEKNUM(orders[[#This Row],[Order Date]])</f>
        <v>1</v>
      </c>
      <c r="L57" t="str" cm="1">
        <f t="array" ref="L57">_xlfn.IFS(orders[[#This Row],[Customer Gender]]="M","Male", orders[[#This Row],[Customer Gender]]="F","Female", orders[[#This Row],[Customer Gender]]="O","Other", TRUE,"Unknown")</f>
        <v>Male</v>
      </c>
      <c r="M57">
        <v>8</v>
      </c>
      <c r="N57">
        <v>19.3</v>
      </c>
      <c r="O57">
        <v>154.4</v>
      </c>
    </row>
    <row r="58" spans="1:15" x14ac:dyDescent="0.3">
      <c r="A58" t="s">
        <v>117</v>
      </c>
      <c r="B58" t="s">
        <v>68</v>
      </c>
      <c r="C58" s="7">
        <v>45659</v>
      </c>
      <c r="D58" s="7">
        <v>45660</v>
      </c>
      <c r="E58" t="s">
        <v>26</v>
      </c>
      <c r="F58" t="s">
        <v>17</v>
      </c>
      <c r="G58">
        <v>4</v>
      </c>
      <c r="H58" t="s">
        <v>18</v>
      </c>
      <c r="I58" t="s">
        <v>32</v>
      </c>
      <c r="J58">
        <f>orders[[#This Row],[Ship Date]]-orders[[#This Row],[Order Date]]</f>
        <v>1</v>
      </c>
      <c r="K58">
        <f>WEEKNUM(orders[[#This Row],[Order Date]])</f>
        <v>1</v>
      </c>
      <c r="L58" t="str" cm="1">
        <f t="array" ref="L58">_xlfn.IFS(orders[[#This Row],[Customer Gender]]="M","Male", orders[[#This Row],[Customer Gender]]="F","Female", orders[[#This Row],[Customer Gender]]="O","Other", TRUE,"Unknown")</f>
        <v>Female</v>
      </c>
      <c r="M58">
        <v>13</v>
      </c>
      <c r="N58">
        <v>63.2</v>
      </c>
      <c r="O58" s="5">
        <v>821.6</v>
      </c>
    </row>
    <row r="59" spans="1:15" x14ac:dyDescent="0.3">
      <c r="A59" t="s">
        <v>118</v>
      </c>
      <c r="B59" t="s">
        <v>53</v>
      </c>
      <c r="C59" s="7">
        <v>45660</v>
      </c>
      <c r="D59" s="7">
        <v>45668</v>
      </c>
      <c r="E59" t="s">
        <v>26</v>
      </c>
      <c r="F59" t="s">
        <v>17</v>
      </c>
      <c r="G59">
        <v>5</v>
      </c>
      <c r="H59" t="s">
        <v>18</v>
      </c>
      <c r="I59" t="s">
        <v>32</v>
      </c>
      <c r="J59">
        <f>orders[[#This Row],[Ship Date]]-orders[[#This Row],[Order Date]]</f>
        <v>8</v>
      </c>
      <c r="K59">
        <f>WEEKNUM(orders[[#This Row],[Order Date]])</f>
        <v>1</v>
      </c>
      <c r="L59" t="str" cm="1">
        <f t="array" ref="L59">_xlfn.IFS(orders[[#This Row],[Customer Gender]]="M","Male", orders[[#This Row],[Customer Gender]]="F","Female", orders[[#This Row],[Customer Gender]]="O","Other", TRUE,"Unknown")</f>
        <v>Female</v>
      </c>
      <c r="M59">
        <v>9</v>
      </c>
      <c r="N59">
        <v>33.299999999999997</v>
      </c>
      <c r="O59">
        <v>299.7</v>
      </c>
    </row>
    <row r="60" spans="1:15" x14ac:dyDescent="0.3">
      <c r="A60" t="s">
        <v>119</v>
      </c>
      <c r="B60" t="s">
        <v>41</v>
      </c>
      <c r="C60" s="7">
        <v>45660</v>
      </c>
      <c r="D60" s="7">
        <v>45661</v>
      </c>
      <c r="E60" t="s">
        <v>22</v>
      </c>
      <c r="F60" t="s">
        <v>17</v>
      </c>
      <c r="G60">
        <v>5</v>
      </c>
      <c r="H60" t="s">
        <v>18</v>
      </c>
      <c r="I60" t="s">
        <v>32</v>
      </c>
      <c r="J60">
        <f>orders[[#This Row],[Ship Date]]-orders[[#This Row],[Order Date]]</f>
        <v>1</v>
      </c>
      <c r="K60">
        <f>WEEKNUM(orders[[#This Row],[Order Date]])</f>
        <v>1</v>
      </c>
      <c r="L60" t="str" cm="1">
        <f t="array" ref="L60">_xlfn.IFS(orders[[#This Row],[Customer Gender]]="M","Male", orders[[#This Row],[Customer Gender]]="F","Female", orders[[#This Row],[Customer Gender]]="O","Other", TRUE,"Unknown")</f>
        <v>Male</v>
      </c>
      <c r="M60">
        <v>2</v>
      </c>
      <c r="N60">
        <v>64.2</v>
      </c>
      <c r="O60" s="5">
        <v>128.4</v>
      </c>
    </row>
    <row r="61" spans="1:15" x14ac:dyDescent="0.3">
      <c r="A61" t="s">
        <v>120</v>
      </c>
      <c r="B61" t="s">
        <v>45</v>
      </c>
      <c r="C61" s="7">
        <v>45660</v>
      </c>
      <c r="D61" s="7">
        <v>45663</v>
      </c>
      <c r="E61" t="s">
        <v>26</v>
      </c>
      <c r="F61" t="s">
        <v>34</v>
      </c>
      <c r="G61">
        <v>5</v>
      </c>
      <c r="H61" t="s">
        <v>18</v>
      </c>
      <c r="I61" t="s">
        <v>32</v>
      </c>
      <c r="J61">
        <f>orders[[#This Row],[Ship Date]]-orders[[#This Row],[Order Date]]</f>
        <v>3</v>
      </c>
      <c r="K61">
        <f>WEEKNUM(orders[[#This Row],[Order Date]])</f>
        <v>1</v>
      </c>
      <c r="L61" t="str" cm="1">
        <f t="array" ref="L61">_xlfn.IFS(orders[[#This Row],[Customer Gender]]="M","Male", orders[[#This Row],[Customer Gender]]="F","Female", orders[[#This Row],[Customer Gender]]="O","Other", TRUE,"Unknown")</f>
        <v>Female</v>
      </c>
      <c r="M61">
        <v>3</v>
      </c>
      <c r="N61">
        <v>23.1</v>
      </c>
      <c r="O61">
        <v>69.300000000000011</v>
      </c>
    </row>
    <row r="62" spans="1:15" x14ac:dyDescent="0.3">
      <c r="A62" t="s">
        <v>121</v>
      </c>
      <c r="B62" t="s">
        <v>122</v>
      </c>
      <c r="C62" s="7">
        <v>45660</v>
      </c>
      <c r="D62" s="7">
        <v>45662</v>
      </c>
      <c r="E62" t="s">
        <v>26</v>
      </c>
      <c r="F62" t="s">
        <v>50</v>
      </c>
      <c r="G62">
        <v>3</v>
      </c>
      <c r="H62" t="s">
        <v>18</v>
      </c>
      <c r="I62" t="s">
        <v>32</v>
      </c>
      <c r="J62">
        <f>orders[[#This Row],[Ship Date]]-orders[[#This Row],[Order Date]]</f>
        <v>2</v>
      </c>
      <c r="K62">
        <f>WEEKNUM(orders[[#This Row],[Order Date]])</f>
        <v>1</v>
      </c>
      <c r="L62" t="str" cm="1">
        <f t="array" ref="L62">_xlfn.IFS(orders[[#This Row],[Customer Gender]]="M","Male", orders[[#This Row],[Customer Gender]]="F","Female", orders[[#This Row],[Customer Gender]]="O","Other", TRUE,"Unknown")</f>
        <v>Female</v>
      </c>
      <c r="M62">
        <v>2</v>
      </c>
      <c r="N62">
        <v>71.099999999999994</v>
      </c>
      <c r="O62" s="5">
        <v>142.19999999999999</v>
      </c>
    </row>
    <row r="63" spans="1:15" x14ac:dyDescent="0.3">
      <c r="A63" t="s">
        <v>123</v>
      </c>
      <c r="B63" t="s">
        <v>16</v>
      </c>
      <c r="C63" s="7">
        <v>45660</v>
      </c>
      <c r="D63" s="7">
        <v>45661</v>
      </c>
      <c r="E63" t="s">
        <v>26</v>
      </c>
      <c r="F63" t="s">
        <v>17</v>
      </c>
      <c r="G63">
        <v>4</v>
      </c>
      <c r="H63" t="s">
        <v>18</v>
      </c>
      <c r="I63" t="s">
        <v>32</v>
      </c>
      <c r="J63">
        <f>orders[[#This Row],[Ship Date]]-orders[[#This Row],[Order Date]]</f>
        <v>1</v>
      </c>
      <c r="K63">
        <f>WEEKNUM(orders[[#This Row],[Order Date]])</f>
        <v>1</v>
      </c>
      <c r="L63" t="str" cm="1">
        <f t="array" ref="L63">_xlfn.IFS(orders[[#This Row],[Customer Gender]]="M","Male", orders[[#This Row],[Customer Gender]]="F","Female", orders[[#This Row],[Customer Gender]]="O","Other", TRUE,"Unknown")</f>
        <v>Female</v>
      </c>
      <c r="M63">
        <v>2</v>
      </c>
      <c r="N63">
        <v>11.5</v>
      </c>
      <c r="O63">
        <v>23</v>
      </c>
    </row>
    <row r="64" spans="1:15" x14ac:dyDescent="0.3">
      <c r="A64" t="s">
        <v>124</v>
      </c>
      <c r="B64" t="s">
        <v>122</v>
      </c>
      <c r="C64" s="7">
        <v>45660</v>
      </c>
      <c r="D64" s="7">
        <v>45665</v>
      </c>
      <c r="E64" t="s">
        <v>26</v>
      </c>
      <c r="F64" t="s">
        <v>17</v>
      </c>
      <c r="G64">
        <v>4</v>
      </c>
      <c r="H64" t="s">
        <v>18</v>
      </c>
      <c r="I64" t="s">
        <v>32</v>
      </c>
      <c r="J64">
        <f>orders[[#This Row],[Ship Date]]-orders[[#This Row],[Order Date]]</f>
        <v>5</v>
      </c>
      <c r="K64">
        <f>WEEKNUM(orders[[#This Row],[Order Date]])</f>
        <v>1</v>
      </c>
      <c r="L64" t="str" cm="1">
        <f t="array" ref="L64">_xlfn.IFS(orders[[#This Row],[Customer Gender]]="M","Male", orders[[#This Row],[Customer Gender]]="F","Female", orders[[#This Row],[Customer Gender]]="O","Other", TRUE,"Unknown")</f>
        <v>Female</v>
      </c>
      <c r="M64">
        <v>19</v>
      </c>
      <c r="N64">
        <v>69.2</v>
      </c>
      <c r="O64" s="5">
        <v>1314.8</v>
      </c>
    </row>
    <row r="65" spans="1:15" x14ac:dyDescent="0.3">
      <c r="A65" t="s">
        <v>125</v>
      </c>
      <c r="B65" t="s">
        <v>16</v>
      </c>
      <c r="C65" s="7">
        <v>45660</v>
      </c>
      <c r="D65" s="7">
        <v>45661</v>
      </c>
      <c r="E65" t="s">
        <v>22</v>
      </c>
      <c r="F65" t="s">
        <v>39</v>
      </c>
      <c r="G65">
        <v>2</v>
      </c>
      <c r="H65" t="s">
        <v>18</v>
      </c>
      <c r="I65" t="s">
        <v>32</v>
      </c>
      <c r="J65">
        <f>orders[[#This Row],[Ship Date]]-orders[[#This Row],[Order Date]]</f>
        <v>1</v>
      </c>
      <c r="K65">
        <f>WEEKNUM(orders[[#This Row],[Order Date]])</f>
        <v>1</v>
      </c>
      <c r="L65" t="str" cm="1">
        <f t="array" ref="L65">_xlfn.IFS(orders[[#This Row],[Customer Gender]]="M","Male", orders[[#This Row],[Customer Gender]]="F","Female", orders[[#This Row],[Customer Gender]]="O","Other", TRUE,"Unknown")</f>
        <v>Male</v>
      </c>
      <c r="M65">
        <v>1</v>
      </c>
      <c r="N65">
        <v>26.8</v>
      </c>
      <c r="O65">
        <v>26.8</v>
      </c>
    </row>
    <row r="66" spans="1:15" x14ac:dyDescent="0.3">
      <c r="A66" t="s">
        <v>126</v>
      </c>
      <c r="B66" t="s">
        <v>127</v>
      </c>
      <c r="C66" s="7">
        <v>45660</v>
      </c>
      <c r="D66" s="7">
        <v>45663</v>
      </c>
      <c r="E66" t="s">
        <v>26</v>
      </c>
      <c r="F66" t="s">
        <v>17</v>
      </c>
      <c r="G66">
        <v>4</v>
      </c>
      <c r="H66" t="s">
        <v>18</v>
      </c>
      <c r="I66" t="s">
        <v>32</v>
      </c>
      <c r="J66">
        <f>orders[[#This Row],[Ship Date]]-orders[[#This Row],[Order Date]]</f>
        <v>3</v>
      </c>
      <c r="K66">
        <f>WEEKNUM(orders[[#This Row],[Order Date]])</f>
        <v>1</v>
      </c>
      <c r="L66" t="str" cm="1">
        <f t="array" ref="L66">_xlfn.IFS(orders[[#This Row],[Customer Gender]]="M","Male", orders[[#This Row],[Customer Gender]]="F","Female", orders[[#This Row],[Customer Gender]]="O","Other", TRUE,"Unknown")</f>
        <v>Female</v>
      </c>
      <c r="M66">
        <v>3</v>
      </c>
      <c r="N66">
        <v>31.2</v>
      </c>
      <c r="O66" s="5">
        <v>93.6</v>
      </c>
    </row>
    <row r="67" spans="1:15" x14ac:dyDescent="0.3">
      <c r="A67" t="s">
        <v>128</v>
      </c>
      <c r="B67" t="s">
        <v>68</v>
      </c>
      <c r="C67" s="7">
        <v>45660</v>
      </c>
      <c r="D67" s="7">
        <v>45661</v>
      </c>
      <c r="E67" t="s">
        <v>26</v>
      </c>
      <c r="F67" t="s">
        <v>69</v>
      </c>
      <c r="G67">
        <v>4</v>
      </c>
      <c r="H67" t="s">
        <v>18</v>
      </c>
      <c r="I67" t="s">
        <v>32</v>
      </c>
      <c r="J67">
        <f>orders[[#This Row],[Ship Date]]-orders[[#This Row],[Order Date]]</f>
        <v>1</v>
      </c>
      <c r="K67">
        <f>WEEKNUM(orders[[#This Row],[Order Date]])</f>
        <v>1</v>
      </c>
      <c r="L67" t="str" cm="1">
        <f t="array" ref="L67">_xlfn.IFS(orders[[#This Row],[Customer Gender]]="M","Male", orders[[#This Row],[Customer Gender]]="F","Female", orders[[#This Row],[Customer Gender]]="O","Other", TRUE,"Unknown")</f>
        <v>Female</v>
      </c>
      <c r="M67">
        <v>2</v>
      </c>
      <c r="N67">
        <v>113.2</v>
      </c>
      <c r="O67">
        <v>226.4</v>
      </c>
    </row>
    <row r="68" spans="1:15" x14ac:dyDescent="0.3">
      <c r="A68" t="s">
        <v>129</v>
      </c>
      <c r="B68" t="s">
        <v>53</v>
      </c>
      <c r="C68" s="7">
        <v>45660</v>
      </c>
      <c r="D68" s="7">
        <v>45661</v>
      </c>
      <c r="E68" t="s">
        <v>22</v>
      </c>
      <c r="F68" t="s">
        <v>17</v>
      </c>
      <c r="G68">
        <v>4</v>
      </c>
      <c r="H68" t="s">
        <v>18</v>
      </c>
      <c r="I68" t="s">
        <v>54</v>
      </c>
      <c r="J68">
        <f>orders[[#This Row],[Ship Date]]-orders[[#This Row],[Order Date]]</f>
        <v>1</v>
      </c>
      <c r="K68">
        <f>WEEKNUM(orders[[#This Row],[Order Date]])</f>
        <v>1</v>
      </c>
      <c r="L68" t="str" cm="1">
        <f t="array" ref="L68">_xlfn.IFS(orders[[#This Row],[Customer Gender]]="M","Male", orders[[#This Row],[Customer Gender]]="F","Female", orders[[#This Row],[Customer Gender]]="O","Other", TRUE,"Unknown")</f>
        <v>Male</v>
      </c>
      <c r="M68">
        <v>8</v>
      </c>
      <c r="N68">
        <v>21</v>
      </c>
      <c r="O68" s="5">
        <v>168</v>
      </c>
    </row>
    <row r="69" spans="1:15" x14ac:dyDescent="0.3">
      <c r="A69" t="s">
        <v>130</v>
      </c>
      <c r="B69" t="s">
        <v>21</v>
      </c>
      <c r="C69" s="7">
        <v>45660</v>
      </c>
      <c r="D69" s="7">
        <v>45661</v>
      </c>
      <c r="E69" t="s">
        <v>26</v>
      </c>
      <c r="F69" t="s">
        <v>39</v>
      </c>
      <c r="G69">
        <v>5</v>
      </c>
      <c r="H69" t="s">
        <v>18</v>
      </c>
      <c r="I69" t="s">
        <v>54</v>
      </c>
      <c r="J69">
        <f>orders[[#This Row],[Ship Date]]-orders[[#This Row],[Order Date]]</f>
        <v>1</v>
      </c>
      <c r="K69">
        <f>WEEKNUM(orders[[#This Row],[Order Date]])</f>
        <v>1</v>
      </c>
      <c r="L69" t="str" cm="1">
        <f t="array" ref="L69">_xlfn.IFS(orders[[#This Row],[Customer Gender]]="M","Male", orders[[#This Row],[Customer Gender]]="F","Female", orders[[#This Row],[Customer Gender]]="O","Other", TRUE,"Unknown")</f>
        <v>Female</v>
      </c>
      <c r="M69">
        <v>2</v>
      </c>
      <c r="N69">
        <v>89.1</v>
      </c>
      <c r="O69">
        <v>178.2</v>
      </c>
    </row>
    <row r="70" spans="1:15" x14ac:dyDescent="0.3">
      <c r="A70" t="s">
        <v>131</v>
      </c>
      <c r="B70" t="s">
        <v>21</v>
      </c>
      <c r="C70" s="7">
        <v>45660</v>
      </c>
      <c r="D70" s="7">
        <v>45662</v>
      </c>
      <c r="E70" t="s">
        <v>26</v>
      </c>
      <c r="F70" t="s">
        <v>17</v>
      </c>
      <c r="G70">
        <v>3</v>
      </c>
      <c r="H70" t="s">
        <v>18</v>
      </c>
      <c r="I70" t="s">
        <v>54</v>
      </c>
      <c r="J70">
        <f>orders[[#This Row],[Ship Date]]-orders[[#This Row],[Order Date]]</f>
        <v>2</v>
      </c>
      <c r="K70">
        <f>WEEKNUM(orders[[#This Row],[Order Date]])</f>
        <v>1</v>
      </c>
      <c r="L70" t="str" cm="1">
        <f t="array" ref="L70">_xlfn.IFS(orders[[#This Row],[Customer Gender]]="M","Male", orders[[#This Row],[Customer Gender]]="F","Female", orders[[#This Row],[Customer Gender]]="O","Other", TRUE,"Unknown")</f>
        <v>Female</v>
      </c>
      <c r="M70">
        <v>1</v>
      </c>
      <c r="N70">
        <v>97.7</v>
      </c>
      <c r="O70" s="5">
        <v>97.7</v>
      </c>
    </row>
    <row r="71" spans="1:15" x14ac:dyDescent="0.3">
      <c r="A71" t="s">
        <v>132</v>
      </c>
      <c r="B71" t="s">
        <v>122</v>
      </c>
      <c r="C71" s="7">
        <v>45660</v>
      </c>
      <c r="D71" s="7">
        <v>45662</v>
      </c>
      <c r="E71" t="s">
        <v>22</v>
      </c>
      <c r="F71" t="s">
        <v>50</v>
      </c>
      <c r="G71">
        <v>4</v>
      </c>
      <c r="H71" t="s">
        <v>18</v>
      </c>
      <c r="I71" t="s">
        <v>54</v>
      </c>
      <c r="J71">
        <f>orders[[#This Row],[Ship Date]]-orders[[#This Row],[Order Date]]</f>
        <v>2</v>
      </c>
      <c r="K71">
        <f>WEEKNUM(orders[[#This Row],[Order Date]])</f>
        <v>1</v>
      </c>
      <c r="L71" t="str" cm="1">
        <f t="array" ref="L71">_xlfn.IFS(orders[[#This Row],[Customer Gender]]="M","Male", orders[[#This Row],[Customer Gender]]="F","Female", orders[[#This Row],[Customer Gender]]="O","Other", TRUE,"Unknown")</f>
        <v>Male</v>
      </c>
      <c r="M71">
        <v>4</v>
      </c>
      <c r="N71">
        <v>97.7</v>
      </c>
      <c r="O71">
        <v>390.8</v>
      </c>
    </row>
    <row r="72" spans="1:15" x14ac:dyDescent="0.3">
      <c r="A72" t="s">
        <v>133</v>
      </c>
      <c r="B72" t="s">
        <v>134</v>
      </c>
      <c r="C72" s="7">
        <v>45660</v>
      </c>
      <c r="D72" s="7">
        <v>45663</v>
      </c>
      <c r="E72" t="s">
        <v>22</v>
      </c>
      <c r="F72" t="s">
        <v>50</v>
      </c>
      <c r="G72">
        <v>5</v>
      </c>
      <c r="H72" t="s">
        <v>18</v>
      </c>
      <c r="I72" t="s">
        <v>61</v>
      </c>
      <c r="J72">
        <f>orders[[#This Row],[Ship Date]]-orders[[#This Row],[Order Date]]</f>
        <v>3</v>
      </c>
      <c r="K72">
        <f>WEEKNUM(orders[[#This Row],[Order Date]])</f>
        <v>1</v>
      </c>
      <c r="L72" t="str" cm="1">
        <f t="array" ref="L72">_xlfn.IFS(orders[[#This Row],[Customer Gender]]="M","Male", orders[[#This Row],[Customer Gender]]="F","Female", orders[[#This Row],[Customer Gender]]="O","Other", TRUE,"Unknown")</f>
        <v>Male</v>
      </c>
      <c r="M72">
        <v>3</v>
      </c>
      <c r="N72">
        <v>47.4</v>
      </c>
      <c r="O72" s="5">
        <v>142.19999999999999</v>
      </c>
    </row>
    <row r="73" spans="1:15" x14ac:dyDescent="0.3">
      <c r="A73" t="s">
        <v>135</v>
      </c>
      <c r="B73" t="s">
        <v>41</v>
      </c>
      <c r="C73" s="7">
        <v>45660</v>
      </c>
      <c r="D73" s="7">
        <v>45663</v>
      </c>
      <c r="E73" t="s">
        <v>26</v>
      </c>
      <c r="F73" t="s">
        <v>17</v>
      </c>
      <c r="G73">
        <v>5</v>
      </c>
      <c r="H73" t="s">
        <v>18</v>
      </c>
      <c r="I73" t="s">
        <v>61</v>
      </c>
      <c r="J73">
        <f>orders[[#This Row],[Ship Date]]-orders[[#This Row],[Order Date]]</f>
        <v>3</v>
      </c>
      <c r="K73">
        <f>WEEKNUM(orders[[#This Row],[Order Date]])</f>
        <v>1</v>
      </c>
      <c r="L73" t="str" cm="1">
        <f t="array" ref="L73">_xlfn.IFS(orders[[#This Row],[Customer Gender]]="M","Male", orders[[#This Row],[Customer Gender]]="F","Female", orders[[#This Row],[Customer Gender]]="O","Other", TRUE,"Unknown")</f>
        <v>Female</v>
      </c>
      <c r="M73">
        <v>1</v>
      </c>
      <c r="N73">
        <v>89.6</v>
      </c>
      <c r="O73">
        <v>89.6</v>
      </c>
    </row>
    <row r="74" spans="1:15" x14ac:dyDescent="0.3">
      <c r="A74" t="s">
        <v>136</v>
      </c>
      <c r="B74" t="s">
        <v>53</v>
      </c>
      <c r="C74" s="7">
        <v>45660</v>
      </c>
      <c r="D74" s="7">
        <v>45663</v>
      </c>
      <c r="E74" t="s">
        <v>26</v>
      </c>
      <c r="F74" t="s">
        <v>50</v>
      </c>
      <c r="G74">
        <v>5</v>
      </c>
      <c r="H74" t="s">
        <v>18</v>
      </c>
      <c r="I74" t="s">
        <v>102</v>
      </c>
      <c r="J74">
        <f>orders[[#This Row],[Ship Date]]-orders[[#This Row],[Order Date]]</f>
        <v>3</v>
      </c>
      <c r="K74">
        <f>WEEKNUM(orders[[#This Row],[Order Date]])</f>
        <v>1</v>
      </c>
      <c r="L74" t="str" cm="1">
        <f t="array" ref="L74">_xlfn.IFS(orders[[#This Row],[Customer Gender]]="M","Male", orders[[#This Row],[Customer Gender]]="F","Female", orders[[#This Row],[Customer Gender]]="O","Other", TRUE,"Unknown")</f>
        <v>Female</v>
      </c>
      <c r="M74">
        <v>18</v>
      </c>
      <c r="N74">
        <v>28.4</v>
      </c>
      <c r="O74" s="5">
        <v>511.2</v>
      </c>
    </row>
    <row r="75" spans="1:15" x14ac:dyDescent="0.3">
      <c r="A75" t="s">
        <v>137</v>
      </c>
      <c r="B75" t="s">
        <v>16</v>
      </c>
      <c r="C75" s="7">
        <v>45660</v>
      </c>
      <c r="D75" s="7">
        <v>45661</v>
      </c>
      <c r="E75" t="s">
        <v>26</v>
      </c>
      <c r="F75" t="s">
        <v>17</v>
      </c>
      <c r="G75">
        <v>5</v>
      </c>
      <c r="H75" t="s">
        <v>18</v>
      </c>
      <c r="I75" t="s">
        <v>71</v>
      </c>
      <c r="J75">
        <f>orders[[#This Row],[Ship Date]]-orders[[#This Row],[Order Date]]</f>
        <v>1</v>
      </c>
      <c r="K75">
        <f>WEEKNUM(orders[[#This Row],[Order Date]])</f>
        <v>1</v>
      </c>
      <c r="L75" t="str" cm="1">
        <f t="array" ref="L75">_xlfn.IFS(orders[[#This Row],[Customer Gender]]="M","Male", orders[[#This Row],[Customer Gender]]="F","Female", orders[[#This Row],[Customer Gender]]="O","Other", TRUE,"Unknown")</f>
        <v>Female</v>
      </c>
      <c r="M75">
        <v>2</v>
      </c>
      <c r="N75">
        <v>17.899999999999999</v>
      </c>
      <c r="O75">
        <v>35.799999999999997</v>
      </c>
    </row>
    <row r="76" spans="1:15" x14ac:dyDescent="0.3">
      <c r="A76" t="s">
        <v>138</v>
      </c>
      <c r="B76" t="s">
        <v>45</v>
      </c>
      <c r="C76" s="7">
        <v>45660</v>
      </c>
      <c r="D76" s="7">
        <v>45663</v>
      </c>
      <c r="E76" t="s">
        <v>22</v>
      </c>
      <c r="F76" t="s">
        <v>34</v>
      </c>
      <c r="G76">
        <v>4</v>
      </c>
      <c r="H76" t="s">
        <v>18</v>
      </c>
      <c r="I76" t="s">
        <v>71</v>
      </c>
      <c r="J76">
        <f>orders[[#This Row],[Ship Date]]-orders[[#This Row],[Order Date]]</f>
        <v>3</v>
      </c>
      <c r="K76">
        <f>WEEKNUM(orders[[#This Row],[Order Date]])</f>
        <v>1</v>
      </c>
      <c r="L76" t="str" cm="1">
        <f t="array" ref="L76">_xlfn.IFS(orders[[#This Row],[Customer Gender]]="M","Male", orders[[#This Row],[Customer Gender]]="F","Female", orders[[#This Row],[Customer Gender]]="O","Other", TRUE,"Unknown")</f>
        <v>Male</v>
      </c>
      <c r="M76">
        <v>2</v>
      </c>
      <c r="N76">
        <v>48.4</v>
      </c>
      <c r="O76" s="5">
        <v>96.8</v>
      </c>
    </row>
    <row r="77" spans="1:15" x14ac:dyDescent="0.3">
      <c r="A77" t="s">
        <v>139</v>
      </c>
      <c r="B77" t="s">
        <v>68</v>
      </c>
      <c r="C77" s="7">
        <v>45660</v>
      </c>
      <c r="D77" s="7">
        <v>45661</v>
      </c>
      <c r="E77" t="s">
        <v>88</v>
      </c>
      <c r="F77" t="s">
        <v>34</v>
      </c>
      <c r="G77">
        <v>3</v>
      </c>
      <c r="H77" t="s">
        <v>18</v>
      </c>
      <c r="I77" t="s">
        <v>76</v>
      </c>
      <c r="J77">
        <f>orders[[#This Row],[Ship Date]]-orders[[#This Row],[Order Date]]</f>
        <v>1</v>
      </c>
      <c r="K77">
        <f>WEEKNUM(orders[[#This Row],[Order Date]])</f>
        <v>1</v>
      </c>
      <c r="L77" t="str" cm="1">
        <f t="array" ref="L77">_xlfn.IFS(orders[[#This Row],[Customer Gender]]="M","Male", orders[[#This Row],[Customer Gender]]="F","Female", orders[[#This Row],[Customer Gender]]="O","Other", TRUE,"Unknown")</f>
        <v>Other</v>
      </c>
      <c r="M77">
        <v>4</v>
      </c>
      <c r="N77">
        <v>44.4</v>
      </c>
      <c r="O77">
        <v>177.6</v>
      </c>
    </row>
    <row r="78" spans="1:15" x14ac:dyDescent="0.3">
      <c r="A78" t="s">
        <v>140</v>
      </c>
      <c r="B78" t="s">
        <v>25</v>
      </c>
      <c r="C78" s="7">
        <v>45660</v>
      </c>
      <c r="D78" s="7">
        <v>45661</v>
      </c>
      <c r="E78" t="s">
        <v>26</v>
      </c>
      <c r="F78" t="s">
        <v>17</v>
      </c>
      <c r="G78">
        <v>3</v>
      </c>
      <c r="H78" t="s">
        <v>18</v>
      </c>
      <c r="I78" t="s">
        <v>109</v>
      </c>
      <c r="J78">
        <f>orders[[#This Row],[Ship Date]]-orders[[#This Row],[Order Date]]</f>
        <v>1</v>
      </c>
      <c r="K78">
        <f>WEEKNUM(orders[[#This Row],[Order Date]])</f>
        <v>1</v>
      </c>
      <c r="L78" t="str" cm="1">
        <f t="array" ref="L78">_xlfn.IFS(orders[[#This Row],[Customer Gender]]="M","Male", orders[[#This Row],[Customer Gender]]="F","Female", orders[[#This Row],[Customer Gender]]="O","Other", TRUE,"Unknown")</f>
        <v>Female</v>
      </c>
      <c r="M78">
        <v>8</v>
      </c>
      <c r="N78">
        <v>103.7</v>
      </c>
      <c r="O78" s="5">
        <v>829.6</v>
      </c>
    </row>
    <row r="79" spans="1:15" x14ac:dyDescent="0.3">
      <c r="A79" t="s">
        <v>141</v>
      </c>
      <c r="B79" t="s">
        <v>36</v>
      </c>
      <c r="C79" s="7">
        <v>45660</v>
      </c>
      <c r="D79" s="7">
        <v>45662</v>
      </c>
      <c r="E79" t="s">
        <v>22</v>
      </c>
      <c r="F79" t="s">
        <v>50</v>
      </c>
      <c r="G79">
        <v>4</v>
      </c>
      <c r="H79" t="s">
        <v>18</v>
      </c>
      <c r="I79" t="s">
        <v>109</v>
      </c>
      <c r="J79">
        <f>orders[[#This Row],[Ship Date]]-orders[[#This Row],[Order Date]]</f>
        <v>2</v>
      </c>
      <c r="K79">
        <f>WEEKNUM(orders[[#This Row],[Order Date]])</f>
        <v>1</v>
      </c>
      <c r="L79" t="str" cm="1">
        <f t="array" ref="L79">_xlfn.IFS(orders[[#This Row],[Customer Gender]]="M","Male", orders[[#This Row],[Customer Gender]]="F","Female", orders[[#This Row],[Customer Gender]]="O","Other", TRUE,"Unknown")</f>
        <v>Male</v>
      </c>
      <c r="M79">
        <v>4</v>
      </c>
      <c r="N79">
        <v>58.6</v>
      </c>
      <c r="O79">
        <v>234.4</v>
      </c>
    </row>
    <row r="80" spans="1:15" x14ac:dyDescent="0.3">
      <c r="A80" t="s">
        <v>142</v>
      </c>
      <c r="B80" t="s">
        <v>45</v>
      </c>
      <c r="C80" s="7">
        <v>45660</v>
      </c>
      <c r="D80" s="7">
        <v>45664</v>
      </c>
      <c r="E80" t="s">
        <v>26</v>
      </c>
      <c r="F80" t="s">
        <v>39</v>
      </c>
      <c r="G80">
        <v>3</v>
      </c>
      <c r="H80" t="s">
        <v>18</v>
      </c>
      <c r="I80" t="s">
        <v>81</v>
      </c>
      <c r="J80">
        <f>orders[[#This Row],[Ship Date]]-orders[[#This Row],[Order Date]]</f>
        <v>4</v>
      </c>
      <c r="K80">
        <f>WEEKNUM(orders[[#This Row],[Order Date]])</f>
        <v>1</v>
      </c>
      <c r="L80" t="str" cm="1">
        <f t="array" ref="L80">_xlfn.IFS(orders[[#This Row],[Customer Gender]]="M","Male", orders[[#This Row],[Customer Gender]]="F","Female", orders[[#This Row],[Customer Gender]]="O","Other", TRUE,"Unknown")</f>
        <v>Female</v>
      </c>
      <c r="M80">
        <v>4</v>
      </c>
      <c r="N80">
        <v>54.8</v>
      </c>
      <c r="O80" s="5">
        <v>219.2</v>
      </c>
    </row>
    <row r="81" spans="1:15" x14ac:dyDescent="0.3">
      <c r="A81" t="s">
        <v>143</v>
      </c>
      <c r="B81" t="s">
        <v>68</v>
      </c>
      <c r="C81" s="7">
        <v>45660</v>
      </c>
      <c r="D81" s="7">
        <v>45666</v>
      </c>
      <c r="E81" t="s">
        <v>26</v>
      </c>
      <c r="F81" t="s">
        <v>69</v>
      </c>
      <c r="G81">
        <v>3</v>
      </c>
      <c r="H81" t="s">
        <v>18</v>
      </c>
      <c r="I81" t="s">
        <v>114</v>
      </c>
      <c r="J81">
        <f>orders[[#This Row],[Ship Date]]-orders[[#This Row],[Order Date]]</f>
        <v>6</v>
      </c>
      <c r="K81">
        <f>WEEKNUM(orders[[#This Row],[Order Date]])</f>
        <v>1</v>
      </c>
      <c r="L81" t="str" cm="1">
        <f t="array" ref="L81">_xlfn.IFS(orders[[#This Row],[Customer Gender]]="M","Male", orders[[#This Row],[Customer Gender]]="F","Female", orders[[#This Row],[Customer Gender]]="O","Other", TRUE,"Unknown")</f>
        <v>Female</v>
      </c>
      <c r="M81">
        <v>3</v>
      </c>
      <c r="N81">
        <v>78.8</v>
      </c>
      <c r="O81">
        <v>236.39999999999998</v>
      </c>
    </row>
    <row r="82" spans="1:15" x14ac:dyDescent="0.3">
      <c r="A82" t="s">
        <v>144</v>
      </c>
      <c r="B82" t="s">
        <v>145</v>
      </c>
      <c r="C82" s="7">
        <v>45660</v>
      </c>
      <c r="D82" s="7">
        <v>45663</v>
      </c>
      <c r="E82" t="s">
        <v>22</v>
      </c>
      <c r="F82" t="s">
        <v>69</v>
      </c>
      <c r="G82">
        <v>3</v>
      </c>
      <c r="H82" t="s">
        <v>18</v>
      </c>
      <c r="I82" t="s">
        <v>146</v>
      </c>
      <c r="J82">
        <f>orders[[#This Row],[Ship Date]]-orders[[#This Row],[Order Date]]</f>
        <v>3</v>
      </c>
      <c r="K82">
        <f>WEEKNUM(orders[[#This Row],[Order Date]])</f>
        <v>1</v>
      </c>
      <c r="L82" t="str" cm="1">
        <f t="array" ref="L82">_xlfn.IFS(orders[[#This Row],[Customer Gender]]="M","Male", orders[[#This Row],[Customer Gender]]="F","Female", orders[[#This Row],[Customer Gender]]="O","Other", TRUE,"Unknown")</f>
        <v>Male</v>
      </c>
      <c r="M82">
        <v>5</v>
      </c>
      <c r="N82">
        <v>36.799999999999997</v>
      </c>
      <c r="O82" s="5">
        <v>184</v>
      </c>
    </row>
    <row r="83" spans="1:15" x14ac:dyDescent="0.3">
      <c r="A83" t="s">
        <v>147</v>
      </c>
      <c r="B83" t="s">
        <v>38</v>
      </c>
      <c r="C83" s="7">
        <v>45660</v>
      </c>
      <c r="D83" s="7">
        <v>45662</v>
      </c>
      <c r="E83" t="s">
        <v>26</v>
      </c>
      <c r="F83" t="s">
        <v>50</v>
      </c>
      <c r="G83">
        <v>4</v>
      </c>
      <c r="H83" t="s">
        <v>18</v>
      </c>
      <c r="I83" t="s">
        <v>32</v>
      </c>
      <c r="J83">
        <f>orders[[#This Row],[Ship Date]]-orders[[#This Row],[Order Date]]</f>
        <v>2</v>
      </c>
      <c r="K83">
        <f>WEEKNUM(orders[[#This Row],[Order Date]])</f>
        <v>1</v>
      </c>
      <c r="L83" t="str" cm="1">
        <f t="array" ref="L83">_xlfn.IFS(orders[[#This Row],[Customer Gender]]="M","Male", orders[[#This Row],[Customer Gender]]="F","Female", orders[[#This Row],[Customer Gender]]="O","Other", TRUE,"Unknown")</f>
        <v>Female</v>
      </c>
      <c r="M83">
        <v>6</v>
      </c>
      <c r="N83">
        <v>50.6</v>
      </c>
      <c r="O83">
        <v>303.60000000000002</v>
      </c>
    </row>
    <row r="84" spans="1:15" x14ac:dyDescent="0.3">
      <c r="A84" t="s">
        <v>148</v>
      </c>
      <c r="B84" t="s">
        <v>122</v>
      </c>
      <c r="C84" s="7">
        <v>45660</v>
      </c>
      <c r="D84" s="7">
        <v>45660</v>
      </c>
      <c r="E84" t="s">
        <v>22</v>
      </c>
      <c r="F84" t="s">
        <v>39</v>
      </c>
      <c r="G84">
        <v>3</v>
      </c>
      <c r="H84" t="s">
        <v>18</v>
      </c>
      <c r="I84" t="s">
        <v>32</v>
      </c>
      <c r="J84">
        <f>orders[[#This Row],[Ship Date]]-orders[[#This Row],[Order Date]]</f>
        <v>0</v>
      </c>
      <c r="K84">
        <f>WEEKNUM(orders[[#This Row],[Order Date]])</f>
        <v>1</v>
      </c>
      <c r="L84" t="str" cm="1">
        <f t="array" ref="L84">_xlfn.IFS(orders[[#This Row],[Customer Gender]]="M","Male", orders[[#This Row],[Customer Gender]]="F","Female", orders[[#This Row],[Customer Gender]]="O","Other", TRUE,"Unknown")</f>
        <v>Male</v>
      </c>
      <c r="M84">
        <v>3</v>
      </c>
      <c r="N84">
        <v>36.799999999999997</v>
      </c>
      <c r="O84" s="5">
        <v>110.39999999999999</v>
      </c>
    </row>
    <row r="85" spans="1:15" x14ac:dyDescent="0.3">
      <c r="A85" t="s">
        <v>149</v>
      </c>
      <c r="B85" t="s">
        <v>43</v>
      </c>
      <c r="C85" s="7">
        <v>45661</v>
      </c>
      <c r="D85" s="7">
        <v>45667</v>
      </c>
      <c r="E85" t="s">
        <v>26</v>
      </c>
      <c r="F85" t="s">
        <v>50</v>
      </c>
      <c r="G85">
        <v>4</v>
      </c>
      <c r="H85" t="s">
        <v>18</v>
      </c>
      <c r="I85" t="s">
        <v>32</v>
      </c>
      <c r="J85">
        <f>orders[[#This Row],[Ship Date]]-orders[[#This Row],[Order Date]]</f>
        <v>6</v>
      </c>
      <c r="K85">
        <f>WEEKNUM(orders[[#This Row],[Order Date]])</f>
        <v>1</v>
      </c>
      <c r="L85" t="str" cm="1">
        <f t="array" ref="L85">_xlfn.IFS(orders[[#This Row],[Customer Gender]]="M","Male", orders[[#This Row],[Customer Gender]]="F","Female", orders[[#This Row],[Customer Gender]]="O","Other", TRUE,"Unknown")</f>
        <v>Female</v>
      </c>
      <c r="M85">
        <v>9</v>
      </c>
      <c r="N85">
        <v>41.8</v>
      </c>
      <c r="O85">
        <v>376.2</v>
      </c>
    </row>
    <row r="86" spans="1:15" x14ac:dyDescent="0.3">
      <c r="A86" t="s">
        <v>150</v>
      </c>
      <c r="B86" t="s">
        <v>145</v>
      </c>
      <c r="C86" s="7">
        <v>45661</v>
      </c>
      <c r="D86" s="7">
        <v>45662</v>
      </c>
      <c r="E86" t="s">
        <v>22</v>
      </c>
      <c r="F86" t="s">
        <v>69</v>
      </c>
      <c r="G86">
        <v>2</v>
      </c>
      <c r="H86" t="s">
        <v>18</v>
      </c>
      <c r="I86" t="s">
        <v>32</v>
      </c>
      <c r="J86">
        <f>orders[[#This Row],[Ship Date]]-orders[[#This Row],[Order Date]]</f>
        <v>1</v>
      </c>
      <c r="K86">
        <f>WEEKNUM(orders[[#This Row],[Order Date]])</f>
        <v>1</v>
      </c>
      <c r="L86" t="str" cm="1">
        <f t="array" ref="L86">_xlfn.IFS(orders[[#This Row],[Customer Gender]]="M","Male", orders[[#This Row],[Customer Gender]]="F","Female", orders[[#This Row],[Customer Gender]]="O","Other", TRUE,"Unknown")</f>
        <v>Male</v>
      </c>
      <c r="M86">
        <v>1</v>
      </c>
      <c r="N86">
        <v>77.3</v>
      </c>
      <c r="O86" s="5">
        <v>77.3</v>
      </c>
    </row>
    <row r="87" spans="1:15" x14ac:dyDescent="0.3">
      <c r="A87" t="s">
        <v>151</v>
      </c>
      <c r="B87" t="s">
        <v>43</v>
      </c>
      <c r="C87" s="7">
        <v>45661</v>
      </c>
      <c r="D87" s="7">
        <v>45667</v>
      </c>
      <c r="E87" t="s">
        <v>22</v>
      </c>
      <c r="F87" t="s">
        <v>34</v>
      </c>
      <c r="G87">
        <v>5</v>
      </c>
      <c r="H87" t="s">
        <v>18</v>
      </c>
      <c r="I87" t="s">
        <v>32</v>
      </c>
      <c r="J87">
        <f>orders[[#This Row],[Ship Date]]-orders[[#This Row],[Order Date]]</f>
        <v>6</v>
      </c>
      <c r="K87">
        <f>WEEKNUM(orders[[#This Row],[Order Date]])</f>
        <v>1</v>
      </c>
      <c r="L87" t="str" cm="1">
        <f t="array" ref="L87">_xlfn.IFS(orders[[#This Row],[Customer Gender]]="M","Male", orders[[#This Row],[Customer Gender]]="F","Female", orders[[#This Row],[Customer Gender]]="O","Other", TRUE,"Unknown")</f>
        <v>Male</v>
      </c>
      <c r="M87">
        <v>4</v>
      </c>
      <c r="N87">
        <v>19.8</v>
      </c>
      <c r="O87">
        <v>79.2</v>
      </c>
    </row>
    <row r="88" spans="1:15" x14ac:dyDescent="0.3">
      <c r="A88" t="s">
        <v>152</v>
      </c>
      <c r="B88" t="s">
        <v>75</v>
      </c>
      <c r="C88" s="7">
        <v>45661</v>
      </c>
      <c r="D88" s="7">
        <v>45662</v>
      </c>
      <c r="E88" t="s">
        <v>26</v>
      </c>
      <c r="F88" t="s">
        <v>34</v>
      </c>
      <c r="G88">
        <v>5</v>
      </c>
      <c r="H88" t="s">
        <v>18</v>
      </c>
      <c r="I88" t="s">
        <v>32</v>
      </c>
      <c r="J88">
        <f>orders[[#This Row],[Ship Date]]-orders[[#This Row],[Order Date]]</f>
        <v>1</v>
      </c>
      <c r="K88">
        <f>WEEKNUM(orders[[#This Row],[Order Date]])</f>
        <v>1</v>
      </c>
      <c r="L88" t="str" cm="1">
        <f t="array" ref="L88">_xlfn.IFS(orders[[#This Row],[Customer Gender]]="M","Male", orders[[#This Row],[Customer Gender]]="F","Female", orders[[#This Row],[Customer Gender]]="O","Other", TRUE,"Unknown")</f>
        <v>Female</v>
      </c>
      <c r="M88">
        <v>4</v>
      </c>
      <c r="N88">
        <v>15.5</v>
      </c>
      <c r="O88" s="5">
        <v>62</v>
      </c>
    </row>
    <row r="89" spans="1:15" x14ac:dyDescent="0.3">
      <c r="A89" t="s">
        <v>153</v>
      </c>
      <c r="B89" t="s">
        <v>68</v>
      </c>
      <c r="C89" s="7">
        <v>45661</v>
      </c>
      <c r="D89" s="7">
        <v>45665</v>
      </c>
      <c r="E89" t="s">
        <v>22</v>
      </c>
      <c r="F89" t="s">
        <v>17</v>
      </c>
      <c r="G89">
        <v>5</v>
      </c>
      <c r="H89" t="s">
        <v>18</v>
      </c>
      <c r="I89" t="s">
        <v>32</v>
      </c>
      <c r="J89">
        <f>orders[[#This Row],[Ship Date]]-orders[[#This Row],[Order Date]]</f>
        <v>4</v>
      </c>
      <c r="K89">
        <f>WEEKNUM(orders[[#This Row],[Order Date]])</f>
        <v>1</v>
      </c>
      <c r="L89" t="str" cm="1">
        <f t="array" ref="L89">_xlfn.IFS(orders[[#This Row],[Customer Gender]]="M","Male", orders[[#This Row],[Customer Gender]]="F","Female", orders[[#This Row],[Customer Gender]]="O","Other", TRUE,"Unknown")</f>
        <v>Male</v>
      </c>
      <c r="M89">
        <v>1</v>
      </c>
      <c r="N89">
        <v>46.8</v>
      </c>
      <c r="O89">
        <v>46.8</v>
      </c>
    </row>
    <row r="90" spans="1:15" x14ac:dyDescent="0.3">
      <c r="A90" t="s">
        <v>154</v>
      </c>
      <c r="B90" t="s">
        <v>45</v>
      </c>
      <c r="C90" s="7">
        <v>45661</v>
      </c>
      <c r="D90" s="7">
        <v>45665</v>
      </c>
      <c r="E90" t="s">
        <v>22</v>
      </c>
      <c r="F90" t="s">
        <v>17</v>
      </c>
      <c r="G90">
        <v>5</v>
      </c>
      <c r="H90" t="s">
        <v>18</v>
      </c>
      <c r="I90" t="s">
        <v>32</v>
      </c>
      <c r="J90">
        <f>orders[[#This Row],[Ship Date]]-orders[[#This Row],[Order Date]]</f>
        <v>4</v>
      </c>
      <c r="K90">
        <f>WEEKNUM(orders[[#This Row],[Order Date]])</f>
        <v>1</v>
      </c>
      <c r="L90" t="str" cm="1">
        <f t="array" ref="L90">_xlfn.IFS(orders[[#This Row],[Customer Gender]]="M","Male", orders[[#This Row],[Customer Gender]]="F","Female", orders[[#This Row],[Customer Gender]]="O","Other", TRUE,"Unknown")</f>
        <v>Male</v>
      </c>
      <c r="M90">
        <v>9</v>
      </c>
      <c r="N90">
        <v>28.6</v>
      </c>
      <c r="O90" s="5">
        <v>257.40000000000003</v>
      </c>
    </row>
    <row r="91" spans="1:15" x14ac:dyDescent="0.3">
      <c r="A91" t="s">
        <v>155</v>
      </c>
      <c r="B91" t="s">
        <v>25</v>
      </c>
      <c r="C91" s="7">
        <v>45661</v>
      </c>
      <c r="D91" s="7">
        <v>45664</v>
      </c>
      <c r="E91" t="s">
        <v>26</v>
      </c>
      <c r="F91" t="s">
        <v>34</v>
      </c>
      <c r="G91">
        <v>4</v>
      </c>
      <c r="H91" t="s">
        <v>18</v>
      </c>
      <c r="I91" t="s">
        <v>32</v>
      </c>
      <c r="J91">
        <f>orders[[#This Row],[Ship Date]]-orders[[#This Row],[Order Date]]</f>
        <v>3</v>
      </c>
      <c r="K91">
        <f>WEEKNUM(orders[[#This Row],[Order Date]])</f>
        <v>1</v>
      </c>
      <c r="L91" t="str" cm="1">
        <f t="array" ref="L91">_xlfn.IFS(orders[[#This Row],[Customer Gender]]="M","Male", orders[[#This Row],[Customer Gender]]="F","Female", orders[[#This Row],[Customer Gender]]="O","Other", TRUE,"Unknown")</f>
        <v>Female</v>
      </c>
      <c r="M91">
        <v>1</v>
      </c>
      <c r="N91">
        <v>97.7</v>
      </c>
      <c r="O91">
        <v>97.7</v>
      </c>
    </row>
    <row r="92" spans="1:15" x14ac:dyDescent="0.3">
      <c r="A92" t="s">
        <v>156</v>
      </c>
      <c r="B92" t="s">
        <v>45</v>
      </c>
      <c r="C92" s="7">
        <v>45661</v>
      </c>
      <c r="D92" s="7">
        <v>45664</v>
      </c>
      <c r="E92" t="s">
        <v>2517</v>
      </c>
      <c r="F92" t="s">
        <v>17</v>
      </c>
      <c r="G92">
        <v>5</v>
      </c>
      <c r="H92" t="s">
        <v>18</v>
      </c>
      <c r="I92" t="s">
        <v>157</v>
      </c>
      <c r="J92">
        <f>orders[[#This Row],[Ship Date]]-orders[[#This Row],[Order Date]]</f>
        <v>3</v>
      </c>
      <c r="K92">
        <f>WEEKNUM(orders[[#This Row],[Order Date]])</f>
        <v>1</v>
      </c>
      <c r="L92" t="str" cm="1">
        <f t="array" ref="L92">_xlfn.IFS(orders[[#This Row],[Customer Gender]]="M","Male", orders[[#This Row],[Customer Gender]]="F","Female", orders[[#This Row],[Customer Gender]]="O","Other", TRUE,"Unknown")</f>
        <v>Unknown</v>
      </c>
      <c r="M92">
        <v>5</v>
      </c>
      <c r="N92">
        <v>54.7</v>
      </c>
      <c r="O92" s="5">
        <v>273.5</v>
      </c>
    </row>
    <row r="93" spans="1:15" x14ac:dyDescent="0.3">
      <c r="A93" t="s">
        <v>158</v>
      </c>
      <c r="B93" t="s">
        <v>25</v>
      </c>
      <c r="C93" s="7">
        <v>45661</v>
      </c>
      <c r="D93" s="7">
        <v>45663</v>
      </c>
      <c r="E93" t="s">
        <v>26</v>
      </c>
      <c r="F93" t="s">
        <v>17</v>
      </c>
      <c r="G93">
        <v>3</v>
      </c>
      <c r="H93" t="s">
        <v>18</v>
      </c>
      <c r="I93" t="s">
        <v>157</v>
      </c>
      <c r="J93">
        <f>orders[[#This Row],[Ship Date]]-orders[[#This Row],[Order Date]]</f>
        <v>2</v>
      </c>
      <c r="K93">
        <f>WEEKNUM(orders[[#This Row],[Order Date]])</f>
        <v>1</v>
      </c>
      <c r="L93" t="str" cm="1">
        <f t="array" ref="L93">_xlfn.IFS(orders[[#This Row],[Customer Gender]]="M","Male", orders[[#This Row],[Customer Gender]]="F","Female", orders[[#This Row],[Customer Gender]]="O","Other", TRUE,"Unknown")</f>
        <v>Female</v>
      </c>
      <c r="M93">
        <v>6</v>
      </c>
      <c r="N93">
        <v>130.5</v>
      </c>
      <c r="O93">
        <v>783</v>
      </c>
    </row>
    <row r="94" spans="1:15" x14ac:dyDescent="0.3">
      <c r="A94" t="s">
        <v>159</v>
      </c>
      <c r="B94" t="s">
        <v>66</v>
      </c>
      <c r="C94" s="7">
        <v>45661</v>
      </c>
      <c r="D94" s="7">
        <v>45663</v>
      </c>
      <c r="E94" t="s">
        <v>22</v>
      </c>
      <c r="F94" t="s">
        <v>39</v>
      </c>
      <c r="G94">
        <v>5</v>
      </c>
      <c r="H94" t="s">
        <v>18</v>
      </c>
      <c r="I94" t="s">
        <v>54</v>
      </c>
      <c r="J94">
        <f>orders[[#This Row],[Ship Date]]-orders[[#This Row],[Order Date]]</f>
        <v>2</v>
      </c>
      <c r="K94">
        <f>WEEKNUM(orders[[#This Row],[Order Date]])</f>
        <v>1</v>
      </c>
      <c r="L94" t="str" cm="1">
        <f t="array" ref="L94">_xlfn.IFS(orders[[#This Row],[Customer Gender]]="M","Male", orders[[#This Row],[Customer Gender]]="F","Female", orders[[#This Row],[Customer Gender]]="O","Other", TRUE,"Unknown")</f>
        <v>Male</v>
      </c>
      <c r="M94">
        <v>2</v>
      </c>
      <c r="N94">
        <v>50.4</v>
      </c>
      <c r="O94" s="5">
        <v>100.8</v>
      </c>
    </row>
    <row r="95" spans="1:15" x14ac:dyDescent="0.3">
      <c r="A95" t="s">
        <v>160</v>
      </c>
      <c r="B95" t="s">
        <v>38</v>
      </c>
      <c r="C95" s="7">
        <v>45661</v>
      </c>
      <c r="D95" s="7">
        <v>45662</v>
      </c>
      <c r="E95" t="s">
        <v>2517</v>
      </c>
      <c r="F95" t="s">
        <v>50</v>
      </c>
      <c r="G95">
        <v>3</v>
      </c>
      <c r="H95" t="s">
        <v>18</v>
      </c>
      <c r="I95" t="s">
        <v>76</v>
      </c>
      <c r="J95">
        <f>orders[[#This Row],[Ship Date]]-orders[[#This Row],[Order Date]]</f>
        <v>1</v>
      </c>
      <c r="K95">
        <f>WEEKNUM(orders[[#This Row],[Order Date]])</f>
        <v>1</v>
      </c>
      <c r="L95" t="str" cm="1">
        <f t="array" ref="L95">_xlfn.IFS(orders[[#This Row],[Customer Gender]]="M","Male", orders[[#This Row],[Customer Gender]]="F","Female", orders[[#This Row],[Customer Gender]]="O","Other", TRUE,"Unknown")</f>
        <v>Unknown</v>
      </c>
      <c r="M95">
        <v>13</v>
      </c>
      <c r="N95">
        <v>61.5</v>
      </c>
      <c r="O95">
        <v>799.5</v>
      </c>
    </row>
    <row r="96" spans="1:15" x14ac:dyDescent="0.3">
      <c r="A96" t="s">
        <v>161</v>
      </c>
      <c r="B96" t="s">
        <v>45</v>
      </c>
      <c r="C96" s="7">
        <v>45661</v>
      </c>
      <c r="D96" s="7">
        <v>45662</v>
      </c>
      <c r="E96" t="s">
        <v>26</v>
      </c>
      <c r="F96" t="s">
        <v>17</v>
      </c>
      <c r="G96">
        <v>5</v>
      </c>
      <c r="H96" t="s">
        <v>18</v>
      </c>
      <c r="I96" t="s">
        <v>114</v>
      </c>
      <c r="J96">
        <f>orders[[#This Row],[Ship Date]]-orders[[#This Row],[Order Date]]</f>
        <v>1</v>
      </c>
      <c r="K96">
        <f>WEEKNUM(orders[[#This Row],[Order Date]])</f>
        <v>1</v>
      </c>
      <c r="L96" t="str" cm="1">
        <f t="array" ref="L96">_xlfn.IFS(orders[[#This Row],[Customer Gender]]="M","Male", orders[[#This Row],[Customer Gender]]="F","Female", orders[[#This Row],[Customer Gender]]="O","Other", TRUE,"Unknown")</f>
        <v>Female</v>
      </c>
      <c r="M96">
        <v>4</v>
      </c>
      <c r="N96">
        <v>30.1</v>
      </c>
      <c r="O96" s="5">
        <v>120.4</v>
      </c>
    </row>
    <row r="97" spans="1:15" x14ac:dyDescent="0.3">
      <c r="A97" t="s">
        <v>162</v>
      </c>
      <c r="B97" t="s">
        <v>25</v>
      </c>
      <c r="C97" s="7">
        <v>45661</v>
      </c>
      <c r="D97" s="7">
        <v>45662</v>
      </c>
      <c r="E97" t="s">
        <v>26</v>
      </c>
      <c r="F97" t="s">
        <v>34</v>
      </c>
      <c r="G97">
        <v>4</v>
      </c>
      <c r="H97" t="s">
        <v>18</v>
      </c>
      <c r="I97" t="s">
        <v>23</v>
      </c>
      <c r="J97">
        <f>orders[[#This Row],[Ship Date]]-orders[[#This Row],[Order Date]]</f>
        <v>1</v>
      </c>
      <c r="K97">
        <f>WEEKNUM(orders[[#This Row],[Order Date]])</f>
        <v>1</v>
      </c>
      <c r="L97" t="str" cm="1">
        <f t="array" ref="L97">_xlfn.IFS(orders[[#This Row],[Customer Gender]]="M","Male", orders[[#This Row],[Customer Gender]]="F","Female", orders[[#This Row],[Customer Gender]]="O","Other", TRUE,"Unknown")</f>
        <v>Female</v>
      </c>
      <c r="M97">
        <v>5</v>
      </c>
      <c r="N97">
        <v>74.8</v>
      </c>
      <c r="O97">
        <v>374</v>
      </c>
    </row>
    <row r="98" spans="1:15" x14ac:dyDescent="0.3">
      <c r="A98" t="s">
        <v>163</v>
      </c>
      <c r="B98" t="s">
        <v>127</v>
      </c>
      <c r="C98" s="7">
        <v>45661</v>
      </c>
      <c r="D98" s="7">
        <v>45668</v>
      </c>
      <c r="E98" t="s">
        <v>22</v>
      </c>
      <c r="F98" t="s">
        <v>17</v>
      </c>
      <c r="G98">
        <v>4</v>
      </c>
      <c r="H98" t="s">
        <v>18</v>
      </c>
      <c r="I98" t="s">
        <v>27</v>
      </c>
      <c r="J98">
        <f>orders[[#This Row],[Ship Date]]-orders[[#This Row],[Order Date]]</f>
        <v>7</v>
      </c>
      <c r="K98">
        <f>WEEKNUM(orders[[#This Row],[Order Date]])</f>
        <v>1</v>
      </c>
      <c r="L98" t="str" cm="1">
        <f t="array" ref="L98">_xlfn.IFS(orders[[#This Row],[Customer Gender]]="M","Male", orders[[#This Row],[Customer Gender]]="F","Female", orders[[#This Row],[Customer Gender]]="O","Other", TRUE,"Unknown")</f>
        <v>Male</v>
      </c>
      <c r="M98">
        <v>3</v>
      </c>
      <c r="N98">
        <v>64.900000000000006</v>
      </c>
      <c r="O98" s="5">
        <v>194.70000000000002</v>
      </c>
    </row>
    <row r="99" spans="1:15" x14ac:dyDescent="0.3">
      <c r="A99" t="s">
        <v>164</v>
      </c>
      <c r="B99" t="s">
        <v>45</v>
      </c>
      <c r="C99" s="7">
        <v>45661</v>
      </c>
      <c r="D99" s="7">
        <v>45663</v>
      </c>
      <c r="E99" t="s">
        <v>22</v>
      </c>
      <c r="F99" t="s">
        <v>34</v>
      </c>
      <c r="G99">
        <v>4</v>
      </c>
      <c r="H99" t="s">
        <v>18</v>
      </c>
      <c r="I99" t="s">
        <v>146</v>
      </c>
      <c r="J99">
        <f>orders[[#This Row],[Ship Date]]-orders[[#This Row],[Order Date]]</f>
        <v>2</v>
      </c>
      <c r="K99">
        <f>WEEKNUM(orders[[#This Row],[Order Date]])</f>
        <v>1</v>
      </c>
      <c r="L99" t="str" cm="1">
        <f t="array" ref="L99">_xlfn.IFS(orders[[#This Row],[Customer Gender]]="M","Male", orders[[#This Row],[Customer Gender]]="F","Female", orders[[#This Row],[Customer Gender]]="O","Other", TRUE,"Unknown")</f>
        <v>Male</v>
      </c>
      <c r="M99">
        <v>2</v>
      </c>
      <c r="N99">
        <v>50.5</v>
      </c>
      <c r="O99">
        <v>101</v>
      </c>
    </row>
    <row r="100" spans="1:15" x14ac:dyDescent="0.3">
      <c r="A100" t="s">
        <v>165</v>
      </c>
      <c r="B100" t="s">
        <v>66</v>
      </c>
      <c r="C100" s="7">
        <v>45661</v>
      </c>
      <c r="D100" s="7">
        <v>45664</v>
      </c>
      <c r="E100" t="s">
        <v>22</v>
      </c>
      <c r="F100" t="s">
        <v>50</v>
      </c>
      <c r="G100">
        <v>5</v>
      </c>
      <c r="H100" t="s">
        <v>18</v>
      </c>
      <c r="I100" t="s">
        <v>32</v>
      </c>
      <c r="J100">
        <f>orders[[#This Row],[Ship Date]]-orders[[#This Row],[Order Date]]</f>
        <v>3</v>
      </c>
      <c r="K100">
        <f>WEEKNUM(orders[[#This Row],[Order Date]])</f>
        <v>1</v>
      </c>
      <c r="L100" t="str" cm="1">
        <f t="array" ref="L100">_xlfn.IFS(orders[[#This Row],[Customer Gender]]="M","Male", orders[[#This Row],[Customer Gender]]="F","Female", orders[[#This Row],[Customer Gender]]="O","Other", TRUE,"Unknown")</f>
        <v>Male</v>
      </c>
      <c r="M100">
        <v>7</v>
      </c>
      <c r="N100">
        <v>63</v>
      </c>
      <c r="O100" s="5">
        <v>441</v>
      </c>
    </row>
    <row r="101" spans="1:15" x14ac:dyDescent="0.3">
      <c r="A101" t="s">
        <v>166</v>
      </c>
      <c r="B101" t="s">
        <v>25</v>
      </c>
      <c r="C101" s="7">
        <v>45661</v>
      </c>
      <c r="D101" s="7">
        <v>45674</v>
      </c>
      <c r="E101" t="s">
        <v>26</v>
      </c>
      <c r="F101" t="s">
        <v>17</v>
      </c>
      <c r="G101">
        <v>5</v>
      </c>
      <c r="H101" t="s">
        <v>18</v>
      </c>
      <c r="I101" t="s">
        <v>32</v>
      </c>
      <c r="J101">
        <f>orders[[#This Row],[Ship Date]]-orders[[#This Row],[Order Date]]</f>
        <v>13</v>
      </c>
      <c r="K101">
        <f>WEEKNUM(orders[[#This Row],[Order Date]])</f>
        <v>1</v>
      </c>
      <c r="L101" t="str" cm="1">
        <f t="array" ref="L101">_xlfn.IFS(orders[[#This Row],[Customer Gender]]="M","Male", orders[[#This Row],[Customer Gender]]="F","Female", orders[[#This Row],[Customer Gender]]="O","Other", TRUE,"Unknown")</f>
        <v>Female</v>
      </c>
      <c r="M101">
        <v>3</v>
      </c>
      <c r="N101">
        <v>93.6</v>
      </c>
      <c r="O101">
        <v>280.79999999999995</v>
      </c>
    </row>
    <row r="102" spans="1:15" x14ac:dyDescent="0.3">
      <c r="A102" t="s">
        <v>167</v>
      </c>
      <c r="B102" t="s">
        <v>36</v>
      </c>
      <c r="C102" s="7">
        <v>45661</v>
      </c>
      <c r="D102" s="7">
        <v>45665</v>
      </c>
      <c r="E102" t="s">
        <v>22</v>
      </c>
      <c r="F102" t="s">
        <v>39</v>
      </c>
      <c r="G102">
        <v>5</v>
      </c>
      <c r="H102" t="s">
        <v>18</v>
      </c>
      <c r="I102" t="s">
        <v>32</v>
      </c>
      <c r="J102">
        <f>orders[[#This Row],[Ship Date]]-orders[[#This Row],[Order Date]]</f>
        <v>4</v>
      </c>
      <c r="K102">
        <f>WEEKNUM(orders[[#This Row],[Order Date]])</f>
        <v>1</v>
      </c>
      <c r="L102" t="str" cm="1">
        <f t="array" ref="L102">_xlfn.IFS(orders[[#This Row],[Customer Gender]]="M","Male", orders[[#This Row],[Customer Gender]]="F","Female", orders[[#This Row],[Customer Gender]]="O","Other", TRUE,"Unknown")</f>
        <v>Male</v>
      </c>
      <c r="M102">
        <v>30</v>
      </c>
      <c r="N102">
        <v>41.4</v>
      </c>
      <c r="O102" s="5">
        <v>1242</v>
      </c>
    </row>
    <row r="103" spans="1:15" x14ac:dyDescent="0.3">
      <c r="A103" t="s">
        <v>168</v>
      </c>
      <c r="B103" t="s">
        <v>25</v>
      </c>
      <c r="C103" s="7">
        <v>45662</v>
      </c>
      <c r="D103" s="7">
        <v>45663</v>
      </c>
      <c r="E103" t="s">
        <v>22</v>
      </c>
      <c r="F103" t="s">
        <v>39</v>
      </c>
      <c r="G103">
        <v>5</v>
      </c>
      <c r="H103" t="s">
        <v>18</v>
      </c>
      <c r="I103" t="s">
        <v>51</v>
      </c>
      <c r="J103">
        <f>orders[[#This Row],[Ship Date]]-orders[[#This Row],[Order Date]]</f>
        <v>1</v>
      </c>
      <c r="K103">
        <f>WEEKNUM(orders[[#This Row],[Order Date]])</f>
        <v>2</v>
      </c>
      <c r="L103" t="str" cm="1">
        <f t="array" ref="L103">_xlfn.IFS(orders[[#This Row],[Customer Gender]]="M","Male", orders[[#This Row],[Customer Gender]]="F","Female", orders[[#This Row],[Customer Gender]]="O","Other", TRUE,"Unknown")</f>
        <v>Male</v>
      </c>
      <c r="M103">
        <v>2</v>
      </c>
      <c r="N103">
        <v>160</v>
      </c>
      <c r="O103">
        <v>320</v>
      </c>
    </row>
    <row r="104" spans="1:15" x14ac:dyDescent="0.3">
      <c r="A104" t="s">
        <v>169</v>
      </c>
      <c r="B104" t="s">
        <v>170</v>
      </c>
      <c r="C104" s="7">
        <v>45662</v>
      </c>
      <c r="D104" s="7">
        <v>45665</v>
      </c>
      <c r="E104" t="s">
        <v>26</v>
      </c>
      <c r="F104" t="s">
        <v>69</v>
      </c>
      <c r="G104">
        <v>4</v>
      </c>
      <c r="H104" t="s">
        <v>18</v>
      </c>
      <c r="I104" t="s">
        <v>61</v>
      </c>
      <c r="J104">
        <f>orders[[#This Row],[Ship Date]]-orders[[#This Row],[Order Date]]</f>
        <v>3</v>
      </c>
      <c r="K104">
        <f>WEEKNUM(orders[[#This Row],[Order Date]])</f>
        <v>2</v>
      </c>
      <c r="L104" t="str" cm="1">
        <f t="array" ref="L104">_xlfn.IFS(orders[[#This Row],[Customer Gender]]="M","Male", orders[[#This Row],[Customer Gender]]="F","Female", orders[[#This Row],[Customer Gender]]="O","Other", TRUE,"Unknown")</f>
        <v>Female</v>
      </c>
      <c r="M104">
        <v>11</v>
      </c>
      <c r="N104">
        <v>10.5</v>
      </c>
      <c r="O104" s="5">
        <v>115.5</v>
      </c>
    </row>
    <row r="105" spans="1:15" x14ac:dyDescent="0.3">
      <c r="A105" t="s">
        <v>171</v>
      </c>
      <c r="B105" t="s">
        <v>53</v>
      </c>
      <c r="C105" s="7">
        <v>45662</v>
      </c>
      <c r="D105" s="7">
        <v>45662</v>
      </c>
      <c r="E105" t="s">
        <v>22</v>
      </c>
      <c r="F105" t="s">
        <v>39</v>
      </c>
      <c r="G105">
        <v>2</v>
      </c>
      <c r="H105" t="s">
        <v>18</v>
      </c>
      <c r="I105" t="s">
        <v>102</v>
      </c>
      <c r="J105">
        <f>orders[[#This Row],[Ship Date]]-orders[[#This Row],[Order Date]]</f>
        <v>0</v>
      </c>
      <c r="K105">
        <f>WEEKNUM(orders[[#This Row],[Order Date]])</f>
        <v>2</v>
      </c>
      <c r="L105" t="str" cm="1">
        <f t="array" ref="L105">_xlfn.IFS(orders[[#This Row],[Customer Gender]]="M","Male", orders[[#This Row],[Customer Gender]]="F","Female", orders[[#This Row],[Customer Gender]]="O","Other", TRUE,"Unknown")</f>
        <v>Male</v>
      </c>
      <c r="M105">
        <v>2</v>
      </c>
      <c r="N105">
        <v>53</v>
      </c>
      <c r="O105">
        <v>106</v>
      </c>
    </row>
    <row r="106" spans="1:15" x14ac:dyDescent="0.3">
      <c r="A106" t="s">
        <v>172</v>
      </c>
      <c r="B106" t="s">
        <v>43</v>
      </c>
      <c r="C106" s="7">
        <v>45662</v>
      </c>
      <c r="D106" s="7">
        <v>45667</v>
      </c>
      <c r="E106" t="s">
        <v>26</v>
      </c>
      <c r="F106" t="s">
        <v>34</v>
      </c>
      <c r="G106">
        <v>5</v>
      </c>
      <c r="H106" t="s">
        <v>18</v>
      </c>
      <c r="I106" t="s">
        <v>76</v>
      </c>
      <c r="J106">
        <f>orders[[#This Row],[Ship Date]]-orders[[#This Row],[Order Date]]</f>
        <v>5</v>
      </c>
      <c r="K106">
        <f>WEEKNUM(orders[[#This Row],[Order Date]])</f>
        <v>2</v>
      </c>
      <c r="L106" t="str" cm="1">
        <f t="array" ref="L106">_xlfn.IFS(orders[[#This Row],[Customer Gender]]="M","Male", orders[[#This Row],[Customer Gender]]="F","Female", orders[[#This Row],[Customer Gender]]="O","Other", TRUE,"Unknown")</f>
        <v>Female</v>
      </c>
      <c r="M106">
        <v>3</v>
      </c>
      <c r="N106">
        <v>18.5</v>
      </c>
      <c r="O106" s="5">
        <v>55.5</v>
      </c>
    </row>
    <row r="107" spans="1:15" x14ac:dyDescent="0.3">
      <c r="A107" t="s">
        <v>173</v>
      </c>
      <c r="B107" t="s">
        <v>127</v>
      </c>
      <c r="C107" s="7">
        <v>45662</v>
      </c>
      <c r="D107" s="7">
        <v>45664</v>
      </c>
      <c r="E107" t="s">
        <v>26</v>
      </c>
      <c r="F107" t="s">
        <v>69</v>
      </c>
      <c r="G107">
        <v>3</v>
      </c>
      <c r="H107" t="s">
        <v>18</v>
      </c>
      <c r="I107" t="s">
        <v>81</v>
      </c>
      <c r="J107">
        <f>orders[[#This Row],[Ship Date]]-orders[[#This Row],[Order Date]]</f>
        <v>2</v>
      </c>
      <c r="K107">
        <f>WEEKNUM(orders[[#This Row],[Order Date]])</f>
        <v>2</v>
      </c>
      <c r="L107" t="str" cm="1">
        <f t="array" ref="L107">_xlfn.IFS(orders[[#This Row],[Customer Gender]]="M","Male", orders[[#This Row],[Customer Gender]]="F","Female", orders[[#This Row],[Customer Gender]]="O","Other", TRUE,"Unknown")</f>
        <v>Female</v>
      </c>
      <c r="M107">
        <v>3</v>
      </c>
      <c r="N107">
        <v>84.5</v>
      </c>
      <c r="O107">
        <v>253.5</v>
      </c>
    </row>
    <row r="108" spans="1:15" x14ac:dyDescent="0.3">
      <c r="A108" t="s">
        <v>174</v>
      </c>
      <c r="B108" t="s">
        <v>122</v>
      </c>
      <c r="C108" s="7">
        <v>45662</v>
      </c>
      <c r="D108" s="7">
        <v>45662</v>
      </c>
      <c r="E108" t="s">
        <v>26</v>
      </c>
      <c r="F108" t="s">
        <v>39</v>
      </c>
      <c r="G108">
        <v>5</v>
      </c>
      <c r="H108" t="s">
        <v>18</v>
      </c>
      <c r="I108" t="s">
        <v>32</v>
      </c>
      <c r="J108">
        <f>orders[[#This Row],[Ship Date]]-orders[[#This Row],[Order Date]]</f>
        <v>0</v>
      </c>
      <c r="K108">
        <f>WEEKNUM(orders[[#This Row],[Order Date]])</f>
        <v>2</v>
      </c>
      <c r="L108" t="str" cm="1">
        <f t="array" ref="L108">_xlfn.IFS(orders[[#This Row],[Customer Gender]]="M","Male", orders[[#This Row],[Customer Gender]]="F","Female", orders[[#This Row],[Customer Gender]]="O","Other", TRUE,"Unknown")</f>
        <v>Female</v>
      </c>
      <c r="M108">
        <v>7</v>
      </c>
      <c r="N108">
        <v>31.2</v>
      </c>
      <c r="O108" s="5">
        <v>218.4</v>
      </c>
    </row>
    <row r="109" spans="1:15" x14ac:dyDescent="0.3">
      <c r="A109" t="s">
        <v>175</v>
      </c>
      <c r="B109" t="s">
        <v>43</v>
      </c>
      <c r="C109" s="7">
        <v>45662</v>
      </c>
      <c r="D109" s="7">
        <v>45663</v>
      </c>
      <c r="E109" t="s">
        <v>22</v>
      </c>
      <c r="F109" t="s">
        <v>34</v>
      </c>
      <c r="G109">
        <v>3</v>
      </c>
      <c r="H109" t="s">
        <v>18</v>
      </c>
      <c r="I109" t="s">
        <v>32</v>
      </c>
      <c r="J109">
        <f>orders[[#This Row],[Ship Date]]-orders[[#This Row],[Order Date]]</f>
        <v>1</v>
      </c>
      <c r="K109">
        <f>WEEKNUM(orders[[#This Row],[Order Date]])</f>
        <v>2</v>
      </c>
      <c r="L109" t="str" cm="1">
        <f t="array" ref="L109">_xlfn.IFS(orders[[#This Row],[Customer Gender]]="M","Male", orders[[#This Row],[Customer Gender]]="F","Female", orders[[#This Row],[Customer Gender]]="O","Other", TRUE,"Unknown")</f>
        <v>Male</v>
      </c>
      <c r="M109">
        <v>18</v>
      </c>
      <c r="N109">
        <v>32.6</v>
      </c>
      <c r="O109">
        <v>586.80000000000007</v>
      </c>
    </row>
    <row r="110" spans="1:15" x14ac:dyDescent="0.3">
      <c r="A110" t="s">
        <v>176</v>
      </c>
      <c r="B110" t="s">
        <v>53</v>
      </c>
      <c r="C110" s="7">
        <v>45662</v>
      </c>
      <c r="D110" s="7">
        <v>45664</v>
      </c>
      <c r="E110" t="s">
        <v>22</v>
      </c>
      <c r="F110" t="s">
        <v>34</v>
      </c>
      <c r="G110">
        <v>4</v>
      </c>
      <c r="H110" t="s">
        <v>18</v>
      </c>
      <c r="I110" t="s">
        <v>32</v>
      </c>
      <c r="J110">
        <f>orders[[#This Row],[Ship Date]]-orders[[#This Row],[Order Date]]</f>
        <v>2</v>
      </c>
      <c r="K110">
        <f>WEEKNUM(orders[[#This Row],[Order Date]])</f>
        <v>2</v>
      </c>
      <c r="L110" t="str" cm="1">
        <f t="array" ref="L110">_xlfn.IFS(orders[[#This Row],[Customer Gender]]="M","Male", orders[[#This Row],[Customer Gender]]="F","Female", orders[[#This Row],[Customer Gender]]="O","Other", TRUE,"Unknown")</f>
        <v>Male</v>
      </c>
      <c r="M110">
        <v>4</v>
      </c>
      <c r="N110">
        <v>45.4</v>
      </c>
      <c r="O110" s="5">
        <v>181.6</v>
      </c>
    </row>
    <row r="111" spans="1:15" x14ac:dyDescent="0.3">
      <c r="A111" t="s">
        <v>177</v>
      </c>
      <c r="B111" t="s">
        <v>25</v>
      </c>
      <c r="C111" s="7">
        <v>45662</v>
      </c>
      <c r="D111" s="7">
        <v>45663</v>
      </c>
      <c r="E111" t="s">
        <v>26</v>
      </c>
      <c r="F111" t="s">
        <v>39</v>
      </c>
      <c r="G111">
        <v>2</v>
      </c>
      <c r="H111" t="s">
        <v>18</v>
      </c>
      <c r="I111" t="s">
        <v>32</v>
      </c>
      <c r="J111">
        <f>orders[[#This Row],[Ship Date]]-orders[[#This Row],[Order Date]]</f>
        <v>1</v>
      </c>
      <c r="K111">
        <f>WEEKNUM(orders[[#This Row],[Order Date]])</f>
        <v>2</v>
      </c>
      <c r="L111" t="str" cm="1">
        <f t="array" ref="L111">_xlfn.IFS(orders[[#This Row],[Customer Gender]]="M","Male", orders[[#This Row],[Customer Gender]]="F","Female", orders[[#This Row],[Customer Gender]]="O","Other", TRUE,"Unknown")</f>
        <v>Female</v>
      </c>
      <c r="M111">
        <v>12</v>
      </c>
      <c r="N111">
        <v>120</v>
      </c>
      <c r="O111">
        <v>1440</v>
      </c>
    </row>
    <row r="112" spans="1:15" x14ac:dyDescent="0.3">
      <c r="A112" t="s">
        <v>178</v>
      </c>
      <c r="B112" t="s">
        <v>16</v>
      </c>
      <c r="C112" s="7">
        <v>45662</v>
      </c>
      <c r="D112" s="7">
        <v>45664</v>
      </c>
      <c r="E112" t="s">
        <v>22</v>
      </c>
      <c r="F112" t="s">
        <v>17</v>
      </c>
      <c r="G112">
        <v>5</v>
      </c>
      <c r="H112" t="s">
        <v>18</v>
      </c>
      <c r="I112" t="s">
        <v>32</v>
      </c>
      <c r="J112">
        <f>orders[[#This Row],[Ship Date]]-orders[[#This Row],[Order Date]]</f>
        <v>2</v>
      </c>
      <c r="K112">
        <f>WEEKNUM(orders[[#This Row],[Order Date]])</f>
        <v>2</v>
      </c>
      <c r="L112" t="str" cm="1">
        <f t="array" ref="L112">_xlfn.IFS(orders[[#This Row],[Customer Gender]]="M","Male", orders[[#This Row],[Customer Gender]]="F","Female", orders[[#This Row],[Customer Gender]]="O","Other", TRUE,"Unknown")</f>
        <v>Male</v>
      </c>
      <c r="M112">
        <v>4</v>
      </c>
      <c r="N112">
        <v>18.899999999999999</v>
      </c>
      <c r="O112" s="5">
        <v>75.599999999999994</v>
      </c>
    </row>
    <row r="113" spans="1:15" x14ac:dyDescent="0.3">
      <c r="A113" t="s">
        <v>179</v>
      </c>
      <c r="B113" t="s">
        <v>31</v>
      </c>
      <c r="C113" s="7">
        <v>45662</v>
      </c>
      <c r="D113" s="7">
        <v>45664</v>
      </c>
      <c r="E113" t="s">
        <v>26</v>
      </c>
      <c r="F113" t="s">
        <v>69</v>
      </c>
      <c r="G113">
        <v>4</v>
      </c>
      <c r="H113" t="s">
        <v>18</v>
      </c>
      <c r="I113" t="s">
        <v>32</v>
      </c>
      <c r="J113">
        <f>orders[[#This Row],[Ship Date]]-orders[[#This Row],[Order Date]]</f>
        <v>2</v>
      </c>
      <c r="K113">
        <f>WEEKNUM(orders[[#This Row],[Order Date]])</f>
        <v>2</v>
      </c>
      <c r="L113" t="str" cm="1">
        <f t="array" ref="L113">_xlfn.IFS(orders[[#This Row],[Customer Gender]]="M","Male", orders[[#This Row],[Customer Gender]]="F","Female", orders[[#This Row],[Customer Gender]]="O","Other", TRUE,"Unknown")</f>
        <v>Female</v>
      </c>
      <c r="M113">
        <v>1</v>
      </c>
      <c r="N113">
        <v>32</v>
      </c>
      <c r="O113">
        <v>32</v>
      </c>
    </row>
    <row r="114" spans="1:15" x14ac:dyDescent="0.3">
      <c r="A114" t="s">
        <v>180</v>
      </c>
      <c r="B114" t="s">
        <v>41</v>
      </c>
      <c r="C114" s="7">
        <v>45662</v>
      </c>
      <c r="D114" s="7">
        <v>45663</v>
      </c>
      <c r="E114" t="s">
        <v>22</v>
      </c>
      <c r="F114" t="s">
        <v>39</v>
      </c>
      <c r="G114">
        <v>4</v>
      </c>
      <c r="H114" t="s">
        <v>18</v>
      </c>
      <c r="I114" t="s">
        <v>32</v>
      </c>
      <c r="J114">
        <f>orders[[#This Row],[Ship Date]]-orders[[#This Row],[Order Date]]</f>
        <v>1</v>
      </c>
      <c r="K114">
        <f>WEEKNUM(orders[[#This Row],[Order Date]])</f>
        <v>2</v>
      </c>
      <c r="L114" t="str" cm="1">
        <f t="array" ref="L114">_xlfn.IFS(orders[[#This Row],[Customer Gender]]="M","Male", orders[[#This Row],[Customer Gender]]="F","Female", orders[[#This Row],[Customer Gender]]="O","Other", TRUE,"Unknown")</f>
        <v>Male</v>
      </c>
      <c r="M114">
        <v>2</v>
      </c>
      <c r="N114">
        <v>37.299999999999997</v>
      </c>
      <c r="O114" s="5">
        <v>74.599999999999994</v>
      </c>
    </row>
    <row r="115" spans="1:15" x14ac:dyDescent="0.3">
      <c r="A115" t="s">
        <v>181</v>
      </c>
      <c r="B115" t="s">
        <v>145</v>
      </c>
      <c r="C115" s="7">
        <v>45662</v>
      </c>
      <c r="D115" s="7">
        <v>45663</v>
      </c>
      <c r="E115" t="s">
        <v>22</v>
      </c>
      <c r="F115" t="s">
        <v>34</v>
      </c>
      <c r="G115">
        <v>3</v>
      </c>
      <c r="H115" t="s">
        <v>18</v>
      </c>
      <c r="I115" t="s">
        <v>32</v>
      </c>
      <c r="J115">
        <f>orders[[#This Row],[Ship Date]]-orders[[#This Row],[Order Date]]</f>
        <v>1</v>
      </c>
      <c r="K115">
        <f>WEEKNUM(orders[[#This Row],[Order Date]])</f>
        <v>2</v>
      </c>
      <c r="L115" t="str" cm="1">
        <f t="array" ref="L115">_xlfn.IFS(orders[[#This Row],[Customer Gender]]="M","Male", orders[[#This Row],[Customer Gender]]="F","Female", orders[[#This Row],[Customer Gender]]="O","Other", TRUE,"Unknown")</f>
        <v>Male</v>
      </c>
      <c r="M115">
        <v>1</v>
      </c>
      <c r="N115">
        <v>119.8</v>
      </c>
      <c r="O115">
        <v>119.8</v>
      </c>
    </row>
    <row r="116" spans="1:15" x14ac:dyDescent="0.3">
      <c r="A116" t="s">
        <v>182</v>
      </c>
      <c r="B116" t="s">
        <v>53</v>
      </c>
      <c r="C116" s="7">
        <v>45662</v>
      </c>
      <c r="D116" s="7">
        <v>45665</v>
      </c>
      <c r="E116" t="s">
        <v>22</v>
      </c>
      <c r="F116" t="s">
        <v>39</v>
      </c>
      <c r="G116">
        <v>4</v>
      </c>
      <c r="H116" t="s">
        <v>18</v>
      </c>
      <c r="I116" t="s">
        <v>32</v>
      </c>
      <c r="J116">
        <f>orders[[#This Row],[Ship Date]]-orders[[#This Row],[Order Date]]</f>
        <v>3</v>
      </c>
      <c r="K116">
        <f>WEEKNUM(orders[[#This Row],[Order Date]])</f>
        <v>2</v>
      </c>
      <c r="L116" t="str" cm="1">
        <f t="array" ref="L116">_xlfn.IFS(orders[[#This Row],[Customer Gender]]="M","Male", orders[[#This Row],[Customer Gender]]="F","Female", orders[[#This Row],[Customer Gender]]="O","Other", TRUE,"Unknown")</f>
        <v>Male</v>
      </c>
      <c r="M116">
        <v>2</v>
      </c>
      <c r="N116">
        <v>26.4</v>
      </c>
      <c r="O116" s="5">
        <v>52.8</v>
      </c>
    </row>
    <row r="117" spans="1:15" x14ac:dyDescent="0.3">
      <c r="A117" t="s">
        <v>183</v>
      </c>
      <c r="B117" t="s">
        <v>38</v>
      </c>
      <c r="C117" s="7">
        <v>45662</v>
      </c>
      <c r="D117" s="7">
        <v>45663</v>
      </c>
      <c r="E117" t="s">
        <v>26</v>
      </c>
      <c r="F117" t="s">
        <v>34</v>
      </c>
      <c r="G117">
        <v>3</v>
      </c>
      <c r="H117" t="s">
        <v>18</v>
      </c>
      <c r="I117" t="s">
        <v>32</v>
      </c>
      <c r="J117">
        <f>orders[[#This Row],[Ship Date]]-orders[[#This Row],[Order Date]]</f>
        <v>1</v>
      </c>
      <c r="K117">
        <f>WEEKNUM(orders[[#This Row],[Order Date]])</f>
        <v>2</v>
      </c>
      <c r="L117" t="str" cm="1">
        <f t="array" ref="L117">_xlfn.IFS(orders[[#This Row],[Customer Gender]]="M","Male", orders[[#This Row],[Customer Gender]]="F","Female", orders[[#This Row],[Customer Gender]]="O","Other", TRUE,"Unknown")</f>
        <v>Female</v>
      </c>
      <c r="M117">
        <v>6</v>
      </c>
      <c r="N117">
        <v>76.5</v>
      </c>
      <c r="O117">
        <v>459</v>
      </c>
    </row>
    <row r="118" spans="1:15" x14ac:dyDescent="0.3">
      <c r="A118" t="s">
        <v>184</v>
      </c>
      <c r="B118" t="s">
        <v>31</v>
      </c>
      <c r="C118" s="7">
        <v>45662</v>
      </c>
      <c r="D118" s="7">
        <v>45663</v>
      </c>
      <c r="E118" t="s">
        <v>26</v>
      </c>
      <c r="F118" t="s">
        <v>39</v>
      </c>
      <c r="G118">
        <v>4</v>
      </c>
      <c r="H118" t="s">
        <v>18</v>
      </c>
      <c r="I118" t="s">
        <v>185</v>
      </c>
      <c r="J118">
        <f>orders[[#This Row],[Ship Date]]-orders[[#This Row],[Order Date]]</f>
        <v>1</v>
      </c>
      <c r="K118">
        <f>WEEKNUM(orders[[#This Row],[Order Date]])</f>
        <v>2</v>
      </c>
      <c r="L118" t="str" cm="1">
        <f t="array" ref="L118">_xlfn.IFS(orders[[#This Row],[Customer Gender]]="M","Male", orders[[#This Row],[Customer Gender]]="F","Female", orders[[#This Row],[Customer Gender]]="O","Other", TRUE,"Unknown")</f>
        <v>Female</v>
      </c>
      <c r="M118">
        <v>10</v>
      </c>
      <c r="N118">
        <v>45.7</v>
      </c>
      <c r="O118" s="5">
        <v>457</v>
      </c>
    </row>
    <row r="119" spans="1:15" x14ac:dyDescent="0.3">
      <c r="A119" t="s">
        <v>186</v>
      </c>
      <c r="B119" t="s">
        <v>21</v>
      </c>
      <c r="C119" s="7">
        <v>45662</v>
      </c>
      <c r="D119" s="7">
        <v>45664</v>
      </c>
      <c r="E119" t="s">
        <v>26</v>
      </c>
      <c r="F119" t="s">
        <v>39</v>
      </c>
      <c r="G119">
        <v>4</v>
      </c>
      <c r="H119" t="s">
        <v>18</v>
      </c>
      <c r="I119" t="s">
        <v>187</v>
      </c>
      <c r="J119">
        <f>orders[[#This Row],[Ship Date]]-orders[[#This Row],[Order Date]]</f>
        <v>2</v>
      </c>
      <c r="K119">
        <f>WEEKNUM(orders[[#This Row],[Order Date]])</f>
        <v>2</v>
      </c>
      <c r="L119" t="str" cm="1">
        <f t="array" ref="L119">_xlfn.IFS(orders[[#This Row],[Customer Gender]]="M","Male", orders[[#This Row],[Customer Gender]]="F","Female", orders[[#This Row],[Customer Gender]]="O","Other", TRUE,"Unknown")</f>
        <v>Female</v>
      </c>
      <c r="M119">
        <v>12</v>
      </c>
      <c r="N119">
        <v>92.6</v>
      </c>
      <c r="O119">
        <v>1111.1999999999998</v>
      </c>
    </row>
    <row r="120" spans="1:15" x14ac:dyDescent="0.3">
      <c r="A120" t="s">
        <v>188</v>
      </c>
      <c r="B120" t="s">
        <v>38</v>
      </c>
      <c r="C120" s="7">
        <v>45662</v>
      </c>
      <c r="D120" s="7">
        <v>45663</v>
      </c>
      <c r="E120" t="s">
        <v>22</v>
      </c>
      <c r="F120" t="s">
        <v>34</v>
      </c>
      <c r="G120">
        <v>4</v>
      </c>
      <c r="H120" t="s">
        <v>18</v>
      </c>
      <c r="I120" t="s">
        <v>157</v>
      </c>
      <c r="J120">
        <f>orders[[#This Row],[Ship Date]]-orders[[#This Row],[Order Date]]</f>
        <v>1</v>
      </c>
      <c r="K120">
        <f>WEEKNUM(orders[[#This Row],[Order Date]])</f>
        <v>2</v>
      </c>
      <c r="L120" t="str" cm="1">
        <f t="array" ref="L120">_xlfn.IFS(orders[[#This Row],[Customer Gender]]="M","Male", orders[[#This Row],[Customer Gender]]="F","Female", orders[[#This Row],[Customer Gender]]="O","Other", TRUE,"Unknown")</f>
        <v>Male</v>
      </c>
      <c r="M120">
        <v>6</v>
      </c>
      <c r="N120">
        <v>60.1</v>
      </c>
      <c r="O120" s="5">
        <v>360.6</v>
      </c>
    </row>
    <row r="121" spans="1:15" x14ac:dyDescent="0.3">
      <c r="A121" t="s">
        <v>189</v>
      </c>
      <c r="B121" t="s">
        <v>21</v>
      </c>
      <c r="C121" s="7">
        <v>45662</v>
      </c>
      <c r="D121" s="7">
        <v>45663</v>
      </c>
      <c r="E121" t="s">
        <v>26</v>
      </c>
      <c r="F121" t="s">
        <v>50</v>
      </c>
      <c r="G121">
        <v>3</v>
      </c>
      <c r="H121" t="s">
        <v>18</v>
      </c>
      <c r="I121" t="s">
        <v>54</v>
      </c>
      <c r="J121">
        <f>orders[[#This Row],[Ship Date]]-orders[[#This Row],[Order Date]]</f>
        <v>1</v>
      </c>
      <c r="K121">
        <f>WEEKNUM(orders[[#This Row],[Order Date]])</f>
        <v>2</v>
      </c>
      <c r="L121" t="str" cm="1">
        <f t="array" ref="L121">_xlfn.IFS(orders[[#This Row],[Customer Gender]]="M","Male", orders[[#This Row],[Customer Gender]]="F","Female", orders[[#This Row],[Customer Gender]]="O","Other", TRUE,"Unknown")</f>
        <v>Female</v>
      </c>
      <c r="M121">
        <v>3</v>
      </c>
      <c r="N121">
        <v>73</v>
      </c>
      <c r="O121">
        <v>219</v>
      </c>
    </row>
    <row r="122" spans="1:15" x14ac:dyDescent="0.3">
      <c r="A122" t="s">
        <v>190</v>
      </c>
      <c r="B122" t="s">
        <v>38</v>
      </c>
      <c r="C122" s="7">
        <v>45662</v>
      </c>
      <c r="D122" s="7">
        <v>45666</v>
      </c>
      <c r="E122" t="s">
        <v>2517</v>
      </c>
      <c r="F122" t="s">
        <v>39</v>
      </c>
      <c r="G122">
        <v>5</v>
      </c>
      <c r="H122" t="s">
        <v>18</v>
      </c>
      <c r="I122" t="s">
        <v>54</v>
      </c>
      <c r="J122">
        <f>orders[[#This Row],[Ship Date]]-orders[[#This Row],[Order Date]]</f>
        <v>4</v>
      </c>
      <c r="K122">
        <f>WEEKNUM(orders[[#This Row],[Order Date]])</f>
        <v>2</v>
      </c>
      <c r="L122" t="str" cm="1">
        <f t="array" ref="L122">_xlfn.IFS(orders[[#This Row],[Customer Gender]]="M","Male", orders[[#This Row],[Customer Gender]]="F","Female", orders[[#This Row],[Customer Gender]]="O","Other", TRUE,"Unknown")</f>
        <v>Unknown</v>
      </c>
      <c r="M122">
        <v>3</v>
      </c>
      <c r="N122">
        <v>44.3</v>
      </c>
      <c r="O122" s="5">
        <v>132.89999999999998</v>
      </c>
    </row>
    <row r="123" spans="1:15" x14ac:dyDescent="0.3">
      <c r="A123" t="s">
        <v>191</v>
      </c>
      <c r="B123" t="s">
        <v>38</v>
      </c>
      <c r="C123" s="7">
        <v>45662</v>
      </c>
      <c r="D123" s="7">
        <v>45663</v>
      </c>
      <c r="E123" t="s">
        <v>22</v>
      </c>
      <c r="F123" t="s">
        <v>39</v>
      </c>
      <c r="G123">
        <v>4</v>
      </c>
      <c r="H123" t="s">
        <v>18</v>
      </c>
      <c r="I123" t="s">
        <v>54</v>
      </c>
      <c r="J123">
        <f>orders[[#This Row],[Ship Date]]-orders[[#This Row],[Order Date]]</f>
        <v>1</v>
      </c>
      <c r="K123">
        <f>WEEKNUM(orders[[#This Row],[Order Date]])</f>
        <v>2</v>
      </c>
      <c r="L123" t="str" cm="1">
        <f t="array" ref="L123">_xlfn.IFS(orders[[#This Row],[Customer Gender]]="M","Male", orders[[#This Row],[Customer Gender]]="F","Female", orders[[#This Row],[Customer Gender]]="O","Other", TRUE,"Unknown")</f>
        <v>Male</v>
      </c>
      <c r="M123">
        <v>3</v>
      </c>
      <c r="N123">
        <v>63.3</v>
      </c>
      <c r="O123">
        <v>189.89999999999998</v>
      </c>
    </row>
    <row r="124" spans="1:15" x14ac:dyDescent="0.3">
      <c r="A124" t="s">
        <v>192</v>
      </c>
      <c r="B124" t="s">
        <v>68</v>
      </c>
      <c r="C124" s="7">
        <v>45662</v>
      </c>
      <c r="D124" s="7">
        <v>45663</v>
      </c>
      <c r="E124" t="s">
        <v>26</v>
      </c>
      <c r="F124" t="s">
        <v>34</v>
      </c>
      <c r="G124">
        <v>4</v>
      </c>
      <c r="H124" t="s">
        <v>18</v>
      </c>
      <c r="I124" t="s">
        <v>54</v>
      </c>
      <c r="J124">
        <f>orders[[#This Row],[Ship Date]]-orders[[#This Row],[Order Date]]</f>
        <v>1</v>
      </c>
      <c r="K124">
        <f>WEEKNUM(orders[[#This Row],[Order Date]])</f>
        <v>2</v>
      </c>
      <c r="L124" t="str" cm="1">
        <f t="array" ref="L124">_xlfn.IFS(orders[[#This Row],[Customer Gender]]="M","Male", orders[[#This Row],[Customer Gender]]="F","Female", orders[[#This Row],[Customer Gender]]="O","Other", TRUE,"Unknown")</f>
        <v>Female</v>
      </c>
      <c r="M124">
        <v>1</v>
      </c>
      <c r="N124">
        <v>66.8</v>
      </c>
      <c r="O124" s="5">
        <v>66.8</v>
      </c>
    </row>
    <row r="125" spans="1:15" x14ac:dyDescent="0.3">
      <c r="A125" t="s">
        <v>193</v>
      </c>
      <c r="B125" t="s">
        <v>25</v>
      </c>
      <c r="C125" s="7">
        <v>45662</v>
      </c>
      <c r="D125" s="7">
        <v>45663</v>
      </c>
      <c r="E125" t="s">
        <v>26</v>
      </c>
      <c r="F125" t="s">
        <v>17</v>
      </c>
      <c r="G125">
        <v>4</v>
      </c>
      <c r="H125" t="s">
        <v>18</v>
      </c>
      <c r="I125" t="s">
        <v>58</v>
      </c>
      <c r="J125">
        <f>orders[[#This Row],[Ship Date]]-orders[[#This Row],[Order Date]]</f>
        <v>1</v>
      </c>
      <c r="K125">
        <f>WEEKNUM(orders[[#This Row],[Order Date]])</f>
        <v>2</v>
      </c>
      <c r="L125" t="str" cm="1">
        <f t="array" ref="L125">_xlfn.IFS(orders[[#This Row],[Customer Gender]]="M","Male", orders[[#This Row],[Customer Gender]]="F","Female", orders[[#This Row],[Customer Gender]]="O","Other", TRUE,"Unknown")</f>
        <v>Female</v>
      </c>
      <c r="M125">
        <v>2</v>
      </c>
      <c r="N125">
        <v>59.7</v>
      </c>
      <c r="O125">
        <v>119.4</v>
      </c>
    </row>
    <row r="126" spans="1:15" x14ac:dyDescent="0.3">
      <c r="A126" t="s">
        <v>194</v>
      </c>
      <c r="B126" t="s">
        <v>21</v>
      </c>
      <c r="C126" s="7">
        <v>45662</v>
      </c>
      <c r="D126" s="7">
        <v>45664</v>
      </c>
      <c r="E126" t="s">
        <v>22</v>
      </c>
      <c r="F126" t="s">
        <v>17</v>
      </c>
      <c r="G126">
        <v>2</v>
      </c>
      <c r="H126" t="s">
        <v>18</v>
      </c>
      <c r="I126" t="s">
        <v>58</v>
      </c>
      <c r="J126">
        <f>orders[[#This Row],[Ship Date]]-orders[[#This Row],[Order Date]]</f>
        <v>2</v>
      </c>
      <c r="K126">
        <f>WEEKNUM(orders[[#This Row],[Order Date]])</f>
        <v>2</v>
      </c>
      <c r="L126" t="str" cm="1">
        <f t="array" ref="L126">_xlfn.IFS(orders[[#This Row],[Customer Gender]]="M","Male", orders[[#This Row],[Customer Gender]]="F","Female", orders[[#This Row],[Customer Gender]]="O","Other", TRUE,"Unknown")</f>
        <v>Male</v>
      </c>
      <c r="M126">
        <v>6</v>
      </c>
      <c r="N126">
        <v>92</v>
      </c>
      <c r="O126" s="5">
        <v>552</v>
      </c>
    </row>
    <row r="127" spans="1:15" x14ac:dyDescent="0.3">
      <c r="A127" t="s">
        <v>195</v>
      </c>
      <c r="B127" t="s">
        <v>41</v>
      </c>
      <c r="C127" s="7">
        <v>45662</v>
      </c>
      <c r="D127" s="7">
        <v>45664</v>
      </c>
      <c r="E127" t="s">
        <v>22</v>
      </c>
      <c r="F127" t="s">
        <v>34</v>
      </c>
      <c r="G127">
        <v>3</v>
      </c>
      <c r="H127" t="s">
        <v>18</v>
      </c>
      <c r="I127" t="s">
        <v>61</v>
      </c>
      <c r="J127">
        <f>orders[[#This Row],[Ship Date]]-orders[[#This Row],[Order Date]]</f>
        <v>2</v>
      </c>
      <c r="K127">
        <f>WEEKNUM(orders[[#This Row],[Order Date]])</f>
        <v>2</v>
      </c>
      <c r="L127" t="str" cm="1">
        <f t="array" ref="L127">_xlfn.IFS(orders[[#This Row],[Customer Gender]]="M","Male", orders[[#This Row],[Customer Gender]]="F","Female", orders[[#This Row],[Customer Gender]]="O","Other", TRUE,"Unknown")</f>
        <v>Male</v>
      </c>
      <c r="M127">
        <v>2</v>
      </c>
      <c r="N127">
        <v>87.6</v>
      </c>
      <c r="O127">
        <v>175.2</v>
      </c>
    </row>
    <row r="128" spans="1:15" x14ac:dyDescent="0.3">
      <c r="A128" t="s">
        <v>196</v>
      </c>
      <c r="B128" t="s">
        <v>38</v>
      </c>
      <c r="C128" s="7">
        <v>45662</v>
      </c>
      <c r="D128" s="7">
        <v>45663</v>
      </c>
      <c r="E128" t="s">
        <v>26</v>
      </c>
      <c r="F128" t="s">
        <v>34</v>
      </c>
      <c r="G128">
        <v>3</v>
      </c>
      <c r="H128" t="s">
        <v>18</v>
      </c>
      <c r="I128" t="s">
        <v>61</v>
      </c>
      <c r="J128">
        <f>orders[[#This Row],[Ship Date]]-orders[[#This Row],[Order Date]]</f>
        <v>1</v>
      </c>
      <c r="K128">
        <f>WEEKNUM(orders[[#This Row],[Order Date]])</f>
        <v>2</v>
      </c>
      <c r="L128" t="str" cm="1">
        <f t="array" ref="L128">_xlfn.IFS(orders[[#This Row],[Customer Gender]]="M","Male", orders[[#This Row],[Customer Gender]]="F","Female", orders[[#This Row],[Customer Gender]]="O","Other", TRUE,"Unknown")</f>
        <v>Female</v>
      </c>
      <c r="M128">
        <v>3</v>
      </c>
      <c r="N128">
        <v>84.5</v>
      </c>
      <c r="O128" s="5">
        <v>253.5</v>
      </c>
    </row>
    <row r="129" spans="1:15" x14ac:dyDescent="0.3">
      <c r="A129" t="s">
        <v>197</v>
      </c>
      <c r="B129" t="s">
        <v>21</v>
      </c>
      <c r="C129" s="7">
        <v>45663</v>
      </c>
      <c r="D129" s="7">
        <v>45665</v>
      </c>
      <c r="E129" t="s">
        <v>22</v>
      </c>
      <c r="F129" t="s">
        <v>39</v>
      </c>
      <c r="G129">
        <v>5</v>
      </c>
      <c r="H129" t="s">
        <v>18</v>
      </c>
      <c r="I129" t="s">
        <v>61</v>
      </c>
      <c r="J129">
        <f>orders[[#This Row],[Ship Date]]-orders[[#This Row],[Order Date]]</f>
        <v>2</v>
      </c>
      <c r="K129">
        <f>WEEKNUM(orders[[#This Row],[Order Date]])</f>
        <v>2</v>
      </c>
      <c r="L129" t="str" cm="1">
        <f t="array" ref="L129">_xlfn.IFS(orders[[#This Row],[Customer Gender]]="M","Male", orders[[#This Row],[Customer Gender]]="F","Female", orders[[#This Row],[Customer Gender]]="O","Other", TRUE,"Unknown")</f>
        <v>Male</v>
      </c>
      <c r="M129">
        <v>2</v>
      </c>
      <c r="N129">
        <v>116.3</v>
      </c>
      <c r="O129">
        <v>232.6</v>
      </c>
    </row>
    <row r="130" spans="1:15" x14ac:dyDescent="0.3">
      <c r="A130" t="s">
        <v>198</v>
      </c>
      <c r="B130" t="s">
        <v>38</v>
      </c>
      <c r="C130" s="7">
        <v>45663</v>
      </c>
      <c r="D130" s="7">
        <v>45667</v>
      </c>
      <c r="E130" t="s">
        <v>22</v>
      </c>
      <c r="F130" t="s">
        <v>17</v>
      </c>
      <c r="G130">
        <v>4</v>
      </c>
      <c r="H130" t="s">
        <v>18</v>
      </c>
      <c r="I130" t="s">
        <v>61</v>
      </c>
      <c r="J130">
        <f>orders[[#This Row],[Ship Date]]-orders[[#This Row],[Order Date]]</f>
        <v>4</v>
      </c>
      <c r="K130">
        <f>WEEKNUM(orders[[#This Row],[Order Date]])</f>
        <v>2</v>
      </c>
      <c r="L130" t="str" cm="1">
        <f t="array" ref="L130">_xlfn.IFS(orders[[#This Row],[Customer Gender]]="M","Male", orders[[#This Row],[Customer Gender]]="F","Female", orders[[#This Row],[Customer Gender]]="O","Other", TRUE,"Unknown")</f>
        <v>Male</v>
      </c>
      <c r="M130">
        <v>5</v>
      </c>
      <c r="N130">
        <v>52.7</v>
      </c>
      <c r="O130" s="5">
        <v>263.5</v>
      </c>
    </row>
    <row r="131" spans="1:15" x14ac:dyDescent="0.3">
      <c r="A131" t="s">
        <v>199</v>
      </c>
      <c r="B131" t="s">
        <v>127</v>
      </c>
      <c r="C131" s="7">
        <v>45663</v>
      </c>
      <c r="D131" s="7">
        <v>45664</v>
      </c>
      <c r="E131" t="s">
        <v>22</v>
      </c>
      <c r="F131" t="s">
        <v>17</v>
      </c>
      <c r="G131">
        <v>5</v>
      </c>
      <c r="H131" t="s">
        <v>18</v>
      </c>
      <c r="I131" t="s">
        <v>200</v>
      </c>
      <c r="J131">
        <f>orders[[#This Row],[Ship Date]]-orders[[#This Row],[Order Date]]</f>
        <v>1</v>
      </c>
      <c r="K131">
        <f>WEEKNUM(orders[[#This Row],[Order Date]])</f>
        <v>2</v>
      </c>
      <c r="L131" t="str" cm="1">
        <f t="array" ref="L131">_xlfn.IFS(orders[[#This Row],[Customer Gender]]="M","Male", orders[[#This Row],[Customer Gender]]="F","Female", orders[[#This Row],[Customer Gender]]="O","Other", TRUE,"Unknown")</f>
        <v>Male</v>
      </c>
      <c r="M131">
        <v>3</v>
      </c>
      <c r="N131">
        <v>34.200000000000003</v>
      </c>
      <c r="O131">
        <v>102.60000000000001</v>
      </c>
    </row>
    <row r="132" spans="1:15" x14ac:dyDescent="0.3">
      <c r="A132" t="s">
        <v>201</v>
      </c>
      <c r="B132" t="s">
        <v>45</v>
      </c>
      <c r="C132" s="7">
        <v>45663</v>
      </c>
      <c r="D132" s="7">
        <v>45672</v>
      </c>
      <c r="E132" t="s">
        <v>88</v>
      </c>
      <c r="F132" t="s">
        <v>39</v>
      </c>
      <c r="G132">
        <v>5</v>
      </c>
      <c r="H132" t="s">
        <v>18</v>
      </c>
      <c r="I132" t="s">
        <v>71</v>
      </c>
      <c r="J132">
        <f>orders[[#This Row],[Ship Date]]-orders[[#This Row],[Order Date]]</f>
        <v>9</v>
      </c>
      <c r="K132">
        <f>WEEKNUM(orders[[#This Row],[Order Date]])</f>
        <v>2</v>
      </c>
      <c r="L132" t="str" cm="1">
        <f t="array" ref="L132">_xlfn.IFS(orders[[#This Row],[Customer Gender]]="M","Male", orders[[#This Row],[Customer Gender]]="F","Female", orders[[#This Row],[Customer Gender]]="O","Other", TRUE,"Unknown")</f>
        <v>Other</v>
      </c>
      <c r="M132">
        <v>1</v>
      </c>
      <c r="N132">
        <v>23.3</v>
      </c>
      <c r="O132" s="5">
        <v>23.3</v>
      </c>
    </row>
    <row r="133" spans="1:15" x14ac:dyDescent="0.3">
      <c r="A133" t="s">
        <v>202</v>
      </c>
      <c r="B133" t="s">
        <v>16</v>
      </c>
      <c r="C133" s="7">
        <v>45663</v>
      </c>
      <c r="D133" s="7">
        <v>45666</v>
      </c>
      <c r="E133" t="s">
        <v>26</v>
      </c>
      <c r="F133" t="s">
        <v>69</v>
      </c>
      <c r="G133">
        <v>3</v>
      </c>
      <c r="H133" t="s">
        <v>18</v>
      </c>
      <c r="I133" t="s">
        <v>71</v>
      </c>
      <c r="J133">
        <f>orders[[#This Row],[Ship Date]]-orders[[#This Row],[Order Date]]</f>
        <v>3</v>
      </c>
      <c r="K133">
        <f>WEEKNUM(orders[[#This Row],[Order Date]])</f>
        <v>2</v>
      </c>
      <c r="L133" t="str" cm="1">
        <f t="array" ref="L133">_xlfn.IFS(orders[[#This Row],[Customer Gender]]="M","Male", orders[[#This Row],[Customer Gender]]="F","Female", orders[[#This Row],[Customer Gender]]="O","Other", TRUE,"Unknown")</f>
        <v>Female</v>
      </c>
      <c r="M133">
        <v>26</v>
      </c>
      <c r="N133">
        <v>25.9</v>
      </c>
      <c r="O133">
        <v>673.4</v>
      </c>
    </row>
    <row r="134" spans="1:15" x14ac:dyDescent="0.3">
      <c r="A134" t="s">
        <v>203</v>
      </c>
      <c r="B134" t="s">
        <v>38</v>
      </c>
      <c r="C134" s="7">
        <v>45663</v>
      </c>
      <c r="D134" s="7">
        <v>45664</v>
      </c>
      <c r="E134" t="s">
        <v>22</v>
      </c>
      <c r="F134" t="s">
        <v>34</v>
      </c>
      <c r="G134">
        <v>5</v>
      </c>
      <c r="H134" t="s">
        <v>18</v>
      </c>
      <c r="I134" t="s">
        <v>71</v>
      </c>
      <c r="J134">
        <f>orders[[#This Row],[Ship Date]]-orders[[#This Row],[Order Date]]</f>
        <v>1</v>
      </c>
      <c r="K134">
        <f>WEEKNUM(orders[[#This Row],[Order Date]])</f>
        <v>2</v>
      </c>
      <c r="L134" t="str" cm="1">
        <f t="array" ref="L134">_xlfn.IFS(orders[[#This Row],[Customer Gender]]="M","Male", orders[[#This Row],[Customer Gender]]="F","Female", orders[[#This Row],[Customer Gender]]="O","Other", TRUE,"Unknown")</f>
        <v>Male</v>
      </c>
      <c r="M134">
        <v>29</v>
      </c>
      <c r="N134">
        <v>54.9</v>
      </c>
      <c r="O134" s="5">
        <v>1592.1</v>
      </c>
    </row>
    <row r="135" spans="1:15" x14ac:dyDescent="0.3">
      <c r="A135" t="s">
        <v>204</v>
      </c>
      <c r="B135" t="s">
        <v>36</v>
      </c>
      <c r="C135" s="7">
        <v>45663</v>
      </c>
      <c r="D135" s="7">
        <v>45668</v>
      </c>
      <c r="E135" t="s">
        <v>88</v>
      </c>
      <c r="F135" t="s">
        <v>34</v>
      </c>
      <c r="G135">
        <v>4</v>
      </c>
      <c r="H135" t="s">
        <v>18</v>
      </c>
      <c r="I135" t="s">
        <v>107</v>
      </c>
      <c r="J135">
        <f>orders[[#This Row],[Ship Date]]-orders[[#This Row],[Order Date]]</f>
        <v>5</v>
      </c>
      <c r="K135">
        <f>WEEKNUM(orders[[#This Row],[Order Date]])</f>
        <v>2</v>
      </c>
      <c r="L135" t="str" cm="1">
        <f t="array" ref="L135">_xlfn.IFS(orders[[#This Row],[Customer Gender]]="M","Male", orders[[#This Row],[Customer Gender]]="F","Female", orders[[#This Row],[Customer Gender]]="O","Other", TRUE,"Unknown")</f>
        <v>Other</v>
      </c>
      <c r="M135">
        <v>3</v>
      </c>
      <c r="N135">
        <v>75.8</v>
      </c>
      <c r="O135">
        <v>227.39999999999998</v>
      </c>
    </row>
    <row r="136" spans="1:15" x14ac:dyDescent="0.3">
      <c r="A136" t="s">
        <v>205</v>
      </c>
      <c r="B136" t="s">
        <v>21</v>
      </c>
      <c r="C136" s="7">
        <v>45663</v>
      </c>
      <c r="D136" s="7">
        <v>45666</v>
      </c>
      <c r="E136" t="s">
        <v>26</v>
      </c>
      <c r="F136" t="s">
        <v>39</v>
      </c>
      <c r="G136">
        <v>5</v>
      </c>
      <c r="H136" t="s">
        <v>18</v>
      </c>
      <c r="I136" t="s">
        <v>27</v>
      </c>
      <c r="J136">
        <f>orders[[#This Row],[Ship Date]]-orders[[#This Row],[Order Date]]</f>
        <v>3</v>
      </c>
      <c r="K136">
        <f>WEEKNUM(orders[[#This Row],[Order Date]])</f>
        <v>2</v>
      </c>
      <c r="L136" t="str" cm="1">
        <f t="array" ref="L136">_xlfn.IFS(orders[[#This Row],[Customer Gender]]="M","Male", orders[[#This Row],[Customer Gender]]="F","Female", orders[[#This Row],[Customer Gender]]="O","Other", TRUE,"Unknown")</f>
        <v>Female</v>
      </c>
      <c r="M136">
        <v>9</v>
      </c>
      <c r="N136">
        <v>44.9</v>
      </c>
      <c r="O136" s="5">
        <v>404.09999999999997</v>
      </c>
    </row>
    <row r="137" spans="1:15" x14ac:dyDescent="0.3">
      <c r="A137" t="s">
        <v>206</v>
      </c>
      <c r="B137" t="s">
        <v>66</v>
      </c>
      <c r="C137" s="7">
        <v>45663</v>
      </c>
      <c r="D137" s="7">
        <v>45665</v>
      </c>
      <c r="E137" t="s">
        <v>26</v>
      </c>
      <c r="F137" t="s">
        <v>50</v>
      </c>
      <c r="G137">
        <v>4</v>
      </c>
      <c r="H137" t="s">
        <v>18</v>
      </c>
      <c r="I137" t="s">
        <v>207</v>
      </c>
      <c r="J137">
        <f>orders[[#This Row],[Ship Date]]-orders[[#This Row],[Order Date]]</f>
        <v>2</v>
      </c>
      <c r="K137">
        <f>WEEKNUM(orders[[#This Row],[Order Date]])</f>
        <v>2</v>
      </c>
      <c r="L137" t="str" cm="1">
        <f t="array" ref="L137">_xlfn.IFS(orders[[#This Row],[Customer Gender]]="M","Male", orders[[#This Row],[Customer Gender]]="F","Female", orders[[#This Row],[Customer Gender]]="O","Other", TRUE,"Unknown")</f>
        <v>Female</v>
      </c>
      <c r="M137">
        <v>2</v>
      </c>
      <c r="N137">
        <v>48.8</v>
      </c>
      <c r="O137">
        <v>97.6</v>
      </c>
    </row>
    <row r="138" spans="1:15" x14ac:dyDescent="0.3">
      <c r="A138" t="s">
        <v>208</v>
      </c>
      <c r="B138" t="s">
        <v>122</v>
      </c>
      <c r="C138" s="7">
        <v>45663</v>
      </c>
      <c r="D138" s="7">
        <v>45664</v>
      </c>
      <c r="E138" t="s">
        <v>26</v>
      </c>
      <c r="F138" t="s">
        <v>17</v>
      </c>
      <c r="G138">
        <v>5</v>
      </c>
      <c r="H138" t="s">
        <v>18</v>
      </c>
      <c r="I138" t="s">
        <v>146</v>
      </c>
      <c r="J138">
        <f>orders[[#This Row],[Ship Date]]-orders[[#This Row],[Order Date]]</f>
        <v>1</v>
      </c>
      <c r="K138">
        <f>WEEKNUM(orders[[#This Row],[Order Date]])</f>
        <v>2</v>
      </c>
      <c r="L138" t="str" cm="1">
        <f t="array" ref="L138">_xlfn.IFS(orders[[#This Row],[Customer Gender]]="M","Male", orders[[#This Row],[Customer Gender]]="F","Female", orders[[#This Row],[Customer Gender]]="O","Other", TRUE,"Unknown")</f>
        <v>Female</v>
      </c>
      <c r="M138">
        <v>1</v>
      </c>
      <c r="N138">
        <v>20.3</v>
      </c>
      <c r="O138" s="5">
        <v>20.3</v>
      </c>
    </row>
    <row r="139" spans="1:15" x14ac:dyDescent="0.3">
      <c r="A139" t="s">
        <v>209</v>
      </c>
      <c r="B139" t="s">
        <v>36</v>
      </c>
      <c r="C139" s="7">
        <v>45663</v>
      </c>
      <c r="D139" s="7">
        <v>45666</v>
      </c>
      <c r="E139" t="s">
        <v>26</v>
      </c>
      <c r="F139" t="s">
        <v>17</v>
      </c>
      <c r="G139">
        <v>3</v>
      </c>
      <c r="H139" t="s">
        <v>18</v>
      </c>
      <c r="I139" t="s">
        <v>32</v>
      </c>
      <c r="J139">
        <f>orders[[#This Row],[Ship Date]]-orders[[#This Row],[Order Date]]</f>
        <v>3</v>
      </c>
      <c r="K139">
        <f>WEEKNUM(orders[[#This Row],[Order Date]])</f>
        <v>2</v>
      </c>
      <c r="L139" t="str" cm="1">
        <f t="array" ref="L139">_xlfn.IFS(orders[[#This Row],[Customer Gender]]="M","Male", orders[[#This Row],[Customer Gender]]="F","Female", orders[[#This Row],[Customer Gender]]="O","Other", TRUE,"Unknown")</f>
        <v>Female</v>
      </c>
      <c r="M139">
        <v>7</v>
      </c>
      <c r="N139">
        <v>36.4</v>
      </c>
      <c r="O139">
        <v>254.79999999999998</v>
      </c>
    </row>
    <row r="140" spans="1:15" x14ac:dyDescent="0.3">
      <c r="A140" t="s">
        <v>210</v>
      </c>
      <c r="B140" t="s">
        <v>16</v>
      </c>
      <c r="C140" s="7">
        <v>45663</v>
      </c>
      <c r="D140" s="7">
        <v>45668</v>
      </c>
      <c r="E140" t="s">
        <v>26</v>
      </c>
      <c r="F140" t="s">
        <v>34</v>
      </c>
      <c r="G140">
        <v>5</v>
      </c>
      <c r="H140" t="s">
        <v>18</v>
      </c>
      <c r="I140" t="s">
        <v>32</v>
      </c>
      <c r="J140">
        <f>orders[[#This Row],[Ship Date]]-orders[[#This Row],[Order Date]]</f>
        <v>5</v>
      </c>
      <c r="K140">
        <f>WEEKNUM(orders[[#This Row],[Order Date]])</f>
        <v>2</v>
      </c>
      <c r="L140" t="str" cm="1">
        <f t="array" ref="L140">_xlfn.IFS(orders[[#This Row],[Customer Gender]]="M","Male", orders[[#This Row],[Customer Gender]]="F","Female", orders[[#This Row],[Customer Gender]]="O","Other", TRUE,"Unknown")</f>
        <v>Female</v>
      </c>
      <c r="M140">
        <v>1</v>
      </c>
      <c r="N140">
        <v>19</v>
      </c>
      <c r="O140" s="5">
        <v>19</v>
      </c>
    </row>
    <row r="141" spans="1:15" x14ac:dyDescent="0.3">
      <c r="A141" t="s">
        <v>211</v>
      </c>
      <c r="B141" t="s">
        <v>43</v>
      </c>
      <c r="C141" s="7">
        <v>45663</v>
      </c>
      <c r="D141" s="7">
        <v>45663</v>
      </c>
      <c r="E141" t="s">
        <v>22</v>
      </c>
      <c r="F141" t="s">
        <v>17</v>
      </c>
      <c r="G141">
        <v>4</v>
      </c>
      <c r="H141" t="s">
        <v>18</v>
      </c>
      <c r="I141" t="s">
        <v>32</v>
      </c>
      <c r="J141">
        <f>orders[[#This Row],[Ship Date]]-orders[[#This Row],[Order Date]]</f>
        <v>0</v>
      </c>
      <c r="K141">
        <f>WEEKNUM(orders[[#This Row],[Order Date]])</f>
        <v>2</v>
      </c>
      <c r="L141" t="str" cm="1">
        <f t="array" ref="L141">_xlfn.IFS(orders[[#This Row],[Customer Gender]]="M","Male", orders[[#This Row],[Customer Gender]]="F","Female", orders[[#This Row],[Customer Gender]]="O","Other", TRUE,"Unknown")</f>
        <v>Male</v>
      </c>
      <c r="M141">
        <v>1</v>
      </c>
      <c r="N141">
        <v>17.8</v>
      </c>
      <c r="O141">
        <v>17.8</v>
      </c>
    </row>
    <row r="142" spans="1:15" x14ac:dyDescent="0.3">
      <c r="A142" t="s">
        <v>212</v>
      </c>
      <c r="B142" t="s">
        <v>25</v>
      </c>
      <c r="C142" s="7">
        <v>45663</v>
      </c>
      <c r="D142" s="7">
        <v>45666</v>
      </c>
      <c r="E142" t="s">
        <v>22</v>
      </c>
      <c r="F142" t="s">
        <v>17</v>
      </c>
      <c r="G142">
        <v>4</v>
      </c>
      <c r="H142" t="s">
        <v>18</v>
      </c>
      <c r="I142" t="s">
        <v>32</v>
      </c>
      <c r="J142">
        <f>orders[[#This Row],[Ship Date]]-orders[[#This Row],[Order Date]]</f>
        <v>3</v>
      </c>
      <c r="K142">
        <f>WEEKNUM(orders[[#This Row],[Order Date]])</f>
        <v>2</v>
      </c>
      <c r="L142" t="str" cm="1">
        <f t="array" ref="L142">_xlfn.IFS(orders[[#This Row],[Customer Gender]]="M","Male", orders[[#This Row],[Customer Gender]]="F","Female", orders[[#This Row],[Customer Gender]]="O","Other", TRUE,"Unknown")</f>
        <v>Male</v>
      </c>
      <c r="M142">
        <v>6</v>
      </c>
      <c r="N142">
        <v>139.6</v>
      </c>
      <c r="O142" s="5">
        <v>837.59999999999991</v>
      </c>
    </row>
    <row r="143" spans="1:15" x14ac:dyDescent="0.3">
      <c r="A143" t="s">
        <v>213</v>
      </c>
      <c r="B143" t="s">
        <v>45</v>
      </c>
      <c r="C143" s="7">
        <v>45663</v>
      </c>
      <c r="D143" s="7">
        <v>45663</v>
      </c>
      <c r="E143" t="s">
        <v>2517</v>
      </c>
      <c r="F143" t="s">
        <v>17</v>
      </c>
      <c r="G143">
        <v>4</v>
      </c>
      <c r="H143" t="s">
        <v>18</v>
      </c>
      <c r="I143" t="s">
        <v>32</v>
      </c>
      <c r="J143">
        <f>orders[[#This Row],[Ship Date]]-orders[[#This Row],[Order Date]]</f>
        <v>0</v>
      </c>
      <c r="K143">
        <f>WEEKNUM(orders[[#This Row],[Order Date]])</f>
        <v>2</v>
      </c>
      <c r="L143" t="str" cm="1">
        <f t="array" ref="L143">_xlfn.IFS(orders[[#This Row],[Customer Gender]]="M","Male", orders[[#This Row],[Customer Gender]]="F","Female", orders[[#This Row],[Customer Gender]]="O","Other", TRUE,"Unknown")</f>
        <v>Unknown</v>
      </c>
      <c r="M143">
        <v>1</v>
      </c>
      <c r="N143">
        <v>31.7</v>
      </c>
      <c r="O143">
        <v>31.7</v>
      </c>
    </row>
    <row r="144" spans="1:15" x14ac:dyDescent="0.3">
      <c r="A144" t="s">
        <v>214</v>
      </c>
      <c r="B144" t="s">
        <v>43</v>
      </c>
      <c r="C144" s="7">
        <v>45663</v>
      </c>
      <c r="D144" s="7">
        <v>45666</v>
      </c>
      <c r="E144" t="s">
        <v>26</v>
      </c>
      <c r="F144" t="s">
        <v>69</v>
      </c>
      <c r="G144">
        <v>2</v>
      </c>
      <c r="H144" t="s">
        <v>18</v>
      </c>
      <c r="I144" t="s">
        <v>32</v>
      </c>
      <c r="J144">
        <f>orders[[#This Row],[Ship Date]]-orders[[#This Row],[Order Date]]</f>
        <v>3</v>
      </c>
      <c r="K144">
        <f>WEEKNUM(orders[[#This Row],[Order Date]])</f>
        <v>2</v>
      </c>
      <c r="L144" t="str" cm="1">
        <f t="array" ref="L144">_xlfn.IFS(orders[[#This Row],[Customer Gender]]="M","Male", orders[[#This Row],[Customer Gender]]="F","Female", orders[[#This Row],[Customer Gender]]="O","Other", TRUE,"Unknown")</f>
        <v>Female</v>
      </c>
      <c r="M144">
        <v>8</v>
      </c>
      <c r="N144">
        <v>26.3</v>
      </c>
      <c r="O144" s="5">
        <v>210.4</v>
      </c>
    </row>
    <row r="145" spans="1:15" x14ac:dyDescent="0.3">
      <c r="A145" t="s">
        <v>215</v>
      </c>
      <c r="B145" t="s">
        <v>31</v>
      </c>
      <c r="C145" s="7">
        <v>45663</v>
      </c>
      <c r="D145" s="7">
        <v>45664</v>
      </c>
      <c r="E145" t="s">
        <v>2517</v>
      </c>
      <c r="F145" t="s">
        <v>17</v>
      </c>
      <c r="G145">
        <v>4</v>
      </c>
      <c r="H145" t="s">
        <v>18</v>
      </c>
      <c r="I145" t="s">
        <v>32</v>
      </c>
      <c r="J145">
        <f>orders[[#This Row],[Ship Date]]-orders[[#This Row],[Order Date]]</f>
        <v>1</v>
      </c>
      <c r="K145">
        <f>WEEKNUM(orders[[#This Row],[Order Date]])</f>
        <v>2</v>
      </c>
      <c r="L145" t="str" cm="1">
        <f t="array" ref="L145">_xlfn.IFS(orders[[#This Row],[Customer Gender]]="M","Male", orders[[#This Row],[Customer Gender]]="F","Female", orders[[#This Row],[Customer Gender]]="O","Other", TRUE,"Unknown")</f>
        <v>Unknown</v>
      </c>
      <c r="M145">
        <v>2</v>
      </c>
      <c r="N145">
        <v>47.8</v>
      </c>
      <c r="O145">
        <v>95.6</v>
      </c>
    </row>
    <row r="146" spans="1:15" x14ac:dyDescent="0.3">
      <c r="A146" t="s">
        <v>216</v>
      </c>
      <c r="B146" t="s">
        <v>45</v>
      </c>
      <c r="C146" s="7">
        <v>45663</v>
      </c>
      <c r="D146" s="7">
        <v>45667</v>
      </c>
      <c r="E146" t="s">
        <v>26</v>
      </c>
      <c r="F146" t="s">
        <v>17</v>
      </c>
      <c r="G146">
        <v>4</v>
      </c>
      <c r="H146" t="s">
        <v>18</v>
      </c>
      <c r="I146" t="s">
        <v>32</v>
      </c>
      <c r="J146">
        <f>orders[[#This Row],[Ship Date]]-orders[[#This Row],[Order Date]]</f>
        <v>4</v>
      </c>
      <c r="K146">
        <f>WEEKNUM(orders[[#This Row],[Order Date]])</f>
        <v>2</v>
      </c>
      <c r="L146" t="str" cm="1">
        <f t="array" ref="L146">_xlfn.IFS(orders[[#This Row],[Customer Gender]]="M","Male", orders[[#This Row],[Customer Gender]]="F","Female", orders[[#This Row],[Customer Gender]]="O","Other", TRUE,"Unknown")</f>
        <v>Female</v>
      </c>
      <c r="M146">
        <v>3</v>
      </c>
      <c r="N146">
        <v>69.400000000000006</v>
      </c>
      <c r="O146" s="5">
        <v>208.20000000000002</v>
      </c>
    </row>
    <row r="147" spans="1:15" x14ac:dyDescent="0.3">
      <c r="A147" t="s">
        <v>217</v>
      </c>
      <c r="B147" t="s">
        <v>145</v>
      </c>
      <c r="C147" s="7">
        <v>45663</v>
      </c>
      <c r="D147" s="7">
        <v>45664</v>
      </c>
      <c r="E147" t="s">
        <v>22</v>
      </c>
      <c r="F147" t="s">
        <v>69</v>
      </c>
      <c r="G147">
        <v>2</v>
      </c>
      <c r="H147" t="s">
        <v>18</v>
      </c>
      <c r="I147" t="s">
        <v>32</v>
      </c>
      <c r="J147">
        <f>orders[[#This Row],[Ship Date]]-orders[[#This Row],[Order Date]]</f>
        <v>1</v>
      </c>
      <c r="K147">
        <f>WEEKNUM(orders[[#This Row],[Order Date]])</f>
        <v>2</v>
      </c>
      <c r="L147" t="str" cm="1">
        <f t="array" ref="L147">_xlfn.IFS(orders[[#This Row],[Customer Gender]]="M","Male", orders[[#This Row],[Customer Gender]]="F","Female", orders[[#This Row],[Customer Gender]]="O","Other", TRUE,"Unknown")</f>
        <v>Male</v>
      </c>
      <c r="M147">
        <v>12</v>
      </c>
      <c r="N147">
        <v>25.8</v>
      </c>
      <c r="O147">
        <v>309.60000000000002</v>
      </c>
    </row>
    <row r="148" spans="1:15" x14ac:dyDescent="0.3">
      <c r="A148" t="s">
        <v>218</v>
      </c>
      <c r="B148" t="s">
        <v>16</v>
      </c>
      <c r="C148" s="7">
        <v>45663</v>
      </c>
      <c r="D148" s="7">
        <v>45664</v>
      </c>
      <c r="E148" t="s">
        <v>22</v>
      </c>
      <c r="F148" t="s">
        <v>34</v>
      </c>
      <c r="G148">
        <v>5</v>
      </c>
      <c r="H148" t="s">
        <v>18</v>
      </c>
      <c r="I148" t="s">
        <v>32</v>
      </c>
      <c r="J148">
        <f>orders[[#This Row],[Ship Date]]-orders[[#This Row],[Order Date]]</f>
        <v>1</v>
      </c>
      <c r="K148">
        <f>WEEKNUM(orders[[#This Row],[Order Date]])</f>
        <v>2</v>
      </c>
      <c r="L148" t="str" cm="1">
        <f t="array" ref="L148">_xlfn.IFS(orders[[#This Row],[Customer Gender]]="M","Male", orders[[#This Row],[Customer Gender]]="F","Female", orders[[#This Row],[Customer Gender]]="O","Other", TRUE,"Unknown")</f>
        <v>Male</v>
      </c>
      <c r="M148">
        <v>4</v>
      </c>
      <c r="N148">
        <v>26.4</v>
      </c>
      <c r="O148" s="5">
        <v>105.6</v>
      </c>
    </row>
    <row r="149" spans="1:15" x14ac:dyDescent="0.3">
      <c r="A149" t="s">
        <v>219</v>
      </c>
      <c r="B149" t="s">
        <v>43</v>
      </c>
      <c r="C149" s="7">
        <v>45663</v>
      </c>
      <c r="D149" s="7">
        <v>45664</v>
      </c>
      <c r="E149" t="s">
        <v>22</v>
      </c>
      <c r="F149" t="s">
        <v>39</v>
      </c>
      <c r="G149">
        <v>4</v>
      </c>
      <c r="H149" t="s">
        <v>18</v>
      </c>
      <c r="I149" t="s">
        <v>32</v>
      </c>
      <c r="J149">
        <f>orders[[#This Row],[Ship Date]]-orders[[#This Row],[Order Date]]</f>
        <v>1</v>
      </c>
      <c r="K149">
        <f>WEEKNUM(orders[[#This Row],[Order Date]])</f>
        <v>2</v>
      </c>
      <c r="L149" t="str" cm="1">
        <f t="array" ref="L149">_xlfn.IFS(orders[[#This Row],[Customer Gender]]="M","Male", orders[[#This Row],[Customer Gender]]="F","Female", orders[[#This Row],[Customer Gender]]="O","Other", TRUE,"Unknown")</f>
        <v>Male</v>
      </c>
      <c r="M149">
        <v>4</v>
      </c>
      <c r="N149">
        <v>15.7</v>
      </c>
      <c r="O149">
        <v>62.8</v>
      </c>
    </row>
    <row r="150" spans="1:15" x14ac:dyDescent="0.3">
      <c r="A150" t="s">
        <v>220</v>
      </c>
      <c r="B150" t="s">
        <v>43</v>
      </c>
      <c r="C150" s="7">
        <v>45663</v>
      </c>
      <c r="D150" s="7">
        <v>45667</v>
      </c>
      <c r="E150" t="s">
        <v>22</v>
      </c>
      <c r="F150" t="s">
        <v>17</v>
      </c>
      <c r="G150">
        <v>4</v>
      </c>
      <c r="H150" t="s">
        <v>18</v>
      </c>
      <c r="I150" t="s">
        <v>32</v>
      </c>
      <c r="J150">
        <f>orders[[#This Row],[Ship Date]]-orders[[#This Row],[Order Date]]</f>
        <v>4</v>
      </c>
      <c r="K150">
        <f>WEEKNUM(orders[[#This Row],[Order Date]])</f>
        <v>2</v>
      </c>
      <c r="L150" t="str" cm="1">
        <f t="array" ref="L150">_xlfn.IFS(orders[[#This Row],[Customer Gender]]="M","Male", orders[[#This Row],[Customer Gender]]="F","Female", orders[[#This Row],[Customer Gender]]="O","Other", TRUE,"Unknown")</f>
        <v>Male</v>
      </c>
      <c r="M150">
        <v>1</v>
      </c>
      <c r="N150">
        <v>39.700000000000003</v>
      </c>
      <c r="O150" s="5">
        <v>39.700000000000003</v>
      </c>
    </row>
    <row r="151" spans="1:15" x14ac:dyDescent="0.3">
      <c r="A151" t="s">
        <v>221</v>
      </c>
      <c r="B151" t="s">
        <v>53</v>
      </c>
      <c r="C151" s="7">
        <v>45663</v>
      </c>
      <c r="D151" s="7">
        <v>45665</v>
      </c>
      <c r="E151" t="s">
        <v>26</v>
      </c>
      <c r="F151" t="s">
        <v>39</v>
      </c>
      <c r="G151">
        <v>3</v>
      </c>
      <c r="H151" t="s">
        <v>18</v>
      </c>
      <c r="I151" t="s">
        <v>32</v>
      </c>
      <c r="J151">
        <f>orders[[#This Row],[Ship Date]]-orders[[#This Row],[Order Date]]</f>
        <v>2</v>
      </c>
      <c r="K151">
        <f>WEEKNUM(orders[[#This Row],[Order Date]])</f>
        <v>2</v>
      </c>
      <c r="L151" t="str" cm="1">
        <f t="array" ref="L151">_xlfn.IFS(orders[[#This Row],[Customer Gender]]="M","Male", orders[[#This Row],[Customer Gender]]="F","Female", orders[[#This Row],[Customer Gender]]="O","Other", TRUE,"Unknown")</f>
        <v>Female</v>
      </c>
      <c r="M151">
        <v>4</v>
      </c>
      <c r="N151">
        <v>31.1</v>
      </c>
      <c r="O151">
        <v>124.4</v>
      </c>
    </row>
    <row r="152" spans="1:15" x14ac:dyDescent="0.3">
      <c r="A152" t="s">
        <v>222</v>
      </c>
      <c r="B152" t="s">
        <v>75</v>
      </c>
      <c r="C152" s="7">
        <v>45663</v>
      </c>
      <c r="D152" s="7">
        <v>45672</v>
      </c>
      <c r="E152" t="s">
        <v>22</v>
      </c>
      <c r="F152" t="s">
        <v>17</v>
      </c>
      <c r="G152">
        <v>4</v>
      </c>
      <c r="H152" t="s">
        <v>18</v>
      </c>
      <c r="I152" t="s">
        <v>32</v>
      </c>
      <c r="J152">
        <f>orders[[#This Row],[Ship Date]]-orders[[#This Row],[Order Date]]</f>
        <v>9</v>
      </c>
      <c r="K152">
        <f>WEEKNUM(orders[[#This Row],[Order Date]])</f>
        <v>2</v>
      </c>
      <c r="L152" t="str" cm="1">
        <f t="array" ref="L152">_xlfn.IFS(orders[[#This Row],[Customer Gender]]="M","Male", orders[[#This Row],[Customer Gender]]="F","Female", orders[[#This Row],[Customer Gender]]="O","Other", TRUE,"Unknown")</f>
        <v>Male</v>
      </c>
      <c r="M152">
        <v>15</v>
      </c>
      <c r="N152">
        <v>23.4</v>
      </c>
      <c r="O152" s="5">
        <v>351</v>
      </c>
    </row>
    <row r="153" spans="1:15" x14ac:dyDescent="0.3">
      <c r="A153" t="s">
        <v>223</v>
      </c>
      <c r="B153" t="s">
        <v>21</v>
      </c>
      <c r="C153" s="7">
        <v>45664</v>
      </c>
      <c r="D153" s="7">
        <v>45665</v>
      </c>
      <c r="E153" t="s">
        <v>22</v>
      </c>
      <c r="F153" t="s">
        <v>39</v>
      </c>
      <c r="G153">
        <v>4</v>
      </c>
      <c r="H153" t="s">
        <v>18</v>
      </c>
      <c r="I153" t="s">
        <v>187</v>
      </c>
      <c r="J153">
        <f>orders[[#This Row],[Ship Date]]-orders[[#This Row],[Order Date]]</f>
        <v>1</v>
      </c>
      <c r="K153">
        <f>WEEKNUM(orders[[#This Row],[Order Date]])</f>
        <v>2</v>
      </c>
      <c r="L153" t="str" cm="1">
        <f t="array" ref="L153">_xlfn.IFS(orders[[#This Row],[Customer Gender]]="M","Male", orders[[#This Row],[Customer Gender]]="F","Female", orders[[#This Row],[Customer Gender]]="O","Other", TRUE,"Unknown")</f>
        <v>Male</v>
      </c>
      <c r="M153">
        <v>4</v>
      </c>
      <c r="N153">
        <v>57.1</v>
      </c>
      <c r="O153">
        <v>228.4</v>
      </c>
    </row>
    <row r="154" spans="1:15" x14ac:dyDescent="0.3">
      <c r="A154" t="s">
        <v>224</v>
      </c>
      <c r="B154" t="s">
        <v>25</v>
      </c>
      <c r="C154" s="7">
        <v>45664</v>
      </c>
      <c r="D154" s="7">
        <v>45664</v>
      </c>
      <c r="E154" t="s">
        <v>26</v>
      </c>
      <c r="F154" t="s">
        <v>17</v>
      </c>
      <c r="G154">
        <v>1</v>
      </c>
      <c r="H154" t="s">
        <v>18</v>
      </c>
      <c r="I154" t="s">
        <v>157</v>
      </c>
      <c r="J154">
        <f>orders[[#This Row],[Ship Date]]-orders[[#This Row],[Order Date]]</f>
        <v>0</v>
      </c>
      <c r="K154">
        <f>WEEKNUM(orders[[#This Row],[Order Date]])</f>
        <v>2</v>
      </c>
      <c r="L154" t="str" cm="1">
        <f t="array" ref="L154">_xlfn.IFS(orders[[#This Row],[Customer Gender]]="M","Male", orders[[#This Row],[Customer Gender]]="F","Female", orders[[#This Row],[Customer Gender]]="O","Other", TRUE,"Unknown")</f>
        <v>Female</v>
      </c>
      <c r="M154">
        <v>5</v>
      </c>
      <c r="N154">
        <v>89.9</v>
      </c>
      <c r="O154" s="5">
        <v>449.5</v>
      </c>
    </row>
    <row r="155" spans="1:15" x14ac:dyDescent="0.3">
      <c r="A155" t="s">
        <v>225</v>
      </c>
      <c r="B155" t="s">
        <v>53</v>
      </c>
      <c r="C155" s="7">
        <v>45664</v>
      </c>
      <c r="D155" s="7">
        <v>45666</v>
      </c>
      <c r="E155" t="s">
        <v>26</v>
      </c>
      <c r="F155" t="s">
        <v>34</v>
      </c>
      <c r="G155">
        <v>5</v>
      </c>
      <c r="H155" t="s">
        <v>18</v>
      </c>
      <c r="I155" t="s">
        <v>54</v>
      </c>
      <c r="J155">
        <f>orders[[#This Row],[Ship Date]]-orders[[#This Row],[Order Date]]</f>
        <v>2</v>
      </c>
      <c r="K155">
        <f>WEEKNUM(orders[[#This Row],[Order Date]])</f>
        <v>2</v>
      </c>
      <c r="L155" t="str" cm="1">
        <f t="array" ref="L155">_xlfn.IFS(orders[[#This Row],[Customer Gender]]="M","Male", orders[[#This Row],[Customer Gender]]="F","Female", orders[[#This Row],[Customer Gender]]="O","Other", TRUE,"Unknown")</f>
        <v>Female</v>
      </c>
      <c r="M155">
        <v>7</v>
      </c>
      <c r="N155">
        <v>48.1</v>
      </c>
      <c r="O155">
        <v>336.7</v>
      </c>
    </row>
    <row r="156" spans="1:15" x14ac:dyDescent="0.3">
      <c r="A156" t="s">
        <v>226</v>
      </c>
      <c r="B156" t="s">
        <v>43</v>
      </c>
      <c r="C156" s="7">
        <v>45664</v>
      </c>
      <c r="D156" s="7">
        <v>45664</v>
      </c>
      <c r="E156" t="s">
        <v>26</v>
      </c>
      <c r="F156" t="s">
        <v>34</v>
      </c>
      <c r="G156">
        <v>3</v>
      </c>
      <c r="H156" t="s">
        <v>18</v>
      </c>
      <c r="I156" t="s">
        <v>54</v>
      </c>
      <c r="J156">
        <f>orders[[#This Row],[Ship Date]]-orders[[#This Row],[Order Date]]</f>
        <v>0</v>
      </c>
      <c r="K156">
        <f>WEEKNUM(orders[[#This Row],[Order Date]])</f>
        <v>2</v>
      </c>
      <c r="L156" t="str" cm="1">
        <f t="array" ref="L156">_xlfn.IFS(orders[[#This Row],[Customer Gender]]="M","Male", orders[[#This Row],[Customer Gender]]="F","Female", orders[[#This Row],[Customer Gender]]="O","Other", TRUE,"Unknown")</f>
        <v>Female</v>
      </c>
      <c r="M156">
        <v>2</v>
      </c>
      <c r="N156">
        <v>29.3</v>
      </c>
      <c r="O156" s="5">
        <v>58.6</v>
      </c>
    </row>
    <row r="157" spans="1:15" x14ac:dyDescent="0.3">
      <c r="A157" t="s">
        <v>227</v>
      </c>
      <c r="B157" t="s">
        <v>43</v>
      </c>
      <c r="C157" s="7">
        <v>45664</v>
      </c>
      <c r="D157" s="7">
        <v>45665</v>
      </c>
      <c r="E157" t="s">
        <v>26</v>
      </c>
      <c r="F157" t="s">
        <v>17</v>
      </c>
      <c r="G157">
        <v>2</v>
      </c>
      <c r="H157" t="s">
        <v>18</v>
      </c>
      <c r="I157" t="s">
        <v>54</v>
      </c>
      <c r="J157">
        <f>orders[[#This Row],[Ship Date]]-orders[[#This Row],[Order Date]]</f>
        <v>1</v>
      </c>
      <c r="K157">
        <f>WEEKNUM(orders[[#This Row],[Order Date]])</f>
        <v>2</v>
      </c>
      <c r="L157" t="str" cm="1">
        <f t="array" ref="L157">_xlfn.IFS(orders[[#This Row],[Customer Gender]]="M","Male", orders[[#This Row],[Customer Gender]]="F","Female", orders[[#This Row],[Customer Gender]]="O","Other", TRUE,"Unknown")</f>
        <v>Female</v>
      </c>
      <c r="M157">
        <v>4</v>
      </c>
      <c r="N157">
        <v>28.8</v>
      </c>
      <c r="O157">
        <v>115.2</v>
      </c>
    </row>
    <row r="158" spans="1:15" x14ac:dyDescent="0.3">
      <c r="A158" t="s">
        <v>228</v>
      </c>
      <c r="B158" t="s">
        <v>53</v>
      </c>
      <c r="C158" s="7">
        <v>45664</v>
      </c>
      <c r="D158" s="7">
        <v>45668</v>
      </c>
      <c r="E158" t="s">
        <v>26</v>
      </c>
      <c r="F158" t="s">
        <v>50</v>
      </c>
      <c r="G158">
        <v>4</v>
      </c>
      <c r="H158" t="s">
        <v>18</v>
      </c>
      <c r="I158" t="s">
        <v>54</v>
      </c>
      <c r="J158">
        <f>orders[[#This Row],[Ship Date]]-orders[[#This Row],[Order Date]]</f>
        <v>4</v>
      </c>
      <c r="K158">
        <f>WEEKNUM(orders[[#This Row],[Order Date]])</f>
        <v>2</v>
      </c>
      <c r="L158" t="str" cm="1">
        <f t="array" ref="L158">_xlfn.IFS(orders[[#This Row],[Customer Gender]]="M","Male", orders[[#This Row],[Customer Gender]]="F","Female", orders[[#This Row],[Customer Gender]]="O","Other", TRUE,"Unknown")</f>
        <v>Female</v>
      </c>
      <c r="M158">
        <v>5</v>
      </c>
      <c r="N158">
        <v>40.5</v>
      </c>
      <c r="O158" s="5">
        <v>202.5</v>
      </c>
    </row>
    <row r="159" spans="1:15" x14ac:dyDescent="0.3">
      <c r="A159" t="s">
        <v>229</v>
      </c>
      <c r="B159" t="s">
        <v>145</v>
      </c>
      <c r="C159" s="7">
        <v>45664</v>
      </c>
      <c r="D159" s="7">
        <v>45665</v>
      </c>
      <c r="E159" t="s">
        <v>26</v>
      </c>
      <c r="F159" t="s">
        <v>69</v>
      </c>
      <c r="G159">
        <v>4</v>
      </c>
      <c r="H159" t="s">
        <v>18</v>
      </c>
      <c r="I159" t="s">
        <v>58</v>
      </c>
      <c r="J159">
        <f>orders[[#This Row],[Ship Date]]-orders[[#This Row],[Order Date]]</f>
        <v>1</v>
      </c>
      <c r="K159">
        <f>WEEKNUM(orders[[#This Row],[Order Date]])</f>
        <v>2</v>
      </c>
      <c r="L159" t="str" cm="1">
        <f t="array" ref="L159">_xlfn.IFS(orders[[#This Row],[Customer Gender]]="M","Male", orders[[#This Row],[Customer Gender]]="F","Female", orders[[#This Row],[Customer Gender]]="O","Other", TRUE,"Unknown")</f>
        <v>Female</v>
      </c>
      <c r="M159">
        <v>14</v>
      </c>
      <c r="N159">
        <v>65.099999999999994</v>
      </c>
      <c r="O159">
        <v>911.39999999999986</v>
      </c>
    </row>
    <row r="160" spans="1:15" x14ac:dyDescent="0.3">
      <c r="A160" t="s">
        <v>230</v>
      </c>
      <c r="B160" t="s">
        <v>43</v>
      </c>
      <c r="C160" s="7">
        <v>45664</v>
      </c>
      <c r="D160" s="7">
        <v>45669</v>
      </c>
      <c r="E160" t="s">
        <v>26</v>
      </c>
      <c r="F160" t="s">
        <v>39</v>
      </c>
      <c r="G160">
        <v>4</v>
      </c>
      <c r="H160" t="s">
        <v>18</v>
      </c>
      <c r="I160" t="s">
        <v>58</v>
      </c>
      <c r="J160">
        <f>orders[[#This Row],[Ship Date]]-orders[[#This Row],[Order Date]]</f>
        <v>5</v>
      </c>
      <c r="K160">
        <f>WEEKNUM(orders[[#This Row],[Order Date]])</f>
        <v>2</v>
      </c>
      <c r="L160" t="str" cm="1">
        <f t="array" ref="L160">_xlfn.IFS(orders[[#This Row],[Customer Gender]]="M","Male", orders[[#This Row],[Customer Gender]]="F","Female", orders[[#This Row],[Customer Gender]]="O","Other", TRUE,"Unknown")</f>
        <v>Female</v>
      </c>
      <c r="M160">
        <v>4</v>
      </c>
      <c r="N160">
        <v>40.299999999999997</v>
      </c>
      <c r="O160" s="5">
        <v>161.19999999999999</v>
      </c>
    </row>
    <row r="161" spans="1:15" x14ac:dyDescent="0.3">
      <c r="A161" t="s">
        <v>231</v>
      </c>
      <c r="B161" t="s">
        <v>38</v>
      </c>
      <c r="C161" s="7">
        <v>45664</v>
      </c>
      <c r="D161" s="7">
        <v>45665</v>
      </c>
      <c r="E161" t="s">
        <v>22</v>
      </c>
      <c r="F161" t="s">
        <v>39</v>
      </c>
      <c r="G161">
        <v>5</v>
      </c>
      <c r="H161" t="s">
        <v>18</v>
      </c>
      <c r="I161" t="s">
        <v>61</v>
      </c>
      <c r="J161">
        <f>orders[[#This Row],[Ship Date]]-orders[[#This Row],[Order Date]]</f>
        <v>1</v>
      </c>
      <c r="K161">
        <f>WEEKNUM(orders[[#This Row],[Order Date]])</f>
        <v>2</v>
      </c>
      <c r="L161" t="str" cm="1">
        <f t="array" ref="L161">_xlfn.IFS(orders[[#This Row],[Customer Gender]]="M","Male", orders[[#This Row],[Customer Gender]]="F","Female", orders[[#This Row],[Customer Gender]]="O","Other", TRUE,"Unknown")</f>
        <v>Male</v>
      </c>
      <c r="M161">
        <v>5</v>
      </c>
      <c r="N161">
        <v>51.8</v>
      </c>
      <c r="O161">
        <v>259</v>
      </c>
    </row>
    <row r="162" spans="1:15" x14ac:dyDescent="0.3">
      <c r="A162" t="s">
        <v>232</v>
      </c>
      <c r="B162" t="s">
        <v>38</v>
      </c>
      <c r="C162" s="7">
        <v>45664</v>
      </c>
      <c r="D162" s="7">
        <v>45665</v>
      </c>
      <c r="E162" t="s">
        <v>26</v>
      </c>
      <c r="F162" t="s">
        <v>50</v>
      </c>
      <c r="G162">
        <v>4</v>
      </c>
      <c r="H162" t="s">
        <v>18</v>
      </c>
      <c r="I162" t="s">
        <v>61</v>
      </c>
      <c r="J162">
        <f>orders[[#This Row],[Ship Date]]-orders[[#This Row],[Order Date]]</f>
        <v>1</v>
      </c>
      <c r="K162">
        <f>WEEKNUM(orders[[#This Row],[Order Date]])</f>
        <v>2</v>
      </c>
      <c r="L162" t="str" cm="1">
        <f t="array" ref="L162">_xlfn.IFS(orders[[#This Row],[Customer Gender]]="M","Male", orders[[#This Row],[Customer Gender]]="F","Female", orders[[#This Row],[Customer Gender]]="O","Other", TRUE,"Unknown")</f>
        <v>Female</v>
      </c>
      <c r="M162">
        <v>3</v>
      </c>
      <c r="N162">
        <v>61.3</v>
      </c>
      <c r="O162" s="5">
        <v>183.89999999999998</v>
      </c>
    </row>
    <row r="163" spans="1:15" x14ac:dyDescent="0.3">
      <c r="A163" t="s">
        <v>233</v>
      </c>
      <c r="B163" t="s">
        <v>25</v>
      </c>
      <c r="C163" s="7">
        <v>45664</v>
      </c>
      <c r="D163" s="7">
        <v>45665</v>
      </c>
      <c r="E163" t="s">
        <v>22</v>
      </c>
      <c r="F163" t="s">
        <v>17</v>
      </c>
      <c r="G163">
        <v>4</v>
      </c>
      <c r="H163" t="s">
        <v>18</v>
      </c>
      <c r="I163" t="s">
        <v>61</v>
      </c>
      <c r="J163">
        <f>orders[[#This Row],[Ship Date]]-orders[[#This Row],[Order Date]]</f>
        <v>1</v>
      </c>
      <c r="K163">
        <f>WEEKNUM(orders[[#This Row],[Order Date]])</f>
        <v>2</v>
      </c>
      <c r="L163" t="str" cm="1">
        <f t="array" ref="L163">_xlfn.IFS(orders[[#This Row],[Customer Gender]]="M","Male", orders[[#This Row],[Customer Gender]]="F","Female", orders[[#This Row],[Customer Gender]]="O","Other", TRUE,"Unknown")</f>
        <v>Male</v>
      </c>
      <c r="M163">
        <v>4</v>
      </c>
      <c r="N163">
        <v>122.5</v>
      </c>
      <c r="O163">
        <v>490</v>
      </c>
    </row>
    <row r="164" spans="1:15" x14ac:dyDescent="0.3">
      <c r="A164" t="s">
        <v>234</v>
      </c>
      <c r="B164" t="s">
        <v>16</v>
      </c>
      <c r="C164" s="7">
        <v>45664</v>
      </c>
      <c r="D164" s="7">
        <v>45665</v>
      </c>
      <c r="E164" t="s">
        <v>2517</v>
      </c>
      <c r="F164" t="s">
        <v>34</v>
      </c>
      <c r="G164">
        <v>5</v>
      </c>
      <c r="H164" t="s">
        <v>18</v>
      </c>
      <c r="I164" t="s">
        <v>61</v>
      </c>
      <c r="J164">
        <f>orders[[#This Row],[Ship Date]]-orders[[#This Row],[Order Date]]</f>
        <v>1</v>
      </c>
      <c r="K164">
        <f>WEEKNUM(orders[[#This Row],[Order Date]])</f>
        <v>2</v>
      </c>
      <c r="L164" t="str" cm="1">
        <f t="array" ref="L164">_xlfn.IFS(orders[[#This Row],[Customer Gender]]="M","Male", orders[[#This Row],[Customer Gender]]="F","Female", orders[[#This Row],[Customer Gender]]="O","Other", TRUE,"Unknown")</f>
        <v>Unknown</v>
      </c>
      <c r="M164">
        <v>9</v>
      </c>
      <c r="N164">
        <v>12.5</v>
      </c>
      <c r="O164" s="5">
        <v>112.5</v>
      </c>
    </row>
    <row r="165" spans="1:15" x14ac:dyDescent="0.3">
      <c r="A165" t="s">
        <v>235</v>
      </c>
      <c r="B165" t="s">
        <v>122</v>
      </c>
      <c r="C165" s="7">
        <v>45664</v>
      </c>
      <c r="D165" s="7">
        <v>45665</v>
      </c>
      <c r="E165" t="s">
        <v>26</v>
      </c>
      <c r="F165" t="s">
        <v>17</v>
      </c>
      <c r="G165">
        <v>4</v>
      </c>
      <c r="H165" t="s">
        <v>18</v>
      </c>
      <c r="I165" t="s">
        <v>71</v>
      </c>
      <c r="J165">
        <f>orders[[#This Row],[Ship Date]]-orders[[#This Row],[Order Date]]</f>
        <v>1</v>
      </c>
      <c r="K165">
        <f>WEEKNUM(orders[[#This Row],[Order Date]])</f>
        <v>2</v>
      </c>
      <c r="L165" t="str" cm="1">
        <f t="array" ref="L165">_xlfn.IFS(orders[[#This Row],[Customer Gender]]="M","Male", orders[[#This Row],[Customer Gender]]="F","Female", orders[[#This Row],[Customer Gender]]="O","Other", TRUE,"Unknown")</f>
        <v>Female</v>
      </c>
      <c r="M165">
        <v>8</v>
      </c>
      <c r="N165">
        <v>37.5</v>
      </c>
      <c r="O165">
        <v>300</v>
      </c>
    </row>
    <row r="166" spans="1:15" x14ac:dyDescent="0.3">
      <c r="A166" t="s">
        <v>236</v>
      </c>
      <c r="B166" t="s">
        <v>38</v>
      </c>
      <c r="C166" s="7">
        <v>45664</v>
      </c>
      <c r="D166" s="7">
        <v>45667</v>
      </c>
      <c r="E166" t="s">
        <v>22</v>
      </c>
      <c r="F166" t="s">
        <v>17</v>
      </c>
      <c r="G166">
        <v>2</v>
      </c>
      <c r="H166" t="s">
        <v>18</v>
      </c>
      <c r="I166" t="s">
        <v>76</v>
      </c>
      <c r="J166">
        <f>orders[[#This Row],[Ship Date]]-orders[[#This Row],[Order Date]]</f>
        <v>3</v>
      </c>
      <c r="K166">
        <f>WEEKNUM(orders[[#This Row],[Order Date]])</f>
        <v>2</v>
      </c>
      <c r="L166" t="str" cm="1">
        <f t="array" ref="L166">_xlfn.IFS(orders[[#This Row],[Customer Gender]]="M","Male", orders[[#This Row],[Customer Gender]]="F","Female", orders[[#This Row],[Customer Gender]]="O","Other", TRUE,"Unknown")</f>
        <v>Male</v>
      </c>
      <c r="M166">
        <v>3</v>
      </c>
      <c r="N166">
        <v>40</v>
      </c>
      <c r="O166" s="5">
        <v>120</v>
      </c>
    </row>
    <row r="167" spans="1:15" x14ac:dyDescent="0.3">
      <c r="A167" t="s">
        <v>237</v>
      </c>
      <c r="B167" t="s">
        <v>134</v>
      </c>
      <c r="C167" s="7">
        <v>45664</v>
      </c>
      <c r="D167" s="7">
        <v>45669</v>
      </c>
      <c r="E167" t="s">
        <v>26</v>
      </c>
      <c r="F167" t="s">
        <v>39</v>
      </c>
      <c r="G167">
        <v>3</v>
      </c>
      <c r="H167" t="s">
        <v>18</v>
      </c>
      <c r="I167" t="s">
        <v>76</v>
      </c>
      <c r="J167">
        <f>orders[[#This Row],[Ship Date]]-orders[[#This Row],[Order Date]]</f>
        <v>5</v>
      </c>
      <c r="K167">
        <f>WEEKNUM(orders[[#This Row],[Order Date]])</f>
        <v>2</v>
      </c>
      <c r="L167" t="str" cm="1">
        <f t="array" ref="L167">_xlfn.IFS(orders[[#This Row],[Customer Gender]]="M","Male", orders[[#This Row],[Customer Gender]]="F","Female", orders[[#This Row],[Customer Gender]]="O","Other", TRUE,"Unknown")</f>
        <v>Female</v>
      </c>
      <c r="M167">
        <v>8</v>
      </c>
      <c r="N167">
        <v>38.5</v>
      </c>
      <c r="O167">
        <v>308</v>
      </c>
    </row>
    <row r="168" spans="1:15" x14ac:dyDescent="0.3">
      <c r="A168" t="s">
        <v>238</v>
      </c>
      <c r="B168" t="s">
        <v>25</v>
      </c>
      <c r="C168" s="7">
        <v>45664</v>
      </c>
      <c r="D168" s="7">
        <v>45666</v>
      </c>
      <c r="E168" t="s">
        <v>26</v>
      </c>
      <c r="F168" t="s">
        <v>17</v>
      </c>
      <c r="G168">
        <v>4</v>
      </c>
      <c r="H168" t="s">
        <v>18</v>
      </c>
      <c r="I168" t="s">
        <v>107</v>
      </c>
      <c r="J168">
        <f>orders[[#This Row],[Ship Date]]-orders[[#This Row],[Order Date]]</f>
        <v>2</v>
      </c>
      <c r="K168">
        <f>WEEKNUM(orders[[#This Row],[Order Date]])</f>
        <v>2</v>
      </c>
      <c r="L168" t="str" cm="1">
        <f t="array" ref="L168">_xlfn.IFS(orders[[#This Row],[Customer Gender]]="M","Male", orders[[#This Row],[Customer Gender]]="F","Female", orders[[#This Row],[Customer Gender]]="O","Other", TRUE,"Unknown")</f>
        <v>Female</v>
      </c>
      <c r="M168">
        <v>2</v>
      </c>
      <c r="N168">
        <v>86.4</v>
      </c>
      <c r="O168" s="5">
        <v>172.8</v>
      </c>
    </row>
    <row r="169" spans="1:15" x14ac:dyDescent="0.3">
      <c r="A169" t="s">
        <v>239</v>
      </c>
      <c r="B169" t="s">
        <v>53</v>
      </c>
      <c r="C169" s="7">
        <v>45664</v>
      </c>
      <c r="D169" s="7">
        <v>45668</v>
      </c>
      <c r="E169" t="s">
        <v>26</v>
      </c>
      <c r="F169" t="s">
        <v>34</v>
      </c>
      <c r="G169">
        <v>4</v>
      </c>
      <c r="H169" t="s">
        <v>18</v>
      </c>
      <c r="I169" t="s">
        <v>107</v>
      </c>
      <c r="J169">
        <f>orders[[#This Row],[Ship Date]]-orders[[#This Row],[Order Date]]</f>
        <v>4</v>
      </c>
      <c r="K169">
        <f>WEEKNUM(orders[[#This Row],[Order Date]])</f>
        <v>2</v>
      </c>
      <c r="L169" t="str" cm="1">
        <f t="array" ref="L169">_xlfn.IFS(orders[[#This Row],[Customer Gender]]="M","Male", orders[[#This Row],[Customer Gender]]="F","Female", orders[[#This Row],[Customer Gender]]="O","Other", TRUE,"Unknown")</f>
        <v>Female</v>
      </c>
      <c r="M169">
        <v>1</v>
      </c>
      <c r="N169">
        <v>50.7</v>
      </c>
      <c r="O169">
        <v>50.7</v>
      </c>
    </row>
    <row r="170" spans="1:15" x14ac:dyDescent="0.3">
      <c r="A170" t="s">
        <v>240</v>
      </c>
      <c r="B170" t="s">
        <v>53</v>
      </c>
      <c r="C170" s="7">
        <v>45664</v>
      </c>
      <c r="D170" s="7">
        <v>45675</v>
      </c>
      <c r="E170" t="s">
        <v>26</v>
      </c>
      <c r="F170" t="s">
        <v>69</v>
      </c>
      <c r="G170">
        <v>3</v>
      </c>
      <c r="H170" t="s">
        <v>18</v>
      </c>
      <c r="I170" t="s">
        <v>107</v>
      </c>
      <c r="J170">
        <f>orders[[#This Row],[Ship Date]]-orders[[#This Row],[Order Date]]</f>
        <v>11</v>
      </c>
      <c r="K170">
        <f>WEEKNUM(orders[[#This Row],[Order Date]])</f>
        <v>2</v>
      </c>
      <c r="L170" t="str" cm="1">
        <f t="array" ref="L170">_xlfn.IFS(orders[[#This Row],[Customer Gender]]="M","Male", orders[[#This Row],[Customer Gender]]="F","Female", orders[[#This Row],[Customer Gender]]="O","Other", TRUE,"Unknown")</f>
        <v>Female</v>
      </c>
      <c r="M170">
        <v>2</v>
      </c>
      <c r="N170">
        <v>61</v>
      </c>
      <c r="O170" s="5">
        <v>122</v>
      </c>
    </row>
    <row r="171" spans="1:15" x14ac:dyDescent="0.3">
      <c r="A171" t="s">
        <v>241</v>
      </c>
      <c r="B171" t="s">
        <v>31</v>
      </c>
      <c r="C171" s="7">
        <v>45664</v>
      </c>
      <c r="D171" s="7">
        <v>45667</v>
      </c>
      <c r="E171" t="s">
        <v>26</v>
      </c>
      <c r="F171" t="s">
        <v>34</v>
      </c>
      <c r="G171">
        <v>4</v>
      </c>
      <c r="H171" t="s">
        <v>18</v>
      </c>
      <c r="I171" t="s">
        <v>242</v>
      </c>
      <c r="J171">
        <f>orders[[#This Row],[Ship Date]]-orders[[#This Row],[Order Date]]</f>
        <v>3</v>
      </c>
      <c r="K171">
        <f>WEEKNUM(orders[[#This Row],[Order Date]])</f>
        <v>2</v>
      </c>
      <c r="L171" t="str" cm="1">
        <f t="array" ref="L171">_xlfn.IFS(orders[[#This Row],[Customer Gender]]="M","Male", orders[[#This Row],[Customer Gender]]="F","Female", orders[[#This Row],[Customer Gender]]="O","Other", TRUE,"Unknown")</f>
        <v>Female</v>
      </c>
      <c r="M171">
        <v>2</v>
      </c>
      <c r="N171">
        <v>19.899999999999999</v>
      </c>
      <c r="O171">
        <v>39.799999999999997</v>
      </c>
    </row>
    <row r="172" spans="1:15" x14ac:dyDescent="0.3">
      <c r="A172" t="s">
        <v>243</v>
      </c>
      <c r="B172" t="s">
        <v>36</v>
      </c>
      <c r="C172" s="7">
        <v>45664</v>
      </c>
      <c r="D172" s="7">
        <v>45664</v>
      </c>
      <c r="E172" t="s">
        <v>26</v>
      </c>
      <c r="F172" t="s">
        <v>17</v>
      </c>
      <c r="G172">
        <v>5</v>
      </c>
      <c r="H172" t="s">
        <v>18</v>
      </c>
      <c r="I172" t="s">
        <v>23</v>
      </c>
      <c r="J172">
        <f>orders[[#This Row],[Ship Date]]-orders[[#This Row],[Order Date]]</f>
        <v>0</v>
      </c>
      <c r="K172">
        <f>WEEKNUM(orders[[#This Row],[Order Date]])</f>
        <v>2</v>
      </c>
      <c r="L172" t="str" cm="1">
        <f t="array" ref="L172">_xlfn.IFS(orders[[#This Row],[Customer Gender]]="M","Male", orders[[#This Row],[Customer Gender]]="F","Female", orders[[#This Row],[Customer Gender]]="O","Other", TRUE,"Unknown")</f>
        <v>Female</v>
      </c>
      <c r="M172">
        <v>1</v>
      </c>
      <c r="N172">
        <v>78.3</v>
      </c>
      <c r="O172" s="5">
        <v>78.3</v>
      </c>
    </row>
    <row r="173" spans="1:15" x14ac:dyDescent="0.3">
      <c r="A173" t="s">
        <v>244</v>
      </c>
      <c r="B173" t="s">
        <v>16</v>
      </c>
      <c r="C173" s="7">
        <v>45664</v>
      </c>
      <c r="D173" s="7">
        <v>45666</v>
      </c>
      <c r="E173" t="s">
        <v>22</v>
      </c>
      <c r="F173" t="s">
        <v>17</v>
      </c>
      <c r="G173">
        <v>5</v>
      </c>
      <c r="H173" t="s">
        <v>18</v>
      </c>
      <c r="I173" t="s">
        <v>27</v>
      </c>
      <c r="J173">
        <f>orders[[#This Row],[Ship Date]]-orders[[#This Row],[Order Date]]</f>
        <v>2</v>
      </c>
      <c r="K173">
        <f>WEEKNUM(orders[[#This Row],[Order Date]])</f>
        <v>2</v>
      </c>
      <c r="L173" t="str" cm="1">
        <f t="array" ref="L173">_xlfn.IFS(orders[[#This Row],[Customer Gender]]="M","Male", orders[[#This Row],[Customer Gender]]="F","Female", orders[[#This Row],[Customer Gender]]="O","Other", TRUE,"Unknown")</f>
        <v>Male</v>
      </c>
      <c r="M173">
        <v>19</v>
      </c>
      <c r="N173">
        <v>10.4</v>
      </c>
      <c r="O173">
        <v>197.6</v>
      </c>
    </row>
    <row r="174" spans="1:15" x14ac:dyDescent="0.3">
      <c r="A174" t="s">
        <v>245</v>
      </c>
      <c r="B174" t="s">
        <v>53</v>
      </c>
      <c r="C174" s="7">
        <v>45664</v>
      </c>
      <c r="D174" s="7">
        <v>45667</v>
      </c>
      <c r="E174" t="s">
        <v>22</v>
      </c>
      <c r="F174" t="s">
        <v>50</v>
      </c>
      <c r="G174">
        <v>5</v>
      </c>
      <c r="H174" t="s">
        <v>18</v>
      </c>
      <c r="I174" t="s">
        <v>32</v>
      </c>
      <c r="J174">
        <f>orders[[#This Row],[Ship Date]]-orders[[#This Row],[Order Date]]</f>
        <v>3</v>
      </c>
      <c r="K174">
        <f>WEEKNUM(orders[[#This Row],[Order Date]])</f>
        <v>2</v>
      </c>
      <c r="L174" t="str" cm="1">
        <f t="array" ref="L174">_xlfn.IFS(orders[[#This Row],[Customer Gender]]="M","Male", orders[[#This Row],[Customer Gender]]="F","Female", orders[[#This Row],[Customer Gender]]="O","Other", TRUE,"Unknown")</f>
        <v>Male</v>
      </c>
      <c r="M174">
        <v>1</v>
      </c>
      <c r="N174">
        <v>36.1</v>
      </c>
      <c r="O174" s="5">
        <v>36.1</v>
      </c>
    </row>
    <row r="175" spans="1:15" x14ac:dyDescent="0.3">
      <c r="A175" t="s">
        <v>246</v>
      </c>
      <c r="B175" t="s">
        <v>80</v>
      </c>
      <c r="C175" s="7">
        <v>45664</v>
      </c>
      <c r="D175" s="7">
        <v>45666</v>
      </c>
      <c r="E175" t="s">
        <v>26</v>
      </c>
      <c r="F175" t="s">
        <v>34</v>
      </c>
      <c r="G175">
        <v>5</v>
      </c>
      <c r="H175" t="s">
        <v>18</v>
      </c>
      <c r="I175" t="s">
        <v>32</v>
      </c>
      <c r="J175">
        <f>orders[[#This Row],[Ship Date]]-orders[[#This Row],[Order Date]]</f>
        <v>2</v>
      </c>
      <c r="K175">
        <f>WEEKNUM(orders[[#This Row],[Order Date]])</f>
        <v>2</v>
      </c>
      <c r="L175" t="str" cm="1">
        <f t="array" ref="L175">_xlfn.IFS(orders[[#This Row],[Customer Gender]]="M","Male", orders[[#This Row],[Customer Gender]]="F","Female", orders[[#This Row],[Customer Gender]]="O","Other", TRUE,"Unknown")</f>
        <v>Female</v>
      </c>
      <c r="M175">
        <v>2</v>
      </c>
      <c r="N175">
        <v>17.3</v>
      </c>
      <c r="O175">
        <v>34.6</v>
      </c>
    </row>
    <row r="176" spans="1:15" x14ac:dyDescent="0.3">
      <c r="A176" t="s">
        <v>247</v>
      </c>
      <c r="B176" t="s">
        <v>53</v>
      </c>
      <c r="C176" s="7">
        <v>45664</v>
      </c>
      <c r="D176" s="7">
        <v>45665</v>
      </c>
      <c r="E176" t="s">
        <v>26</v>
      </c>
      <c r="F176" t="s">
        <v>34</v>
      </c>
      <c r="G176">
        <v>5</v>
      </c>
      <c r="H176" t="s">
        <v>18</v>
      </c>
      <c r="I176" t="s">
        <v>32</v>
      </c>
      <c r="J176">
        <f>orders[[#This Row],[Ship Date]]-orders[[#This Row],[Order Date]]</f>
        <v>1</v>
      </c>
      <c r="K176">
        <f>WEEKNUM(orders[[#This Row],[Order Date]])</f>
        <v>2</v>
      </c>
      <c r="L176" t="str" cm="1">
        <f t="array" ref="L176">_xlfn.IFS(orders[[#This Row],[Customer Gender]]="M","Male", orders[[#This Row],[Customer Gender]]="F","Female", orders[[#This Row],[Customer Gender]]="O","Other", TRUE,"Unknown")</f>
        <v>Female</v>
      </c>
      <c r="M176">
        <v>2</v>
      </c>
      <c r="N176">
        <v>30.5</v>
      </c>
      <c r="O176" s="5">
        <v>61</v>
      </c>
    </row>
    <row r="177" spans="1:15" x14ac:dyDescent="0.3">
      <c r="A177" t="s">
        <v>248</v>
      </c>
      <c r="B177" t="s">
        <v>145</v>
      </c>
      <c r="C177" s="7">
        <v>45664</v>
      </c>
      <c r="D177" s="7">
        <v>45664</v>
      </c>
      <c r="E177" t="s">
        <v>26</v>
      </c>
      <c r="F177" t="s">
        <v>39</v>
      </c>
      <c r="G177">
        <v>4</v>
      </c>
      <c r="H177" t="s">
        <v>18</v>
      </c>
      <c r="I177" t="s">
        <v>32</v>
      </c>
      <c r="J177">
        <f>orders[[#This Row],[Ship Date]]-orders[[#This Row],[Order Date]]</f>
        <v>0</v>
      </c>
      <c r="K177">
        <f>WEEKNUM(orders[[#This Row],[Order Date]])</f>
        <v>2</v>
      </c>
      <c r="L177" t="str" cm="1">
        <f t="array" ref="L177">_xlfn.IFS(orders[[#This Row],[Customer Gender]]="M","Male", orders[[#This Row],[Customer Gender]]="F","Female", orders[[#This Row],[Customer Gender]]="O","Other", TRUE,"Unknown")</f>
        <v>Female</v>
      </c>
      <c r="M177">
        <v>62</v>
      </c>
      <c r="N177">
        <v>70.099999999999994</v>
      </c>
      <c r="O177">
        <v>4346.2</v>
      </c>
    </row>
    <row r="178" spans="1:15" x14ac:dyDescent="0.3">
      <c r="A178" t="s">
        <v>249</v>
      </c>
      <c r="B178" t="s">
        <v>29</v>
      </c>
      <c r="C178" s="7">
        <v>45664</v>
      </c>
      <c r="D178" s="7">
        <v>45664</v>
      </c>
      <c r="E178" t="s">
        <v>26</v>
      </c>
      <c r="F178" t="s">
        <v>39</v>
      </c>
      <c r="G178">
        <v>3</v>
      </c>
      <c r="H178" t="s">
        <v>18</v>
      </c>
      <c r="I178" t="s">
        <v>32</v>
      </c>
      <c r="J178">
        <f>orders[[#This Row],[Ship Date]]-orders[[#This Row],[Order Date]]</f>
        <v>0</v>
      </c>
      <c r="K178">
        <f>WEEKNUM(orders[[#This Row],[Order Date]])</f>
        <v>2</v>
      </c>
      <c r="L178" t="str" cm="1">
        <f t="array" ref="L178">_xlfn.IFS(orders[[#This Row],[Customer Gender]]="M","Male", orders[[#This Row],[Customer Gender]]="F","Female", orders[[#This Row],[Customer Gender]]="O","Other", TRUE,"Unknown")</f>
        <v>Female</v>
      </c>
      <c r="M178">
        <v>1</v>
      </c>
      <c r="N178">
        <v>76.099999999999994</v>
      </c>
      <c r="O178" s="5">
        <v>76.099999999999994</v>
      </c>
    </row>
    <row r="179" spans="1:15" x14ac:dyDescent="0.3">
      <c r="A179" t="s">
        <v>250</v>
      </c>
      <c r="B179" t="s">
        <v>122</v>
      </c>
      <c r="C179" s="7">
        <v>45664</v>
      </c>
      <c r="D179" s="7">
        <v>45665</v>
      </c>
      <c r="E179" t="s">
        <v>22</v>
      </c>
      <c r="F179" t="s">
        <v>17</v>
      </c>
      <c r="G179">
        <v>4</v>
      </c>
      <c r="H179" t="s">
        <v>18</v>
      </c>
      <c r="I179" t="s">
        <v>32</v>
      </c>
      <c r="J179">
        <f>orders[[#This Row],[Ship Date]]-orders[[#This Row],[Order Date]]</f>
        <v>1</v>
      </c>
      <c r="K179">
        <f>WEEKNUM(orders[[#This Row],[Order Date]])</f>
        <v>2</v>
      </c>
      <c r="L179" t="str" cm="1">
        <f t="array" ref="L179">_xlfn.IFS(orders[[#This Row],[Customer Gender]]="M","Male", orders[[#This Row],[Customer Gender]]="F","Female", orders[[#This Row],[Customer Gender]]="O","Other", TRUE,"Unknown")</f>
        <v>Male</v>
      </c>
      <c r="M179">
        <v>13</v>
      </c>
      <c r="N179">
        <v>34.200000000000003</v>
      </c>
      <c r="O179">
        <v>444.6</v>
      </c>
    </row>
    <row r="180" spans="1:15" x14ac:dyDescent="0.3">
      <c r="A180" t="s">
        <v>251</v>
      </c>
      <c r="B180" t="s">
        <v>43</v>
      </c>
      <c r="C180" s="7">
        <v>45664</v>
      </c>
      <c r="D180" s="7">
        <v>45669</v>
      </c>
      <c r="E180" t="s">
        <v>26</v>
      </c>
      <c r="F180" t="s">
        <v>69</v>
      </c>
      <c r="G180">
        <v>4</v>
      </c>
      <c r="H180" t="s">
        <v>18</v>
      </c>
      <c r="I180" t="s">
        <v>32</v>
      </c>
      <c r="J180">
        <f>orders[[#This Row],[Ship Date]]-orders[[#This Row],[Order Date]]</f>
        <v>5</v>
      </c>
      <c r="K180">
        <f>WEEKNUM(orders[[#This Row],[Order Date]])</f>
        <v>2</v>
      </c>
      <c r="L180" t="str" cm="1">
        <f t="array" ref="L180">_xlfn.IFS(orders[[#This Row],[Customer Gender]]="M","Male", orders[[#This Row],[Customer Gender]]="F","Female", orders[[#This Row],[Customer Gender]]="O","Other", TRUE,"Unknown")</f>
        <v>Female</v>
      </c>
      <c r="M180">
        <v>5</v>
      </c>
      <c r="N180">
        <v>30.3</v>
      </c>
      <c r="O180" s="5">
        <v>151.5</v>
      </c>
    </row>
    <row r="181" spans="1:15" x14ac:dyDescent="0.3">
      <c r="A181" t="s">
        <v>252</v>
      </c>
      <c r="B181" t="s">
        <v>38</v>
      </c>
      <c r="C181" s="7">
        <v>45664</v>
      </c>
      <c r="D181" s="7">
        <v>45668</v>
      </c>
      <c r="E181" t="s">
        <v>2517</v>
      </c>
      <c r="F181" t="s">
        <v>50</v>
      </c>
      <c r="G181">
        <v>4</v>
      </c>
      <c r="H181" t="s">
        <v>18</v>
      </c>
      <c r="I181" t="s">
        <v>32</v>
      </c>
      <c r="J181">
        <f>orders[[#This Row],[Ship Date]]-orders[[#This Row],[Order Date]]</f>
        <v>4</v>
      </c>
      <c r="K181">
        <f>WEEKNUM(orders[[#This Row],[Order Date]])</f>
        <v>2</v>
      </c>
      <c r="L181" t="str" cm="1">
        <f t="array" ref="L181">_xlfn.IFS(orders[[#This Row],[Customer Gender]]="M","Male", orders[[#This Row],[Customer Gender]]="F","Female", orders[[#This Row],[Customer Gender]]="O","Other", TRUE,"Unknown")</f>
        <v>Unknown</v>
      </c>
      <c r="M181">
        <v>5</v>
      </c>
      <c r="N181">
        <v>52.5</v>
      </c>
      <c r="O181">
        <v>262.5</v>
      </c>
    </row>
    <row r="182" spans="1:15" x14ac:dyDescent="0.3">
      <c r="A182" t="s">
        <v>253</v>
      </c>
      <c r="B182" t="s">
        <v>45</v>
      </c>
      <c r="C182" s="7">
        <v>45664</v>
      </c>
      <c r="D182" s="7">
        <v>45665</v>
      </c>
      <c r="E182" t="s">
        <v>26</v>
      </c>
      <c r="F182" t="s">
        <v>39</v>
      </c>
      <c r="G182">
        <v>4</v>
      </c>
      <c r="H182" t="s">
        <v>18</v>
      </c>
      <c r="I182" t="s">
        <v>32</v>
      </c>
      <c r="J182">
        <f>orders[[#This Row],[Ship Date]]-orders[[#This Row],[Order Date]]</f>
        <v>1</v>
      </c>
      <c r="K182">
        <f>WEEKNUM(orders[[#This Row],[Order Date]])</f>
        <v>2</v>
      </c>
      <c r="L182" t="str" cm="1">
        <f t="array" ref="L182">_xlfn.IFS(orders[[#This Row],[Customer Gender]]="M","Male", orders[[#This Row],[Customer Gender]]="F","Female", orders[[#This Row],[Customer Gender]]="O","Other", TRUE,"Unknown")</f>
        <v>Female</v>
      </c>
      <c r="M182">
        <v>11</v>
      </c>
      <c r="N182">
        <v>28.7</v>
      </c>
      <c r="O182" s="5">
        <v>315.7</v>
      </c>
    </row>
    <row r="183" spans="1:15" x14ac:dyDescent="0.3">
      <c r="A183" t="s">
        <v>254</v>
      </c>
      <c r="B183" t="s">
        <v>41</v>
      </c>
      <c r="C183" s="7">
        <v>45664</v>
      </c>
      <c r="D183" s="7">
        <v>45665</v>
      </c>
      <c r="E183" t="s">
        <v>22</v>
      </c>
      <c r="F183" t="s">
        <v>34</v>
      </c>
      <c r="G183">
        <v>2</v>
      </c>
      <c r="H183" t="s">
        <v>18</v>
      </c>
      <c r="I183" t="s">
        <v>32</v>
      </c>
      <c r="J183">
        <f>orders[[#This Row],[Ship Date]]-orders[[#This Row],[Order Date]]</f>
        <v>1</v>
      </c>
      <c r="K183">
        <f>WEEKNUM(orders[[#This Row],[Order Date]])</f>
        <v>2</v>
      </c>
      <c r="L183" t="str" cm="1">
        <f t="array" ref="L183">_xlfn.IFS(orders[[#This Row],[Customer Gender]]="M","Male", orders[[#This Row],[Customer Gender]]="F","Female", orders[[#This Row],[Customer Gender]]="O","Other", TRUE,"Unknown")</f>
        <v>Male</v>
      </c>
      <c r="M183">
        <v>7</v>
      </c>
      <c r="N183">
        <v>52</v>
      </c>
      <c r="O183">
        <v>364</v>
      </c>
    </row>
    <row r="184" spans="1:15" x14ac:dyDescent="0.3">
      <c r="A184" t="s">
        <v>255</v>
      </c>
      <c r="B184" t="s">
        <v>16</v>
      </c>
      <c r="C184" s="7">
        <v>45665</v>
      </c>
      <c r="D184" s="7">
        <v>45669</v>
      </c>
      <c r="E184" t="s">
        <v>26</v>
      </c>
      <c r="F184" t="s">
        <v>39</v>
      </c>
      <c r="G184">
        <v>3</v>
      </c>
      <c r="H184" t="s">
        <v>18</v>
      </c>
      <c r="I184" t="s">
        <v>32</v>
      </c>
      <c r="J184">
        <f>orders[[#This Row],[Ship Date]]-orders[[#This Row],[Order Date]]</f>
        <v>4</v>
      </c>
      <c r="K184">
        <f>WEEKNUM(orders[[#This Row],[Order Date]])</f>
        <v>2</v>
      </c>
      <c r="L184" t="str" cm="1">
        <f t="array" ref="L184">_xlfn.IFS(orders[[#This Row],[Customer Gender]]="M","Male", orders[[#This Row],[Customer Gender]]="F","Female", orders[[#This Row],[Customer Gender]]="O","Other", TRUE,"Unknown")</f>
        <v>Female</v>
      </c>
      <c r="M184">
        <v>1</v>
      </c>
      <c r="N184">
        <v>13.3</v>
      </c>
      <c r="O184" s="5">
        <v>13.3</v>
      </c>
    </row>
    <row r="185" spans="1:15" x14ac:dyDescent="0.3">
      <c r="A185" t="s">
        <v>256</v>
      </c>
      <c r="B185" t="s">
        <v>16</v>
      </c>
      <c r="C185" s="7">
        <v>45665</v>
      </c>
      <c r="D185" s="7">
        <v>45666</v>
      </c>
      <c r="E185" t="s">
        <v>26</v>
      </c>
      <c r="F185" t="s">
        <v>34</v>
      </c>
      <c r="G185">
        <v>4</v>
      </c>
      <c r="H185" t="s">
        <v>18</v>
      </c>
      <c r="I185" t="s">
        <v>257</v>
      </c>
      <c r="J185">
        <f>orders[[#This Row],[Ship Date]]-orders[[#This Row],[Order Date]]</f>
        <v>1</v>
      </c>
      <c r="K185">
        <f>WEEKNUM(orders[[#This Row],[Order Date]])</f>
        <v>2</v>
      </c>
      <c r="L185" t="str" cm="1">
        <f t="array" ref="L185">_xlfn.IFS(orders[[#This Row],[Customer Gender]]="M","Male", orders[[#This Row],[Customer Gender]]="F","Female", orders[[#This Row],[Customer Gender]]="O","Other", TRUE,"Unknown")</f>
        <v>Female</v>
      </c>
      <c r="M185">
        <v>3</v>
      </c>
      <c r="N185">
        <v>15.7</v>
      </c>
      <c r="O185">
        <v>47.099999999999994</v>
      </c>
    </row>
    <row r="186" spans="1:15" x14ac:dyDescent="0.3">
      <c r="A186" t="s">
        <v>258</v>
      </c>
      <c r="B186" t="s">
        <v>43</v>
      </c>
      <c r="C186" s="7">
        <v>45665</v>
      </c>
      <c r="D186" s="7">
        <v>45666</v>
      </c>
      <c r="E186" t="s">
        <v>22</v>
      </c>
      <c r="F186" t="s">
        <v>17</v>
      </c>
      <c r="G186">
        <v>5</v>
      </c>
      <c r="H186" t="s">
        <v>18</v>
      </c>
      <c r="I186" t="s">
        <v>157</v>
      </c>
      <c r="J186">
        <f>orders[[#This Row],[Ship Date]]-orders[[#This Row],[Order Date]]</f>
        <v>1</v>
      </c>
      <c r="K186">
        <f>WEEKNUM(orders[[#This Row],[Order Date]])</f>
        <v>2</v>
      </c>
      <c r="L186" t="str" cm="1">
        <f t="array" ref="L186">_xlfn.IFS(orders[[#This Row],[Customer Gender]]="M","Male", orders[[#This Row],[Customer Gender]]="F","Female", orders[[#This Row],[Customer Gender]]="O","Other", TRUE,"Unknown")</f>
        <v>Male</v>
      </c>
      <c r="M186">
        <v>2</v>
      </c>
      <c r="N186">
        <v>25.6</v>
      </c>
      <c r="O186" s="5">
        <v>51.2</v>
      </c>
    </row>
    <row r="187" spans="1:15" x14ac:dyDescent="0.3">
      <c r="A187" t="s">
        <v>259</v>
      </c>
      <c r="B187" t="s">
        <v>43</v>
      </c>
      <c r="C187" s="7">
        <v>45665</v>
      </c>
      <c r="D187" s="7">
        <v>45670</v>
      </c>
      <c r="E187" t="s">
        <v>22</v>
      </c>
      <c r="F187" t="s">
        <v>17</v>
      </c>
      <c r="G187">
        <v>4</v>
      </c>
      <c r="H187" t="s">
        <v>18</v>
      </c>
      <c r="I187" t="s">
        <v>54</v>
      </c>
      <c r="J187">
        <f>orders[[#This Row],[Ship Date]]-orders[[#This Row],[Order Date]]</f>
        <v>5</v>
      </c>
      <c r="K187">
        <f>WEEKNUM(orders[[#This Row],[Order Date]])</f>
        <v>2</v>
      </c>
      <c r="L187" t="str" cm="1">
        <f t="array" ref="L187">_xlfn.IFS(orders[[#This Row],[Customer Gender]]="M","Male", orders[[#This Row],[Customer Gender]]="F","Female", orders[[#This Row],[Customer Gender]]="O","Other", TRUE,"Unknown")</f>
        <v>Male</v>
      </c>
      <c r="M187">
        <v>1</v>
      </c>
      <c r="N187">
        <v>43.4</v>
      </c>
      <c r="O187">
        <v>43.4</v>
      </c>
    </row>
    <row r="188" spans="1:15" x14ac:dyDescent="0.3">
      <c r="A188" t="s">
        <v>260</v>
      </c>
      <c r="B188" t="s">
        <v>66</v>
      </c>
      <c r="C188" s="7">
        <v>45665</v>
      </c>
      <c r="D188" s="7">
        <v>45665</v>
      </c>
      <c r="E188" t="s">
        <v>26</v>
      </c>
      <c r="F188" t="s">
        <v>17</v>
      </c>
      <c r="G188">
        <v>4</v>
      </c>
      <c r="H188" t="s">
        <v>18</v>
      </c>
      <c r="I188" t="s">
        <v>61</v>
      </c>
      <c r="J188">
        <f>orders[[#This Row],[Ship Date]]-orders[[#This Row],[Order Date]]</f>
        <v>0</v>
      </c>
      <c r="K188">
        <f>WEEKNUM(orders[[#This Row],[Order Date]])</f>
        <v>2</v>
      </c>
      <c r="L188" t="str" cm="1">
        <f t="array" ref="L188">_xlfn.IFS(orders[[#This Row],[Customer Gender]]="M","Male", orders[[#This Row],[Customer Gender]]="F","Female", orders[[#This Row],[Customer Gender]]="O","Other", TRUE,"Unknown")</f>
        <v>Female</v>
      </c>
      <c r="M188">
        <v>9</v>
      </c>
      <c r="N188">
        <v>33.4</v>
      </c>
      <c r="O188" s="5">
        <v>300.59999999999997</v>
      </c>
    </row>
    <row r="189" spans="1:15" x14ac:dyDescent="0.3">
      <c r="A189" t="s">
        <v>261</v>
      </c>
      <c r="B189" t="s">
        <v>43</v>
      </c>
      <c r="C189" s="7">
        <v>45665</v>
      </c>
      <c r="D189" s="7">
        <v>45666</v>
      </c>
      <c r="E189" t="s">
        <v>26</v>
      </c>
      <c r="F189" t="s">
        <v>34</v>
      </c>
      <c r="G189">
        <v>5</v>
      </c>
      <c r="H189" t="s">
        <v>18</v>
      </c>
      <c r="I189" t="s">
        <v>61</v>
      </c>
      <c r="J189">
        <f>orders[[#This Row],[Ship Date]]-orders[[#This Row],[Order Date]]</f>
        <v>1</v>
      </c>
      <c r="K189">
        <f>WEEKNUM(orders[[#This Row],[Order Date]])</f>
        <v>2</v>
      </c>
      <c r="L189" t="str" cm="1">
        <f t="array" ref="L189">_xlfn.IFS(orders[[#This Row],[Customer Gender]]="M","Male", orders[[#This Row],[Customer Gender]]="F","Female", orders[[#This Row],[Customer Gender]]="O","Other", TRUE,"Unknown")</f>
        <v>Female</v>
      </c>
      <c r="M189">
        <v>19</v>
      </c>
      <c r="N189">
        <v>55</v>
      </c>
      <c r="O189">
        <v>1045</v>
      </c>
    </row>
    <row r="190" spans="1:15" x14ac:dyDescent="0.3">
      <c r="A190" t="s">
        <v>262</v>
      </c>
      <c r="B190" t="s">
        <v>43</v>
      </c>
      <c r="C190" s="7">
        <v>45665</v>
      </c>
      <c r="D190" s="7">
        <v>45666</v>
      </c>
      <c r="E190" t="s">
        <v>22</v>
      </c>
      <c r="F190" t="s">
        <v>17</v>
      </c>
      <c r="G190">
        <v>5</v>
      </c>
      <c r="H190" t="s">
        <v>18</v>
      </c>
      <c r="I190" t="s">
        <v>61</v>
      </c>
      <c r="J190">
        <f>orders[[#This Row],[Ship Date]]-orders[[#This Row],[Order Date]]</f>
        <v>1</v>
      </c>
      <c r="K190">
        <f>WEEKNUM(orders[[#This Row],[Order Date]])</f>
        <v>2</v>
      </c>
      <c r="L190" t="str" cm="1">
        <f t="array" ref="L190">_xlfn.IFS(orders[[#This Row],[Customer Gender]]="M","Male", orders[[#This Row],[Customer Gender]]="F","Female", orders[[#This Row],[Customer Gender]]="O","Other", TRUE,"Unknown")</f>
        <v>Male</v>
      </c>
      <c r="M190">
        <v>3</v>
      </c>
      <c r="N190">
        <v>23.6</v>
      </c>
      <c r="O190" s="5">
        <v>70.800000000000011</v>
      </c>
    </row>
    <row r="191" spans="1:15" x14ac:dyDescent="0.3">
      <c r="A191" t="s">
        <v>263</v>
      </c>
      <c r="B191" t="s">
        <v>68</v>
      </c>
      <c r="C191" s="7">
        <v>45665</v>
      </c>
      <c r="D191" s="7">
        <v>45667</v>
      </c>
      <c r="E191" t="s">
        <v>26</v>
      </c>
      <c r="F191" t="s">
        <v>39</v>
      </c>
      <c r="G191">
        <v>5</v>
      </c>
      <c r="H191" t="s">
        <v>18</v>
      </c>
      <c r="I191" t="s">
        <v>102</v>
      </c>
      <c r="J191">
        <f>orders[[#This Row],[Ship Date]]-orders[[#This Row],[Order Date]]</f>
        <v>2</v>
      </c>
      <c r="K191">
        <f>WEEKNUM(orders[[#This Row],[Order Date]])</f>
        <v>2</v>
      </c>
      <c r="L191" t="str" cm="1">
        <f t="array" ref="L191">_xlfn.IFS(orders[[#This Row],[Customer Gender]]="M","Male", orders[[#This Row],[Customer Gender]]="F","Female", orders[[#This Row],[Customer Gender]]="O","Other", TRUE,"Unknown")</f>
        <v>Female</v>
      </c>
      <c r="M191">
        <v>9</v>
      </c>
      <c r="N191">
        <v>104</v>
      </c>
      <c r="O191">
        <v>936</v>
      </c>
    </row>
    <row r="192" spans="1:15" x14ac:dyDescent="0.3">
      <c r="A192" t="s">
        <v>264</v>
      </c>
      <c r="B192" t="s">
        <v>38</v>
      </c>
      <c r="C192" s="7">
        <v>45665</v>
      </c>
      <c r="D192" s="7">
        <v>45669</v>
      </c>
      <c r="E192" t="s">
        <v>2517</v>
      </c>
      <c r="F192" t="s">
        <v>17</v>
      </c>
      <c r="G192">
        <v>5</v>
      </c>
      <c r="H192" t="s">
        <v>18</v>
      </c>
      <c r="I192" t="s">
        <v>73</v>
      </c>
      <c r="J192">
        <f>orders[[#This Row],[Ship Date]]-orders[[#This Row],[Order Date]]</f>
        <v>4</v>
      </c>
      <c r="K192">
        <f>WEEKNUM(orders[[#This Row],[Order Date]])</f>
        <v>2</v>
      </c>
      <c r="L192" t="str" cm="1">
        <f t="array" ref="L192">_xlfn.IFS(orders[[#This Row],[Customer Gender]]="M","Male", orders[[#This Row],[Customer Gender]]="F","Female", orders[[#This Row],[Customer Gender]]="O","Other", TRUE,"Unknown")</f>
        <v>Unknown</v>
      </c>
      <c r="M192">
        <v>2</v>
      </c>
      <c r="N192">
        <v>51.8</v>
      </c>
      <c r="O192" s="5">
        <v>103.6</v>
      </c>
    </row>
    <row r="193" spans="1:15" x14ac:dyDescent="0.3">
      <c r="A193" t="s">
        <v>265</v>
      </c>
      <c r="B193" t="s">
        <v>53</v>
      </c>
      <c r="C193" s="7">
        <v>45665</v>
      </c>
      <c r="D193" s="7">
        <v>45667</v>
      </c>
      <c r="E193" t="s">
        <v>2517</v>
      </c>
      <c r="F193" t="s">
        <v>39</v>
      </c>
      <c r="G193">
        <v>5</v>
      </c>
      <c r="H193" t="s">
        <v>18</v>
      </c>
      <c r="I193" t="s">
        <v>76</v>
      </c>
      <c r="J193">
        <f>orders[[#This Row],[Ship Date]]-orders[[#This Row],[Order Date]]</f>
        <v>2</v>
      </c>
      <c r="K193">
        <f>WEEKNUM(orders[[#This Row],[Order Date]])</f>
        <v>2</v>
      </c>
      <c r="L193" t="str" cm="1">
        <f t="array" ref="L193">_xlfn.IFS(orders[[#This Row],[Customer Gender]]="M","Male", orders[[#This Row],[Customer Gender]]="F","Female", orders[[#This Row],[Customer Gender]]="O","Other", TRUE,"Unknown")</f>
        <v>Unknown</v>
      </c>
      <c r="M193">
        <v>5</v>
      </c>
      <c r="N193">
        <v>34.5</v>
      </c>
      <c r="O193">
        <v>172.5</v>
      </c>
    </row>
    <row r="194" spans="1:15" x14ac:dyDescent="0.3">
      <c r="A194" t="s">
        <v>266</v>
      </c>
      <c r="B194" t="s">
        <v>38</v>
      </c>
      <c r="C194" s="7">
        <v>45665</v>
      </c>
      <c r="D194" s="7">
        <v>45667</v>
      </c>
      <c r="E194" t="s">
        <v>22</v>
      </c>
      <c r="F194" t="s">
        <v>34</v>
      </c>
      <c r="G194">
        <v>5</v>
      </c>
      <c r="H194" t="s">
        <v>18</v>
      </c>
      <c r="I194" t="s">
        <v>267</v>
      </c>
      <c r="J194">
        <f>orders[[#This Row],[Ship Date]]-orders[[#This Row],[Order Date]]</f>
        <v>2</v>
      </c>
      <c r="K194">
        <f>WEEKNUM(orders[[#This Row],[Order Date]])</f>
        <v>2</v>
      </c>
      <c r="L194" t="str" cm="1">
        <f t="array" ref="L194">_xlfn.IFS(orders[[#This Row],[Customer Gender]]="M","Male", orders[[#This Row],[Customer Gender]]="F","Female", orders[[#This Row],[Customer Gender]]="O","Other", TRUE,"Unknown")</f>
        <v>Male</v>
      </c>
      <c r="M194">
        <v>2</v>
      </c>
      <c r="N194">
        <v>51.8</v>
      </c>
      <c r="O194" s="5">
        <v>103.6</v>
      </c>
    </row>
    <row r="195" spans="1:15" x14ac:dyDescent="0.3">
      <c r="A195" t="s">
        <v>268</v>
      </c>
      <c r="B195" t="s">
        <v>145</v>
      </c>
      <c r="C195" s="7">
        <v>45665</v>
      </c>
      <c r="D195" s="7">
        <v>45666</v>
      </c>
      <c r="E195" t="s">
        <v>26</v>
      </c>
      <c r="F195" t="s">
        <v>17</v>
      </c>
      <c r="G195">
        <v>5</v>
      </c>
      <c r="H195" t="s">
        <v>18</v>
      </c>
      <c r="I195" t="s">
        <v>107</v>
      </c>
      <c r="J195">
        <f>orders[[#This Row],[Ship Date]]-orders[[#This Row],[Order Date]]</f>
        <v>1</v>
      </c>
      <c r="K195">
        <f>WEEKNUM(orders[[#This Row],[Order Date]])</f>
        <v>2</v>
      </c>
      <c r="L195" t="str" cm="1">
        <f t="array" ref="L195">_xlfn.IFS(orders[[#This Row],[Customer Gender]]="M","Male", orders[[#This Row],[Customer Gender]]="F","Female", orders[[#This Row],[Customer Gender]]="O","Other", TRUE,"Unknown")</f>
        <v>Female</v>
      </c>
      <c r="M195">
        <v>43</v>
      </c>
      <c r="N195">
        <v>131.5</v>
      </c>
      <c r="O195">
        <v>5654.5</v>
      </c>
    </row>
    <row r="196" spans="1:15" x14ac:dyDescent="0.3">
      <c r="A196" t="s">
        <v>269</v>
      </c>
      <c r="B196" t="s">
        <v>43</v>
      </c>
      <c r="C196" s="7">
        <v>45665</v>
      </c>
      <c r="D196" s="7">
        <v>45665</v>
      </c>
      <c r="E196" t="s">
        <v>26</v>
      </c>
      <c r="F196" t="s">
        <v>17</v>
      </c>
      <c r="G196">
        <v>4</v>
      </c>
      <c r="H196" t="s">
        <v>18</v>
      </c>
      <c r="I196" t="s">
        <v>109</v>
      </c>
      <c r="J196">
        <f>orders[[#This Row],[Ship Date]]-orders[[#This Row],[Order Date]]</f>
        <v>0</v>
      </c>
      <c r="K196">
        <f>WEEKNUM(orders[[#This Row],[Order Date]])</f>
        <v>2</v>
      </c>
      <c r="L196" t="str" cm="1">
        <f t="array" ref="L196">_xlfn.IFS(orders[[#This Row],[Customer Gender]]="M","Male", orders[[#This Row],[Customer Gender]]="F","Female", orders[[#This Row],[Customer Gender]]="O","Other", TRUE,"Unknown")</f>
        <v>Female</v>
      </c>
      <c r="M196">
        <v>7</v>
      </c>
      <c r="N196">
        <v>47.8</v>
      </c>
      <c r="O196" s="5">
        <v>334.59999999999997</v>
      </c>
    </row>
    <row r="197" spans="1:15" x14ac:dyDescent="0.3">
      <c r="A197" t="s">
        <v>270</v>
      </c>
      <c r="B197" t="s">
        <v>16</v>
      </c>
      <c r="C197" s="7">
        <v>45665</v>
      </c>
      <c r="D197" s="7">
        <v>45667</v>
      </c>
      <c r="E197" t="s">
        <v>26</v>
      </c>
      <c r="F197" t="s">
        <v>17</v>
      </c>
      <c r="G197">
        <v>4</v>
      </c>
      <c r="H197" t="s">
        <v>18</v>
      </c>
      <c r="I197" t="s">
        <v>109</v>
      </c>
      <c r="J197">
        <f>orders[[#This Row],[Ship Date]]-orders[[#This Row],[Order Date]]</f>
        <v>2</v>
      </c>
      <c r="K197">
        <f>WEEKNUM(orders[[#This Row],[Order Date]])</f>
        <v>2</v>
      </c>
      <c r="L197" t="str" cm="1">
        <f t="array" ref="L197">_xlfn.IFS(orders[[#This Row],[Customer Gender]]="M","Male", orders[[#This Row],[Customer Gender]]="F","Female", orders[[#This Row],[Customer Gender]]="O","Other", TRUE,"Unknown")</f>
        <v>Female</v>
      </c>
      <c r="M197">
        <v>2</v>
      </c>
      <c r="N197">
        <v>10.199999999999999</v>
      </c>
      <c r="O197">
        <v>20.399999999999999</v>
      </c>
    </row>
    <row r="198" spans="1:15" x14ac:dyDescent="0.3">
      <c r="A198" t="s">
        <v>271</v>
      </c>
      <c r="B198" t="s">
        <v>43</v>
      </c>
      <c r="C198" s="7">
        <v>45665</v>
      </c>
      <c r="D198" s="7">
        <v>45665</v>
      </c>
      <c r="E198" t="s">
        <v>26</v>
      </c>
      <c r="F198" t="s">
        <v>34</v>
      </c>
      <c r="G198">
        <v>5</v>
      </c>
      <c r="H198" t="s">
        <v>18</v>
      </c>
      <c r="I198" t="s">
        <v>109</v>
      </c>
      <c r="J198">
        <f>orders[[#This Row],[Ship Date]]-orders[[#This Row],[Order Date]]</f>
        <v>0</v>
      </c>
      <c r="K198">
        <f>WEEKNUM(orders[[#This Row],[Order Date]])</f>
        <v>2</v>
      </c>
      <c r="L198" t="str" cm="1">
        <f t="array" ref="L198">_xlfn.IFS(orders[[#This Row],[Customer Gender]]="M","Male", orders[[#This Row],[Customer Gender]]="F","Female", orders[[#This Row],[Customer Gender]]="O","Other", TRUE,"Unknown")</f>
        <v>Female</v>
      </c>
      <c r="M198">
        <v>8</v>
      </c>
      <c r="N198">
        <v>41</v>
      </c>
      <c r="O198" s="5">
        <v>328</v>
      </c>
    </row>
    <row r="199" spans="1:15" x14ac:dyDescent="0.3">
      <c r="A199" t="s">
        <v>272</v>
      </c>
      <c r="B199" t="s">
        <v>53</v>
      </c>
      <c r="C199" s="7">
        <v>45665</v>
      </c>
      <c r="D199" s="7">
        <v>45668</v>
      </c>
      <c r="E199" t="s">
        <v>26</v>
      </c>
      <c r="F199" t="s">
        <v>34</v>
      </c>
      <c r="G199">
        <v>4</v>
      </c>
      <c r="H199" t="s">
        <v>18</v>
      </c>
      <c r="I199" t="s">
        <v>114</v>
      </c>
      <c r="J199">
        <f>orders[[#This Row],[Ship Date]]-orders[[#This Row],[Order Date]]</f>
        <v>3</v>
      </c>
      <c r="K199">
        <f>WEEKNUM(orders[[#This Row],[Order Date]])</f>
        <v>2</v>
      </c>
      <c r="L199" t="str" cm="1">
        <f t="array" ref="L199">_xlfn.IFS(orders[[#This Row],[Customer Gender]]="M","Male", orders[[#This Row],[Customer Gender]]="F","Female", orders[[#This Row],[Customer Gender]]="O","Other", TRUE,"Unknown")</f>
        <v>Female</v>
      </c>
      <c r="M199">
        <v>7</v>
      </c>
      <c r="N199">
        <v>50.8</v>
      </c>
      <c r="O199">
        <v>355.59999999999997</v>
      </c>
    </row>
    <row r="200" spans="1:15" x14ac:dyDescent="0.3">
      <c r="A200" t="s">
        <v>273</v>
      </c>
      <c r="B200" t="s">
        <v>145</v>
      </c>
      <c r="C200" s="7">
        <v>45665</v>
      </c>
      <c r="D200" s="7">
        <v>45666</v>
      </c>
      <c r="E200" t="s">
        <v>22</v>
      </c>
      <c r="F200" t="s">
        <v>39</v>
      </c>
      <c r="G200">
        <v>5</v>
      </c>
      <c r="H200" t="s">
        <v>18</v>
      </c>
      <c r="I200" t="s">
        <v>23</v>
      </c>
      <c r="J200">
        <f>orders[[#This Row],[Ship Date]]-orders[[#This Row],[Order Date]]</f>
        <v>1</v>
      </c>
      <c r="K200">
        <f>WEEKNUM(orders[[#This Row],[Order Date]])</f>
        <v>2</v>
      </c>
      <c r="L200" t="str" cm="1">
        <f t="array" ref="L200">_xlfn.IFS(orders[[#This Row],[Customer Gender]]="M","Male", orders[[#This Row],[Customer Gender]]="F","Female", orders[[#This Row],[Customer Gender]]="O","Other", TRUE,"Unknown")</f>
        <v>Male</v>
      </c>
      <c r="M200">
        <v>3</v>
      </c>
      <c r="N200">
        <v>39.6</v>
      </c>
      <c r="O200" s="5">
        <v>118.80000000000001</v>
      </c>
    </row>
    <row r="201" spans="1:15" x14ac:dyDescent="0.3">
      <c r="A201" t="s">
        <v>274</v>
      </c>
      <c r="B201" t="s">
        <v>36</v>
      </c>
      <c r="C201" s="7">
        <v>45665</v>
      </c>
      <c r="D201" s="7">
        <v>45667</v>
      </c>
      <c r="E201" t="s">
        <v>22</v>
      </c>
      <c r="F201" t="s">
        <v>17</v>
      </c>
      <c r="G201">
        <v>5</v>
      </c>
      <c r="H201" t="s">
        <v>18</v>
      </c>
      <c r="I201" t="s">
        <v>27</v>
      </c>
      <c r="J201">
        <f>orders[[#This Row],[Ship Date]]-orders[[#This Row],[Order Date]]</f>
        <v>2</v>
      </c>
      <c r="K201">
        <f>WEEKNUM(orders[[#This Row],[Order Date]])</f>
        <v>2</v>
      </c>
      <c r="L201" t="str" cm="1">
        <f t="array" ref="L201">_xlfn.IFS(orders[[#This Row],[Customer Gender]]="M","Male", orders[[#This Row],[Customer Gender]]="F","Female", orders[[#This Row],[Customer Gender]]="O","Other", TRUE,"Unknown")</f>
        <v>Male</v>
      </c>
      <c r="M201">
        <v>2</v>
      </c>
      <c r="N201">
        <v>69.5</v>
      </c>
      <c r="O201">
        <v>139</v>
      </c>
    </row>
    <row r="202" spans="1:15" x14ac:dyDescent="0.3">
      <c r="A202" t="s">
        <v>275</v>
      </c>
      <c r="B202" t="s">
        <v>43</v>
      </c>
      <c r="C202" s="7">
        <v>45665</v>
      </c>
      <c r="D202" s="7">
        <v>45668</v>
      </c>
      <c r="E202" t="s">
        <v>22</v>
      </c>
      <c r="F202" t="s">
        <v>34</v>
      </c>
      <c r="G202">
        <v>4</v>
      </c>
      <c r="H202" t="s">
        <v>18</v>
      </c>
      <c r="I202" t="s">
        <v>32</v>
      </c>
      <c r="J202">
        <f>orders[[#This Row],[Ship Date]]-orders[[#This Row],[Order Date]]</f>
        <v>3</v>
      </c>
      <c r="K202">
        <f>WEEKNUM(orders[[#This Row],[Order Date]])</f>
        <v>2</v>
      </c>
      <c r="L202" t="str" cm="1">
        <f t="array" ref="L202">_xlfn.IFS(orders[[#This Row],[Customer Gender]]="M","Male", orders[[#This Row],[Customer Gender]]="F","Female", orders[[#This Row],[Customer Gender]]="O","Other", TRUE,"Unknown")</f>
        <v>Male</v>
      </c>
      <c r="M202">
        <v>8</v>
      </c>
      <c r="N202">
        <v>32.6</v>
      </c>
      <c r="O202" s="5">
        <v>260.8</v>
      </c>
    </row>
    <row r="203" spans="1:15" x14ac:dyDescent="0.3">
      <c r="A203" t="s">
        <v>276</v>
      </c>
      <c r="B203" t="s">
        <v>41</v>
      </c>
      <c r="C203" s="7">
        <v>45665</v>
      </c>
      <c r="D203" s="7">
        <v>45673</v>
      </c>
      <c r="E203" t="s">
        <v>22</v>
      </c>
      <c r="F203" t="s">
        <v>50</v>
      </c>
      <c r="G203">
        <v>5</v>
      </c>
      <c r="H203" t="s">
        <v>18</v>
      </c>
      <c r="I203" t="s">
        <v>32</v>
      </c>
      <c r="J203">
        <f>orders[[#This Row],[Ship Date]]-orders[[#This Row],[Order Date]]</f>
        <v>8</v>
      </c>
      <c r="K203">
        <f>WEEKNUM(orders[[#This Row],[Order Date]])</f>
        <v>2</v>
      </c>
      <c r="L203" t="str" cm="1">
        <f t="array" ref="L203">_xlfn.IFS(orders[[#This Row],[Customer Gender]]="M","Male", orders[[#This Row],[Customer Gender]]="F","Female", orders[[#This Row],[Customer Gender]]="O","Other", TRUE,"Unknown")</f>
        <v>Male</v>
      </c>
      <c r="M203">
        <v>2</v>
      </c>
      <c r="N203">
        <v>49.1</v>
      </c>
      <c r="O203">
        <v>98.2</v>
      </c>
    </row>
    <row r="204" spans="1:15" x14ac:dyDescent="0.3">
      <c r="A204" t="s">
        <v>277</v>
      </c>
      <c r="B204" t="s">
        <v>38</v>
      </c>
      <c r="C204" s="7">
        <v>45666</v>
      </c>
      <c r="D204" s="7">
        <v>45667</v>
      </c>
      <c r="E204" t="s">
        <v>26</v>
      </c>
      <c r="F204" t="s">
        <v>39</v>
      </c>
      <c r="G204">
        <v>4</v>
      </c>
      <c r="H204" t="s">
        <v>18</v>
      </c>
      <c r="I204" t="s">
        <v>32</v>
      </c>
      <c r="J204">
        <f>orders[[#This Row],[Ship Date]]-orders[[#This Row],[Order Date]]</f>
        <v>1</v>
      </c>
      <c r="K204">
        <f>WEEKNUM(orders[[#This Row],[Order Date]])</f>
        <v>2</v>
      </c>
      <c r="L204" t="str" cm="1">
        <f t="array" ref="L204">_xlfn.IFS(orders[[#This Row],[Customer Gender]]="M","Male", orders[[#This Row],[Customer Gender]]="F","Female", orders[[#This Row],[Customer Gender]]="O","Other", TRUE,"Unknown")</f>
        <v>Female</v>
      </c>
      <c r="M204">
        <v>2</v>
      </c>
      <c r="N204">
        <v>49.4</v>
      </c>
      <c r="O204" s="5">
        <v>98.8</v>
      </c>
    </row>
    <row r="205" spans="1:15" x14ac:dyDescent="0.3">
      <c r="A205" t="s">
        <v>278</v>
      </c>
      <c r="B205" t="s">
        <v>41</v>
      </c>
      <c r="C205" s="7">
        <v>45666</v>
      </c>
      <c r="D205" s="7">
        <v>45669</v>
      </c>
      <c r="E205" t="s">
        <v>26</v>
      </c>
      <c r="F205" t="s">
        <v>39</v>
      </c>
      <c r="G205">
        <v>5</v>
      </c>
      <c r="H205" t="s">
        <v>18</v>
      </c>
      <c r="I205" t="s">
        <v>32</v>
      </c>
      <c r="J205">
        <f>orders[[#This Row],[Ship Date]]-orders[[#This Row],[Order Date]]</f>
        <v>3</v>
      </c>
      <c r="K205">
        <f>WEEKNUM(orders[[#This Row],[Order Date]])</f>
        <v>2</v>
      </c>
      <c r="L205" t="str" cm="1">
        <f t="array" ref="L205">_xlfn.IFS(orders[[#This Row],[Customer Gender]]="M","Male", orders[[#This Row],[Customer Gender]]="F","Female", orders[[#This Row],[Customer Gender]]="O","Other", TRUE,"Unknown")</f>
        <v>Female</v>
      </c>
      <c r="M205">
        <v>7</v>
      </c>
      <c r="N205">
        <v>65.099999999999994</v>
      </c>
      <c r="O205">
        <v>455.69999999999993</v>
      </c>
    </row>
    <row r="206" spans="1:15" x14ac:dyDescent="0.3">
      <c r="A206" t="s">
        <v>279</v>
      </c>
      <c r="B206" t="s">
        <v>29</v>
      </c>
      <c r="C206" s="7">
        <v>45666</v>
      </c>
      <c r="D206" s="7">
        <v>45670</v>
      </c>
      <c r="E206" t="s">
        <v>26</v>
      </c>
      <c r="F206" t="s">
        <v>39</v>
      </c>
      <c r="G206">
        <v>4</v>
      </c>
      <c r="H206" t="s">
        <v>18</v>
      </c>
      <c r="I206" t="s">
        <v>32</v>
      </c>
      <c r="J206">
        <f>orders[[#This Row],[Ship Date]]-orders[[#This Row],[Order Date]]</f>
        <v>4</v>
      </c>
      <c r="K206">
        <f>WEEKNUM(orders[[#This Row],[Order Date]])</f>
        <v>2</v>
      </c>
      <c r="L206" t="str" cm="1">
        <f t="array" ref="L206">_xlfn.IFS(orders[[#This Row],[Customer Gender]]="M","Male", orders[[#This Row],[Customer Gender]]="F","Female", orders[[#This Row],[Customer Gender]]="O","Other", TRUE,"Unknown")</f>
        <v>Female</v>
      </c>
      <c r="M206">
        <v>2</v>
      </c>
      <c r="N206">
        <v>52.1</v>
      </c>
      <c r="O206" s="5">
        <v>104.2</v>
      </c>
    </row>
    <row r="207" spans="1:15" x14ac:dyDescent="0.3">
      <c r="A207" t="s">
        <v>280</v>
      </c>
      <c r="B207" t="s">
        <v>25</v>
      </c>
      <c r="C207" s="7">
        <v>45666</v>
      </c>
      <c r="D207" s="7">
        <v>45667</v>
      </c>
      <c r="E207" t="s">
        <v>26</v>
      </c>
      <c r="F207" t="s">
        <v>34</v>
      </c>
      <c r="G207">
        <v>4</v>
      </c>
      <c r="H207" t="s">
        <v>18</v>
      </c>
      <c r="I207" t="s">
        <v>32</v>
      </c>
      <c r="J207">
        <f>orders[[#This Row],[Ship Date]]-orders[[#This Row],[Order Date]]</f>
        <v>1</v>
      </c>
      <c r="K207">
        <f>WEEKNUM(orders[[#This Row],[Order Date]])</f>
        <v>2</v>
      </c>
      <c r="L207" t="str" cm="1">
        <f t="array" ref="L207">_xlfn.IFS(orders[[#This Row],[Customer Gender]]="M","Male", orders[[#This Row],[Customer Gender]]="F","Female", orders[[#This Row],[Customer Gender]]="O","Other", TRUE,"Unknown")</f>
        <v>Female</v>
      </c>
      <c r="M207">
        <v>4</v>
      </c>
      <c r="N207">
        <v>129.19999999999999</v>
      </c>
      <c r="O207">
        <v>516.79999999999995</v>
      </c>
    </row>
    <row r="208" spans="1:15" x14ac:dyDescent="0.3">
      <c r="A208" t="s">
        <v>281</v>
      </c>
      <c r="B208" t="s">
        <v>21</v>
      </c>
      <c r="C208" s="7">
        <v>45666</v>
      </c>
      <c r="D208" s="7">
        <v>45666</v>
      </c>
      <c r="E208" t="s">
        <v>26</v>
      </c>
      <c r="F208" t="s">
        <v>34</v>
      </c>
      <c r="G208">
        <v>3</v>
      </c>
      <c r="H208" t="s">
        <v>18</v>
      </c>
      <c r="I208" t="s">
        <v>32</v>
      </c>
      <c r="J208">
        <f>orders[[#This Row],[Ship Date]]-orders[[#This Row],[Order Date]]</f>
        <v>0</v>
      </c>
      <c r="K208">
        <f>WEEKNUM(orders[[#This Row],[Order Date]])</f>
        <v>2</v>
      </c>
      <c r="L208" t="str" cm="1">
        <f t="array" ref="L208">_xlfn.IFS(orders[[#This Row],[Customer Gender]]="M","Male", orders[[#This Row],[Customer Gender]]="F","Female", orders[[#This Row],[Customer Gender]]="O","Other", TRUE,"Unknown")</f>
        <v>Female</v>
      </c>
      <c r="M208">
        <v>19</v>
      </c>
      <c r="N208">
        <v>81.8</v>
      </c>
      <c r="O208" s="5">
        <v>1554.2</v>
      </c>
    </row>
    <row r="209" spans="1:15" x14ac:dyDescent="0.3">
      <c r="A209" t="s">
        <v>282</v>
      </c>
      <c r="B209" t="s">
        <v>134</v>
      </c>
      <c r="C209" s="7">
        <v>45666</v>
      </c>
      <c r="D209" s="7">
        <v>45670</v>
      </c>
      <c r="E209" t="s">
        <v>26</v>
      </c>
      <c r="F209" t="s">
        <v>34</v>
      </c>
      <c r="G209">
        <v>4</v>
      </c>
      <c r="H209" t="s">
        <v>18</v>
      </c>
      <c r="I209" t="s">
        <v>32</v>
      </c>
      <c r="J209">
        <f>orders[[#This Row],[Ship Date]]-orders[[#This Row],[Order Date]]</f>
        <v>4</v>
      </c>
      <c r="K209">
        <f>WEEKNUM(orders[[#This Row],[Order Date]])</f>
        <v>2</v>
      </c>
      <c r="L209" t="str" cm="1">
        <f t="array" ref="L209">_xlfn.IFS(orders[[#This Row],[Customer Gender]]="M","Male", orders[[#This Row],[Customer Gender]]="F","Female", orders[[#This Row],[Customer Gender]]="O","Other", TRUE,"Unknown")</f>
        <v>Female</v>
      </c>
      <c r="M209">
        <v>1</v>
      </c>
      <c r="N209">
        <v>24.9</v>
      </c>
      <c r="O209">
        <v>24.9</v>
      </c>
    </row>
    <row r="210" spans="1:15" x14ac:dyDescent="0.3">
      <c r="A210" t="s">
        <v>283</v>
      </c>
      <c r="B210" t="s">
        <v>16</v>
      </c>
      <c r="C210" s="7">
        <v>45666</v>
      </c>
      <c r="D210" s="7">
        <v>45669</v>
      </c>
      <c r="E210" t="s">
        <v>26</v>
      </c>
      <c r="F210" t="s">
        <v>69</v>
      </c>
      <c r="G210">
        <v>2</v>
      </c>
      <c r="H210" t="s">
        <v>18</v>
      </c>
      <c r="I210" t="s">
        <v>32</v>
      </c>
      <c r="J210">
        <f>orders[[#This Row],[Ship Date]]-orders[[#This Row],[Order Date]]</f>
        <v>3</v>
      </c>
      <c r="K210">
        <f>WEEKNUM(orders[[#This Row],[Order Date]])</f>
        <v>2</v>
      </c>
      <c r="L210" t="str" cm="1">
        <f t="array" ref="L210">_xlfn.IFS(orders[[#This Row],[Customer Gender]]="M","Male", orders[[#This Row],[Customer Gender]]="F","Female", orders[[#This Row],[Customer Gender]]="O","Other", TRUE,"Unknown")</f>
        <v>Female</v>
      </c>
      <c r="M210">
        <v>3</v>
      </c>
      <c r="N210">
        <v>49.4</v>
      </c>
      <c r="O210" s="5">
        <v>148.19999999999999</v>
      </c>
    </row>
    <row r="211" spans="1:15" x14ac:dyDescent="0.3">
      <c r="A211" t="s">
        <v>284</v>
      </c>
      <c r="B211" t="s">
        <v>43</v>
      </c>
      <c r="C211" s="7">
        <v>45666</v>
      </c>
      <c r="D211" s="7">
        <v>45667</v>
      </c>
      <c r="E211" t="s">
        <v>22</v>
      </c>
      <c r="F211" t="s">
        <v>50</v>
      </c>
      <c r="G211">
        <v>5</v>
      </c>
      <c r="H211" t="s">
        <v>18</v>
      </c>
      <c r="I211" t="s">
        <v>32</v>
      </c>
      <c r="J211">
        <f>orders[[#This Row],[Ship Date]]-orders[[#This Row],[Order Date]]</f>
        <v>1</v>
      </c>
      <c r="K211">
        <f>WEEKNUM(orders[[#This Row],[Order Date]])</f>
        <v>2</v>
      </c>
      <c r="L211" t="str" cm="1">
        <f t="array" ref="L211">_xlfn.IFS(orders[[#This Row],[Customer Gender]]="M","Male", orders[[#This Row],[Customer Gender]]="F","Female", orders[[#This Row],[Customer Gender]]="O","Other", TRUE,"Unknown")</f>
        <v>Male</v>
      </c>
      <c r="M211">
        <v>2</v>
      </c>
      <c r="N211">
        <v>22.7</v>
      </c>
      <c r="O211">
        <v>45.4</v>
      </c>
    </row>
    <row r="212" spans="1:15" x14ac:dyDescent="0.3">
      <c r="A212" t="s">
        <v>285</v>
      </c>
      <c r="B212" t="s">
        <v>21</v>
      </c>
      <c r="C212" s="7">
        <v>45666</v>
      </c>
      <c r="D212" s="7">
        <v>45666</v>
      </c>
      <c r="E212" t="s">
        <v>26</v>
      </c>
      <c r="F212" t="s">
        <v>17</v>
      </c>
      <c r="G212">
        <v>5</v>
      </c>
      <c r="H212" t="s">
        <v>18</v>
      </c>
      <c r="I212" t="s">
        <v>54</v>
      </c>
      <c r="J212">
        <f>orders[[#This Row],[Ship Date]]-orders[[#This Row],[Order Date]]</f>
        <v>0</v>
      </c>
      <c r="K212">
        <f>WEEKNUM(orders[[#This Row],[Order Date]])</f>
        <v>2</v>
      </c>
      <c r="L212" t="str" cm="1">
        <f t="array" ref="L212">_xlfn.IFS(orders[[#This Row],[Customer Gender]]="M","Male", orders[[#This Row],[Customer Gender]]="F","Female", orders[[#This Row],[Customer Gender]]="O","Other", TRUE,"Unknown")</f>
        <v>Female</v>
      </c>
      <c r="M212">
        <v>1</v>
      </c>
      <c r="N212">
        <v>77.3</v>
      </c>
      <c r="O212" s="5">
        <v>77.3</v>
      </c>
    </row>
    <row r="213" spans="1:15" x14ac:dyDescent="0.3">
      <c r="A213" t="s">
        <v>286</v>
      </c>
      <c r="B213" t="s">
        <v>21</v>
      </c>
      <c r="C213" s="7">
        <v>45666</v>
      </c>
      <c r="D213" s="7">
        <v>45669</v>
      </c>
      <c r="E213" t="s">
        <v>26</v>
      </c>
      <c r="F213" t="s">
        <v>17</v>
      </c>
      <c r="G213">
        <v>4</v>
      </c>
      <c r="H213" t="s">
        <v>18</v>
      </c>
      <c r="I213" t="s">
        <v>54</v>
      </c>
      <c r="J213">
        <f>orders[[#This Row],[Ship Date]]-orders[[#This Row],[Order Date]]</f>
        <v>3</v>
      </c>
      <c r="K213">
        <f>WEEKNUM(orders[[#This Row],[Order Date]])</f>
        <v>2</v>
      </c>
      <c r="L213" t="str" cm="1">
        <f t="array" ref="L213">_xlfn.IFS(orders[[#This Row],[Customer Gender]]="M","Male", orders[[#This Row],[Customer Gender]]="F","Female", orders[[#This Row],[Customer Gender]]="O","Other", TRUE,"Unknown")</f>
        <v>Female</v>
      </c>
      <c r="M213">
        <v>5</v>
      </c>
      <c r="N213">
        <v>109.1</v>
      </c>
      <c r="O213">
        <v>545.5</v>
      </c>
    </row>
    <row r="214" spans="1:15" x14ac:dyDescent="0.3">
      <c r="A214" t="s">
        <v>287</v>
      </c>
      <c r="B214" t="s">
        <v>25</v>
      </c>
      <c r="C214" s="7">
        <v>45666</v>
      </c>
      <c r="D214" s="7">
        <v>45667</v>
      </c>
      <c r="E214" t="s">
        <v>22</v>
      </c>
      <c r="F214" t="s">
        <v>17</v>
      </c>
      <c r="G214">
        <v>3</v>
      </c>
      <c r="H214" t="s">
        <v>18</v>
      </c>
      <c r="I214" t="s">
        <v>61</v>
      </c>
      <c r="J214">
        <f>orders[[#This Row],[Ship Date]]-orders[[#This Row],[Order Date]]</f>
        <v>1</v>
      </c>
      <c r="K214">
        <f>WEEKNUM(orders[[#This Row],[Order Date]])</f>
        <v>2</v>
      </c>
      <c r="L214" t="str" cm="1">
        <f t="array" ref="L214">_xlfn.IFS(orders[[#This Row],[Customer Gender]]="M","Male", orders[[#This Row],[Customer Gender]]="F","Female", orders[[#This Row],[Customer Gender]]="O","Other", TRUE,"Unknown")</f>
        <v>Male</v>
      </c>
      <c r="M214">
        <v>4</v>
      </c>
      <c r="N214">
        <v>53.9</v>
      </c>
      <c r="O214" s="5">
        <v>215.6</v>
      </c>
    </row>
    <row r="215" spans="1:15" x14ac:dyDescent="0.3">
      <c r="A215" t="s">
        <v>288</v>
      </c>
      <c r="B215" t="s">
        <v>45</v>
      </c>
      <c r="C215" s="7">
        <v>45666</v>
      </c>
      <c r="D215" s="7">
        <v>45666</v>
      </c>
      <c r="E215" t="s">
        <v>26</v>
      </c>
      <c r="F215" t="s">
        <v>17</v>
      </c>
      <c r="G215">
        <v>4</v>
      </c>
      <c r="H215" t="s">
        <v>18</v>
      </c>
      <c r="I215" t="s">
        <v>71</v>
      </c>
      <c r="J215">
        <f>orders[[#This Row],[Ship Date]]-orders[[#This Row],[Order Date]]</f>
        <v>0</v>
      </c>
      <c r="K215">
        <f>WEEKNUM(orders[[#This Row],[Order Date]])</f>
        <v>2</v>
      </c>
      <c r="L215" t="str" cm="1">
        <f t="array" ref="L215">_xlfn.IFS(orders[[#This Row],[Customer Gender]]="M","Male", orders[[#This Row],[Customer Gender]]="F","Female", orders[[#This Row],[Customer Gender]]="O","Other", TRUE,"Unknown")</f>
        <v>Female</v>
      </c>
      <c r="M215">
        <v>26</v>
      </c>
      <c r="N215">
        <v>21.2</v>
      </c>
      <c r="O215">
        <v>551.19999999999993</v>
      </c>
    </row>
    <row r="216" spans="1:15" x14ac:dyDescent="0.3">
      <c r="A216" t="s">
        <v>289</v>
      </c>
      <c r="B216" t="s">
        <v>127</v>
      </c>
      <c r="C216" s="7">
        <v>45666</v>
      </c>
      <c r="D216" s="7">
        <v>45668</v>
      </c>
      <c r="E216" t="s">
        <v>26</v>
      </c>
      <c r="F216" t="s">
        <v>34</v>
      </c>
      <c r="G216">
        <v>3</v>
      </c>
      <c r="H216" t="s">
        <v>18</v>
      </c>
      <c r="I216" t="s">
        <v>107</v>
      </c>
      <c r="J216">
        <f>orders[[#This Row],[Ship Date]]-orders[[#This Row],[Order Date]]</f>
        <v>2</v>
      </c>
      <c r="K216">
        <f>WEEKNUM(orders[[#This Row],[Order Date]])</f>
        <v>2</v>
      </c>
      <c r="L216" t="str" cm="1">
        <f t="array" ref="L216">_xlfn.IFS(orders[[#This Row],[Customer Gender]]="M","Male", orders[[#This Row],[Customer Gender]]="F","Female", orders[[#This Row],[Customer Gender]]="O","Other", TRUE,"Unknown")</f>
        <v>Female</v>
      </c>
      <c r="M216">
        <v>4</v>
      </c>
      <c r="N216">
        <v>69</v>
      </c>
      <c r="O216" s="5">
        <v>276</v>
      </c>
    </row>
    <row r="217" spans="1:15" x14ac:dyDescent="0.3">
      <c r="A217" t="s">
        <v>290</v>
      </c>
      <c r="B217" t="s">
        <v>38</v>
      </c>
      <c r="C217" s="7">
        <v>45666</v>
      </c>
      <c r="D217" s="7">
        <v>45668</v>
      </c>
      <c r="E217" t="s">
        <v>26</v>
      </c>
      <c r="F217" t="s">
        <v>17</v>
      </c>
      <c r="G217">
        <v>5</v>
      </c>
      <c r="H217" t="s">
        <v>18</v>
      </c>
      <c r="I217" t="s">
        <v>291</v>
      </c>
      <c r="J217">
        <f>orders[[#This Row],[Ship Date]]-orders[[#This Row],[Order Date]]</f>
        <v>2</v>
      </c>
      <c r="K217">
        <f>WEEKNUM(orders[[#This Row],[Order Date]])</f>
        <v>2</v>
      </c>
      <c r="L217" t="str" cm="1">
        <f t="array" ref="L217">_xlfn.IFS(orders[[#This Row],[Customer Gender]]="M","Male", orders[[#This Row],[Customer Gender]]="F","Female", orders[[#This Row],[Customer Gender]]="O","Other", TRUE,"Unknown")</f>
        <v>Female</v>
      </c>
      <c r="M217">
        <v>3</v>
      </c>
      <c r="N217">
        <v>46.2</v>
      </c>
      <c r="O217">
        <v>138.60000000000002</v>
      </c>
    </row>
    <row r="218" spans="1:15" x14ac:dyDescent="0.3">
      <c r="A218" t="s">
        <v>292</v>
      </c>
      <c r="B218" t="s">
        <v>21</v>
      </c>
      <c r="C218" s="7">
        <v>45666</v>
      </c>
      <c r="D218" s="7">
        <v>45670</v>
      </c>
      <c r="E218" t="s">
        <v>26</v>
      </c>
      <c r="F218" t="s">
        <v>69</v>
      </c>
      <c r="G218">
        <v>5</v>
      </c>
      <c r="H218" t="s">
        <v>18</v>
      </c>
      <c r="I218" t="s">
        <v>114</v>
      </c>
      <c r="J218">
        <f>orders[[#This Row],[Ship Date]]-orders[[#This Row],[Order Date]]</f>
        <v>4</v>
      </c>
      <c r="K218">
        <f>WEEKNUM(orders[[#This Row],[Order Date]])</f>
        <v>2</v>
      </c>
      <c r="L218" t="str" cm="1">
        <f t="array" ref="L218">_xlfn.IFS(orders[[#This Row],[Customer Gender]]="M","Male", orders[[#This Row],[Customer Gender]]="F","Female", orders[[#This Row],[Customer Gender]]="O","Other", TRUE,"Unknown")</f>
        <v>Female</v>
      </c>
      <c r="M218">
        <v>5</v>
      </c>
      <c r="N218">
        <v>97.4</v>
      </c>
      <c r="O218" s="5">
        <v>487</v>
      </c>
    </row>
    <row r="219" spans="1:15" x14ac:dyDescent="0.3">
      <c r="A219" t="s">
        <v>293</v>
      </c>
      <c r="B219" t="s">
        <v>43</v>
      </c>
      <c r="C219" s="7">
        <v>45666</v>
      </c>
      <c r="D219" s="7">
        <v>45667</v>
      </c>
      <c r="E219" t="s">
        <v>22</v>
      </c>
      <c r="F219" t="s">
        <v>17</v>
      </c>
      <c r="G219">
        <v>3</v>
      </c>
      <c r="H219" t="s">
        <v>18</v>
      </c>
      <c r="I219" t="s">
        <v>114</v>
      </c>
      <c r="J219">
        <f>orders[[#This Row],[Ship Date]]-orders[[#This Row],[Order Date]]</f>
        <v>1</v>
      </c>
      <c r="K219">
        <f>WEEKNUM(orders[[#This Row],[Order Date]])</f>
        <v>2</v>
      </c>
      <c r="L219" t="str" cm="1">
        <f t="array" ref="L219">_xlfn.IFS(orders[[#This Row],[Customer Gender]]="M","Male", orders[[#This Row],[Customer Gender]]="F","Female", orders[[#This Row],[Customer Gender]]="O","Other", TRUE,"Unknown")</f>
        <v>Male</v>
      </c>
      <c r="M219">
        <v>5</v>
      </c>
      <c r="N219">
        <v>21</v>
      </c>
      <c r="O219">
        <v>105</v>
      </c>
    </row>
    <row r="220" spans="1:15" x14ac:dyDescent="0.3">
      <c r="A220" t="s">
        <v>294</v>
      </c>
      <c r="B220" t="s">
        <v>36</v>
      </c>
      <c r="C220" s="7">
        <v>45667</v>
      </c>
      <c r="D220" s="7">
        <v>45670</v>
      </c>
      <c r="E220" t="s">
        <v>26</v>
      </c>
      <c r="F220" t="s">
        <v>34</v>
      </c>
      <c r="G220">
        <v>4</v>
      </c>
      <c r="H220" t="s">
        <v>18</v>
      </c>
      <c r="I220" t="s">
        <v>27</v>
      </c>
      <c r="J220">
        <f>orders[[#This Row],[Ship Date]]-orders[[#This Row],[Order Date]]</f>
        <v>3</v>
      </c>
      <c r="K220">
        <f>WEEKNUM(orders[[#This Row],[Order Date]])</f>
        <v>2</v>
      </c>
      <c r="L220" t="str" cm="1">
        <f t="array" ref="L220">_xlfn.IFS(orders[[#This Row],[Customer Gender]]="M","Male", orders[[#This Row],[Customer Gender]]="F","Female", orders[[#This Row],[Customer Gender]]="O","Other", TRUE,"Unknown")</f>
        <v>Female</v>
      </c>
      <c r="M220">
        <v>2</v>
      </c>
      <c r="N220">
        <v>32.700000000000003</v>
      </c>
      <c r="O220" s="5">
        <v>65.400000000000006</v>
      </c>
    </row>
    <row r="221" spans="1:15" x14ac:dyDescent="0.3">
      <c r="A221" t="s">
        <v>295</v>
      </c>
      <c r="B221" t="s">
        <v>38</v>
      </c>
      <c r="C221" s="7">
        <v>45667</v>
      </c>
      <c r="D221" s="7">
        <v>45668</v>
      </c>
      <c r="E221" t="s">
        <v>22</v>
      </c>
      <c r="F221" t="s">
        <v>50</v>
      </c>
      <c r="G221">
        <v>4</v>
      </c>
      <c r="H221" t="s">
        <v>18</v>
      </c>
      <c r="I221" t="s">
        <v>32</v>
      </c>
      <c r="J221">
        <f>orders[[#This Row],[Ship Date]]-orders[[#This Row],[Order Date]]</f>
        <v>1</v>
      </c>
      <c r="K221">
        <f>WEEKNUM(orders[[#This Row],[Order Date]])</f>
        <v>2</v>
      </c>
      <c r="L221" t="str" cm="1">
        <f t="array" ref="L221">_xlfn.IFS(orders[[#This Row],[Customer Gender]]="M","Male", orders[[#This Row],[Customer Gender]]="F","Female", orders[[#This Row],[Customer Gender]]="O","Other", TRUE,"Unknown")</f>
        <v>Male</v>
      </c>
      <c r="M221">
        <v>4</v>
      </c>
      <c r="N221">
        <v>48</v>
      </c>
      <c r="O221">
        <v>192</v>
      </c>
    </row>
    <row r="222" spans="1:15" x14ac:dyDescent="0.3">
      <c r="A222" t="s">
        <v>296</v>
      </c>
      <c r="B222" t="s">
        <v>38</v>
      </c>
      <c r="C222" s="7">
        <v>45667</v>
      </c>
      <c r="D222" s="7">
        <v>45671</v>
      </c>
      <c r="E222" t="s">
        <v>2517</v>
      </c>
      <c r="F222" t="s">
        <v>17</v>
      </c>
      <c r="G222">
        <v>5</v>
      </c>
      <c r="H222" t="s">
        <v>18</v>
      </c>
      <c r="I222" t="s">
        <v>32</v>
      </c>
      <c r="J222">
        <f>orders[[#This Row],[Ship Date]]-orders[[#This Row],[Order Date]]</f>
        <v>4</v>
      </c>
      <c r="K222">
        <f>WEEKNUM(orders[[#This Row],[Order Date]])</f>
        <v>2</v>
      </c>
      <c r="L222" t="str" cm="1">
        <f t="array" ref="L222">_xlfn.IFS(orders[[#This Row],[Customer Gender]]="M","Male", orders[[#This Row],[Customer Gender]]="F","Female", orders[[#This Row],[Customer Gender]]="O","Other", TRUE,"Unknown")</f>
        <v>Unknown</v>
      </c>
      <c r="M222">
        <v>3</v>
      </c>
      <c r="N222">
        <v>68.2</v>
      </c>
      <c r="O222" s="5">
        <v>204.60000000000002</v>
      </c>
    </row>
    <row r="223" spans="1:15" x14ac:dyDescent="0.3">
      <c r="A223" t="s">
        <v>297</v>
      </c>
      <c r="B223" t="s">
        <v>36</v>
      </c>
      <c r="C223" s="7">
        <v>45667</v>
      </c>
      <c r="D223" s="7">
        <v>45669</v>
      </c>
      <c r="E223" t="s">
        <v>22</v>
      </c>
      <c r="F223" t="s">
        <v>34</v>
      </c>
      <c r="G223">
        <v>4</v>
      </c>
      <c r="H223" t="s">
        <v>18</v>
      </c>
      <c r="I223" t="s">
        <v>32</v>
      </c>
      <c r="J223">
        <f>orders[[#This Row],[Ship Date]]-orders[[#This Row],[Order Date]]</f>
        <v>2</v>
      </c>
      <c r="K223">
        <f>WEEKNUM(orders[[#This Row],[Order Date]])</f>
        <v>2</v>
      </c>
      <c r="L223" t="str" cm="1">
        <f t="array" ref="L223">_xlfn.IFS(orders[[#This Row],[Customer Gender]]="M","Male", orders[[#This Row],[Customer Gender]]="F","Female", orders[[#This Row],[Customer Gender]]="O","Other", TRUE,"Unknown")</f>
        <v>Male</v>
      </c>
      <c r="M223">
        <v>1</v>
      </c>
      <c r="N223">
        <v>45.4</v>
      </c>
      <c r="O223">
        <v>45.4</v>
      </c>
    </row>
    <row r="224" spans="1:15" x14ac:dyDescent="0.3">
      <c r="A224" t="s">
        <v>298</v>
      </c>
      <c r="B224" t="s">
        <v>68</v>
      </c>
      <c r="C224" s="7">
        <v>45667</v>
      </c>
      <c r="D224" s="7">
        <v>45668</v>
      </c>
      <c r="E224" t="s">
        <v>26</v>
      </c>
      <c r="F224" t="s">
        <v>39</v>
      </c>
      <c r="G224">
        <v>4</v>
      </c>
      <c r="H224" t="s">
        <v>18</v>
      </c>
      <c r="I224" t="s">
        <v>32</v>
      </c>
      <c r="J224">
        <f>orders[[#This Row],[Ship Date]]-orders[[#This Row],[Order Date]]</f>
        <v>1</v>
      </c>
      <c r="K224">
        <f>WEEKNUM(orders[[#This Row],[Order Date]])</f>
        <v>2</v>
      </c>
      <c r="L224" t="str" cm="1">
        <f t="array" ref="L224">_xlfn.IFS(orders[[#This Row],[Customer Gender]]="M","Male", orders[[#This Row],[Customer Gender]]="F","Female", orders[[#This Row],[Customer Gender]]="O","Other", TRUE,"Unknown")</f>
        <v>Female</v>
      </c>
      <c r="M224">
        <v>2</v>
      </c>
      <c r="N224">
        <v>53.9</v>
      </c>
      <c r="O224" s="5">
        <v>107.8</v>
      </c>
    </row>
    <row r="225" spans="1:15" x14ac:dyDescent="0.3">
      <c r="A225" t="s">
        <v>299</v>
      </c>
      <c r="B225" t="s">
        <v>25</v>
      </c>
      <c r="C225" s="7">
        <v>45667</v>
      </c>
      <c r="D225" s="7">
        <v>45671</v>
      </c>
      <c r="E225" t="s">
        <v>26</v>
      </c>
      <c r="F225" t="s">
        <v>17</v>
      </c>
      <c r="G225">
        <v>4</v>
      </c>
      <c r="H225" t="s">
        <v>18</v>
      </c>
      <c r="I225" t="s">
        <v>48</v>
      </c>
      <c r="J225">
        <f>orders[[#This Row],[Ship Date]]-orders[[#This Row],[Order Date]]</f>
        <v>4</v>
      </c>
      <c r="K225">
        <f>WEEKNUM(orders[[#This Row],[Order Date]])</f>
        <v>2</v>
      </c>
      <c r="L225" t="str" cm="1">
        <f t="array" ref="L225">_xlfn.IFS(orders[[#This Row],[Customer Gender]]="M","Male", orders[[#This Row],[Customer Gender]]="F","Female", orders[[#This Row],[Customer Gender]]="O","Other", TRUE,"Unknown")</f>
        <v>Female</v>
      </c>
      <c r="M225">
        <v>4</v>
      </c>
      <c r="N225">
        <v>62.1</v>
      </c>
      <c r="O225">
        <v>248.4</v>
      </c>
    </row>
    <row r="226" spans="1:15" x14ac:dyDescent="0.3">
      <c r="A226" t="s">
        <v>300</v>
      </c>
      <c r="B226" t="s">
        <v>75</v>
      </c>
      <c r="C226" s="7">
        <v>45667</v>
      </c>
      <c r="D226" s="7">
        <v>45672</v>
      </c>
      <c r="E226" t="s">
        <v>22</v>
      </c>
      <c r="F226" t="s">
        <v>34</v>
      </c>
      <c r="G226">
        <v>4</v>
      </c>
      <c r="H226" t="s">
        <v>18</v>
      </c>
      <c r="I226" t="s">
        <v>54</v>
      </c>
      <c r="J226">
        <f>orders[[#This Row],[Ship Date]]-orders[[#This Row],[Order Date]]</f>
        <v>5</v>
      </c>
      <c r="K226">
        <f>WEEKNUM(orders[[#This Row],[Order Date]])</f>
        <v>2</v>
      </c>
      <c r="L226" t="str" cm="1">
        <f t="array" ref="L226">_xlfn.IFS(orders[[#This Row],[Customer Gender]]="M","Male", orders[[#This Row],[Customer Gender]]="F","Female", orders[[#This Row],[Customer Gender]]="O","Other", TRUE,"Unknown")</f>
        <v>Male</v>
      </c>
      <c r="M226">
        <v>7</v>
      </c>
      <c r="N226">
        <v>33.1</v>
      </c>
      <c r="O226" s="5">
        <v>231.70000000000002</v>
      </c>
    </row>
    <row r="227" spans="1:15" x14ac:dyDescent="0.3">
      <c r="A227" t="s">
        <v>301</v>
      </c>
      <c r="B227" t="s">
        <v>145</v>
      </c>
      <c r="C227" s="7">
        <v>45667</v>
      </c>
      <c r="D227" s="7">
        <v>45667</v>
      </c>
      <c r="E227" t="s">
        <v>26</v>
      </c>
      <c r="F227" t="s">
        <v>34</v>
      </c>
      <c r="G227">
        <v>4</v>
      </c>
      <c r="H227" t="s">
        <v>18</v>
      </c>
      <c r="I227" t="s">
        <v>54</v>
      </c>
      <c r="J227">
        <f>orders[[#This Row],[Ship Date]]-orders[[#This Row],[Order Date]]</f>
        <v>0</v>
      </c>
      <c r="K227">
        <f>WEEKNUM(orders[[#This Row],[Order Date]])</f>
        <v>2</v>
      </c>
      <c r="L227" t="str" cm="1">
        <f t="array" ref="L227">_xlfn.IFS(orders[[#This Row],[Customer Gender]]="M","Male", orders[[#This Row],[Customer Gender]]="F","Female", orders[[#This Row],[Customer Gender]]="O","Other", TRUE,"Unknown")</f>
        <v>Female</v>
      </c>
      <c r="M227">
        <v>5</v>
      </c>
      <c r="N227">
        <v>35.200000000000003</v>
      </c>
      <c r="O227">
        <v>176</v>
      </c>
    </row>
    <row r="228" spans="1:15" x14ac:dyDescent="0.3">
      <c r="A228" t="s">
        <v>302</v>
      </c>
      <c r="B228" t="s">
        <v>45</v>
      </c>
      <c r="C228" s="7">
        <v>45667</v>
      </c>
      <c r="D228" s="7">
        <v>45672</v>
      </c>
      <c r="E228" t="s">
        <v>22</v>
      </c>
      <c r="F228" t="s">
        <v>50</v>
      </c>
      <c r="G228">
        <v>4</v>
      </c>
      <c r="H228" t="s">
        <v>18</v>
      </c>
      <c r="I228" t="s">
        <v>61</v>
      </c>
      <c r="J228">
        <f>orders[[#This Row],[Ship Date]]-orders[[#This Row],[Order Date]]</f>
        <v>5</v>
      </c>
      <c r="K228">
        <f>WEEKNUM(orders[[#This Row],[Order Date]])</f>
        <v>2</v>
      </c>
      <c r="L228" t="str" cm="1">
        <f t="array" ref="L228">_xlfn.IFS(orders[[#This Row],[Customer Gender]]="M","Male", orders[[#This Row],[Customer Gender]]="F","Female", orders[[#This Row],[Customer Gender]]="O","Other", TRUE,"Unknown")</f>
        <v>Male</v>
      </c>
      <c r="M228">
        <v>3</v>
      </c>
      <c r="N228">
        <v>32.1</v>
      </c>
      <c r="O228" s="5">
        <v>96.300000000000011</v>
      </c>
    </row>
    <row r="229" spans="1:15" x14ac:dyDescent="0.3">
      <c r="A229" t="s">
        <v>303</v>
      </c>
      <c r="B229" t="s">
        <v>66</v>
      </c>
      <c r="C229" s="7">
        <v>45667</v>
      </c>
      <c r="D229" s="7">
        <v>45672</v>
      </c>
      <c r="E229" t="s">
        <v>26</v>
      </c>
      <c r="F229" t="s">
        <v>17</v>
      </c>
      <c r="G229">
        <v>5</v>
      </c>
      <c r="H229" t="s">
        <v>18</v>
      </c>
      <c r="I229" t="s">
        <v>61</v>
      </c>
      <c r="J229">
        <f>orders[[#This Row],[Ship Date]]-orders[[#This Row],[Order Date]]</f>
        <v>5</v>
      </c>
      <c r="K229">
        <f>WEEKNUM(orders[[#This Row],[Order Date]])</f>
        <v>2</v>
      </c>
      <c r="L229" t="str" cm="1">
        <f t="array" ref="L229">_xlfn.IFS(orders[[#This Row],[Customer Gender]]="M","Male", orders[[#This Row],[Customer Gender]]="F","Female", orders[[#This Row],[Customer Gender]]="O","Other", TRUE,"Unknown")</f>
        <v>Female</v>
      </c>
      <c r="M229">
        <v>1</v>
      </c>
      <c r="N229">
        <v>38.1</v>
      </c>
      <c r="O229">
        <v>38.1</v>
      </c>
    </row>
    <row r="230" spans="1:15" x14ac:dyDescent="0.3">
      <c r="A230" t="s">
        <v>304</v>
      </c>
      <c r="B230" t="s">
        <v>43</v>
      </c>
      <c r="C230" s="7">
        <v>45667</v>
      </c>
      <c r="D230" s="7">
        <v>45672</v>
      </c>
      <c r="E230" t="s">
        <v>26</v>
      </c>
      <c r="F230" t="s">
        <v>50</v>
      </c>
      <c r="G230">
        <v>3</v>
      </c>
      <c r="H230" t="s">
        <v>18</v>
      </c>
      <c r="I230" t="s">
        <v>61</v>
      </c>
      <c r="J230">
        <f>orders[[#This Row],[Ship Date]]-orders[[#This Row],[Order Date]]</f>
        <v>5</v>
      </c>
      <c r="K230">
        <f>WEEKNUM(orders[[#This Row],[Order Date]])</f>
        <v>2</v>
      </c>
      <c r="L230" t="str" cm="1">
        <f t="array" ref="L230">_xlfn.IFS(orders[[#This Row],[Customer Gender]]="M","Male", orders[[#This Row],[Customer Gender]]="F","Female", orders[[#This Row],[Customer Gender]]="O","Other", TRUE,"Unknown")</f>
        <v>Female</v>
      </c>
      <c r="M230">
        <v>1</v>
      </c>
      <c r="N230">
        <v>65.2</v>
      </c>
      <c r="O230" s="5">
        <v>65.2</v>
      </c>
    </row>
    <row r="231" spans="1:15" x14ac:dyDescent="0.3">
      <c r="A231" t="s">
        <v>305</v>
      </c>
      <c r="B231" t="s">
        <v>53</v>
      </c>
      <c r="C231" s="7">
        <v>45667</v>
      </c>
      <c r="D231" s="7">
        <v>45668</v>
      </c>
      <c r="E231" t="s">
        <v>22</v>
      </c>
      <c r="F231" t="s">
        <v>39</v>
      </c>
      <c r="G231">
        <v>4</v>
      </c>
      <c r="H231" t="s">
        <v>18</v>
      </c>
      <c r="I231" t="s">
        <v>76</v>
      </c>
      <c r="J231">
        <f>orders[[#This Row],[Ship Date]]-orders[[#This Row],[Order Date]]</f>
        <v>1</v>
      </c>
      <c r="K231">
        <f>WEEKNUM(orders[[#This Row],[Order Date]])</f>
        <v>2</v>
      </c>
      <c r="L231" t="str" cm="1">
        <f t="array" ref="L231">_xlfn.IFS(orders[[#This Row],[Customer Gender]]="M","Male", orders[[#This Row],[Customer Gender]]="F","Female", orders[[#This Row],[Customer Gender]]="O","Other", TRUE,"Unknown")</f>
        <v>Male</v>
      </c>
      <c r="M231">
        <v>7</v>
      </c>
      <c r="N231">
        <v>55.2</v>
      </c>
      <c r="O231">
        <v>386.40000000000003</v>
      </c>
    </row>
    <row r="232" spans="1:15" x14ac:dyDescent="0.3">
      <c r="A232" t="s">
        <v>306</v>
      </c>
      <c r="B232" t="s">
        <v>38</v>
      </c>
      <c r="C232" s="7">
        <v>45667</v>
      </c>
      <c r="D232" s="7">
        <v>45671</v>
      </c>
      <c r="E232" t="s">
        <v>26</v>
      </c>
      <c r="F232" t="s">
        <v>17</v>
      </c>
      <c r="G232">
        <v>4</v>
      </c>
      <c r="H232" t="s">
        <v>18</v>
      </c>
      <c r="I232" t="s">
        <v>76</v>
      </c>
      <c r="J232">
        <f>orders[[#This Row],[Ship Date]]-orders[[#This Row],[Order Date]]</f>
        <v>4</v>
      </c>
      <c r="K232">
        <f>WEEKNUM(orders[[#This Row],[Order Date]])</f>
        <v>2</v>
      </c>
      <c r="L232" t="str" cm="1">
        <f t="array" ref="L232">_xlfn.IFS(orders[[#This Row],[Customer Gender]]="M","Male", orders[[#This Row],[Customer Gender]]="F","Female", orders[[#This Row],[Customer Gender]]="O","Other", TRUE,"Unknown")</f>
        <v>Female</v>
      </c>
      <c r="M232">
        <v>1</v>
      </c>
      <c r="N232">
        <v>62</v>
      </c>
      <c r="O232" s="5">
        <v>62</v>
      </c>
    </row>
    <row r="233" spans="1:15" x14ac:dyDescent="0.3">
      <c r="A233" t="s">
        <v>307</v>
      </c>
      <c r="B233" t="s">
        <v>41</v>
      </c>
      <c r="C233" s="7">
        <v>45667</v>
      </c>
      <c r="D233" s="7">
        <v>45668</v>
      </c>
      <c r="E233" t="s">
        <v>26</v>
      </c>
      <c r="F233" t="s">
        <v>39</v>
      </c>
      <c r="G233">
        <v>4</v>
      </c>
      <c r="H233" t="s">
        <v>18</v>
      </c>
      <c r="I233" t="s">
        <v>308</v>
      </c>
      <c r="J233">
        <f>orders[[#This Row],[Ship Date]]-orders[[#This Row],[Order Date]]</f>
        <v>1</v>
      </c>
      <c r="K233">
        <f>WEEKNUM(orders[[#This Row],[Order Date]])</f>
        <v>2</v>
      </c>
      <c r="L233" t="str" cm="1">
        <f t="array" ref="L233">_xlfn.IFS(orders[[#This Row],[Customer Gender]]="M","Male", orders[[#This Row],[Customer Gender]]="F","Female", orders[[#This Row],[Customer Gender]]="O","Other", TRUE,"Unknown")</f>
        <v>Female</v>
      </c>
      <c r="M233">
        <v>3</v>
      </c>
      <c r="N233">
        <v>45.9</v>
      </c>
      <c r="O233">
        <v>137.69999999999999</v>
      </c>
    </row>
    <row r="234" spans="1:15" x14ac:dyDescent="0.3">
      <c r="A234" t="s">
        <v>309</v>
      </c>
      <c r="B234" t="s">
        <v>145</v>
      </c>
      <c r="C234" s="7">
        <v>45667</v>
      </c>
      <c r="D234" s="7">
        <v>45667</v>
      </c>
      <c r="E234" t="s">
        <v>22</v>
      </c>
      <c r="F234" t="s">
        <v>34</v>
      </c>
      <c r="G234">
        <v>3</v>
      </c>
      <c r="H234" t="s">
        <v>18</v>
      </c>
      <c r="I234" t="s">
        <v>107</v>
      </c>
      <c r="J234">
        <f>orders[[#This Row],[Ship Date]]-orders[[#This Row],[Order Date]]</f>
        <v>0</v>
      </c>
      <c r="K234">
        <f>WEEKNUM(orders[[#This Row],[Order Date]])</f>
        <v>2</v>
      </c>
      <c r="L234" t="str" cm="1">
        <f t="array" ref="L234">_xlfn.IFS(orders[[#This Row],[Customer Gender]]="M","Male", orders[[#This Row],[Customer Gender]]="F","Female", orders[[#This Row],[Customer Gender]]="O","Other", TRUE,"Unknown")</f>
        <v>Male</v>
      </c>
      <c r="M234">
        <v>3</v>
      </c>
      <c r="N234">
        <v>58.3</v>
      </c>
      <c r="O234" s="5">
        <v>174.89999999999998</v>
      </c>
    </row>
    <row r="235" spans="1:15" x14ac:dyDescent="0.3">
      <c r="A235" t="s">
        <v>310</v>
      </c>
      <c r="B235" t="s">
        <v>43</v>
      </c>
      <c r="C235" s="7">
        <v>45667</v>
      </c>
      <c r="D235" s="7">
        <v>45670</v>
      </c>
      <c r="E235" t="s">
        <v>26</v>
      </c>
      <c r="F235" t="s">
        <v>17</v>
      </c>
      <c r="G235">
        <v>5</v>
      </c>
      <c r="H235" t="s">
        <v>18</v>
      </c>
      <c r="I235" t="s">
        <v>112</v>
      </c>
      <c r="J235">
        <f>orders[[#This Row],[Ship Date]]-orders[[#This Row],[Order Date]]</f>
        <v>3</v>
      </c>
      <c r="K235">
        <f>WEEKNUM(orders[[#This Row],[Order Date]])</f>
        <v>2</v>
      </c>
      <c r="L235" t="str" cm="1">
        <f t="array" ref="L235">_xlfn.IFS(orders[[#This Row],[Customer Gender]]="M","Male", orders[[#This Row],[Customer Gender]]="F","Female", orders[[#This Row],[Customer Gender]]="O","Other", TRUE,"Unknown")</f>
        <v>Female</v>
      </c>
      <c r="M235">
        <v>2</v>
      </c>
      <c r="N235">
        <v>22.3</v>
      </c>
      <c r="O235">
        <v>44.6</v>
      </c>
    </row>
    <row r="236" spans="1:15" x14ac:dyDescent="0.3">
      <c r="A236" t="s">
        <v>311</v>
      </c>
      <c r="B236" t="s">
        <v>170</v>
      </c>
      <c r="C236" s="7">
        <v>45667</v>
      </c>
      <c r="D236" s="7">
        <v>45668</v>
      </c>
      <c r="E236" t="s">
        <v>22</v>
      </c>
      <c r="F236" t="s">
        <v>69</v>
      </c>
      <c r="G236">
        <v>4</v>
      </c>
      <c r="H236" t="s">
        <v>18</v>
      </c>
      <c r="I236" t="s">
        <v>23</v>
      </c>
      <c r="J236">
        <f>orders[[#This Row],[Ship Date]]-orders[[#This Row],[Order Date]]</f>
        <v>1</v>
      </c>
      <c r="K236">
        <f>WEEKNUM(orders[[#This Row],[Order Date]])</f>
        <v>2</v>
      </c>
      <c r="L236" t="str" cm="1">
        <f t="array" ref="L236">_xlfn.IFS(orders[[#This Row],[Customer Gender]]="M","Male", orders[[#This Row],[Customer Gender]]="F","Female", orders[[#This Row],[Customer Gender]]="O","Other", TRUE,"Unknown")</f>
        <v>Male</v>
      </c>
      <c r="M236">
        <v>5</v>
      </c>
      <c r="N236">
        <v>24</v>
      </c>
      <c r="O236" s="5">
        <v>120</v>
      </c>
    </row>
    <row r="237" spans="1:15" x14ac:dyDescent="0.3">
      <c r="A237" t="s">
        <v>312</v>
      </c>
      <c r="B237" t="s">
        <v>16</v>
      </c>
      <c r="C237" s="7">
        <v>45667</v>
      </c>
      <c r="D237" s="7">
        <v>45667</v>
      </c>
      <c r="E237" t="s">
        <v>26</v>
      </c>
      <c r="F237" t="s">
        <v>34</v>
      </c>
      <c r="G237">
        <v>5</v>
      </c>
      <c r="H237" t="s">
        <v>18</v>
      </c>
      <c r="I237" t="s">
        <v>146</v>
      </c>
      <c r="J237">
        <f>orders[[#This Row],[Ship Date]]-orders[[#This Row],[Order Date]]</f>
        <v>0</v>
      </c>
      <c r="K237">
        <f>WEEKNUM(orders[[#This Row],[Order Date]])</f>
        <v>2</v>
      </c>
      <c r="L237" t="str" cm="1">
        <f t="array" ref="L237">_xlfn.IFS(orders[[#This Row],[Customer Gender]]="M","Male", orders[[#This Row],[Customer Gender]]="F","Female", orders[[#This Row],[Customer Gender]]="O","Other", TRUE,"Unknown")</f>
        <v>Female</v>
      </c>
      <c r="M237">
        <v>10</v>
      </c>
      <c r="N237">
        <v>21.3</v>
      </c>
      <c r="O237">
        <v>213</v>
      </c>
    </row>
    <row r="238" spans="1:15" x14ac:dyDescent="0.3">
      <c r="A238" t="s">
        <v>313</v>
      </c>
      <c r="B238" t="s">
        <v>38</v>
      </c>
      <c r="C238" s="7">
        <v>45667</v>
      </c>
      <c r="D238" s="7">
        <v>45669</v>
      </c>
      <c r="E238" t="s">
        <v>26</v>
      </c>
      <c r="F238" t="s">
        <v>17</v>
      </c>
      <c r="G238">
        <v>5</v>
      </c>
      <c r="H238" t="s">
        <v>18</v>
      </c>
      <c r="I238" t="s">
        <v>32</v>
      </c>
      <c r="J238">
        <f>orders[[#This Row],[Ship Date]]-orders[[#This Row],[Order Date]]</f>
        <v>2</v>
      </c>
      <c r="K238">
        <f>WEEKNUM(orders[[#This Row],[Order Date]])</f>
        <v>2</v>
      </c>
      <c r="L238" t="str" cm="1">
        <f t="array" ref="L238">_xlfn.IFS(orders[[#This Row],[Customer Gender]]="M","Male", orders[[#This Row],[Customer Gender]]="F","Female", orders[[#This Row],[Customer Gender]]="O","Other", TRUE,"Unknown")</f>
        <v>Female</v>
      </c>
      <c r="M238">
        <v>41</v>
      </c>
      <c r="N238">
        <v>57.8</v>
      </c>
      <c r="O238" s="5">
        <v>2369.7999999999997</v>
      </c>
    </row>
    <row r="239" spans="1:15" x14ac:dyDescent="0.3">
      <c r="A239" t="s">
        <v>314</v>
      </c>
      <c r="B239" t="s">
        <v>53</v>
      </c>
      <c r="C239" s="7">
        <v>45667</v>
      </c>
      <c r="D239" s="7">
        <v>45668</v>
      </c>
      <c r="E239" t="s">
        <v>26</v>
      </c>
      <c r="F239" t="s">
        <v>17</v>
      </c>
      <c r="G239">
        <v>4</v>
      </c>
      <c r="H239" t="s">
        <v>18</v>
      </c>
      <c r="I239" t="s">
        <v>32</v>
      </c>
      <c r="J239">
        <f>orders[[#This Row],[Ship Date]]-orders[[#This Row],[Order Date]]</f>
        <v>1</v>
      </c>
      <c r="K239">
        <f>WEEKNUM(orders[[#This Row],[Order Date]])</f>
        <v>2</v>
      </c>
      <c r="L239" t="str" cm="1">
        <f t="array" ref="L239">_xlfn.IFS(orders[[#This Row],[Customer Gender]]="M","Male", orders[[#This Row],[Customer Gender]]="F","Female", orders[[#This Row],[Customer Gender]]="O","Other", TRUE,"Unknown")</f>
        <v>Female</v>
      </c>
      <c r="M239">
        <v>3</v>
      </c>
      <c r="N239">
        <v>67.599999999999994</v>
      </c>
      <c r="O239">
        <v>202.79999999999998</v>
      </c>
    </row>
    <row r="240" spans="1:15" x14ac:dyDescent="0.3">
      <c r="A240" t="s">
        <v>315</v>
      </c>
      <c r="B240" t="s">
        <v>38</v>
      </c>
      <c r="C240" s="7">
        <v>45667</v>
      </c>
      <c r="D240" s="7">
        <v>45671</v>
      </c>
      <c r="E240" t="s">
        <v>22</v>
      </c>
      <c r="F240" t="s">
        <v>69</v>
      </c>
      <c r="G240">
        <v>3</v>
      </c>
      <c r="H240" t="s">
        <v>18</v>
      </c>
      <c r="I240" t="s">
        <v>32</v>
      </c>
      <c r="J240">
        <f>orders[[#This Row],[Ship Date]]-orders[[#This Row],[Order Date]]</f>
        <v>4</v>
      </c>
      <c r="K240">
        <f>WEEKNUM(orders[[#This Row],[Order Date]])</f>
        <v>2</v>
      </c>
      <c r="L240" t="str" cm="1">
        <f t="array" ref="L240">_xlfn.IFS(orders[[#This Row],[Customer Gender]]="M","Male", orders[[#This Row],[Customer Gender]]="F","Female", orders[[#This Row],[Customer Gender]]="O","Other", TRUE,"Unknown")</f>
        <v>Male</v>
      </c>
      <c r="M240">
        <v>6</v>
      </c>
      <c r="N240">
        <v>66.7</v>
      </c>
      <c r="O240" s="5">
        <v>400.20000000000005</v>
      </c>
    </row>
    <row r="241" spans="1:15" x14ac:dyDescent="0.3">
      <c r="A241" t="s">
        <v>316</v>
      </c>
      <c r="B241" t="s">
        <v>21</v>
      </c>
      <c r="C241" s="7">
        <v>45667</v>
      </c>
      <c r="D241" s="7">
        <v>45669</v>
      </c>
      <c r="E241" t="s">
        <v>26</v>
      </c>
      <c r="F241" t="s">
        <v>34</v>
      </c>
      <c r="G241">
        <v>4</v>
      </c>
      <c r="H241" t="s">
        <v>18</v>
      </c>
      <c r="I241" t="s">
        <v>32</v>
      </c>
      <c r="J241">
        <f>orders[[#This Row],[Ship Date]]-orders[[#This Row],[Order Date]]</f>
        <v>2</v>
      </c>
      <c r="K241">
        <f>WEEKNUM(orders[[#This Row],[Order Date]])</f>
        <v>2</v>
      </c>
      <c r="L241" t="str" cm="1">
        <f t="array" ref="L241">_xlfn.IFS(orders[[#This Row],[Customer Gender]]="M","Male", orders[[#This Row],[Customer Gender]]="F","Female", orders[[#This Row],[Customer Gender]]="O","Other", TRUE,"Unknown")</f>
        <v>Female</v>
      </c>
      <c r="M241">
        <v>4</v>
      </c>
      <c r="N241">
        <v>53.1</v>
      </c>
      <c r="O241">
        <v>212.4</v>
      </c>
    </row>
    <row r="242" spans="1:15" x14ac:dyDescent="0.3">
      <c r="A242" t="s">
        <v>317</v>
      </c>
      <c r="B242" t="s">
        <v>68</v>
      </c>
      <c r="C242" s="7">
        <v>45667</v>
      </c>
      <c r="D242" s="7">
        <v>45670</v>
      </c>
      <c r="E242" t="s">
        <v>26</v>
      </c>
      <c r="F242" t="s">
        <v>17</v>
      </c>
      <c r="G242">
        <v>5</v>
      </c>
      <c r="H242" t="s">
        <v>18</v>
      </c>
      <c r="I242" t="s">
        <v>257</v>
      </c>
      <c r="J242">
        <f>orders[[#This Row],[Ship Date]]-orders[[#This Row],[Order Date]]</f>
        <v>3</v>
      </c>
      <c r="K242">
        <f>WEEKNUM(orders[[#This Row],[Order Date]])</f>
        <v>2</v>
      </c>
      <c r="L242" t="str" cm="1">
        <f t="array" ref="L242">_xlfn.IFS(orders[[#This Row],[Customer Gender]]="M","Male", orders[[#This Row],[Customer Gender]]="F","Female", orders[[#This Row],[Customer Gender]]="O","Other", TRUE,"Unknown")</f>
        <v>Female</v>
      </c>
      <c r="M242">
        <v>3</v>
      </c>
      <c r="N242">
        <v>57.4</v>
      </c>
      <c r="O242" s="5">
        <v>172.2</v>
      </c>
    </row>
    <row r="243" spans="1:15" x14ac:dyDescent="0.3">
      <c r="A243" t="s">
        <v>318</v>
      </c>
      <c r="B243" t="s">
        <v>25</v>
      </c>
      <c r="C243" s="7">
        <v>45667</v>
      </c>
      <c r="D243" s="7">
        <v>45667</v>
      </c>
      <c r="E243" t="s">
        <v>22</v>
      </c>
      <c r="F243" t="s">
        <v>39</v>
      </c>
      <c r="G243">
        <v>5</v>
      </c>
      <c r="H243" t="s">
        <v>18</v>
      </c>
      <c r="I243" t="s">
        <v>54</v>
      </c>
      <c r="J243">
        <f>orders[[#This Row],[Ship Date]]-orders[[#This Row],[Order Date]]</f>
        <v>0</v>
      </c>
      <c r="K243">
        <f>WEEKNUM(orders[[#This Row],[Order Date]])</f>
        <v>2</v>
      </c>
      <c r="L243" t="str" cm="1">
        <f t="array" ref="L243">_xlfn.IFS(orders[[#This Row],[Customer Gender]]="M","Male", orders[[#This Row],[Customer Gender]]="F","Female", orders[[#This Row],[Customer Gender]]="O","Other", TRUE,"Unknown")</f>
        <v>Male</v>
      </c>
      <c r="M243">
        <v>5</v>
      </c>
      <c r="N243">
        <v>58.1</v>
      </c>
      <c r="O243">
        <v>290.5</v>
      </c>
    </row>
    <row r="244" spans="1:15" x14ac:dyDescent="0.3">
      <c r="A244" t="s">
        <v>319</v>
      </c>
      <c r="B244" t="s">
        <v>36</v>
      </c>
      <c r="C244" s="7">
        <v>45668</v>
      </c>
      <c r="D244" s="7">
        <v>45670</v>
      </c>
      <c r="E244" t="s">
        <v>22</v>
      </c>
      <c r="F244" t="s">
        <v>50</v>
      </c>
      <c r="G244">
        <v>4</v>
      </c>
      <c r="H244" t="s">
        <v>18</v>
      </c>
      <c r="I244" t="s">
        <v>54</v>
      </c>
      <c r="J244">
        <f>orders[[#This Row],[Ship Date]]-orders[[#This Row],[Order Date]]</f>
        <v>2</v>
      </c>
      <c r="K244">
        <f>WEEKNUM(orders[[#This Row],[Order Date]])</f>
        <v>2</v>
      </c>
      <c r="L244" t="str" cm="1">
        <f t="array" ref="L244">_xlfn.IFS(orders[[#This Row],[Customer Gender]]="M","Male", orders[[#This Row],[Customer Gender]]="F","Female", orders[[#This Row],[Customer Gender]]="O","Other", TRUE,"Unknown")</f>
        <v>Male</v>
      </c>
      <c r="M244">
        <v>3</v>
      </c>
      <c r="N244">
        <v>31.8</v>
      </c>
      <c r="O244" s="5">
        <v>95.4</v>
      </c>
    </row>
    <row r="245" spans="1:15" x14ac:dyDescent="0.3">
      <c r="A245" t="s">
        <v>320</v>
      </c>
      <c r="B245" t="s">
        <v>31</v>
      </c>
      <c r="C245" s="7">
        <v>45668</v>
      </c>
      <c r="D245" s="7">
        <v>45671</v>
      </c>
      <c r="E245" t="s">
        <v>22</v>
      </c>
      <c r="F245" t="s">
        <v>17</v>
      </c>
      <c r="G245">
        <v>3</v>
      </c>
      <c r="H245" t="s">
        <v>18</v>
      </c>
      <c r="I245" t="s">
        <v>61</v>
      </c>
      <c r="J245">
        <f>orders[[#This Row],[Ship Date]]-orders[[#This Row],[Order Date]]</f>
        <v>3</v>
      </c>
      <c r="K245">
        <f>WEEKNUM(orders[[#This Row],[Order Date]])</f>
        <v>2</v>
      </c>
      <c r="L245" t="str" cm="1">
        <f t="array" ref="L245">_xlfn.IFS(orders[[#This Row],[Customer Gender]]="M","Male", orders[[#This Row],[Customer Gender]]="F","Female", orders[[#This Row],[Customer Gender]]="O","Other", TRUE,"Unknown")</f>
        <v>Male</v>
      </c>
      <c r="M245">
        <v>3</v>
      </c>
      <c r="N245">
        <v>31.5</v>
      </c>
      <c r="O245">
        <v>94.5</v>
      </c>
    </row>
    <row r="246" spans="1:15" x14ac:dyDescent="0.3">
      <c r="A246" t="s">
        <v>321</v>
      </c>
      <c r="B246" t="s">
        <v>38</v>
      </c>
      <c r="C246" s="7">
        <v>45668</v>
      </c>
      <c r="D246" s="7">
        <v>45672</v>
      </c>
      <c r="E246" t="s">
        <v>26</v>
      </c>
      <c r="F246" t="s">
        <v>34</v>
      </c>
      <c r="G246">
        <v>5</v>
      </c>
      <c r="H246" t="s">
        <v>18</v>
      </c>
      <c r="I246" t="s">
        <v>61</v>
      </c>
      <c r="J246">
        <f>orders[[#This Row],[Ship Date]]-orders[[#This Row],[Order Date]]</f>
        <v>4</v>
      </c>
      <c r="K246">
        <f>WEEKNUM(orders[[#This Row],[Order Date]])</f>
        <v>2</v>
      </c>
      <c r="L246" t="str" cm="1">
        <f t="array" ref="L246">_xlfn.IFS(orders[[#This Row],[Customer Gender]]="M","Male", orders[[#This Row],[Customer Gender]]="F","Female", orders[[#This Row],[Customer Gender]]="O","Other", TRUE,"Unknown")</f>
        <v>Female</v>
      </c>
      <c r="M246">
        <v>7</v>
      </c>
      <c r="N246">
        <v>55.9</v>
      </c>
      <c r="O246" s="5">
        <v>391.3</v>
      </c>
    </row>
    <row r="247" spans="1:15" x14ac:dyDescent="0.3">
      <c r="A247" t="s">
        <v>322</v>
      </c>
      <c r="B247" t="s">
        <v>43</v>
      </c>
      <c r="C247" s="7">
        <v>45668</v>
      </c>
      <c r="D247" s="7">
        <v>45669</v>
      </c>
      <c r="E247" t="s">
        <v>22</v>
      </c>
      <c r="F247" t="s">
        <v>34</v>
      </c>
      <c r="G247">
        <v>3</v>
      </c>
      <c r="H247" t="s">
        <v>18</v>
      </c>
      <c r="I247" t="s">
        <v>71</v>
      </c>
      <c r="J247">
        <f>orders[[#This Row],[Ship Date]]-orders[[#This Row],[Order Date]]</f>
        <v>1</v>
      </c>
      <c r="K247">
        <f>WEEKNUM(orders[[#This Row],[Order Date]])</f>
        <v>2</v>
      </c>
      <c r="L247" t="str" cm="1">
        <f t="array" ref="L247">_xlfn.IFS(orders[[#This Row],[Customer Gender]]="M","Male", orders[[#This Row],[Customer Gender]]="F","Female", orders[[#This Row],[Customer Gender]]="O","Other", TRUE,"Unknown")</f>
        <v>Male</v>
      </c>
      <c r="M247">
        <v>2</v>
      </c>
      <c r="N247">
        <v>36.4</v>
      </c>
      <c r="O247">
        <v>72.8</v>
      </c>
    </row>
    <row r="248" spans="1:15" x14ac:dyDescent="0.3">
      <c r="A248" t="s">
        <v>323</v>
      </c>
      <c r="B248" t="s">
        <v>21</v>
      </c>
      <c r="C248" s="7">
        <v>45668</v>
      </c>
      <c r="D248" s="7">
        <v>45671</v>
      </c>
      <c r="E248" t="s">
        <v>22</v>
      </c>
      <c r="F248" t="s">
        <v>39</v>
      </c>
      <c r="G248">
        <v>4</v>
      </c>
      <c r="H248" t="s">
        <v>18</v>
      </c>
      <c r="I248" t="s">
        <v>73</v>
      </c>
      <c r="J248">
        <f>orders[[#This Row],[Ship Date]]-orders[[#This Row],[Order Date]]</f>
        <v>3</v>
      </c>
      <c r="K248">
        <f>WEEKNUM(orders[[#This Row],[Order Date]])</f>
        <v>2</v>
      </c>
      <c r="L248" t="str" cm="1">
        <f t="array" ref="L248">_xlfn.IFS(orders[[#This Row],[Customer Gender]]="M","Male", orders[[#This Row],[Customer Gender]]="F","Female", orders[[#This Row],[Customer Gender]]="O","Other", TRUE,"Unknown")</f>
        <v>Male</v>
      </c>
      <c r="M248">
        <v>5</v>
      </c>
      <c r="N248">
        <v>47.3</v>
      </c>
      <c r="O248" s="5">
        <v>236.5</v>
      </c>
    </row>
    <row r="249" spans="1:15" x14ac:dyDescent="0.3">
      <c r="A249" t="s">
        <v>324</v>
      </c>
      <c r="B249" t="s">
        <v>38</v>
      </c>
      <c r="C249" s="7">
        <v>45668</v>
      </c>
      <c r="D249" s="7">
        <v>45669</v>
      </c>
      <c r="E249" t="s">
        <v>22</v>
      </c>
      <c r="F249" t="s">
        <v>17</v>
      </c>
      <c r="G249">
        <v>4</v>
      </c>
      <c r="H249" t="s">
        <v>18</v>
      </c>
      <c r="I249" t="s">
        <v>76</v>
      </c>
      <c r="J249">
        <f>orders[[#This Row],[Ship Date]]-orders[[#This Row],[Order Date]]</f>
        <v>1</v>
      </c>
      <c r="K249">
        <f>WEEKNUM(orders[[#This Row],[Order Date]])</f>
        <v>2</v>
      </c>
      <c r="L249" t="str" cm="1">
        <f t="array" ref="L249">_xlfn.IFS(orders[[#This Row],[Customer Gender]]="M","Male", orders[[#This Row],[Customer Gender]]="F","Female", orders[[#This Row],[Customer Gender]]="O","Other", TRUE,"Unknown")</f>
        <v>Male</v>
      </c>
      <c r="M249">
        <v>3</v>
      </c>
      <c r="N249">
        <v>82.5</v>
      </c>
      <c r="O249">
        <v>247.5</v>
      </c>
    </row>
    <row r="250" spans="1:15" x14ac:dyDescent="0.3">
      <c r="A250" t="s">
        <v>325</v>
      </c>
      <c r="B250" t="s">
        <v>16</v>
      </c>
      <c r="C250" s="7">
        <v>45668</v>
      </c>
      <c r="D250" s="7">
        <v>45669</v>
      </c>
      <c r="E250" t="s">
        <v>26</v>
      </c>
      <c r="F250" t="s">
        <v>17</v>
      </c>
      <c r="G250">
        <v>4</v>
      </c>
      <c r="H250" t="s">
        <v>18</v>
      </c>
      <c r="I250" t="s">
        <v>114</v>
      </c>
      <c r="J250">
        <f>orders[[#This Row],[Ship Date]]-orders[[#This Row],[Order Date]]</f>
        <v>1</v>
      </c>
      <c r="K250">
        <f>WEEKNUM(orders[[#This Row],[Order Date]])</f>
        <v>2</v>
      </c>
      <c r="L250" t="str" cm="1">
        <f t="array" ref="L250">_xlfn.IFS(orders[[#This Row],[Customer Gender]]="M","Male", orders[[#This Row],[Customer Gender]]="F","Female", orders[[#This Row],[Customer Gender]]="O","Other", TRUE,"Unknown")</f>
        <v>Female</v>
      </c>
      <c r="M250">
        <v>1</v>
      </c>
      <c r="N250">
        <v>14.3</v>
      </c>
      <c r="O250" s="5">
        <v>14.3</v>
      </c>
    </row>
    <row r="251" spans="1:15" x14ac:dyDescent="0.3">
      <c r="A251" t="s">
        <v>326</v>
      </c>
      <c r="B251" t="s">
        <v>25</v>
      </c>
      <c r="C251" s="7">
        <v>45668</v>
      </c>
      <c r="D251" s="7">
        <v>45682</v>
      </c>
      <c r="E251" t="s">
        <v>26</v>
      </c>
      <c r="F251" t="s">
        <v>17</v>
      </c>
      <c r="G251">
        <v>4</v>
      </c>
      <c r="H251" t="s">
        <v>18</v>
      </c>
      <c r="I251" t="s">
        <v>114</v>
      </c>
      <c r="J251">
        <f>orders[[#This Row],[Ship Date]]-orders[[#This Row],[Order Date]]</f>
        <v>14</v>
      </c>
      <c r="K251">
        <f>WEEKNUM(orders[[#This Row],[Order Date]])</f>
        <v>2</v>
      </c>
      <c r="L251" t="str" cm="1">
        <f t="array" ref="L251">_xlfn.IFS(orders[[#This Row],[Customer Gender]]="M","Male", orders[[#This Row],[Customer Gender]]="F","Female", orders[[#This Row],[Customer Gender]]="O","Other", TRUE,"Unknown")</f>
        <v>Female</v>
      </c>
      <c r="M251">
        <v>6</v>
      </c>
      <c r="N251">
        <v>57.6</v>
      </c>
      <c r="O251">
        <v>345.6</v>
      </c>
    </row>
    <row r="252" spans="1:15" x14ac:dyDescent="0.3">
      <c r="A252" t="s">
        <v>327</v>
      </c>
      <c r="B252" t="s">
        <v>25</v>
      </c>
      <c r="C252" s="7">
        <v>45668</v>
      </c>
      <c r="D252" s="7">
        <v>45670</v>
      </c>
      <c r="E252" t="s">
        <v>22</v>
      </c>
      <c r="F252" t="s">
        <v>69</v>
      </c>
      <c r="G252">
        <v>3</v>
      </c>
      <c r="H252" t="s">
        <v>18</v>
      </c>
      <c r="I252" t="s">
        <v>114</v>
      </c>
      <c r="J252">
        <f>orders[[#This Row],[Ship Date]]-orders[[#This Row],[Order Date]]</f>
        <v>2</v>
      </c>
      <c r="K252">
        <f>WEEKNUM(orders[[#This Row],[Order Date]])</f>
        <v>2</v>
      </c>
      <c r="L252" t="str" cm="1">
        <f t="array" ref="L252">_xlfn.IFS(orders[[#This Row],[Customer Gender]]="M","Male", orders[[#This Row],[Customer Gender]]="F","Female", orders[[#This Row],[Customer Gender]]="O","Other", TRUE,"Unknown")</f>
        <v>Male</v>
      </c>
      <c r="M252">
        <v>3</v>
      </c>
      <c r="N252">
        <v>142.4</v>
      </c>
      <c r="O252" s="5">
        <v>427.20000000000005</v>
      </c>
    </row>
    <row r="253" spans="1:15" x14ac:dyDescent="0.3">
      <c r="A253" t="s">
        <v>328</v>
      </c>
      <c r="B253" t="s">
        <v>68</v>
      </c>
      <c r="C253" s="7">
        <v>45668</v>
      </c>
      <c r="D253" s="7">
        <v>45672</v>
      </c>
      <c r="E253" t="s">
        <v>22</v>
      </c>
      <c r="F253" t="s">
        <v>34</v>
      </c>
      <c r="G253">
        <v>5</v>
      </c>
      <c r="H253" t="s">
        <v>18</v>
      </c>
      <c r="I253" t="s">
        <v>27</v>
      </c>
      <c r="J253">
        <f>orders[[#This Row],[Ship Date]]-orders[[#This Row],[Order Date]]</f>
        <v>4</v>
      </c>
      <c r="K253">
        <f>WEEKNUM(orders[[#This Row],[Order Date]])</f>
        <v>2</v>
      </c>
      <c r="L253" t="str" cm="1">
        <f t="array" ref="L253">_xlfn.IFS(orders[[#This Row],[Customer Gender]]="M","Male", orders[[#This Row],[Customer Gender]]="F","Female", orders[[#This Row],[Customer Gender]]="O","Other", TRUE,"Unknown")</f>
        <v>Male</v>
      </c>
      <c r="M253">
        <v>1</v>
      </c>
      <c r="N253">
        <v>30.2</v>
      </c>
      <c r="O253">
        <v>30.2</v>
      </c>
    </row>
    <row r="254" spans="1:15" x14ac:dyDescent="0.3">
      <c r="A254" t="s">
        <v>329</v>
      </c>
      <c r="B254" t="s">
        <v>145</v>
      </c>
      <c r="C254" s="7">
        <v>45668</v>
      </c>
      <c r="D254" s="7">
        <v>45669</v>
      </c>
      <c r="E254" t="s">
        <v>88</v>
      </c>
      <c r="F254" t="s">
        <v>34</v>
      </c>
      <c r="G254">
        <v>4</v>
      </c>
      <c r="H254" t="s">
        <v>18</v>
      </c>
      <c r="I254" t="s">
        <v>330</v>
      </c>
      <c r="J254">
        <f>orders[[#This Row],[Ship Date]]-orders[[#This Row],[Order Date]]</f>
        <v>1</v>
      </c>
      <c r="K254">
        <f>WEEKNUM(orders[[#This Row],[Order Date]])</f>
        <v>2</v>
      </c>
      <c r="L254" t="str" cm="1">
        <f t="array" ref="L254">_xlfn.IFS(orders[[#This Row],[Customer Gender]]="M","Male", orders[[#This Row],[Customer Gender]]="F","Female", orders[[#This Row],[Customer Gender]]="O","Other", TRUE,"Unknown")</f>
        <v>Other</v>
      </c>
      <c r="M254">
        <v>3</v>
      </c>
      <c r="N254">
        <v>65.3</v>
      </c>
      <c r="O254" s="5">
        <v>195.89999999999998</v>
      </c>
    </row>
    <row r="255" spans="1:15" x14ac:dyDescent="0.3">
      <c r="A255" t="s">
        <v>331</v>
      </c>
      <c r="B255" t="s">
        <v>16</v>
      </c>
      <c r="C255" s="7">
        <v>45668</v>
      </c>
      <c r="D255" s="7">
        <v>45669</v>
      </c>
      <c r="E255" t="s">
        <v>22</v>
      </c>
      <c r="F255" t="s">
        <v>34</v>
      </c>
      <c r="G255">
        <v>3</v>
      </c>
      <c r="H255" t="s">
        <v>18</v>
      </c>
      <c r="I255" t="s">
        <v>146</v>
      </c>
      <c r="J255">
        <f>orders[[#This Row],[Ship Date]]-orders[[#This Row],[Order Date]]</f>
        <v>1</v>
      </c>
      <c r="K255">
        <f>WEEKNUM(orders[[#This Row],[Order Date]])</f>
        <v>2</v>
      </c>
      <c r="L255" t="str" cm="1">
        <f t="array" ref="L255">_xlfn.IFS(orders[[#This Row],[Customer Gender]]="M","Male", orders[[#This Row],[Customer Gender]]="F","Female", orders[[#This Row],[Customer Gender]]="O","Other", TRUE,"Unknown")</f>
        <v>Male</v>
      </c>
      <c r="M255">
        <v>2</v>
      </c>
      <c r="N255">
        <v>33.4</v>
      </c>
      <c r="O255">
        <v>66.8</v>
      </c>
    </row>
    <row r="256" spans="1:15" x14ac:dyDescent="0.3">
      <c r="A256" t="s">
        <v>332</v>
      </c>
      <c r="B256" t="s">
        <v>41</v>
      </c>
      <c r="C256" s="7">
        <v>45668</v>
      </c>
      <c r="D256" s="7">
        <v>45676</v>
      </c>
      <c r="E256" t="s">
        <v>22</v>
      </c>
      <c r="F256" t="s">
        <v>17</v>
      </c>
      <c r="G256">
        <v>4</v>
      </c>
      <c r="H256" t="s">
        <v>18</v>
      </c>
      <c r="I256" t="s">
        <v>333</v>
      </c>
      <c r="J256">
        <f>orders[[#This Row],[Ship Date]]-orders[[#This Row],[Order Date]]</f>
        <v>8</v>
      </c>
      <c r="K256">
        <f>WEEKNUM(orders[[#This Row],[Order Date]])</f>
        <v>2</v>
      </c>
      <c r="L256" t="str" cm="1">
        <f t="array" ref="L256">_xlfn.IFS(orders[[#This Row],[Customer Gender]]="M","Male", orders[[#This Row],[Customer Gender]]="F","Female", orders[[#This Row],[Customer Gender]]="O","Other", TRUE,"Unknown")</f>
        <v>Male</v>
      </c>
      <c r="M256">
        <v>2</v>
      </c>
      <c r="N256">
        <v>45.1</v>
      </c>
      <c r="O256" s="5">
        <v>90.2</v>
      </c>
    </row>
    <row r="257" spans="1:15" x14ac:dyDescent="0.3">
      <c r="A257" t="s">
        <v>334</v>
      </c>
      <c r="B257" t="s">
        <v>25</v>
      </c>
      <c r="C257" s="7">
        <v>45668</v>
      </c>
      <c r="D257" s="7">
        <v>45670</v>
      </c>
      <c r="E257" t="s">
        <v>26</v>
      </c>
      <c r="F257" t="s">
        <v>69</v>
      </c>
      <c r="G257">
        <v>4</v>
      </c>
      <c r="H257" t="s">
        <v>18</v>
      </c>
      <c r="I257" t="s">
        <v>32</v>
      </c>
      <c r="J257">
        <f>orders[[#This Row],[Ship Date]]-orders[[#This Row],[Order Date]]</f>
        <v>2</v>
      </c>
      <c r="K257">
        <f>WEEKNUM(orders[[#This Row],[Order Date]])</f>
        <v>2</v>
      </c>
      <c r="L257" t="str" cm="1">
        <f t="array" ref="L257">_xlfn.IFS(orders[[#This Row],[Customer Gender]]="M","Male", orders[[#This Row],[Customer Gender]]="F","Female", orders[[#This Row],[Customer Gender]]="O","Other", TRUE,"Unknown")</f>
        <v>Female</v>
      </c>
      <c r="M257">
        <v>7</v>
      </c>
      <c r="N257">
        <v>61.7</v>
      </c>
      <c r="O257">
        <v>431.90000000000003</v>
      </c>
    </row>
    <row r="258" spans="1:15" x14ac:dyDescent="0.3">
      <c r="A258" t="s">
        <v>335</v>
      </c>
      <c r="B258" t="s">
        <v>45</v>
      </c>
      <c r="C258" s="7">
        <v>45669</v>
      </c>
      <c r="D258" s="7">
        <v>45670</v>
      </c>
      <c r="E258" t="s">
        <v>22</v>
      </c>
      <c r="F258" t="s">
        <v>69</v>
      </c>
      <c r="G258">
        <v>3</v>
      </c>
      <c r="H258" t="s">
        <v>18</v>
      </c>
      <c r="I258" t="s">
        <v>32</v>
      </c>
      <c r="J258">
        <f>orders[[#This Row],[Ship Date]]-orders[[#This Row],[Order Date]]</f>
        <v>1</v>
      </c>
      <c r="K258">
        <f>WEEKNUM(orders[[#This Row],[Order Date]])</f>
        <v>3</v>
      </c>
      <c r="L258" t="str" cm="1">
        <f t="array" ref="L258">_xlfn.IFS(orders[[#This Row],[Customer Gender]]="M","Male", orders[[#This Row],[Customer Gender]]="F","Female", orders[[#This Row],[Customer Gender]]="O","Other", TRUE,"Unknown")</f>
        <v>Male</v>
      </c>
      <c r="M258">
        <v>3</v>
      </c>
      <c r="N258">
        <v>45.1</v>
      </c>
      <c r="O258" s="5">
        <v>135.30000000000001</v>
      </c>
    </row>
    <row r="259" spans="1:15" x14ac:dyDescent="0.3">
      <c r="A259" t="s">
        <v>336</v>
      </c>
      <c r="B259" t="s">
        <v>122</v>
      </c>
      <c r="C259" s="7">
        <v>45669</v>
      </c>
      <c r="D259" s="7">
        <v>45674</v>
      </c>
      <c r="E259" t="s">
        <v>22</v>
      </c>
      <c r="F259" t="s">
        <v>17</v>
      </c>
      <c r="G259">
        <v>5</v>
      </c>
      <c r="H259" t="s">
        <v>18</v>
      </c>
      <c r="I259" t="s">
        <v>337</v>
      </c>
      <c r="J259">
        <f>orders[[#This Row],[Ship Date]]-orders[[#This Row],[Order Date]]</f>
        <v>5</v>
      </c>
      <c r="K259">
        <f>WEEKNUM(orders[[#This Row],[Order Date]])</f>
        <v>3</v>
      </c>
      <c r="L259" t="str" cm="1">
        <f t="array" ref="L259">_xlfn.IFS(orders[[#This Row],[Customer Gender]]="M","Male", orders[[#This Row],[Customer Gender]]="F","Female", orders[[#This Row],[Customer Gender]]="O","Other", TRUE,"Unknown")</f>
        <v>Male</v>
      </c>
      <c r="M259">
        <v>5</v>
      </c>
      <c r="N259">
        <v>22.7</v>
      </c>
      <c r="O259">
        <v>113.5</v>
      </c>
    </row>
    <row r="260" spans="1:15" x14ac:dyDescent="0.3">
      <c r="A260" t="s">
        <v>338</v>
      </c>
      <c r="B260" t="s">
        <v>43</v>
      </c>
      <c r="C260" s="7">
        <v>45669</v>
      </c>
      <c r="D260" s="7">
        <v>45670</v>
      </c>
      <c r="E260" t="s">
        <v>26</v>
      </c>
      <c r="F260" t="s">
        <v>17</v>
      </c>
      <c r="G260">
        <v>5</v>
      </c>
      <c r="H260" t="s">
        <v>18</v>
      </c>
      <c r="I260" t="s">
        <v>157</v>
      </c>
      <c r="J260">
        <f>orders[[#This Row],[Ship Date]]-orders[[#This Row],[Order Date]]</f>
        <v>1</v>
      </c>
      <c r="K260">
        <f>WEEKNUM(orders[[#This Row],[Order Date]])</f>
        <v>3</v>
      </c>
      <c r="L260" t="str" cm="1">
        <f t="array" ref="L260">_xlfn.IFS(orders[[#This Row],[Customer Gender]]="M","Male", orders[[#This Row],[Customer Gender]]="F","Female", orders[[#This Row],[Customer Gender]]="O","Other", TRUE,"Unknown")</f>
        <v>Female</v>
      </c>
      <c r="M260">
        <v>1</v>
      </c>
      <c r="N260">
        <v>17.600000000000001</v>
      </c>
      <c r="O260" s="5">
        <v>17.600000000000001</v>
      </c>
    </row>
    <row r="261" spans="1:15" x14ac:dyDescent="0.3">
      <c r="A261" t="s">
        <v>339</v>
      </c>
      <c r="B261" t="s">
        <v>80</v>
      </c>
      <c r="C261" s="7">
        <v>45669</v>
      </c>
      <c r="D261" s="7">
        <v>45672</v>
      </c>
      <c r="E261" t="s">
        <v>26</v>
      </c>
      <c r="F261" t="s">
        <v>50</v>
      </c>
      <c r="G261">
        <v>5</v>
      </c>
      <c r="H261" t="s">
        <v>18</v>
      </c>
      <c r="I261" t="s">
        <v>157</v>
      </c>
      <c r="J261">
        <f>orders[[#This Row],[Ship Date]]-orders[[#This Row],[Order Date]]</f>
        <v>3</v>
      </c>
      <c r="K261">
        <f>WEEKNUM(orders[[#This Row],[Order Date]])</f>
        <v>3</v>
      </c>
      <c r="L261" t="str" cm="1">
        <f t="array" ref="L261">_xlfn.IFS(orders[[#This Row],[Customer Gender]]="M","Male", orders[[#This Row],[Customer Gender]]="F","Female", orders[[#This Row],[Customer Gender]]="O","Other", TRUE,"Unknown")</f>
        <v>Female</v>
      </c>
      <c r="M261">
        <v>2</v>
      </c>
      <c r="N261">
        <v>11.3</v>
      </c>
      <c r="O261">
        <v>22.6</v>
      </c>
    </row>
    <row r="262" spans="1:15" x14ac:dyDescent="0.3">
      <c r="A262" t="s">
        <v>340</v>
      </c>
      <c r="B262" t="s">
        <v>38</v>
      </c>
      <c r="C262" s="7">
        <v>45669</v>
      </c>
      <c r="D262" s="7">
        <v>45672</v>
      </c>
      <c r="E262" t="s">
        <v>22</v>
      </c>
      <c r="F262" t="s">
        <v>50</v>
      </c>
      <c r="G262">
        <v>5</v>
      </c>
      <c r="H262" t="s">
        <v>18</v>
      </c>
      <c r="I262" t="s">
        <v>341</v>
      </c>
      <c r="J262">
        <f>orders[[#This Row],[Ship Date]]-orders[[#This Row],[Order Date]]</f>
        <v>3</v>
      </c>
      <c r="K262">
        <f>WEEKNUM(orders[[#This Row],[Order Date]])</f>
        <v>3</v>
      </c>
      <c r="L262" t="str" cm="1">
        <f t="array" ref="L262">_xlfn.IFS(orders[[#This Row],[Customer Gender]]="M","Male", orders[[#This Row],[Customer Gender]]="F","Female", orders[[#This Row],[Customer Gender]]="O","Other", TRUE,"Unknown")</f>
        <v>Male</v>
      </c>
      <c r="M262">
        <v>3</v>
      </c>
      <c r="N262">
        <v>53.4</v>
      </c>
      <c r="O262" s="5">
        <v>160.19999999999999</v>
      </c>
    </row>
    <row r="263" spans="1:15" x14ac:dyDescent="0.3">
      <c r="A263" t="s">
        <v>342</v>
      </c>
      <c r="B263" t="s">
        <v>38</v>
      </c>
      <c r="C263" s="7">
        <v>45669</v>
      </c>
      <c r="D263" s="7">
        <v>45671</v>
      </c>
      <c r="E263" t="s">
        <v>26</v>
      </c>
      <c r="F263" t="s">
        <v>39</v>
      </c>
      <c r="G263">
        <v>5</v>
      </c>
      <c r="H263" t="s">
        <v>18</v>
      </c>
      <c r="I263" t="s">
        <v>61</v>
      </c>
      <c r="J263">
        <f>orders[[#This Row],[Ship Date]]-orders[[#This Row],[Order Date]]</f>
        <v>2</v>
      </c>
      <c r="K263">
        <f>WEEKNUM(orders[[#This Row],[Order Date]])</f>
        <v>3</v>
      </c>
      <c r="L263" t="str" cm="1">
        <f t="array" ref="L263">_xlfn.IFS(orders[[#This Row],[Customer Gender]]="M","Male", orders[[#This Row],[Customer Gender]]="F","Female", orders[[#This Row],[Customer Gender]]="O","Other", TRUE,"Unknown")</f>
        <v>Female</v>
      </c>
      <c r="M263">
        <v>11</v>
      </c>
      <c r="N263">
        <v>51.1</v>
      </c>
      <c r="O263">
        <v>562.1</v>
      </c>
    </row>
    <row r="264" spans="1:15" x14ac:dyDescent="0.3">
      <c r="A264" t="s">
        <v>343</v>
      </c>
      <c r="B264" t="s">
        <v>43</v>
      </c>
      <c r="C264" s="7">
        <v>45669</v>
      </c>
      <c r="D264" s="7">
        <v>45670</v>
      </c>
      <c r="E264" t="s">
        <v>22</v>
      </c>
      <c r="F264" t="s">
        <v>69</v>
      </c>
      <c r="G264">
        <v>3</v>
      </c>
      <c r="H264" t="s">
        <v>18</v>
      </c>
      <c r="I264" t="s">
        <v>61</v>
      </c>
      <c r="J264">
        <f>orders[[#This Row],[Ship Date]]-orders[[#This Row],[Order Date]]</f>
        <v>1</v>
      </c>
      <c r="K264">
        <f>WEEKNUM(orders[[#This Row],[Order Date]])</f>
        <v>3</v>
      </c>
      <c r="L264" t="str" cm="1">
        <f t="array" ref="L264">_xlfn.IFS(orders[[#This Row],[Customer Gender]]="M","Male", orders[[#This Row],[Customer Gender]]="F","Female", orders[[#This Row],[Customer Gender]]="O","Other", TRUE,"Unknown")</f>
        <v>Male</v>
      </c>
      <c r="M264">
        <v>2</v>
      </c>
      <c r="N264">
        <v>27.5</v>
      </c>
      <c r="O264" s="5">
        <v>55</v>
      </c>
    </row>
    <row r="265" spans="1:15" x14ac:dyDescent="0.3">
      <c r="A265" t="s">
        <v>344</v>
      </c>
      <c r="B265" t="s">
        <v>45</v>
      </c>
      <c r="C265" s="7">
        <v>45669</v>
      </c>
      <c r="D265" s="7">
        <v>45671</v>
      </c>
      <c r="E265" t="s">
        <v>26</v>
      </c>
      <c r="F265" t="s">
        <v>17</v>
      </c>
      <c r="G265">
        <v>2</v>
      </c>
      <c r="H265" t="s">
        <v>18</v>
      </c>
      <c r="I265" t="s">
        <v>61</v>
      </c>
      <c r="J265">
        <f>orders[[#This Row],[Ship Date]]-orders[[#This Row],[Order Date]]</f>
        <v>2</v>
      </c>
      <c r="K265">
        <f>WEEKNUM(orders[[#This Row],[Order Date]])</f>
        <v>3</v>
      </c>
      <c r="L265" t="str" cm="1">
        <f t="array" ref="L265">_xlfn.IFS(orders[[#This Row],[Customer Gender]]="M","Male", orders[[#This Row],[Customer Gender]]="F","Female", orders[[#This Row],[Customer Gender]]="O","Other", TRUE,"Unknown")</f>
        <v>Female</v>
      </c>
      <c r="M265">
        <v>1</v>
      </c>
      <c r="N265">
        <v>33.5</v>
      </c>
      <c r="O265">
        <v>33.5</v>
      </c>
    </row>
    <row r="266" spans="1:15" x14ac:dyDescent="0.3">
      <c r="A266" t="s">
        <v>345</v>
      </c>
      <c r="B266" t="s">
        <v>31</v>
      </c>
      <c r="C266" s="7">
        <v>45669</v>
      </c>
      <c r="D266" s="7">
        <v>45669</v>
      </c>
      <c r="E266" t="s">
        <v>22</v>
      </c>
      <c r="F266" t="s">
        <v>17</v>
      </c>
      <c r="G266">
        <v>5</v>
      </c>
      <c r="H266" t="s">
        <v>18</v>
      </c>
      <c r="I266" t="s">
        <v>107</v>
      </c>
      <c r="J266">
        <f>orders[[#This Row],[Ship Date]]-orders[[#This Row],[Order Date]]</f>
        <v>0</v>
      </c>
      <c r="K266">
        <f>WEEKNUM(orders[[#This Row],[Order Date]])</f>
        <v>3</v>
      </c>
      <c r="L266" t="str" cm="1">
        <f t="array" ref="L266">_xlfn.IFS(orders[[#This Row],[Customer Gender]]="M","Male", orders[[#This Row],[Customer Gender]]="F","Female", orders[[#This Row],[Customer Gender]]="O","Other", TRUE,"Unknown")</f>
        <v>Male</v>
      </c>
      <c r="M266">
        <v>1</v>
      </c>
      <c r="N266">
        <v>59.5</v>
      </c>
      <c r="O266" s="5">
        <v>59.5</v>
      </c>
    </row>
    <row r="267" spans="1:15" x14ac:dyDescent="0.3">
      <c r="A267" t="s">
        <v>346</v>
      </c>
      <c r="B267" t="s">
        <v>134</v>
      </c>
      <c r="C267" s="7">
        <v>45669</v>
      </c>
      <c r="D267" s="7">
        <v>45670</v>
      </c>
      <c r="E267" t="s">
        <v>26</v>
      </c>
      <c r="F267" t="s">
        <v>50</v>
      </c>
      <c r="G267">
        <v>1</v>
      </c>
      <c r="H267" t="s">
        <v>18</v>
      </c>
      <c r="I267" t="s">
        <v>109</v>
      </c>
      <c r="J267">
        <f>orders[[#This Row],[Ship Date]]-orders[[#This Row],[Order Date]]</f>
        <v>1</v>
      </c>
      <c r="K267">
        <f>WEEKNUM(orders[[#This Row],[Order Date]])</f>
        <v>3</v>
      </c>
      <c r="L267" t="str" cm="1">
        <f t="array" ref="L267">_xlfn.IFS(orders[[#This Row],[Customer Gender]]="M","Male", orders[[#This Row],[Customer Gender]]="F","Female", orders[[#This Row],[Customer Gender]]="O","Other", TRUE,"Unknown")</f>
        <v>Female</v>
      </c>
      <c r="M267">
        <v>4</v>
      </c>
      <c r="N267">
        <v>23.5</v>
      </c>
      <c r="O267">
        <v>94</v>
      </c>
    </row>
    <row r="268" spans="1:15" x14ac:dyDescent="0.3">
      <c r="A268" t="s">
        <v>347</v>
      </c>
      <c r="B268" t="s">
        <v>38</v>
      </c>
      <c r="C268" s="7">
        <v>45669</v>
      </c>
      <c r="D268" s="7">
        <v>45670</v>
      </c>
      <c r="E268" t="s">
        <v>2517</v>
      </c>
      <c r="F268" t="s">
        <v>34</v>
      </c>
      <c r="G268">
        <v>5</v>
      </c>
      <c r="H268" t="s">
        <v>18</v>
      </c>
      <c r="I268" t="s">
        <v>112</v>
      </c>
      <c r="J268">
        <f>orders[[#This Row],[Ship Date]]-orders[[#This Row],[Order Date]]</f>
        <v>1</v>
      </c>
      <c r="K268">
        <f>WEEKNUM(orders[[#This Row],[Order Date]])</f>
        <v>3</v>
      </c>
      <c r="L268" t="str" cm="1">
        <f t="array" ref="L268">_xlfn.IFS(orders[[#This Row],[Customer Gender]]="M","Male", orders[[#This Row],[Customer Gender]]="F","Female", orders[[#This Row],[Customer Gender]]="O","Other", TRUE,"Unknown")</f>
        <v>Unknown</v>
      </c>
      <c r="M268">
        <v>1</v>
      </c>
      <c r="N268">
        <v>49.7</v>
      </c>
      <c r="O268" s="5">
        <v>49.7</v>
      </c>
    </row>
    <row r="269" spans="1:15" x14ac:dyDescent="0.3">
      <c r="A269" t="s">
        <v>348</v>
      </c>
      <c r="B269" t="s">
        <v>38</v>
      </c>
      <c r="C269" s="7">
        <v>45669</v>
      </c>
      <c r="D269" s="7">
        <v>45672</v>
      </c>
      <c r="E269" t="s">
        <v>26</v>
      </c>
      <c r="F269" t="s">
        <v>17</v>
      </c>
      <c r="G269">
        <v>5</v>
      </c>
      <c r="H269" t="s">
        <v>18</v>
      </c>
      <c r="I269" t="s">
        <v>114</v>
      </c>
      <c r="J269">
        <f>orders[[#This Row],[Ship Date]]-orders[[#This Row],[Order Date]]</f>
        <v>3</v>
      </c>
      <c r="K269">
        <f>WEEKNUM(orders[[#This Row],[Order Date]])</f>
        <v>3</v>
      </c>
      <c r="L269" t="str" cm="1">
        <f t="array" ref="L269">_xlfn.IFS(orders[[#This Row],[Customer Gender]]="M","Male", orders[[#This Row],[Customer Gender]]="F","Female", orders[[#This Row],[Customer Gender]]="O","Other", TRUE,"Unknown")</f>
        <v>Female</v>
      </c>
      <c r="M269">
        <v>4</v>
      </c>
      <c r="N269">
        <v>44.2</v>
      </c>
      <c r="O269">
        <v>176.8</v>
      </c>
    </row>
    <row r="270" spans="1:15" x14ac:dyDescent="0.3">
      <c r="A270" t="s">
        <v>349</v>
      </c>
      <c r="B270" t="s">
        <v>43</v>
      </c>
      <c r="C270" s="7">
        <v>45669</v>
      </c>
      <c r="D270" s="7">
        <v>45673</v>
      </c>
      <c r="E270" t="s">
        <v>26</v>
      </c>
      <c r="F270" t="s">
        <v>34</v>
      </c>
      <c r="G270">
        <v>3</v>
      </c>
      <c r="H270" t="s">
        <v>18</v>
      </c>
      <c r="I270" t="s">
        <v>330</v>
      </c>
      <c r="J270">
        <f>orders[[#This Row],[Ship Date]]-orders[[#This Row],[Order Date]]</f>
        <v>4</v>
      </c>
      <c r="K270">
        <f>WEEKNUM(orders[[#This Row],[Order Date]])</f>
        <v>3</v>
      </c>
      <c r="L270" t="str" cm="1">
        <f t="array" ref="L270">_xlfn.IFS(orders[[#This Row],[Customer Gender]]="M","Male", orders[[#This Row],[Customer Gender]]="F","Female", orders[[#This Row],[Customer Gender]]="O","Other", TRUE,"Unknown")</f>
        <v>Female</v>
      </c>
      <c r="M270">
        <v>1</v>
      </c>
      <c r="N270">
        <v>22.1</v>
      </c>
      <c r="O270" s="5">
        <v>22.1</v>
      </c>
    </row>
    <row r="271" spans="1:15" x14ac:dyDescent="0.3">
      <c r="A271" t="s">
        <v>350</v>
      </c>
      <c r="B271" t="s">
        <v>38</v>
      </c>
      <c r="C271" s="7">
        <v>45669</v>
      </c>
      <c r="D271" s="7">
        <v>45670</v>
      </c>
      <c r="E271" t="s">
        <v>26</v>
      </c>
      <c r="F271" t="s">
        <v>39</v>
      </c>
      <c r="G271">
        <v>2</v>
      </c>
      <c r="H271" t="s">
        <v>18</v>
      </c>
      <c r="I271" t="s">
        <v>32</v>
      </c>
      <c r="J271">
        <f>orders[[#This Row],[Ship Date]]-orders[[#This Row],[Order Date]]</f>
        <v>1</v>
      </c>
      <c r="K271">
        <f>WEEKNUM(orders[[#This Row],[Order Date]])</f>
        <v>3</v>
      </c>
      <c r="L271" t="str" cm="1">
        <f t="array" ref="L271">_xlfn.IFS(orders[[#This Row],[Customer Gender]]="M","Male", orders[[#This Row],[Customer Gender]]="F","Female", orders[[#This Row],[Customer Gender]]="O","Other", TRUE,"Unknown")</f>
        <v>Female</v>
      </c>
      <c r="M271">
        <v>3</v>
      </c>
      <c r="N271">
        <v>90.9</v>
      </c>
      <c r="O271">
        <v>272.70000000000005</v>
      </c>
    </row>
    <row r="272" spans="1:15" x14ac:dyDescent="0.3">
      <c r="A272" t="s">
        <v>351</v>
      </c>
      <c r="B272" t="s">
        <v>43</v>
      </c>
      <c r="C272" s="7">
        <v>45669</v>
      </c>
      <c r="D272" s="7">
        <v>45670</v>
      </c>
      <c r="E272" t="s">
        <v>26</v>
      </c>
      <c r="F272" t="s">
        <v>34</v>
      </c>
      <c r="G272">
        <v>4</v>
      </c>
      <c r="H272" t="s">
        <v>18</v>
      </c>
      <c r="I272" t="s">
        <v>32</v>
      </c>
      <c r="J272">
        <f>orders[[#This Row],[Ship Date]]-orders[[#This Row],[Order Date]]</f>
        <v>1</v>
      </c>
      <c r="K272">
        <f>WEEKNUM(orders[[#This Row],[Order Date]])</f>
        <v>3</v>
      </c>
      <c r="L272" t="str" cm="1">
        <f t="array" ref="L272">_xlfn.IFS(orders[[#This Row],[Customer Gender]]="M","Male", orders[[#This Row],[Customer Gender]]="F","Female", orders[[#This Row],[Customer Gender]]="O","Other", TRUE,"Unknown")</f>
        <v>Female</v>
      </c>
      <c r="M272">
        <v>3</v>
      </c>
      <c r="N272">
        <v>44.5</v>
      </c>
      <c r="O272" s="5">
        <v>133.5</v>
      </c>
    </row>
    <row r="273" spans="1:15" x14ac:dyDescent="0.3">
      <c r="A273" t="s">
        <v>352</v>
      </c>
      <c r="B273" t="s">
        <v>45</v>
      </c>
      <c r="C273" s="7">
        <v>45669</v>
      </c>
      <c r="D273" s="7">
        <v>45673</v>
      </c>
      <c r="E273" t="s">
        <v>26</v>
      </c>
      <c r="F273" t="s">
        <v>17</v>
      </c>
      <c r="G273">
        <v>4</v>
      </c>
      <c r="H273" t="s">
        <v>18</v>
      </c>
      <c r="I273" t="s">
        <v>32</v>
      </c>
      <c r="J273">
        <f>orders[[#This Row],[Ship Date]]-orders[[#This Row],[Order Date]]</f>
        <v>4</v>
      </c>
      <c r="K273">
        <f>WEEKNUM(orders[[#This Row],[Order Date]])</f>
        <v>3</v>
      </c>
      <c r="L273" t="str" cm="1">
        <f t="array" ref="L273">_xlfn.IFS(orders[[#This Row],[Customer Gender]]="M","Male", orders[[#This Row],[Customer Gender]]="F","Female", orders[[#This Row],[Customer Gender]]="O","Other", TRUE,"Unknown")</f>
        <v>Female</v>
      </c>
      <c r="M273">
        <v>6</v>
      </c>
      <c r="N273">
        <v>32.299999999999997</v>
      </c>
      <c r="O273">
        <v>193.79999999999998</v>
      </c>
    </row>
    <row r="274" spans="1:15" x14ac:dyDescent="0.3">
      <c r="A274" t="s">
        <v>353</v>
      </c>
      <c r="B274" t="s">
        <v>134</v>
      </c>
      <c r="C274" s="7">
        <v>45669</v>
      </c>
      <c r="D274" s="7">
        <v>45670</v>
      </c>
      <c r="E274" t="s">
        <v>26</v>
      </c>
      <c r="F274" t="s">
        <v>34</v>
      </c>
      <c r="G274">
        <v>3</v>
      </c>
      <c r="H274" t="s">
        <v>18</v>
      </c>
      <c r="I274" t="s">
        <v>32</v>
      </c>
      <c r="J274">
        <f>orders[[#This Row],[Ship Date]]-orders[[#This Row],[Order Date]]</f>
        <v>1</v>
      </c>
      <c r="K274">
        <f>WEEKNUM(orders[[#This Row],[Order Date]])</f>
        <v>3</v>
      </c>
      <c r="L274" t="str" cm="1">
        <f t="array" ref="L274">_xlfn.IFS(orders[[#This Row],[Customer Gender]]="M","Male", orders[[#This Row],[Customer Gender]]="F","Female", orders[[#This Row],[Customer Gender]]="O","Other", TRUE,"Unknown")</f>
        <v>Female</v>
      </c>
      <c r="M274">
        <v>3</v>
      </c>
      <c r="N274">
        <v>87.5</v>
      </c>
      <c r="O274" s="5">
        <v>262.5</v>
      </c>
    </row>
    <row r="275" spans="1:15" x14ac:dyDescent="0.3">
      <c r="A275" t="s">
        <v>354</v>
      </c>
      <c r="B275" t="s">
        <v>127</v>
      </c>
      <c r="C275" s="7">
        <v>45669</v>
      </c>
      <c r="D275" s="7">
        <v>45670</v>
      </c>
      <c r="E275" t="s">
        <v>22</v>
      </c>
      <c r="F275" t="s">
        <v>39</v>
      </c>
      <c r="G275">
        <v>4</v>
      </c>
      <c r="H275" t="s">
        <v>18</v>
      </c>
      <c r="I275" t="s">
        <v>32</v>
      </c>
      <c r="J275">
        <f>orders[[#This Row],[Ship Date]]-orders[[#This Row],[Order Date]]</f>
        <v>1</v>
      </c>
      <c r="K275">
        <f>WEEKNUM(orders[[#This Row],[Order Date]])</f>
        <v>3</v>
      </c>
      <c r="L275" t="str" cm="1">
        <f t="array" ref="L275">_xlfn.IFS(orders[[#This Row],[Customer Gender]]="M","Male", orders[[#This Row],[Customer Gender]]="F","Female", orders[[#This Row],[Customer Gender]]="O","Other", TRUE,"Unknown")</f>
        <v>Male</v>
      </c>
      <c r="M275">
        <v>5</v>
      </c>
      <c r="N275">
        <v>48.7</v>
      </c>
      <c r="O275">
        <v>243.5</v>
      </c>
    </row>
    <row r="276" spans="1:15" x14ac:dyDescent="0.3">
      <c r="A276" t="s">
        <v>355</v>
      </c>
      <c r="B276" t="s">
        <v>16</v>
      </c>
      <c r="C276" s="7">
        <v>45669</v>
      </c>
      <c r="D276" s="7">
        <v>45670</v>
      </c>
      <c r="E276" t="s">
        <v>22</v>
      </c>
      <c r="F276" t="s">
        <v>17</v>
      </c>
      <c r="G276">
        <v>4</v>
      </c>
      <c r="H276" t="s">
        <v>18</v>
      </c>
      <c r="I276" t="s">
        <v>32</v>
      </c>
      <c r="J276">
        <f>orders[[#This Row],[Ship Date]]-orders[[#This Row],[Order Date]]</f>
        <v>1</v>
      </c>
      <c r="K276">
        <f>WEEKNUM(orders[[#This Row],[Order Date]])</f>
        <v>3</v>
      </c>
      <c r="L276" t="str" cm="1">
        <f t="array" ref="L276">_xlfn.IFS(orders[[#This Row],[Customer Gender]]="M","Male", orders[[#This Row],[Customer Gender]]="F","Female", orders[[#This Row],[Customer Gender]]="O","Other", TRUE,"Unknown")</f>
        <v>Male</v>
      </c>
      <c r="M276">
        <v>5</v>
      </c>
      <c r="N276">
        <v>22.5</v>
      </c>
      <c r="O276" s="5">
        <v>112.5</v>
      </c>
    </row>
    <row r="277" spans="1:15" x14ac:dyDescent="0.3">
      <c r="A277" t="s">
        <v>356</v>
      </c>
      <c r="B277" t="s">
        <v>21</v>
      </c>
      <c r="C277" s="7">
        <v>45669</v>
      </c>
      <c r="D277" s="7">
        <v>45672</v>
      </c>
      <c r="E277" t="s">
        <v>26</v>
      </c>
      <c r="F277" t="s">
        <v>34</v>
      </c>
      <c r="G277">
        <v>5</v>
      </c>
      <c r="H277" t="s">
        <v>18</v>
      </c>
      <c r="I277" t="s">
        <v>32</v>
      </c>
      <c r="J277">
        <f>orders[[#This Row],[Ship Date]]-orders[[#This Row],[Order Date]]</f>
        <v>3</v>
      </c>
      <c r="K277">
        <f>WEEKNUM(orders[[#This Row],[Order Date]])</f>
        <v>3</v>
      </c>
      <c r="L277" t="str" cm="1">
        <f t="array" ref="L277">_xlfn.IFS(orders[[#This Row],[Customer Gender]]="M","Male", orders[[#This Row],[Customer Gender]]="F","Female", orders[[#This Row],[Customer Gender]]="O","Other", TRUE,"Unknown")</f>
        <v>Female</v>
      </c>
      <c r="M277">
        <v>8</v>
      </c>
      <c r="N277">
        <v>65.900000000000006</v>
      </c>
      <c r="O277">
        <v>527.20000000000005</v>
      </c>
    </row>
    <row r="278" spans="1:15" x14ac:dyDescent="0.3">
      <c r="A278" t="s">
        <v>357</v>
      </c>
      <c r="B278" t="s">
        <v>38</v>
      </c>
      <c r="C278" s="7">
        <v>45669</v>
      </c>
      <c r="D278" s="7">
        <v>45676</v>
      </c>
      <c r="E278" t="s">
        <v>2517</v>
      </c>
      <c r="F278" t="s">
        <v>17</v>
      </c>
      <c r="G278">
        <v>4</v>
      </c>
      <c r="H278" t="s">
        <v>18</v>
      </c>
      <c r="I278" t="s">
        <v>32</v>
      </c>
      <c r="J278">
        <f>orders[[#This Row],[Ship Date]]-orders[[#This Row],[Order Date]]</f>
        <v>7</v>
      </c>
      <c r="K278">
        <f>WEEKNUM(orders[[#This Row],[Order Date]])</f>
        <v>3</v>
      </c>
      <c r="L278" t="str" cm="1">
        <f t="array" ref="L278">_xlfn.IFS(orders[[#This Row],[Customer Gender]]="M","Male", orders[[#This Row],[Customer Gender]]="F","Female", orders[[#This Row],[Customer Gender]]="O","Other", TRUE,"Unknown")</f>
        <v>Unknown</v>
      </c>
      <c r="M278">
        <v>5</v>
      </c>
      <c r="N278">
        <v>41.9</v>
      </c>
      <c r="O278" s="5">
        <v>209.5</v>
      </c>
    </row>
    <row r="279" spans="1:15" x14ac:dyDescent="0.3">
      <c r="A279" t="s">
        <v>358</v>
      </c>
      <c r="B279" t="s">
        <v>21</v>
      </c>
      <c r="C279" s="7">
        <v>45669</v>
      </c>
      <c r="D279" s="7">
        <v>45670</v>
      </c>
      <c r="E279" t="s">
        <v>26</v>
      </c>
      <c r="F279" t="s">
        <v>17</v>
      </c>
      <c r="G279">
        <v>5</v>
      </c>
      <c r="H279" t="s">
        <v>18</v>
      </c>
      <c r="I279" t="s">
        <v>32</v>
      </c>
      <c r="J279">
        <f>orders[[#This Row],[Ship Date]]-orders[[#This Row],[Order Date]]</f>
        <v>1</v>
      </c>
      <c r="K279">
        <f>WEEKNUM(orders[[#This Row],[Order Date]])</f>
        <v>3</v>
      </c>
      <c r="L279" t="str" cm="1">
        <f t="array" ref="L279">_xlfn.IFS(orders[[#This Row],[Customer Gender]]="M","Male", orders[[#This Row],[Customer Gender]]="F","Female", orders[[#This Row],[Customer Gender]]="O","Other", TRUE,"Unknown")</f>
        <v>Female</v>
      </c>
      <c r="M279">
        <v>5</v>
      </c>
      <c r="N279">
        <v>67.5</v>
      </c>
      <c r="O279">
        <v>337.5</v>
      </c>
    </row>
    <row r="280" spans="1:15" x14ac:dyDescent="0.3">
      <c r="A280" t="s">
        <v>359</v>
      </c>
      <c r="B280" t="s">
        <v>45</v>
      </c>
      <c r="C280" s="7">
        <v>45670</v>
      </c>
      <c r="D280" s="7">
        <v>45672</v>
      </c>
      <c r="E280" t="s">
        <v>26</v>
      </c>
      <c r="F280" t="s">
        <v>34</v>
      </c>
      <c r="G280">
        <v>3</v>
      </c>
      <c r="H280" t="s">
        <v>18</v>
      </c>
      <c r="I280" t="s">
        <v>32</v>
      </c>
      <c r="J280">
        <f>orders[[#This Row],[Ship Date]]-orders[[#This Row],[Order Date]]</f>
        <v>2</v>
      </c>
      <c r="K280">
        <f>WEEKNUM(orders[[#This Row],[Order Date]])</f>
        <v>3</v>
      </c>
      <c r="L280" t="str" cm="1">
        <f t="array" ref="L280">_xlfn.IFS(orders[[#This Row],[Customer Gender]]="M","Male", orders[[#This Row],[Customer Gender]]="F","Female", orders[[#This Row],[Customer Gender]]="O","Other", TRUE,"Unknown")</f>
        <v>Female</v>
      </c>
      <c r="M280">
        <v>1</v>
      </c>
      <c r="N280">
        <v>60.4</v>
      </c>
      <c r="O280" s="5">
        <v>60.4</v>
      </c>
    </row>
    <row r="281" spans="1:15" x14ac:dyDescent="0.3">
      <c r="A281" t="s">
        <v>360</v>
      </c>
      <c r="B281" t="s">
        <v>21</v>
      </c>
      <c r="C281" s="7">
        <v>45670</v>
      </c>
      <c r="D281" s="7">
        <v>45673</v>
      </c>
      <c r="E281" t="s">
        <v>26</v>
      </c>
      <c r="F281" t="s">
        <v>69</v>
      </c>
      <c r="G281">
        <v>4</v>
      </c>
      <c r="H281" t="s">
        <v>18</v>
      </c>
      <c r="I281" t="s">
        <v>32</v>
      </c>
      <c r="J281">
        <f>orders[[#This Row],[Ship Date]]-orders[[#This Row],[Order Date]]</f>
        <v>3</v>
      </c>
      <c r="K281">
        <f>WEEKNUM(orders[[#This Row],[Order Date]])</f>
        <v>3</v>
      </c>
      <c r="L281" t="str" cm="1">
        <f t="array" ref="L281">_xlfn.IFS(orders[[#This Row],[Customer Gender]]="M","Male", orders[[#This Row],[Customer Gender]]="F","Female", orders[[#This Row],[Customer Gender]]="O","Other", TRUE,"Unknown")</f>
        <v>Female</v>
      </c>
      <c r="M281">
        <v>7</v>
      </c>
      <c r="N281">
        <v>30.4</v>
      </c>
      <c r="O281">
        <v>212.79999999999998</v>
      </c>
    </row>
    <row r="282" spans="1:15" x14ac:dyDescent="0.3">
      <c r="A282" t="s">
        <v>361</v>
      </c>
      <c r="B282" t="s">
        <v>80</v>
      </c>
      <c r="C282" s="7">
        <v>45670</v>
      </c>
      <c r="D282" s="7">
        <v>45671</v>
      </c>
      <c r="E282" t="s">
        <v>22</v>
      </c>
      <c r="F282" t="s">
        <v>50</v>
      </c>
      <c r="G282">
        <v>5</v>
      </c>
      <c r="H282" t="s">
        <v>18</v>
      </c>
      <c r="I282" t="s">
        <v>32</v>
      </c>
      <c r="J282">
        <f>orders[[#This Row],[Ship Date]]-orders[[#This Row],[Order Date]]</f>
        <v>1</v>
      </c>
      <c r="K282">
        <f>WEEKNUM(orders[[#This Row],[Order Date]])</f>
        <v>3</v>
      </c>
      <c r="L282" t="str" cm="1">
        <f t="array" ref="L282">_xlfn.IFS(orders[[#This Row],[Customer Gender]]="M","Male", orders[[#This Row],[Customer Gender]]="F","Female", orders[[#This Row],[Customer Gender]]="O","Other", TRUE,"Unknown")</f>
        <v>Male</v>
      </c>
      <c r="M282">
        <v>2</v>
      </c>
      <c r="N282">
        <v>24.5</v>
      </c>
      <c r="O282" s="5">
        <v>49</v>
      </c>
    </row>
    <row r="283" spans="1:15" x14ac:dyDescent="0.3">
      <c r="A283" t="s">
        <v>362</v>
      </c>
      <c r="B283" t="s">
        <v>25</v>
      </c>
      <c r="C283" s="7">
        <v>45670</v>
      </c>
      <c r="D283" s="7">
        <v>45675</v>
      </c>
      <c r="E283" t="s">
        <v>22</v>
      </c>
      <c r="F283" t="s">
        <v>17</v>
      </c>
      <c r="G283">
        <v>4</v>
      </c>
      <c r="H283" t="s">
        <v>18</v>
      </c>
      <c r="I283" t="s">
        <v>363</v>
      </c>
      <c r="J283">
        <f>orders[[#This Row],[Ship Date]]-orders[[#This Row],[Order Date]]</f>
        <v>5</v>
      </c>
      <c r="K283">
        <f>WEEKNUM(orders[[#This Row],[Order Date]])</f>
        <v>3</v>
      </c>
      <c r="L283" t="str" cm="1">
        <f t="array" ref="L283">_xlfn.IFS(orders[[#This Row],[Customer Gender]]="M","Male", orders[[#This Row],[Customer Gender]]="F","Female", orders[[#This Row],[Customer Gender]]="O","Other", TRUE,"Unknown")</f>
        <v>Male</v>
      </c>
      <c r="M283">
        <v>3</v>
      </c>
      <c r="N283">
        <v>105.9</v>
      </c>
      <c r="O283">
        <v>317.70000000000005</v>
      </c>
    </row>
    <row r="284" spans="1:15" x14ac:dyDescent="0.3">
      <c r="A284" t="s">
        <v>364</v>
      </c>
      <c r="B284" t="s">
        <v>53</v>
      </c>
      <c r="C284" s="7">
        <v>45670</v>
      </c>
      <c r="D284" s="7">
        <v>45671</v>
      </c>
      <c r="E284" t="s">
        <v>26</v>
      </c>
      <c r="F284" t="s">
        <v>69</v>
      </c>
      <c r="G284">
        <v>4</v>
      </c>
      <c r="H284" t="s">
        <v>18</v>
      </c>
      <c r="I284" t="s">
        <v>157</v>
      </c>
      <c r="J284">
        <f>orders[[#This Row],[Ship Date]]-orders[[#This Row],[Order Date]]</f>
        <v>1</v>
      </c>
      <c r="K284">
        <f>WEEKNUM(orders[[#This Row],[Order Date]])</f>
        <v>3</v>
      </c>
      <c r="L284" t="str" cm="1">
        <f t="array" ref="L284">_xlfn.IFS(orders[[#This Row],[Customer Gender]]="M","Male", orders[[#This Row],[Customer Gender]]="F","Female", orders[[#This Row],[Customer Gender]]="O","Other", TRUE,"Unknown")</f>
        <v>Female</v>
      </c>
      <c r="M284">
        <v>24</v>
      </c>
      <c r="N284">
        <v>25.9</v>
      </c>
      <c r="O284" s="5">
        <v>621.59999999999991</v>
      </c>
    </row>
    <row r="285" spans="1:15" x14ac:dyDescent="0.3">
      <c r="A285" t="s">
        <v>365</v>
      </c>
      <c r="B285" t="s">
        <v>38</v>
      </c>
      <c r="C285" s="7">
        <v>45670</v>
      </c>
      <c r="D285" s="7">
        <v>45670</v>
      </c>
      <c r="E285" t="s">
        <v>22</v>
      </c>
      <c r="F285" t="s">
        <v>17</v>
      </c>
      <c r="G285">
        <v>4</v>
      </c>
      <c r="H285" t="s">
        <v>18</v>
      </c>
      <c r="I285" t="s">
        <v>157</v>
      </c>
      <c r="J285">
        <f>orders[[#This Row],[Ship Date]]-orders[[#This Row],[Order Date]]</f>
        <v>0</v>
      </c>
      <c r="K285">
        <f>WEEKNUM(orders[[#This Row],[Order Date]])</f>
        <v>3</v>
      </c>
      <c r="L285" t="str" cm="1">
        <f t="array" ref="L285">_xlfn.IFS(orders[[#This Row],[Customer Gender]]="M","Male", orders[[#This Row],[Customer Gender]]="F","Female", orders[[#This Row],[Customer Gender]]="O","Other", TRUE,"Unknown")</f>
        <v>Male</v>
      </c>
      <c r="M285">
        <v>3</v>
      </c>
      <c r="N285">
        <v>66.8</v>
      </c>
      <c r="O285">
        <v>200.39999999999998</v>
      </c>
    </row>
    <row r="286" spans="1:15" x14ac:dyDescent="0.3">
      <c r="A286" t="s">
        <v>366</v>
      </c>
      <c r="B286" t="s">
        <v>38</v>
      </c>
      <c r="C286" s="7">
        <v>45670</v>
      </c>
      <c r="D286" s="7">
        <v>45671</v>
      </c>
      <c r="E286" t="s">
        <v>22</v>
      </c>
      <c r="F286" t="s">
        <v>39</v>
      </c>
      <c r="G286">
        <v>2</v>
      </c>
      <c r="H286" t="s">
        <v>18</v>
      </c>
      <c r="I286" t="s">
        <v>54</v>
      </c>
      <c r="J286">
        <f>orders[[#This Row],[Ship Date]]-orders[[#This Row],[Order Date]]</f>
        <v>1</v>
      </c>
      <c r="K286">
        <f>WEEKNUM(orders[[#This Row],[Order Date]])</f>
        <v>3</v>
      </c>
      <c r="L286" t="str" cm="1">
        <f t="array" ref="L286">_xlfn.IFS(orders[[#This Row],[Customer Gender]]="M","Male", orders[[#This Row],[Customer Gender]]="F","Female", orders[[#This Row],[Customer Gender]]="O","Other", TRUE,"Unknown")</f>
        <v>Male</v>
      </c>
      <c r="M286">
        <v>3</v>
      </c>
      <c r="N286">
        <v>112.3</v>
      </c>
      <c r="O286" s="5">
        <v>336.9</v>
      </c>
    </row>
    <row r="287" spans="1:15" x14ac:dyDescent="0.3">
      <c r="A287" t="s">
        <v>367</v>
      </c>
      <c r="B287" t="s">
        <v>21</v>
      </c>
      <c r="C287" s="7">
        <v>45670</v>
      </c>
      <c r="D287" s="7">
        <v>45671</v>
      </c>
      <c r="E287" t="s">
        <v>26</v>
      </c>
      <c r="F287" t="s">
        <v>17</v>
      </c>
      <c r="G287">
        <v>2</v>
      </c>
      <c r="H287" t="s">
        <v>18</v>
      </c>
      <c r="I287" t="s">
        <v>54</v>
      </c>
      <c r="J287">
        <f>orders[[#This Row],[Ship Date]]-orders[[#This Row],[Order Date]]</f>
        <v>1</v>
      </c>
      <c r="K287">
        <f>WEEKNUM(orders[[#This Row],[Order Date]])</f>
        <v>3</v>
      </c>
      <c r="L287" t="str" cm="1">
        <f t="array" ref="L287">_xlfn.IFS(orders[[#This Row],[Customer Gender]]="M","Male", orders[[#This Row],[Customer Gender]]="F","Female", orders[[#This Row],[Customer Gender]]="O","Other", TRUE,"Unknown")</f>
        <v>Female</v>
      </c>
      <c r="M287">
        <v>6</v>
      </c>
      <c r="N287">
        <v>94.1</v>
      </c>
      <c r="O287">
        <v>564.59999999999991</v>
      </c>
    </row>
    <row r="288" spans="1:15" x14ac:dyDescent="0.3">
      <c r="A288" t="s">
        <v>368</v>
      </c>
      <c r="B288" t="s">
        <v>36</v>
      </c>
      <c r="C288" s="7">
        <v>45670</v>
      </c>
      <c r="D288" s="7">
        <v>45673</v>
      </c>
      <c r="E288" t="s">
        <v>26</v>
      </c>
      <c r="F288" t="s">
        <v>39</v>
      </c>
      <c r="G288">
        <v>4</v>
      </c>
      <c r="H288" t="s">
        <v>18</v>
      </c>
      <c r="I288" t="s">
        <v>54</v>
      </c>
      <c r="J288">
        <f>orders[[#This Row],[Ship Date]]-orders[[#This Row],[Order Date]]</f>
        <v>3</v>
      </c>
      <c r="K288">
        <f>WEEKNUM(orders[[#This Row],[Order Date]])</f>
        <v>3</v>
      </c>
      <c r="L288" t="str" cm="1">
        <f t="array" ref="L288">_xlfn.IFS(orders[[#This Row],[Customer Gender]]="M","Male", orders[[#This Row],[Customer Gender]]="F","Female", orders[[#This Row],[Customer Gender]]="O","Other", TRUE,"Unknown")</f>
        <v>Female</v>
      </c>
      <c r="M288">
        <v>1</v>
      </c>
      <c r="N288">
        <v>40.700000000000003</v>
      </c>
      <c r="O288" s="5">
        <v>40.700000000000003</v>
      </c>
    </row>
    <row r="289" spans="1:15" x14ac:dyDescent="0.3">
      <c r="A289" t="s">
        <v>369</v>
      </c>
      <c r="B289" t="s">
        <v>29</v>
      </c>
      <c r="C289" s="7">
        <v>45670</v>
      </c>
      <c r="D289" s="7">
        <v>45671</v>
      </c>
      <c r="E289" t="s">
        <v>22</v>
      </c>
      <c r="F289" t="s">
        <v>17</v>
      </c>
      <c r="G289">
        <v>4</v>
      </c>
      <c r="H289" t="s">
        <v>18</v>
      </c>
      <c r="I289" t="s">
        <v>58</v>
      </c>
      <c r="J289">
        <f>orders[[#This Row],[Ship Date]]-orders[[#This Row],[Order Date]]</f>
        <v>1</v>
      </c>
      <c r="K289">
        <f>WEEKNUM(orders[[#This Row],[Order Date]])</f>
        <v>3</v>
      </c>
      <c r="L289" t="str" cm="1">
        <f t="array" ref="L289">_xlfn.IFS(orders[[#This Row],[Customer Gender]]="M","Male", orders[[#This Row],[Customer Gender]]="F","Female", orders[[#This Row],[Customer Gender]]="O","Other", TRUE,"Unknown")</f>
        <v>Male</v>
      </c>
      <c r="M289">
        <v>2</v>
      </c>
      <c r="N289">
        <v>71.400000000000006</v>
      </c>
      <c r="O289">
        <v>142.80000000000001</v>
      </c>
    </row>
    <row r="290" spans="1:15" x14ac:dyDescent="0.3">
      <c r="A290" t="s">
        <v>370</v>
      </c>
      <c r="B290" t="s">
        <v>16</v>
      </c>
      <c r="C290" s="7">
        <v>45670</v>
      </c>
      <c r="D290" s="7">
        <v>45671</v>
      </c>
      <c r="E290" t="s">
        <v>22</v>
      </c>
      <c r="F290" t="s">
        <v>34</v>
      </c>
      <c r="G290">
        <v>1</v>
      </c>
      <c r="H290" t="s">
        <v>18</v>
      </c>
      <c r="I290" t="s">
        <v>61</v>
      </c>
      <c r="J290">
        <f>orders[[#This Row],[Ship Date]]-orders[[#This Row],[Order Date]]</f>
        <v>1</v>
      </c>
      <c r="K290">
        <f>WEEKNUM(orders[[#This Row],[Order Date]])</f>
        <v>3</v>
      </c>
      <c r="L290" t="str" cm="1">
        <f t="array" ref="L290">_xlfn.IFS(orders[[#This Row],[Customer Gender]]="M","Male", orders[[#This Row],[Customer Gender]]="F","Female", orders[[#This Row],[Customer Gender]]="O","Other", TRUE,"Unknown")</f>
        <v>Male</v>
      </c>
      <c r="M290">
        <v>18</v>
      </c>
      <c r="N290">
        <v>15.6</v>
      </c>
      <c r="O290" s="5">
        <v>280.8</v>
      </c>
    </row>
    <row r="291" spans="1:15" x14ac:dyDescent="0.3">
      <c r="A291" t="s">
        <v>371</v>
      </c>
      <c r="B291" t="s">
        <v>53</v>
      </c>
      <c r="C291" s="7">
        <v>45670</v>
      </c>
      <c r="D291" s="7">
        <v>45671</v>
      </c>
      <c r="E291" t="s">
        <v>22</v>
      </c>
      <c r="F291" t="s">
        <v>39</v>
      </c>
      <c r="G291">
        <v>5</v>
      </c>
      <c r="H291" t="s">
        <v>18</v>
      </c>
      <c r="I291" t="s">
        <v>61</v>
      </c>
      <c r="J291">
        <f>orders[[#This Row],[Ship Date]]-orders[[#This Row],[Order Date]]</f>
        <v>1</v>
      </c>
      <c r="K291">
        <f>WEEKNUM(orders[[#This Row],[Order Date]])</f>
        <v>3</v>
      </c>
      <c r="L291" t="str" cm="1">
        <f t="array" ref="L291">_xlfn.IFS(orders[[#This Row],[Customer Gender]]="M","Male", orders[[#This Row],[Customer Gender]]="F","Female", orders[[#This Row],[Customer Gender]]="O","Other", TRUE,"Unknown")</f>
        <v>Male</v>
      </c>
      <c r="M291">
        <v>4</v>
      </c>
      <c r="N291">
        <v>37.799999999999997</v>
      </c>
      <c r="O291">
        <v>151.19999999999999</v>
      </c>
    </row>
    <row r="292" spans="1:15" x14ac:dyDescent="0.3">
      <c r="A292" t="s">
        <v>372</v>
      </c>
      <c r="B292" t="s">
        <v>31</v>
      </c>
      <c r="C292" s="7">
        <v>45670</v>
      </c>
      <c r="D292" s="7">
        <v>45674</v>
      </c>
      <c r="E292" t="s">
        <v>22</v>
      </c>
      <c r="F292" t="s">
        <v>17</v>
      </c>
      <c r="G292">
        <v>4</v>
      </c>
      <c r="H292" t="s">
        <v>18</v>
      </c>
      <c r="I292" t="s">
        <v>61</v>
      </c>
      <c r="J292">
        <f>orders[[#This Row],[Ship Date]]-orders[[#This Row],[Order Date]]</f>
        <v>4</v>
      </c>
      <c r="K292">
        <f>WEEKNUM(orders[[#This Row],[Order Date]])</f>
        <v>3</v>
      </c>
      <c r="L292" t="str" cm="1">
        <f t="array" ref="L292">_xlfn.IFS(orders[[#This Row],[Customer Gender]]="M","Male", orders[[#This Row],[Customer Gender]]="F","Female", orders[[#This Row],[Customer Gender]]="O","Other", TRUE,"Unknown")</f>
        <v>Male</v>
      </c>
      <c r="M292">
        <v>3</v>
      </c>
      <c r="N292">
        <v>28.1</v>
      </c>
      <c r="O292" s="5">
        <v>84.300000000000011</v>
      </c>
    </row>
    <row r="293" spans="1:15" x14ac:dyDescent="0.3">
      <c r="A293" t="s">
        <v>373</v>
      </c>
      <c r="B293" t="s">
        <v>41</v>
      </c>
      <c r="C293" s="7">
        <v>45670</v>
      </c>
      <c r="D293" s="7">
        <v>45674</v>
      </c>
      <c r="E293" t="s">
        <v>22</v>
      </c>
      <c r="F293" t="s">
        <v>17</v>
      </c>
      <c r="G293">
        <v>4</v>
      </c>
      <c r="H293" t="s">
        <v>18</v>
      </c>
      <c r="I293" t="s">
        <v>61</v>
      </c>
      <c r="J293">
        <f>orders[[#This Row],[Ship Date]]-orders[[#This Row],[Order Date]]</f>
        <v>4</v>
      </c>
      <c r="K293">
        <f>WEEKNUM(orders[[#This Row],[Order Date]])</f>
        <v>3</v>
      </c>
      <c r="L293" t="str" cm="1">
        <f t="array" ref="L293">_xlfn.IFS(orders[[#This Row],[Customer Gender]]="M","Male", orders[[#This Row],[Customer Gender]]="F","Female", orders[[#This Row],[Customer Gender]]="O","Other", TRUE,"Unknown")</f>
        <v>Male</v>
      </c>
      <c r="M293">
        <v>6</v>
      </c>
      <c r="N293">
        <v>51.4</v>
      </c>
      <c r="O293">
        <v>308.39999999999998</v>
      </c>
    </row>
    <row r="294" spans="1:15" x14ac:dyDescent="0.3">
      <c r="A294" t="s">
        <v>374</v>
      </c>
      <c r="B294" t="s">
        <v>41</v>
      </c>
      <c r="C294" s="7">
        <v>45670</v>
      </c>
      <c r="D294" s="7">
        <v>45672</v>
      </c>
      <c r="E294" t="s">
        <v>26</v>
      </c>
      <c r="F294" t="s">
        <v>69</v>
      </c>
      <c r="G294">
        <v>5</v>
      </c>
      <c r="H294" t="s">
        <v>18</v>
      </c>
      <c r="I294" t="s">
        <v>102</v>
      </c>
      <c r="J294">
        <f>orders[[#This Row],[Ship Date]]-orders[[#This Row],[Order Date]]</f>
        <v>2</v>
      </c>
      <c r="K294">
        <f>WEEKNUM(orders[[#This Row],[Order Date]])</f>
        <v>3</v>
      </c>
      <c r="L294" t="str" cm="1">
        <f t="array" ref="L294">_xlfn.IFS(orders[[#This Row],[Customer Gender]]="M","Male", orders[[#This Row],[Customer Gender]]="F","Female", orders[[#This Row],[Customer Gender]]="O","Other", TRUE,"Unknown")</f>
        <v>Female</v>
      </c>
      <c r="M294">
        <v>2</v>
      </c>
      <c r="N294">
        <v>97.7</v>
      </c>
      <c r="O294" s="5">
        <v>195.4</v>
      </c>
    </row>
    <row r="295" spans="1:15" x14ac:dyDescent="0.3">
      <c r="A295" t="s">
        <v>375</v>
      </c>
      <c r="B295" t="s">
        <v>21</v>
      </c>
      <c r="C295" s="7">
        <v>45670</v>
      </c>
      <c r="D295" s="7">
        <v>45671</v>
      </c>
      <c r="E295" t="s">
        <v>22</v>
      </c>
      <c r="F295" t="s">
        <v>39</v>
      </c>
      <c r="G295">
        <v>4</v>
      </c>
      <c r="H295" t="s">
        <v>18</v>
      </c>
      <c r="I295" t="s">
        <v>376</v>
      </c>
      <c r="J295">
        <f>orders[[#This Row],[Ship Date]]-orders[[#This Row],[Order Date]]</f>
        <v>1</v>
      </c>
      <c r="K295">
        <f>WEEKNUM(orders[[#This Row],[Order Date]])</f>
        <v>3</v>
      </c>
      <c r="L295" t="str" cm="1">
        <f t="array" ref="L295">_xlfn.IFS(orders[[#This Row],[Customer Gender]]="M","Male", orders[[#This Row],[Customer Gender]]="F","Female", orders[[#This Row],[Customer Gender]]="O","Other", TRUE,"Unknown")</f>
        <v>Male</v>
      </c>
      <c r="M295">
        <v>4</v>
      </c>
      <c r="N295">
        <v>63.8</v>
      </c>
      <c r="O295">
        <v>255.2</v>
      </c>
    </row>
    <row r="296" spans="1:15" x14ac:dyDescent="0.3">
      <c r="A296" t="s">
        <v>377</v>
      </c>
      <c r="B296" t="s">
        <v>75</v>
      </c>
      <c r="C296" s="7">
        <v>45670</v>
      </c>
      <c r="D296" s="7">
        <v>45672</v>
      </c>
      <c r="E296" t="s">
        <v>22</v>
      </c>
      <c r="F296" t="s">
        <v>17</v>
      </c>
      <c r="G296">
        <v>5</v>
      </c>
      <c r="H296" t="s">
        <v>18</v>
      </c>
      <c r="I296" t="s">
        <v>112</v>
      </c>
      <c r="J296">
        <f>orders[[#This Row],[Ship Date]]-orders[[#This Row],[Order Date]]</f>
        <v>2</v>
      </c>
      <c r="K296">
        <f>WEEKNUM(orders[[#This Row],[Order Date]])</f>
        <v>3</v>
      </c>
      <c r="L296" t="str" cm="1">
        <f t="array" ref="L296">_xlfn.IFS(orders[[#This Row],[Customer Gender]]="M","Male", orders[[#This Row],[Customer Gender]]="F","Female", orders[[#This Row],[Customer Gender]]="O","Other", TRUE,"Unknown")</f>
        <v>Male</v>
      </c>
      <c r="M296">
        <v>2</v>
      </c>
      <c r="N296">
        <v>20.100000000000001</v>
      </c>
      <c r="O296" s="5">
        <v>40.200000000000003</v>
      </c>
    </row>
    <row r="297" spans="1:15" x14ac:dyDescent="0.3">
      <c r="A297" t="s">
        <v>378</v>
      </c>
      <c r="B297" t="s">
        <v>66</v>
      </c>
      <c r="C297" s="7">
        <v>45670</v>
      </c>
      <c r="D297" s="7">
        <v>45673</v>
      </c>
      <c r="E297" t="s">
        <v>26</v>
      </c>
      <c r="F297" t="s">
        <v>50</v>
      </c>
      <c r="G297">
        <v>4</v>
      </c>
      <c r="H297" t="s">
        <v>18</v>
      </c>
      <c r="I297" t="s">
        <v>81</v>
      </c>
      <c r="J297">
        <f>orders[[#This Row],[Ship Date]]-orders[[#This Row],[Order Date]]</f>
        <v>3</v>
      </c>
      <c r="K297">
        <f>WEEKNUM(orders[[#This Row],[Order Date]])</f>
        <v>3</v>
      </c>
      <c r="L297" t="str" cm="1">
        <f t="array" ref="L297">_xlfn.IFS(orders[[#This Row],[Customer Gender]]="M","Male", orders[[#This Row],[Customer Gender]]="F","Female", orders[[#This Row],[Customer Gender]]="O","Other", TRUE,"Unknown")</f>
        <v>Female</v>
      </c>
      <c r="M297">
        <v>3</v>
      </c>
      <c r="N297">
        <v>50.4</v>
      </c>
      <c r="O297">
        <v>151.19999999999999</v>
      </c>
    </row>
    <row r="298" spans="1:15" x14ac:dyDescent="0.3">
      <c r="A298" t="s">
        <v>379</v>
      </c>
      <c r="B298" t="s">
        <v>16</v>
      </c>
      <c r="C298" s="7">
        <v>45670</v>
      </c>
      <c r="D298" s="7">
        <v>45683</v>
      </c>
      <c r="E298" t="s">
        <v>26</v>
      </c>
      <c r="F298" t="s">
        <v>34</v>
      </c>
      <c r="G298">
        <v>4</v>
      </c>
      <c r="H298" t="s">
        <v>18</v>
      </c>
      <c r="I298" t="s">
        <v>23</v>
      </c>
      <c r="J298">
        <f>orders[[#This Row],[Ship Date]]-orders[[#This Row],[Order Date]]</f>
        <v>13</v>
      </c>
      <c r="K298">
        <f>WEEKNUM(orders[[#This Row],[Order Date]])</f>
        <v>3</v>
      </c>
      <c r="L298" t="str" cm="1">
        <f t="array" ref="L298">_xlfn.IFS(orders[[#This Row],[Customer Gender]]="M","Male", orders[[#This Row],[Customer Gender]]="F","Female", orders[[#This Row],[Customer Gender]]="O","Other", TRUE,"Unknown")</f>
        <v>Female</v>
      </c>
      <c r="M298">
        <v>1</v>
      </c>
      <c r="N298">
        <v>16.2</v>
      </c>
      <c r="O298" s="5">
        <v>16.2</v>
      </c>
    </row>
    <row r="299" spans="1:15" x14ac:dyDescent="0.3">
      <c r="A299" t="s">
        <v>380</v>
      </c>
      <c r="B299" t="s">
        <v>38</v>
      </c>
      <c r="C299" s="7">
        <v>45670</v>
      </c>
      <c r="D299" s="7">
        <v>45672</v>
      </c>
      <c r="E299" t="s">
        <v>22</v>
      </c>
      <c r="F299" t="s">
        <v>69</v>
      </c>
      <c r="G299">
        <v>2</v>
      </c>
      <c r="H299" t="s">
        <v>18</v>
      </c>
      <c r="I299" t="s">
        <v>27</v>
      </c>
      <c r="J299">
        <f>orders[[#This Row],[Ship Date]]-orders[[#This Row],[Order Date]]</f>
        <v>2</v>
      </c>
      <c r="K299">
        <f>WEEKNUM(orders[[#This Row],[Order Date]])</f>
        <v>3</v>
      </c>
      <c r="L299" t="str" cm="1">
        <f t="array" ref="L299">_xlfn.IFS(orders[[#This Row],[Customer Gender]]="M","Male", orders[[#This Row],[Customer Gender]]="F","Female", orders[[#This Row],[Customer Gender]]="O","Other", TRUE,"Unknown")</f>
        <v>Male</v>
      </c>
      <c r="M299">
        <v>7</v>
      </c>
      <c r="N299">
        <v>80.900000000000006</v>
      </c>
      <c r="O299">
        <v>566.30000000000007</v>
      </c>
    </row>
    <row r="300" spans="1:15" x14ac:dyDescent="0.3">
      <c r="A300" t="s">
        <v>381</v>
      </c>
      <c r="B300" t="s">
        <v>45</v>
      </c>
      <c r="C300" s="7">
        <v>45670</v>
      </c>
      <c r="D300" s="7">
        <v>45672</v>
      </c>
      <c r="E300" t="s">
        <v>26</v>
      </c>
      <c r="F300" t="s">
        <v>17</v>
      </c>
      <c r="G300">
        <v>5</v>
      </c>
      <c r="H300" t="s">
        <v>18</v>
      </c>
      <c r="I300" t="s">
        <v>27</v>
      </c>
      <c r="J300">
        <f>orders[[#This Row],[Ship Date]]-orders[[#This Row],[Order Date]]</f>
        <v>2</v>
      </c>
      <c r="K300">
        <f>WEEKNUM(orders[[#This Row],[Order Date]])</f>
        <v>3</v>
      </c>
      <c r="L300" t="str" cm="1">
        <f t="array" ref="L300">_xlfn.IFS(orders[[#This Row],[Customer Gender]]="M","Male", orders[[#This Row],[Customer Gender]]="F","Female", orders[[#This Row],[Customer Gender]]="O","Other", TRUE,"Unknown")</f>
        <v>Female</v>
      </c>
      <c r="M300">
        <v>6</v>
      </c>
      <c r="N300">
        <v>95.2</v>
      </c>
      <c r="O300" s="5">
        <v>571.20000000000005</v>
      </c>
    </row>
    <row r="301" spans="1:15" x14ac:dyDescent="0.3">
      <c r="A301" t="s">
        <v>382</v>
      </c>
      <c r="B301" t="s">
        <v>36</v>
      </c>
      <c r="C301" s="7">
        <v>45670</v>
      </c>
      <c r="D301" s="7">
        <v>45671</v>
      </c>
      <c r="E301" t="s">
        <v>22</v>
      </c>
      <c r="F301" t="s">
        <v>34</v>
      </c>
      <c r="G301">
        <v>3</v>
      </c>
      <c r="H301" t="s">
        <v>18</v>
      </c>
      <c r="I301" t="s">
        <v>32</v>
      </c>
      <c r="J301">
        <f>orders[[#This Row],[Ship Date]]-orders[[#This Row],[Order Date]]</f>
        <v>1</v>
      </c>
      <c r="K301">
        <f>WEEKNUM(orders[[#This Row],[Order Date]])</f>
        <v>3</v>
      </c>
      <c r="L301" t="str" cm="1">
        <f t="array" ref="L301">_xlfn.IFS(orders[[#This Row],[Customer Gender]]="M","Male", orders[[#This Row],[Customer Gender]]="F","Female", orders[[#This Row],[Customer Gender]]="O","Other", TRUE,"Unknown")</f>
        <v>Male</v>
      </c>
      <c r="M301">
        <v>8</v>
      </c>
      <c r="N301">
        <v>70.400000000000006</v>
      </c>
      <c r="O301">
        <v>563.20000000000005</v>
      </c>
    </row>
    <row r="302" spans="1:15" x14ac:dyDescent="0.3">
      <c r="A302" t="s">
        <v>383</v>
      </c>
      <c r="B302" t="s">
        <v>16</v>
      </c>
      <c r="C302" s="7">
        <v>45670</v>
      </c>
      <c r="D302" s="7">
        <v>45674</v>
      </c>
      <c r="E302" t="s">
        <v>26</v>
      </c>
      <c r="F302" t="s">
        <v>39</v>
      </c>
      <c r="G302">
        <v>4</v>
      </c>
      <c r="H302" t="s">
        <v>18</v>
      </c>
      <c r="I302" t="s">
        <v>32</v>
      </c>
      <c r="J302">
        <f>orders[[#This Row],[Ship Date]]-orders[[#This Row],[Order Date]]</f>
        <v>4</v>
      </c>
      <c r="K302">
        <f>WEEKNUM(orders[[#This Row],[Order Date]])</f>
        <v>3</v>
      </c>
      <c r="L302" t="str" cm="1">
        <f t="array" ref="L302">_xlfn.IFS(orders[[#This Row],[Customer Gender]]="M","Male", orders[[#This Row],[Customer Gender]]="F","Female", orders[[#This Row],[Customer Gender]]="O","Other", TRUE,"Unknown")</f>
        <v>Female</v>
      </c>
      <c r="M302">
        <v>5</v>
      </c>
      <c r="N302">
        <v>10.7</v>
      </c>
      <c r="O302" s="5">
        <v>53.5</v>
      </c>
    </row>
    <row r="303" spans="1:15" x14ac:dyDescent="0.3">
      <c r="A303" t="s">
        <v>384</v>
      </c>
      <c r="B303" t="s">
        <v>43</v>
      </c>
      <c r="C303" s="7">
        <v>45670</v>
      </c>
      <c r="D303" s="7">
        <v>45672</v>
      </c>
      <c r="E303" t="s">
        <v>26</v>
      </c>
      <c r="F303" t="s">
        <v>17</v>
      </c>
      <c r="G303">
        <v>1</v>
      </c>
      <c r="H303" t="s">
        <v>18</v>
      </c>
      <c r="I303" t="s">
        <v>32</v>
      </c>
      <c r="J303">
        <f>orders[[#This Row],[Ship Date]]-orders[[#This Row],[Order Date]]</f>
        <v>2</v>
      </c>
      <c r="K303">
        <f>WEEKNUM(orders[[#This Row],[Order Date]])</f>
        <v>3</v>
      </c>
      <c r="L303" t="str" cm="1">
        <f t="array" ref="L303">_xlfn.IFS(orders[[#This Row],[Customer Gender]]="M","Male", orders[[#This Row],[Customer Gender]]="F","Female", orders[[#This Row],[Customer Gender]]="O","Other", TRUE,"Unknown")</f>
        <v>Female</v>
      </c>
      <c r="M303">
        <v>5</v>
      </c>
      <c r="N303">
        <v>19.600000000000001</v>
      </c>
      <c r="O303">
        <v>98</v>
      </c>
    </row>
    <row r="304" spans="1:15" x14ac:dyDescent="0.3">
      <c r="A304" t="s">
        <v>385</v>
      </c>
      <c r="B304" t="s">
        <v>43</v>
      </c>
      <c r="C304" s="7">
        <v>45670</v>
      </c>
      <c r="D304" s="7">
        <v>45672</v>
      </c>
      <c r="E304" t="s">
        <v>26</v>
      </c>
      <c r="F304" t="s">
        <v>17</v>
      </c>
      <c r="G304">
        <v>5</v>
      </c>
      <c r="H304" t="s">
        <v>18</v>
      </c>
      <c r="I304" t="s">
        <v>32</v>
      </c>
      <c r="J304">
        <f>orders[[#This Row],[Ship Date]]-orders[[#This Row],[Order Date]]</f>
        <v>2</v>
      </c>
      <c r="K304">
        <f>WEEKNUM(orders[[#This Row],[Order Date]])</f>
        <v>3</v>
      </c>
      <c r="L304" t="str" cm="1">
        <f t="array" ref="L304">_xlfn.IFS(orders[[#This Row],[Customer Gender]]="M","Male", orders[[#This Row],[Customer Gender]]="F","Female", orders[[#This Row],[Customer Gender]]="O","Other", TRUE,"Unknown")</f>
        <v>Female</v>
      </c>
      <c r="M304">
        <v>11</v>
      </c>
      <c r="N304">
        <v>34.700000000000003</v>
      </c>
      <c r="O304" s="5">
        <v>381.70000000000005</v>
      </c>
    </row>
    <row r="305" spans="1:15" x14ac:dyDescent="0.3">
      <c r="A305" t="s">
        <v>386</v>
      </c>
      <c r="B305" t="s">
        <v>53</v>
      </c>
      <c r="C305" s="7">
        <v>45670</v>
      </c>
      <c r="D305" s="7">
        <v>45671</v>
      </c>
      <c r="E305" t="s">
        <v>26</v>
      </c>
      <c r="F305" t="s">
        <v>69</v>
      </c>
      <c r="G305">
        <v>3</v>
      </c>
      <c r="H305" t="s">
        <v>18</v>
      </c>
      <c r="I305" t="s">
        <v>32</v>
      </c>
      <c r="J305">
        <f>orders[[#This Row],[Ship Date]]-orders[[#This Row],[Order Date]]</f>
        <v>1</v>
      </c>
      <c r="K305">
        <f>WEEKNUM(orders[[#This Row],[Order Date]])</f>
        <v>3</v>
      </c>
      <c r="L305" t="str" cm="1">
        <f t="array" ref="L305">_xlfn.IFS(orders[[#This Row],[Customer Gender]]="M","Male", orders[[#This Row],[Customer Gender]]="F","Female", orders[[#This Row],[Customer Gender]]="O","Other", TRUE,"Unknown")</f>
        <v>Female</v>
      </c>
      <c r="M305">
        <v>9</v>
      </c>
      <c r="N305">
        <v>34.1</v>
      </c>
      <c r="O305">
        <v>306.90000000000003</v>
      </c>
    </row>
    <row r="306" spans="1:15" x14ac:dyDescent="0.3">
      <c r="A306" t="s">
        <v>387</v>
      </c>
      <c r="B306" t="s">
        <v>16</v>
      </c>
      <c r="C306" s="7">
        <v>45670</v>
      </c>
      <c r="D306" s="7">
        <v>45670</v>
      </c>
      <c r="E306" t="s">
        <v>22</v>
      </c>
      <c r="F306" t="s">
        <v>17</v>
      </c>
      <c r="G306">
        <v>3</v>
      </c>
      <c r="H306" t="s">
        <v>18</v>
      </c>
      <c r="I306" t="s">
        <v>32</v>
      </c>
      <c r="J306">
        <f>orders[[#This Row],[Ship Date]]-orders[[#This Row],[Order Date]]</f>
        <v>0</v>
      </c>
      <c r="K306">
        <f>WEEKNUM(orders[[#This Row],[Order Date]])</f>
        <v>3</v>
      </c>
      <c r="L306" t="str" cm="1">
        <f t="array" ref="L306">_xlfn.IFS(orders[[#This Row],[Customer Gender]]="M","Male", orders[[#This Row],[Customer Gender]]="F","Female", orders[[#This Row],[Customer Gender]]="O","Other", TRUE,"Unknown")</f>
        <v>Male</v>
      </c>
      <c r="M306">
        <v>49</v>
      </c>
      <c r="N306">
        <v>29.3</v>
      </c>
      <c r="O306" s="5">
        <v>1435.7</v>
      </c>
    </row>
    <row r="307" spans="1:15" x14ac:dyDescent="0.3">
      <c r="A307" t="s">
        <v>388</v>
      </c>
      <c r="B307" t="s">
        <v>21</v>
      </c>
      <c r="C307" s="7">
        <v>45670</v>
      </c>
      <c r="D307" s="7">
        <v>45671</v>
      </c>
      <c r="E307" t="s">
        <v>26</v>
      </c>
      <c r="F307" t="s">
        <v>17</v>
      </c>
      <c r="G307">
        <v>3</v>
      </c>
      <c r="H307" t="s">
        <v>18</v>
      </c>
      <c r="I307" t="s">
        <v>32</v>
      </c>
      <c r="J307">
        <f>orders[[#This Row],[Ship Date]]-orders[[#This Row],[Order Date]]</f>
        <v>1</v>
      </c>
      <c r="K307">
        <f>WEEKNUM(orders[[#This Row],[Order Date]])</f>
        <v>3</v>
      </c>
      <c r="L307" t="str" cm="1">
        <f t="array" ref="L307">_xlfn.IFS(orders[[#This Row],[Customer Gender]]="M","Male", orders[[#This Row],[Customer Gender]]="F","Female", orders[[#This Row],[Customer Gender]]="O","Other", TRUE,"Unknown")</f>
        <v>Female</v>
      </c>
      <c r="M307">
        <v>1</v>
      </c>
      <c r="N307">
        <v>55.2</v>
      </c>
      <c r="O307">
        <v>55.2</v>
      </c>
    </row>
    <row r="308" spans="1:15" x14ac:dyDescent="0.3">
      <c r="A308" t="s">
        <v>389</v>
      </c>
      <c r="B308" t="s">
        <v>145</v>
      </c>
      <c r="C308" s="7">
        <v>45670</v>
      </c>
      <c r="D308" s="7">
        <v>45673</v>
      </c>
      <c r="E308" t="s">
        <v>26</v>
      </c>
      <c r="F308" t="s">
        <v>17</v>
      </c>
      <c r="G308">
        <v>5</v>
      </c>
      <c r="H308" t="s">
        <v>18</v>
      </c>
      <c r="I308" t="s">
        <v>32</v>
      </c>
      <c r="J308">
        <f>orders[[#This Row],[Ship Date]]-orders[[#This Row],[Order Date]]</f>
        <v>3</v>
      </c>
      <c r="K308">
        <f>WEEKNUM(orders[[#This Row],[Order Date]])</f>
        <v>3</v>
      </c>
      <c r="L308" t="str" cm="1">
        <f t="array" ref="L308">_xlfn.IFS(orders[[#This Row],[Customer Gender]]="M","Male", orders[[#This Row],[Customer Gender]]="F","Female", orders[[#This Row],[Customer Gender]]="O","Other", TRUE,"Unknown")</f>
        <v>Female</v>
      </c>
      <c r="M308">
        <v>3</v>
      </c>
      <c r="N308">
        <v>26</v>
      </c>
      <c r="O308" s="5">
        <v>78</v>
      </c>
    </row>
    <row r="309" spans="1:15" x14ac:dyDescent="0.3">
      <c r="A309" t="s">
        <v>390</v>
      </c>
      <c r="B309" t="s">
        <v>80</v>
      </c>
      <c r="C309" s="7">
        <v>45670</v>
      </c>
      <c r="D309" s="7">
        <v>45675</v>
      </c>
      <c r="E309" t="s">
        <v>26</v>
      </c>
      <c r="F309" t="s">
        <v>50</v>
      </c>
      <c r="G309">
        <v>4</v>
      </c>
      <c r="H309" t="s">
        <v>18</v>
      </c>
      <c r="I309" t="s">
        <v>391</v>
      </c>
      <c r="J309">
        <f>orders[[#This Row],[Ship Date]]-orders[[#This Row],[Order Date]]</f>
        <v>5</v>
      </c>
      <c r="K309">
        <f>WEEKNUM(orders[[#This Row],[Order Date]])</f>
        <v>3</v>
      </c>
      <c r="L309" t="str" cm="1">
        <f t="array" ref="L309">_xlfn.IFS(orders[[#This Row],[Customer Gender]]="M","Male", orders[[#This Row],[Customer Gender]]="F","Female", orders[[#This Row],[Customer Gender]]="O","Other", TRUE,"Unknown")</f>
        <v>Female</v>
      </c>
      <c r="M309">
        <v>2</v>
      </c>
      <c r="N309">
        <v>14.2</v>
      </c>
      <c r="O309">
        <v>28.4</v>
      </c>
    </row>
    <row r="310" spans="1:15" x14ac:dyDescent="0.3">
      <c r="A310" t="s">
        <v>392</v>
      </c>
      <c r="B310" t="s">
        <v>43</v>
      </c>
      <c r="C310" s="7">
        <v>45671</v>
      </c>
      <c r="D310" s="7">
        <v>45672</v>
      </c>
      <c r="E310" t="s">
        <v>22</v>
      </c>
      <c r="F310" t="s">
        <v>34</v>
      </c>
      <c r="G310">
        <v>4</v>
      </c>
      <c r="H310" t="s">
        <v>18</v>
      </c>
      <c r="I310" t="s">
        <v>54</v>
      </c>
      <c r="J310">
        <f>orders[[#This Row],[Ship Date]]-orders[[#This Row],[Order Date]]</f>
        <v>1</v>
      </c>
      <c r="K310">
        <f>WEEKNUM(orders[[#This Row],[Order Date]])</f>
        <v>3</v>
      </c>
      <c r="L310" t="str" cm="1">
        <f t="array" ref="L310">_xlfn.IFS(orders[[#This Row],[Customer Gender]]="M","Male", orders[[#This Row],[Customer Gender]]="F","Female", orders[[#This Row],[Customer Gender]]="O","Other", TRUE,"Unknown")</f>
        <v>Male</v>
      </c>
      <c r="M310">
        <v>9</v>
      </c>
      <c r="N310">
        <v>22.7</v>
      </c>
      <c r="O310" s="5">
        <v>204.29999999999998</v>
      </c>
    </row>
    <row r="311" spans="1:15" x14ac:dyDescent="0.3">
      <c r="A311" t="s">
        <v>393</v>
      </c>
      <c r="B311" t="s">
        <v>16</v>
      </c>
      <c r="C311" s="7">
        <v>45671</v>
      </c>
      <c r="D311" s="7">
        <v>45671</v>
      </c>
      <c r="E311" t="s">
        <v>26</v>
      </c>
      <c r="F311" t="s">
        <v>17</v>
      </c>
      <c r="G311">
        <v>5</v>
      </c>
      <c r="H311" t="s">
        <v>18</v>
      </c>
      <c r="I311" t="s">
        <v>54</v>
      </c>
      <c r="J311">
        <f>orders[[#This Row],[Ship Date]]-orders[[#This Row],[Order Date]]</f>
        <v>0</v>
      </c>
      <c r="K311">
        <f>WEEKNUM(orders[[#This Row],[Order Date]])</f>
        <v>3</v>
      </c>
      <c r="L311" t="str" cm="1">
        <f t="array" ref="L311">_xlfn.IFS(orders[[#This Row],[Customer Gender]]="M","Male", orders[[#This Row],[Customer Gender]]="F","Female", orders[[#This Row],[Customer Gender]]="O","Other", TRUE,"Unknown")</f>
        <v>Female</v>
      </c>
      <c r="M311">
        <v>15</v>
      </c>
      <c r="N311">
        <v>19.8</v>
      </c>
      <c r="O311">
        <v>297</v>
      </c>
    </row>
    <row r="312" spans="1:15" x14ac:dyDescent="0.3">
      <c r="A312" t="s">
        <v>394</v>
      </c>
      <c r="B312" t="s">
        <v>16</v>
      </c>
      <c r="C312" s="7">
        <v>45671</v>
      </c>
      <c r="D312" s="7">
        <v>45672</v>
      </c>
      <c r="E312" t="s">
        <v>22</v>
      </c>
      <c r="F312" t="s">
        <v>39</v>
      </c>
      <c r="G312">
        <v>4</v>
      </c>
      <c r="H312" t="s">
        <v>18</v>
      </c>
      <c r="I312" t="s">
        <v>54</v>
      </c>
      <c r="J312">
        <f>orders[[#This Row],[Ship Date]]-orders[[#This Row],[Order Date]]</f>
        <v>1</v>
      </c>
      <c r="K312">
        <f>WEEKNUM(orders[[#This Row],[Order Date]])</f>
        <v>3</v>
      </c>
      <c r="L312" t="str" cm="1">
        <f t="array" ref="L312">_xlfn.IFS(orders[[#This Row],[Customer Gender]]="M","Male", orders[[#This Row],[Customer Gender]]="F","Female", orders[[#This Row],[Customer Gender]]="O","Other", TRUE,"Unknown")</f>
        <v>Male</v>
      </c>
      <c r="M312">
        <v>3</v>
      </c>
      <c r="N312">
        <v>31.7</v>
      </c>
      <c r="O312" s="5">
        <v>95.1</v>
      </c>
    </row>
    <row r="313" spans="1:15" x14ac:dyDescent="0.3">
      <c r="A313" t="s">
        <v>395</v>
      </c>
      <c r="B313" t="s">
        <v>43</v>
      </c>
      <c r="C313" s="7">
        <v>45671</v>
      </c>
      <c r="D313" s="7">
        <v>45675</v>
      </c>
      <c r="E313" t="s">
        <v>22</v>
      </c>
      <c r="F313" t="s">
        <v>17</v>
      </c>
      <c r="G313">
        <v>4</v>
      </c>
      <c r="H313" t="s">
        <v>18</v>
      </c>
      <c r="I313" t="s">
        <v>54</v>
      </c>
      <c r="J313">
        <f>orders[[#This Row],[Ship Date]]-orders[[#This Row],[Order Date]]</f>
        <v>4</v>
      </c>
      <c r="K313">
        <f>WEEKNUM(orders[[#This Row],[Order Date]])</f>
        <v>3</v>
      </c>
      <c r="L313" t="str" cm="1">
        <f t="array" ref="L313">_xlfn.IFS(orders[[#This Row],[Customer Gender]]="M","Male", orders[[#This Row],[Customer Gender]]="F","Female", orders[[#This Row],[Customer Gender]]="O","Other", TRUE,"Unknown")</f>
        <v>Male</v>
      </c>
      <c r="M313">
        <v>4</v>
      </c>
      <c r="N313">
        <v>30.4</v>
      </c>
      <c r="O313">
        <v>121.6</v>
      </c>
    </row>
    <row r="314" spans="1:15" x14ac:dyDescent="0.3">
      <c r="A314" t="s">
        <v>396</v>
      </c>
      <c r="B314" t="s">
        <v>16</v>
      </c>
      <c r="C314" s="7">
        <v>45671</v>
      </c>
      <c r="D314" s="7">
        <v>45672</v>
      </c>
      <c r="E314" t="s">
        <v>22</v>
      </c>
      <c r="F314" t="s">
        <v>50</v>
      </c>
      <c r="G314">
        <v>4</v>
      </c>
      <c r="H314" t="s">
        <v>18</v>
      </c>
      <c r="I314" t="s">
        <v>61</v>
      </c>
      <c r="J314">
        <f>orders[[#This Row],[Ship Date]]-orders[[#This Row],[Order Date]]</f>
        <v>1</v>
      </c>
      <c r="K314">
        <f>WEEKNUM(orders[[#This Row],[Order Date]])</f>
        <v>3</v>
      </c>
      <c r="L314" t="str" cm="1">
        <f t="array" ref="L314">_xlfn.IFS(orders[[#This Row],[Customer Gender]]="M","Male", orders[[#This Row],[Customer Gender]]="F","Female", orders[[#This Row],[Customer Gender]]="O","Other", TRUE,"Unknown")</f>
        <v>Male</v>
      </c>
      <c r="M314">
        <v>4</v>
      </c>
      <c r="N314">
        <v>25.6</v>
      </c>
      <c r="O314" s="5">
        <v>102.4</v>
      </c>
    </row>
    <row r="315" spans="1:15" x14ac:dyDescent="0.3">
      <c r="A315" t="s">
        <v>397</v>
      </c>
      <c r="B315" t="s">
        <v>36</v>
      </c>
      <c r="C315" s="7">
        <v>45671</v>
      </c>
      <c r="D315" s="7">
        <v>45672</v>
      </c>
      <c r="E315" t="s">
        <v>26</v>
      </c>
      <c r="F315" t="s">
        <v>39</v>
      </c>
      <c r="G315">
        <v>4</v>
      </c>
      <c r="H315" t="s">
        <v>18</v>
      </c>
      <c r="I315" t="s">
        <v>71</v>
      </c>
      <c r="J315">
        <f>orders[[#This Row],[Ship Date]]-orders[[#This Row],[Order Date]]</f>
        <v>1</v>
      </c>
      <c r="K315">
        <f>WEEKNUM(orders[[#This Row],[Order Date]])</f>
        <v>3</v>
      </c>
      <c r="L315" t="str" cm="1">
        <f t="array" ref="L315">_xlfn.IFS(orders[[#This Row],[Customer Gender]]="M","Male", orders[[#This Row],[Customer Gender]]="F","Female", orders[[#This Row],[Customer Gender]]="O","Other", TRUE,"Unknown")</f>
        <v>Female</v>
      </c>
      <c r="M315">
        <v>2</v>
      </c>
      <c r="N315">
        <v>34.9</v>
      </c>
      <c r="O315">
        <v>69.8</v>
      </c>
    </row>
    <row r="316" spans="1:15" x14ac:dyDescent="0.3">
      <c r="A316" t="s">
        <v>398</v>
      </c>
      <c r="B316" t="s">
        <v>41</v>
      </c>
      <c r="C316" s="7">
        <v>45671</v>
      </c>
      <c r="D316" s="7">
        <v>45674</v>
      </c>
      <c r="E316" t="s">
        <v>22</v>
      </c>
      <c r="F316" t="s">
        <v>39</v>
      </c>
      <c r="G316">
        <v>3</v>
      </c>
      <c r="H316" t="s">
        <v>18</v>
      </c>
      <c r="I316" t="s">
        <v>76</v>
      </c>
      <c r="J316">
        <f>orders[[#This Row],[Ship Date]]-orders[[#This Row],[Order Date]]</f>
        <v>3</v>
      </c>
      <c r="K316">
        <f>WEEKNUM(orders[[#This Row],[Order Date]])</f>
        <v>3</v>
      </c>
      <c r="L316" t="str" cm="1">
        <f t="array" ref="L316">_xlfn.IFS(orders[[#This Row],[Customer Gender]]="M","Male", orders[[#This Row],[Customer Gender]]="F","Female", orders[[#This Row],[Customer Gender]]="O","Other", TRUE,"Unknown")</f>
        <v>Male</v>
      </c>
      <c r="M316">
        <v>6</v>
      </c>
      <c r="N316">
        <v>42.7</v>
      </c>
      <c r="O316" s="5">
        <v>256.20000000000005</v>
      </c>
    </row>
    <row r="317" spans="1:15" x14ac:dyDescent="0.3">
      <c r="A317" t="s">
        <v>399</v>
      </c>
      <c r="B317" t="s">
        <v>43</v>
      </c>
      <c r="C317" s="7">
        <v>45671</v>
      </c>
      <c r="D317" s="7">
        <v>45673</v>
      </c>
      <c r="E317" t="s">
        <v>26</v>
      </c>
      <c r="F317" t="s">
        <v>50</v>
      </c>
      <c r="G317">
        <v>4</v>
      </c>
      <c r="H317" t="s">
        <v>18</v>
      </c>
      <c r="I317" t="s">
        <v>76</v>
      </c>
      <c r="J317">
        <f>orders[[#This Row],[Ship Date]]-orders[[#This Row],[Order Date]]</f>
        <v>2</v>
      </c>
      <c r="K317">
        <f>WEEKNUM(orders[[#This Row],[Order Date]])</f>
        <v>3</v>
      </c>
      <c r="L317" t="str" cm="1">
        <f t="array" ref="L317">_xlfn.IFS(orders[[#This Row],[Customer Gender]]="M","Male", orders[[#This Row],[Customer Gender]]="F","Female", orders[[#This Row],[Customer Gender]]="O","Other", TRUE,"Unknown")</f>
        <v>Female</v>
      </c>
      <c r="M317">
        <v>1</v>
      </c>
      <c r="N317">
        <v>23.9</v>
      </c>
      <c r="O317">
        <v>23.9</v>
      </c>
    </row>
    <row r="318" spans="1:15" x14ac:dyDescent="0.3">
      <c r="A318" t="s">
        <v>400</v>
      </c>
      <c r="B318" t="s">
        <v>38</v>
      </c>
      <c r="C318" s="7">
        <v>45671</v>
      </c>
      <c r="D318" s="7">
        <v>45672</v>
      </c>
      <c r="E318" t="s">
        <v>2517</v>
      </c>
      <c r="F318" t="s">
        <v>39</v>
      </c>
      <c r="G318">
        <v>3</v>
      </c>
      <c r="H318" t="s">
        <v>18</v>
      </c>
      <c r="I318" t="s">
        <v>114</v>
      </c>
      <c r="J318">
        <f>orders[[#This Row],[Ship Date]]-orders[[#This Row],[Order Date]]</f>
        <v>1</v>
      </c>
      <c r="K318">
        <f>WEEKNUM(orders[[#This Row],[Order Date]])</f>
        <v>3</v>
      </c>
      <c r="L318" t="str" cm="1">
        <f t="array" ref="L318">_xlfn.IFS(orders[[#This Row],[Customer Gender]]="M","Male", orders[[#This Row],[Customer Gender]]="F","Female", orders[[#This Row],[Customer Gender]]="O","Other", TRUE,"Unknown")</f>
        <v>Unknown</v>
      </c>
      <c r="M318">
        <v>1</v>
      </c>
      <c r="N318">
        <v>124.3</v>
      </c>
      <c r="O318" s="5">
        <v>124.3</v>
      </c>
    </row>
    <row r="319" spans="1:15" x14ac:dyDescent="0.3">
      <c r="A319" t="s">
        <v>401</v>
      </c>
      <c r="B319" t="s">
        <v>43</v>
      </c>
      <c r="C319" s="7">
        <v>45671</v>
      </c>
      <c r="D319" s="7">
        <v>45672</v>
      </c>
      <c r="E319" t="s">
        <v>26</v>
      </c>
      <c r="F319" t="s">
        <v>17</v>
      </c>
      <c r="G319">
        <v>3</v>
      </c>
      <c r="H319" t="s">
        <v>18</v>
      </c>
      <c r="I319" t="s">
        <v>23</v>
      </c>
      <c r="J319">
        <f>orders[[#This Row],[Ship Date]]-orders[[#This Row],[Order Date]]</f>
        <v>1</v>
      </c>
      <c r="K319">
        <f>WEEKNUM(orders[[#This Row],[Order Date]])</f>
        <v>3</v>
      </c>
      <c r="L319" t="str" cm="1">
        <f t="array" ref="L319">_xlfn.IFS(orders[[#This Row],[Customer Gender]]="M","Male", orders[[#This Row],[Customer Gender]]="F","Female", orders[[#This Row],[Customer Gender]]="O","Other", TRUE,"Unknown")</f>
        <v>Female</v>
      </c>
      <c r="M319">
        <v>6</v>
      </c>
      <c r="N319">
        <v>35.9</v>
      </c>
      <c r="O319">
        <v>215.39999999999998</v>
      </c>
    </row>
    <row r="320" spans="1:15" x14ac:dyDescent="0.3">
      <c r="A320" t="s">
        <v>402</v>
      </c>
      <c r="B320" t="s">
        <v>25</v>
      </c>
      <c r="C320" s="7">
        <v>45671</v>
      </c>
      <c r="D320" s="7">
        <v>45674</v>
      </c>
      <c r="E320" t="s">
        <v>26</v>
      </c>
      <c r="F320" t="s">
        <v>17</v>
      </c>
      <c r="G320">
        <v>5</v>
      </c>
      <c r="H320" t="s">
        <v>18</v>
      </c>
      <c r="I320" t="s">
        <v>146</v>
      </c>
      <c r="J320">
        <f>orders[[#This Row],[Ship Date]]-orders[[#This Row],[Order Date]]</f>
        <v>3</v>
      </c>
      <c r="K320">
        <f>WEEKNUM(orders[[#This Row],[Order Date]])</f>
        <v>3</v>
      </c>
      <c r="L320" t="str" cm="1">
        <f t="array" ref="L320">_xlfn.IFS(orders[[#This Row],[Customer Gender]]="M","Male", orders[[#This Row],[Customer Gender]]="F","Female", orders[[#This Row],[Customer Gender]]="O","Other", TRUE,"Unknown")</f>
        <v>Female</v>
      </c>
      <c r="M320">
        <v>2</v>
      </c>
      <c r="N320">
        <v>69.099999999999994</v>
      </c>
      <c r="O320" s="5">
        <v>138.19999999999999</v>
      </c>
    </row>
    <row r="321" spans="1:15" x14ac:dyDescent="0.3">
      <c r="A321" t="s">
        <v>403</v>
      </c>
      <c r="B321" t="s">
        <v>41</v>
      </c>
      <c r="C321" s="7">
        <v>45671</v>
      </c>
      <c r="D321" s="7">
        <v>45675</v>
      </c>
      <c r="E321" t="s">
        <v>22</v>
      </c>
      <c r="F321" t="s">
        <v>17</v>
      </c>
      <c r="G321">
        <v>4</v>
      </c>
      <c r="H321" t="s">
        <v>18</v>
      </c>
      <c r="I321" t="s">
        <v>146</v>
      </c>
      <c r="J321">
        <f>orders[[#This Row],[Ship Date]]-orders[[#This Row],[Order Date]]</f>
        <v>4</v>
      </c>
      <c r="K321">
        <f>WEEKNUM(orders[[#This Row],[Order Date]])</f>
        <v>3</v>
      </c>
      <c r="L321" t="str" cm="1">
        <f t="array" ref="L321">_xlfn.IFS(orders[[#This Row],[Customer Gender]]="M","Male", orders[[#This Row],[Customer Gender]]="F","Female", orders[[#This Row],[Customer Gender]]="O","Other", TRUE,"Unknown")</f>
        <v>Male</v>
      </c>
      <c r="M321">
        <v>1</v>
      </c>
      <c r="N321">
        <v>58.4</v>
      </c>
      <c r="O321">
        <v>58.4</v>
      </c>
    </row>
    <row r="322" spans="1:15" x14ac:dyDescent="0.3">
      <c r="A322" t="s">
        <v>404</v>
      </c>
      <c r="B322" t="s">
        <v>36</v>
      </c>
      <c r="C322" s="7">
        <v>45671</v>
      </c>
      <c r="D322" s="7">
        <v>45673</v>
      </c>
      <c r="E322" t="s">
        <v>88</v>
      </c>
      <c r="F322" t="s">
        <v>69</v>
      </c>
      <c r="G322">
        <v>2</v>
      </c>
      <c r="H322" t="s">
        <v>18</v>
      </c>
      <c r="I322" t="s">
        <v>32</v>
      </c>
      <c r="J322">
        <f>orders[[#This Row],[Ship Date]]-orders[[#This Row],[Order Date]]</f>
        <v>2</v>
      </c>
      <c r="K322">
        <f>WEEKNUM(orders[[#This Row],[Order Date]])</f>
        <v>3</v>
      </c>
      <c r="L322" t="str" cm="1">
        <f t="array" ref="L322">_xlfn.IFS(orders[[#This Row],[Customer Gender]]="M","Male", orders[[#This Row],[Customer Gender]]="F","Female", orders[[#This Row],[Customer Gender]]="O","Other", TRUE,"Unknown")</f>
        <v>Other</v>
      </c>
      <c r="M322">
        <v>1</v>
      </c>
      <c r="N322">
        <v>65.2</v>
      </c>
      <c r="O322" s="5">
        <v>65.2</v>
      </c>
    </row>
    <row r="323" spans="1:15" x14ac:dyDescent="0.3">
      <c r="A323" t="s">
        <v>405</v>
      </c>
      <c r="B323" t="s">
        <v>43</v>
      </c>
      <c r="C323" s="7">
        <v>45671</v>
      </c>
      <c r="D323" s="7">
        <v>45678</v>
      </c>
      <c r="E323" t="s">
        <v>2517</v>
      </c>
      <c r="F323" t="s">
        <v>69</v>
      </c>
      <c r="G323">
        <v>4</v>
      </c>
      <c r="H323" t="s">
        <v>18</v>
      </c>
      <c r="I323" t="s">
        <v>32</v>
      </c>
      <c r="J323">
        <f>orders[[#This Row],[Ship Date]]-orders[[#This Row],[Order Date]]</f>
        <v>7</v>
      </c>
      <c r="K323">
        <f>WEEKNUM(orders[[#This Row],[Order Date]])</f>
        <v>3</v>
      </c>
      <c r="L323" t="str" cm="1">
        <f t="array" ref="L323">_xlfn.IFS(orders[[#This Row],[Customer Gender]]="M","Male", orders[[#This Row],[Customer Gender]]="F","Female", orders[[#This Row],[Customer Gender]]="O","Other", TRUE,"Unknown")</f>
        <v>Unknown</v>
      </c>
      <c r="M323">
        <v>17</v>
      </c>
      <c r="N323">
        <v>32.700000000000003</v>
      </c>
      <c r="O323">
        <v>555.90000000000009</v>
      </c>
    </row>
    <row r="324" spans="1:15" x14ac:dyDescent="0.3">
      <c r="A324" t="s">
        <v>406</v>
      </c>
      <c r="B324" t="s">
        <v>53</v>
      </c>
      <c r="C324" s="7">
        <v>45671</v>
      </c>
      <c r="D324" s="7">
        <v>45672</v>
      </c>
      <c r="E324" t="s">
        <v>26</v>
      </c>
      <c r="F324" t="s">
        <v>17</v>
      </c>
      <c r="G324">
        <v>4</v>
      </c>
      <c r="H324" t="s">
        <v>18</v>
      </c>
      <c r="I324" t="s">
        <v>32</v>
      </c>
      <c r="J324">
        <f>orders[[#This Row],[Ship Date]]-orders[[#This Row],[Order Date]]</f>
        <v>1</v>
      </c>
      <c r="K324">
        <f>WEEKNUM(orders[[#This Row],[Order Date]])</f>
        <v>3</v>
      </c>
      <c r="L324" t="str" cm="1">
        <f t="array" ref="L324">_xlfn.IFS(orders[[#This Row],[Customer Gender]]="M","Male", orders[[#This Row],[Customer Gender]]="F","Female", orders[[#This Row],[Customer Gender]]="O","Other", TRUE,"Unknown")</f>
        <v>Female</v>
      </c>
      <c r="M324">
        <v>7</v>
      </c>
      <c r="N324">
        <v>24.4</v>
      </c>
      <c r="O324" s="5">
        <v>170.79999999999998</v>
      </c>
    </row>
    <row r="325" spans="1:15" x14ac:dyDescent="0.3">
      <c r="A325" t="s">
        <v>407</v>
      </c>
      <c r="B325" t="s">
        <v>80</v>
      </c>
      <c r="C325" s="7">
        <v>45671</v>
      </c>
      <c r="D325" s="7">
        <v>45677</v>
      </c>
      <c r="E325" t="s">
        <v>22</v>
      </c>
      <c r="F325" t="s">
        <v>17</v>
      </c>
      <c r="G325">
        <v>3</v>
      </c>
      <c r="H325" t="s">
        <v>18</v>
      </c>
      <c r="I325" t="s">
        <v>32</v>
      </c>
      <c r="J325">
        <f>orders[[#This Row],[Ship Date]]-orders[[#This Row],[Order Date]]</f>
        <v>6</v>
      </c>
      <c r="K325">
        <f>WEEKNUM(orders[[#This Row],[Order Date]])</f>
        <v>3</v>
      </c>
      <c r="L325" t="str" cm="1">
        <f t="array" ref="L325">_xlfn.IFS(orders[[#This Row],[Customer Gender]]="M","Male", orders[[#This Row],[Customer Gender]]="F","Female", orders[[#This Row],[Customer Gender]]="O","Other", TRUE,"Unknown")</f>
        <v>Male</v>
      </c>
      <c r="M325">
        <v>2</v>
      </c>
      <c r="N325">
        <v>50.4</v>
      </c>
      <c r="O325">
        <v>100.8</v>
      </c>
    </row>
    <row r="326" spans="1:15" x14ac:dyDescent="0.3">
      <c r="A326" t="s">
        <v>408</v>
      </c>
      <c r="B326" t="s">
        <v>21</v>
      </c>
      <c r="C326" s="7">
        <v>45671</v>
      </c>
      <c r="D326" s="7">
        <v>45672</v>
      </c>
      <c r="E326" t="s">
        <v>26</v>
      </c>
      <c r="F326" t="s">
        <v>17</v>
      </c>
      <c r="G326">
        <v>4</v>
      </c>
      <c r="H326" t="s">
        <v>18</v>
      </c>
      <c r="I326" t="s">
        <v>32</v>
      </c>
      <c r="J326">
        <f>orders[[#This Row],[Ship Date]]-orders[[#This Row],[Order Date]]</f>
        <v>1</v>
      </c>
      <c r="K326">
        <f>WEEKNUM(orders[[#This Row],[Order Date]])</f>
        <v>3</v>
      </c>
      <c r="L326" t="str" cm="1">
        <f t="array" ref="L326">_xlfn.IFS(orders[[#This Row],[Customer Gender]]="M","Male", orders[[#This Row],[Customer Gender]]="F","Female", orders[[#This Row],[Customer Gender]]="O","Other", TRUE,"Unknown")</f>
        <v>Female</v>
      </c>
      <c r="M326">
        <v>2</v>
      </c>
      <c r="N326">
        <v>100</v>
      </c>
      <c r="O326" s="5">
        <v>200</v>
      </c>
    </row>
    <row r="327" spans="1:15" x14ac:dyDescent="0.3">
      <c r="A327" t="s">
        <v>409</v>
      </c>
      <c r="B327" t="s">
        <v>53</v>
      </c>
      <c r="C327" s="7">
        <v>45672</v>
      </c>
      <c r="D327" s="7">
        <v>45672</v>
      </c>
      <c r="E327" t="s">
        <v>26</v>
      </c>
      <c r="F327" t="s">
        <v>39</v>
      </c>
      <c r="G327">
        <v>3</v>
      </c>
      <c r="H327" t="s">
        <v>18</v>
      </c>
      <c r="I327" t="s">
        <v>32</v>
      </c>
      <c r="J327">
        <f>orders[[#This Row],[Ship Date]]-orders[[#This Row],[Order Date]]</f>
        <v>0</v>
      </c>
      <c r="K327">
        <f>WEEKNUM(orders[[#This Row],[Order Date]])</f>
        <v>3</v>
      </c>
      <c r="L327" t="str" cm="1">
        <f t="array" ref="L327">_xlfn.IFS(orders[[#This Row],[Customer Gender]]="M","Male", orders[[#This Row],[Customer Gender]]="F","Female", orders[[#This Row],[Customer Gender]]="O","Other", TRUE,"Unknown")</f>
        <v>Female</v>
      </c>
      <c r="M327">
        <v>3</v>
      </c>
      <c r="N327">
        <v>43</v>
      </c>
      <c r="O327">
        <v>129</v>
      </c>
    </row>
    <row r="328" spans="1:15" x14ac:dyDescent="0.3">
      <c r="A328" t="s">
        <v>410</v>
      </c>
      <c r="B328" t="s">
        <v>21</v>
      </c>
      <c r="C328" s="7">
        <v>45672</v>
      </c>
      <c r="D328" s="7">
        <v>45674</v>
      </c>
      <c r="E328" t="s">
        <v>22</v>
      </c>
      <c r="F328" t="s">
        <v>39</v>
      </c>
      <c r="G328">
        <v>3</v>
      </c>
      <c r="H328" t="s">
        <v>18</v>
      </c>
      <c r="I328" t="s">
        <v>32</v>
      </c>
      <c r="J328">
        <f>orders[[#This Row],[Ship Date]]-orders[[#This Row],[Order Date]]</f>
        <v>2</v>
      </c>
      <c r="K328">
        <f>WEEKNUM(orders[[#This Row],[Order Date]])</f>
        <v>3</v>
      </c>
      <c r="L328" t="str" cm="1">
        <f t="array" ref="L328">_xlfn.IFS(orders[[#This Row],[Customer Gender]]="M","Male", orders[[#This Row],[Customer Gender]]="F","Female", orders[[#This Row],[Customer Gender]]="O","Other", TRUE,"Unknown")</f>
        <v>Male</v>
      </c>
      <c r="M328">
        <v>5</v>
      </c>
      <c r="N328">
        <v>64.400000000000006</v>
      </c>
      <c r="O328" s="5">
        <v>322</v>
      </c>
    </row>
    <row r="329" spans="1:15" x14ac:dyDescent="0.3">
      <c r="A329" t="s">
        <v>411</v>
      </c>
      <c r="B329" t="s">
        <v>145</v>
      </c>
      <c r="C329" s="7">
        <v>45672</v>
      </c>
      <c r="D329" s="7">
        <v>45673</v>
      </c>
      <c r="E329" t="s">
        <v>22</v>
      </c>
      <c r="F329" t="s">
        <v>39</v>
      </c>
      <c r="G329">
        <v>3</v>
      </c>
      <c r="H329" t="s">
        <v>18</v>
      </c>
      <c r="I329" t="s">
        <v>32</v>
      </c>
      <c r="J329">
        <f>orders[[#This Row],[Ship Date]]-orders[[#This Row],[Order Date]]</f>
        <v>1</v>
      </c>
      <c r="K329">
        <f>WEEKNUM(orders[[#This Row],[Order Date]])</f>
        <v>3</v>
      </c>
      <c r="L329" t="str" cm="1">
        <f t="array" ref="L329">_xlfn.IFS(orders[[#This Row],[Customer Gender]]="M","Male", orders[[#This Row],[Customer Gender]]="F","Female", orders[[#This Row],[Customer Gender]]="O","Other", TRUE,"Unknown")</f>
        <v>Male</v>
      </c>
      <c r="M329">
        <v>2</v>
      </c>
      <c r="N329">
        <v>57.4</v>
      </c>
      <c r="O329">
        <v>114.8</v>
      </c>
    </row>
    <row r="330" spans="1:15" x14ac:dyDescent="0.3">
      <c r="A330" t="s">
        <v>412</v>
      </c>
      <c r="B330" t="s">
        <v>25</v>
      </c>
      <c r="C330" s="7">
        <v>45672</v>
      </c>
      <c r="D330" s="7">
        <v>45675</v>
      </c>
      <c r="E330" t="s">
        <v>26</v>
      </c>
      <c r="F330" t="s">
        <v>34</v>
      </c>
      <c r="G330">
        <v>4</v>
      </c>
      <c r="H330" t="s">
        <v>18</v>
      </c>
      <c r="I330" t="s">
        <v>32</v>
      </c>
      <c r="J330">
        <f>orders[[#This Row],[Ship Date]]-orders[[#This Row],[Order Date]]</f>
        <v>3</v>
      </c>
      <c r="K330">
        <f>WEEKNUM(orders[[#This Row],[Order Date]])</f>
        <v>3</v>
      </c>
      <c r="L330" t="str" cm="1">
        <f t="array" ref="L330">_xlfn.IFS(orders[[#This Row],[Customer Gender]]="M","Male", orders[[#This Row],[Customer Gender]]="F","Female", orders[[#This Row],[Customer Gender]]="O","Other", TRUE,"Unknown")</f>
        <v>Female</v>
      </c>
      <c r="M330">
        <v>3</v>
      </c>
      <c r="N330">
        <v>55.1</v>
      </c>
      <c r="O330" s="5">
        <v>165.3</v>
      </c>
    </row>
    <row r="331" spans="1:15" x14ac:dyDescent="0.3">
      <c r="A331" t="s">
        <v>413</v>
      </c>
      <c r="B331" t="s">
        <v>41</v>
      </c>
      <c r="C331" s="7">
        <v>45672</v>
      </c>
      <c r="D331" s="7">
        <v>45673</v>
      </c>
      <c r="E331" t="s">
        <v>26</v>
      </c>
      <c r="F331" t="s">
        <v>34</v>
      </c>
      <c r="G331">
        <v>4</v>
      </c>
      <c r="H331" t="s">
        <v>18</v>
      </c>
      <c r="I331" t="s">
        <v>32</v>
      </c>
      <c r="J331">
        <f>orders[[#This Row],[Ship Date]]-orders[[#This Row],[Order Date]]</f>
        <v>1</v>
      </c>
      <c r="K331">
        <f>WEEKNUM(orders[[#This Row],[Order Date]])</f>
        <v>3</v>
      </c>
      <c r="L331" t="str" cm="1">
        <f t="array" ref="L331">_xlfn.IFS(orders[[#This Row],[Customer Gender]]="M","Male", orders[[#This Row],[Customer Gender]]="F","Female", orders[[#This Row],[Customer Gender]]="O","Other", TRUE,"Unknown")</f>
        <v>Female</v>
      </c>
      <c r="M331">
        <v>4</v>
      </c>
      <c r="N331">
        <v>45.4</v>
      </c>
      <c r="O331">
        <v>181.6</v>
      </c>
    </row>
    <row r="332" spans="1:15" x14ac:dyDescent="0.3">
      <c r="A332" t="s">
        <v>414</v>
      </c>
      <c r="B332" t="s">
        <v>29</v>
      </c>
      <c r="C332" s="7">
        <v>45672</v>
      </c>
      <c r="D332" s="7">
        <v>45673</v>
      </c>
      <c r="E332" t="s">
        <v>26</v>
      </c>
      <c r="F332" t="s">
        <v>17</v>
      </c>
      <c r="G332">
        <v>4</v>
      </c>
      <c r="H332" t="s">
        <v>18</v>
      </c>
      <c r="I332" t="s">
        <v>415</v>
      </c>
      <c r="J332">
        <f>orders[[#This Row],[Ship Date]]-orders[[#This Row],[Order Date]]</f>
        <v>1</v>
      </c>
      <c r="K332">
        <f>WEEKNUM(orders[[#This Row],[Order Date]])</f>
        <v>3</v>
      </c>
      <c r="L332" t="str" cm="1">
        <f t="array" ref="L332">_xlfn.IFS(orders[[#This Row],[Customer Gender]]="M","Male", orders[[#This Row],[Customer Gender]]="F","Female", orders[[#This Row],[Customer Gender]]="O","Other", TRUE,"Unknown")</f>
        <v>Female</v>
      </c>
      <c r="M332">
        <v>3</v>
      </c>
      <c r="N332">
        <v>93.3</v>
      </c>
      <c r="O332" s="5">
        <v>279.89999999999998</v>
      </c>
    </row>
    <row r="333" spans="1:15" x14ac:dyDescent="0.3">
      <c r="A333" t="s">
        <v>416</v>
      </c>
      <c r="B333" t="s">
        <v>25</v>
      </c>
      <c r="C333" s="7">
        <v>45672</v>
      </c>
      <c r="D333" s="7">
        <v>45673</v>
      </c>
      <c r="E333" t="s">
        <v>26</v>
      </c>
      <c r="F333" t="s">
        <v>34</v>
      </c>
      <c r="G333">
        <v>5</v>
      </c>
      <c r="H333" t="s">
        <v>18</v>
      </c>
      <c r="I333" t="s">
        <v>97</v>
      </c>
      <c r="J333">
        <f>orders[[#This Row],[Ship Date]]-orders[[#This Row],[Order Date]]</f>
        <v>1</v>
      </c>
      <c r="K333">
        <f>WEEKNUM(orders[[#This Row],[Order Date]])</f>
        <v>3</v>
      </c>
      <c r="L333" t="str" cm="1">
        <f t="array" ref="L333">_xlfn.IFS(orders[[#This Row],[Customer Gender]]="M","Male", orders[[#This Row],[Customer Gender]]="F","Female", orders[[#This Row],[Customer Gender]]="O","Other", TRUE,"Unknown")</f>
        <v>Female</v>
      </c>
      <c r="M333">
        <v>19</v>
      </c>
      <c r="N333">
        <v>158.19999999999999</v>
      </c>
      <c r="O333">
        <v>3005.7999999999997</v>
      </c>
    </row>
    <row r="334" spans="1:15" x14ac:dyDescent="0.3">
      <c r="A334" t="s">
        <v>417</v>
      </c>
      <c r="B334" t="s">
        <v>25</v>
      </c>
      <c r="C334" s="7">
        <v>45672</v>
      </c>
      <c r="D334" s="7">
        <v>45674</v>
      </c>
      <c r="E334" t="s">
        <v>22</v>
      </c>
      <c r="F334" t="s">
        <v>50</v>
      </c>
      <c r="G334">
        <v>4</v>
      </c>
      <c r="H334" t="s">
        <v>18</v>
      </c>
      <c r="I334" t="s">
        <v>54</v>
      </c>
      <c r="J334">
        <f>orders[[#This Row],[Ship Date]]-orders[[#This Row],[Order Date]]</f>
        <v>2</v>
      </c>
      <c r="K334">
        <f>WEEKNUM(orders[[#This Row],[Order Date]])</f>
        <v>3</v>
      </c>
      <c r="L334" t="str" cm="1">
        <f t="array" ref="L334">_xlfn.IFS(orders[[#This Row],[Customer Gender]]="M","Male", orders[[#This Row],[Customer Gender]]="F","Female", orders[[#This Row],[Customer Gender]]="O","Other", TRUE,"Unknown")</f>
        <v>Male</v>
      </c>
      <c r="M334">
        <v>2</v>
      </c>
      <c r="N334">
        <v>74.900000000000006</v>
      </c>
      <c r="O334" s="5">
        <v>149.80000000000001</v>
      </c>
    </row>
    <row r="335" spans="1:15" x14ac:dyDescent="0.3">
      <c r="A335" t="s">
        <v>418</v>
      </c>
      <c r="B335" t="s">
        <v>43</v>
      </c>
      <c r="C335" s="7">
        <v>45672</v>
      </c>
      <c r="D335" s="7">
        <v>45675</v>
      </c>
      <c r="E335" t="s">
        <v>26</v>
      </c>
      <c r="F335" t="s">
        <v>34</v>
      </c>
      <c r="G335">
        <v>4</v>
      </c>
      <c r="H335" t="s">
        <v>18</v>
      </c>
      <c r="I335" t="s">
        <v>61</v>
      </c>
      <c r="J335">
        <f>orders[[#This Row],[Ship Date]]-orders[[#This Row],[Order Date]]</f>
        <v>3</v>
      </c>
      <c r="K335">
        <f>WEEKNUM(orders[[#This Row],[Order Date]])</f>
        <v>3</v>
      </c>
      <c r="L335" t="str" cm="1">
        <f t="array" ref="L335">_xlfn.IFS(orders[[#This Row],[Customer Gender]]="M","Male", orders[[#This Row],[Customer Gender]]="F","Female", orders[[#This Row],[Customer Gender]]="O","Other", TRUE,"Unknown")</f>
        <v>Female</v>
      </c>
      <c r="M335">
        <v>7</v>
      </c>
      <c r="N335">
        <v>26</v>
      </c>
      <c r="O335">
        <v>182</v>
      </c>
    </row>
    <row r="336" spans="1:15" x14ac:dyDescent="0.3">
      <c r="A336" t="s">
        <v>419</v>
      </c>
      <c r="B336" t="s">
        <v>45</v>
      </c>
      <c r="C336" s="7">
        <v>45672</v>
      </c>
      <c r="D336" s="7">
        <v>45673</v>
      </c>
      <c r="E336" t="s">
        <v>26</v>
      </c>
      <c r="F336" t="s">
        <v>17</v>
      </c>
      <c r="G336">
        <v>3</v>
      </c>
      <c r="H336" t="s">
        <v>18</v>
      </c>
      <c r="I336" t="s">
        <v>61</v>
      </c>
      <c r="J336">
        <f>orders[[#This Row],[Ship Date]]-orders[[#This Row],[Order Date]]</f>
        <v>1</v>
      </c>
      <c r="K336">
        <f>WEEKNUM(orders[[#This Row],[Order Date]])</f>
        <v>3</v>
      </c>
      <c r="L336" t="str" cm="1">
        <f t="array" ref="L336">_xlfn.IFS(orders[[#This Row],[Customer Gender]]="M","Male", orders[[#This Row],[Customer Gender]]="F","Female", orders[[#This Row],[Customer Gender]]="O","Other", TRUE,"Unknown")</f>
        <v>Female</v>
      </c>
      <c r="M336">
        <v>6</v>
      </c>
      <c r="N336">
        <v>37.5</v>
      </c>
      <c r="O336" s="5">
        <v>225</v>
      </c>
    </row>
    <row r="337" spans="1:15" x14ac:dyDescent="0.3">
      <c r="A337" t="s">
        <v>420</v>
      </c>
      <c r="B337" t="s">
        <v>38</v>
      </c>
      <c r="C337" s="7">
        <v>45672</v>
      </c>
      <c r="D337" s="7">
        <v>45678</v>
      </c>
      <c r="E337" t="s">
        <v>22</v>
      </c>
      <c r="F337" t="s">
        <v>17</v>
      </c>
      <c r="G337">
        <v>4</v>
      </c>
      <c r="H337" t="s">
        <v>18</v>
      </c>
      <c r="I337" t="s">
        <v>61</v>
      </c>
      <c r="J337">
        <f>orders[[#This Row],[Ship Date]]-orders[[#This Row],[Order Date]]</f>
        <v>6</v>
      </c>
      <c r="K337">
        <f>WEEKNUM(orders[[#This Row],[Order Date]])</f>
        <v>3</v>
      </c>
      <c r="L337" t="str" cm="1">
        <f t="array" ref="L337">_xlfn.IFS(orders[[#This Row],[Customer Gender]]="M","Male", orders[[#This Row],[Customer Gender]]="F","Female", orders[[#This Row],[Customer Gender]]="O","Other", TRUE,"Unknown")</f>
        <v>Male</v>
      </c>
      <c r="M337">
        <v>2</v>
      </c>
      <c r="N337">
        <v>75.8</v>
      </c>
      <c r="O337">
        <v>151.6</v>
      </c>
    </row>
    <row r="338" spans="1:15" x14ac:dyDescent="0.3">
      <c r="A338" t="s">
        <v>421</v>
      </c>
      <c r="B338" t="s">
        <v>41</v>
      </c>
      <c r="C338" s="7">
        <v>45672</v>
      </c>
      <c r="D338" s="7">
        <v>45684</v>
      </c>
      <c r="E338" t="s">
        <v>2517</v>
      </c>
      <c r="F338" t="s">
        <v>69</v>
      </c>
      <c r="G338">
        <v>5</v>
      </c>
      <c r="H338" t="s">
        <v>18</v>
      </c>
      <c r="I338" t="s">
        <v>61</v>
      </c>
      <c r="J338">
        <f>orders[[#This Row],[Ship Date]]-orders[[#This Row],[Order Date]]</f>
        <v>12</v>
      </c>
      <c r="K338">
        <f>WEEKNUM(orders[[#This Row],[Order Date]])</f>
        <v>3</v>
      </c>
      <c r="L338" t="str" cm="1">
        <f t="array" ref="L338">_xlfn.IFS(orders[[#This Row],[Customer Gender]]="M","Male", orders[[#This Row],[Customer Gender]]="F","Female", orders[[#This Row],[Customer Gender]]="O","Other", TRUE,"Unknown")</f>
        <v>Unknown</v>
      </c>
      <c r="M338">
        <v>1</v>
      </c>
      <c r="N338">
        <v>48.5</v>
      </c>
      <c r="O338" s="5">
        <v>48.5</v>
      </c>
    </row>
    <row r="339" spans="1:15" x14ac:dyDescent="0.3">
      <c r="A339" t="s">
        <v>422</v>
      </c>
      <c r="B339" t="s">
        <v>38</v>
      </c>
      <c r="C339" s="7">
        <v>45672</v>
      </c>
      <c r="D339" s="7">
        <v>45674</v>
      </c>
      <c r="E339" t="s">
        <v>26</v>
      </c>
      <c r="F339" t="s">
        <v>69</v>
      </c>
      <c r="G339">
        <v>3</v>
      </c>
      <c r="H339" t="s">
        <v>18</v>
      </c>
      <c r="I339" t="s">
        <v>61</v>
      </c>
      <c r="J339">
        <f>orders[[#This Row],[Ship Date]]-orders[[#This Row],[Order Date]]</f>
        <v>2</v>
      </c>
      <c r="K339">
        <f>WEEKNUM(orders[[#This Row],[Order Date]])</f>
        <v>3</v>
      </c>
      <c r="L339" t="str" cm="1">
        <f t="array" ref="L339">_xlfn.IFS(orders[[#This Row],[Customer Gender]]="M","Male", orders[[#This Row],[Customer Gender]]="F","Female", orders[[#This Row],[Customer Gender]]="O","Other", TRUE,"Unknown")</f>
        <v>Female</v>
      </c>
      <c r="M339">
        <v>3</v>
      </c>
      <c r="N339">
        <v>98.9</v>
      </c>
      <c r="O339">
        <v>296.70000000000005</v>
      </c>
    </row>
    <row r="340" spans="1:15" x14ac:dyDescent="0.3">
      <c r="A340" t="s">
        <v>423</v>
      </c>
      <c r="B340" t="s">
        <v>21</v>
      </c>
      <c r="C340" s="7">
        <v>45672</v>
      </c>
      <c r="D340" s="7">
        <v>45672</v>
      </c>
      <c r="E340" t="s">
        <v>22</v>
      </c>
      <c r="F340" t="s">
        <v>69</v>
      </c>
      <c r="G340">
        <v>4</v>
      </c>
      <c r="H340" t="s">
        <v>18</v>
      </c>
      <c r="I340" t="s">
        <v>61</v>
      </c>
      <c r="J340">
        <f>orders[[#This Row],[Ship Date]]-orders[[#This Row],[Order Date]]</f>
        <v>0</v>
      </c>
      <c r="K340">
        <f>WEEKNUM(orders[[#This Row],[Order Date]])</f>
        <v>3</v>
      </c>
      <c r="L340" t="str" cm="1">
        <f t="array" ref="L340">_xlfn.IFS(orders[[#This Row],[Customer Gender]]="M","Male", orders[[#This Row],[Customer Gender]]="F","Female", orders[[#This Row],[Customer Gender]]="O","Other", TRUE,"Unknown")</f>
        <v>Male</v>
      </c>
      <c r="M340">
        <v>12</v>
      </c>
      <c r="N340">
        <v>50.9</v>
      </c>
      <c r="O340" s="5">
        <v>610.79999999999995</v>
      </c>
    </row>
    <row r="341" spans="1:15" x14ac:dyDescent="0.3">
      <c r="A341" t="s">
        <v>424</v>
      </c>
      <c r="B341" t="s">
        <v>68</v>
      </c>
      <c r="C341" s="7">
        <v>45672</v>
      </c>
      <c r="D341" s="7">
        <v>45672</v>
      </c>
      <c r="E341" t="s">
        <v>26</v>
      </c>
      <c r="F341" t="s">
        <v>39</v>
      </c>
      <c r="G341">
        <v>4</v>
      </c>
      <c r="H341" t="s">
        <v>18</v>
      </c>
      <c r="I341" t="s">
        <v>61</v>
      </c>
      <c r="J341">
        <f>orders[[#This Row],[Ship Date]]-orders[[#This Row],[Order Date]]</f>
        <v>0</v>
      </c>
      <c r="K341">
        <f>WEEKNUM(orders[[#This Row],[Order Date]])</f>
        <v>3</v>
      </c>
      <c r="L341" t="str" cm="1">
        <f t="array" ref="L341">_xlfn.IFS(orders[[#This Row],[Customer Gender]]="M","Male", orders[[#This Row],[Customer Gender]]="F","Female", orders[[#This Row],[Customer Gender]]="O","Other", TRUE,"Unknown")</f>
        <v>Female</v>
      </c>
      <c r="M341">
        <v>6</v>
      </c>
      <c r="N341">
        <v>84.7</v>
      </c>
      <c r="O341">
        <v>508.20000000000005</v>
      </c>
    </row>
    <row r="342" spans="1:15" x14ac:dyDescent="0.3">
      <c r="A342" t="s">
        <v>425</v>
      </c>
      <c r="B342" t="s">
        <v>43</v>
      </c>
      <c r="C342" s="7">
        <v>45672</v>
      </c>
      <c r="D342" s="7">
        <v>45674</v>
      </c>
      <c r="E342" t="s">
        <v>26</v>
      </c>
      <c r="F342" t="s">
        <v>50</v>
      </c>
      <c r="G342">
        <v>5</v>
      </c>
      <c r="H342" t="s">
        <v>18</v>
      </c>
      <c r="I342" t="s">
        <v>61</v>
      </c>
      <c r="J342">
        <f>orders[[#This Row],[Ship Date]]-orders[[#This Row],[Order Date]]</f>
        <v>2</v>
      </c>
      <c r="K342">
        <f>WEEKNUM(orders[[#This Row],[Order Date]])</f>
        <v>3</v>
      </c>
      <c r="L342" t="str" cm="1">
        <f t="array" ref="L342">_xlfn.IFS(orders[[#This Row],[Customer Gender]]="M","Male", orders[[#This Row],[Customer Gender]]="F","Female", orders[[#This Row],[Customer Gender]]="O","Other", TRUE,"Unknown")</f>
        <v>Female</v>
      </c>
      <c r="M342">
        <v>1</v>
      </c>
      <c r="N342">
        <v>20.7</v>
      </c>
      <c r="O342" s="5">
        <v>20.7</v>
      </c>
    </row>
    <row r="343" spans="1:15" x14ac:dyDescent="0.3">
      <c r="A343" t="s">
        <v>426</v>
      </c>
      <c r="B343" t="s">
        <v>68</v>
      </c>
      <c r="C343" s="7">
        <v>45672</v>
      </c>
      <c r="D343" s="7">
        <v>45683</v>
      </c>
      <c r="E343" t="s">
        <v>22</v>
      </c>
      <c r="F343" t="s">
        <v>17</v>
      </c>
      <c r="G343">
        <v>2</v>
      </c>
      <c r="H343" t="s">
        <v>18</v>
      </c>
      <c r="I343" t="s">
        <v>102</v>
      </c>
      <c r="J343">
        <f>orders[[#This Row],[Ship Date]]-orders[[#This Row],[Order Date]]</f>
        <v>11</v>
      </c>
      <c r="K343">
        <f>WEEKNUM(orders[[#This Row],[Order Date]])</f>
        <v>3</v>
      </c>
      <c r="L343" t="str" cm="1">
        <f t="array" ref="L343">_xlfn.IFS(orders[[#This Row],[Customer Gender]]="M","Male", orders[[#This Row],[Customer Gender]]="F","Female", orders[[#This Row],[Customer Gender]]="O","Other", TRUE,"Unknown")</f>
        <v>Male</v>
      </c>
      <c r="M343">
        <v>9</v>
      </c>
      <c r="N343">
        <v>57.8</v>
      </c>
      <c r="O343">
        <v>520.19999999999993</v>
      </c>
    </row>
    <row r="344" spans="1:15" x14ac:dyDescent="0.3">
      <c r="A344" t="s">
        <v>427</v>
      </c>
      <c r="B344" t="s">
        <v>25</v>
      </c>
      <c r="C344" s="7">
        <v>45672</v>
      </c>
      <c r="D344" s="7">
        <v>45674</v>
      </c>
      <c r="E344" t="s">
        <v>26</v>
      </c>
      <c r="F344" t="s">
        <v>17</v>
      </c>
      <c r="G344">
        <v>5</v>
      </c>
      <c r="H344" t="s">
        <v>18</v>
      </c>
      <c r="I344" t="s">
        <v>428</v>
      </c>
      <c r="J344">
        <f>orders[[#This Row],[Ship Date]]-orders[[#This Row],[Order Date]]</f>
        <v>2</v>
      </c>
      <c r="K344">
        <f>WEEKNUM(orders[[#This Row],[Order Date]])</f>
        <v>3</v>
      </c>
      <c r="L344" t="str" cm="1">
        <f t="array" ref="L344">_xlfn.IFS(orders[[#This Row],[Customer Gender]]="M","Male", orders[[#This Row],[Customer Gender]]="F","Female", orders[[#This Row],[Customer Gender]]="O","Other", TRUE,"Unknown")</f>
        <v>Female</v>
      </c>
      <c r="M344">
        <v>2</v>
      </c>
      <c r="N344">
        <v>106.9</v>
      </c>
      <c r="O344" s="5">
        <v>213.8</v>
      </c>
    </row>
    <row r="345" spans="1:15" x14ac:dyDescent="0.3">
      <c r="A345" t="s">
        <v>429</v>
      </c>
      <c r="B345" t="s">
        <v>29</v>
      </c>
      <c r="C345" s="7">
        <v>45672</v>
      </c>
      <c r="D345" s="7">
        <v>45676</v>
      </c>
      <c r="E345" t="s">
        <v>26</v>
      </c>
      <c r="F345" t="s">
        <v>34</v>
      </c>
      <c r="G345">
        <v>4</v>
      </c>
      <c r="H345" t="s">
        <v>18</v>
      </c>
      <c r="I345" t="s">
        <v>114</v>
      </c>
      <c r="J345">
        <f>orders[[#This Row],[Ship Date]]-orders[[#This Row],[Order Date]]</f>
        <v>4</v>
      </c>
      <c r="K345">
        <f>WEEKNUM(orders[[#This Row],[Order Date]])</f>
        <v>3</v>
      </c>
      <c r="L345" t="str" cm="1">
        <f t="array" ref="L345">_xlfn.IFS(orders[[#This Row],[Customer Gender]]="M","Male", orders[[#This Row],[Customer Gender]]="F","Female", orders[[#This Row],[Customer Gender]]="O","Other", TRUE,"Unknown")</f>
        <v>Female</v>
      </c>
      <c r="M345">
        <v>5</v>
      </c>
      <c r="N345">
        <v>45.2</v>
      </c>
      <c r="O345">
        <v>226</v>
      </c>
    </row>
    <row r="346" spans="1:15" x14ac:dyDescent="0.3">
      <c r="A346" t="s">
        <v>430</v>
      </c>
      <c r="B346" t="s">
        <v>43</v>
      </c>
      <c r="C346" s="7">
        <v>45672</v>
      </c>
      <c r="D346" s="7">
        <v>45672</v>
      </c>
      <c r="E346" t="s">
        <v>26</v>
      </c>
      <c r="F346" t="s">
        <v>34</v>
      </c>
      <c r="G346">
        <v>3</v>
      </c>
      <c r="H346" t="s">
        <v>18</v>
      </c>
      <c r="I346" t="s">
        <v>114</v>
      </c>
      <c r="J346">
        <f>orders[[#This Row],[Ship Date]]-orders[[#This Row],[Order Date]]</f>
        <v>0</v>
      </c>
      <c r="K346">
        <f>WEEKNUM(orders[[#This Row],[Order Date]])</f>
        <v>3</v>
      </c>
      <c r="L346" t="str" cm="1">
        <f t="array" ref="L346">_xlfn.IFS(orders[[#This Row],[Customer Gender]]="M","Male", orders[[#This Row],[Customer Gender]]="F","Female", orders[[#This Row],[Customer Gender]]="O","Other", TRUE,"Unknown")</f>
        <v>Female</v>
      </c>
      <c r="M346">
        <v>13</v>
      </c>
      <c r="N346">
        <v>34.6</v>
      </c>
      <c r="O346" s="5">
        <v>449.8</v>
      </c>
    </row>
    <row r="347" spans="1:15" x14ac:dyDescent="0.3">
      <c r="A347" t="s">
        <v>431</v>
      </c>
      <c r="B347" t="s">
        <v>122</v>
      </c>
      <c r="C347" s="7">
        <v>45672</v>
      </c>
      <c r="D347" s="7">
        <v>45674</v>
      </c>
      <c r="E347" t="s">
        <v>2517</v>
      </c>
      <c r="F347" t="s">
        <v>17</v>
      </c>
      <c r="G347">
        <v>5</v>
      </c>
      <c r="H347" t="s">
        <v>18</v>
      </c>
      <c r="I347" t="s">
        <v>114</v>
      </c>
      <c r="J347">
        <f>orders[[#This Row],[Ship Date]]-orders[[#This Row],[Order Date]]</f>
        <v>2</v>
      </c>
      <c r="K347">
        <f>WEEKNUM(orders[[#This Row],[Order Date]])</f>
        <v>3</v>
      </c>
      <c r="L347" t="str" cm="1">
        <f t="array" ref="L347">_xlfn.IFS(orders[[#This Row],[Customer Gender]]="M","Male", orders[[#This Row],[Customer Gender]]="F","Female", orders[[#This Row],[Customer Gender]]="O","Other", TRUE,"Unknown")</f>
        <v>Unknown</v>
      </c>
      <c r="M347">
        <v>1</v>
      </c>
      <c r="N347">
        <v>43.8</v>
      </c>
      <c r="O347">
        <v>43.8</v>
      </c>
    </row>
    <row r="348" spans="1:15" x14ac:dyDescent="0.3">
      <c r="A348" t="s">
        <v>432</v>
      </c>
      <c r="B348" t="s">
        <v>122</v>
      </c>
      <c r="C348" s="7">
        <v>45672</v>
      </c>
      <c r="D348" s="7">
        <v>45674</v>
      </c>
      <c r="E348" t="s">
        <v>22</v>
      </c>
      <c r="F348" t="s">
        <v>69</v>
      </c>
      <c r="G348">
        <v>3</v>
      </c>
      <c r="H348" t="s">
        <v>18</v>
      </c>
      <c r="I348" t="s">
        <v>114</v>
      </c>
      <c r="J348">
        <f>orders[[#This Row],[Ship Date]]-orders[[#This Row],[Order Date]]</f>
        <v>2</v>
      </c>
      <c r="K348">
        <f>WEEKNUM(orders[[#This Row],[Order Date]])</f>
        <v>3</v>
      </c>
      <c r="L348" t="str" cm="1">
        <f t="array" ref="L348">_xlfn.IFS(orders[[#This Row],[Customer Gender]]="M","Male", orders[[#This Row],[Customer Gender]]="F","Female", orders[[#This Row],[Customer Gender]]="O","Other", TRUE,"Unknown")</f>
        <v>Male</v>
      </c>
      <c r="M348">
        <v>1</v>
      </c>
      <c r="N348">
        <v>20.399999999999999</v>
      </c>
      <c r="O348" s="5">
        <v>20.399999999999999</v>
      </c>
    </row>
    <row r="349" spans="1:15" x14ac:dyDescent="0.3">
      <c r="A349" t="s">
        <v>433</v>
      </c>
      <c r="B349" t="s">
        <v>21</v>
      </c>
      <c r="C349" s="7">
        <v>45672</v>
      </c>
      <c r="D349" s="7">
        <v>45673</v>
      </c>
      <c r="E349" t="s">
        <v>22</v>
      </c>
      <c r="F349" t="s">
        <v>17</v>
      </c>
      <c r="G349">
        <v>3</v>
      </c>
      <c r="H349" t="s">
        <v>18</v>
      </c>
      <c r="I349" t="s">
        <v>23</v>
      </c>
      <c r="J349">
        <f>orders[[#This Row],[Ship Date]]-orders[[#This Row],[Order Date]]</f>
        <v>1</v>
      </c>
      <c r="K349">
        <f>WEEKNUM(orders[[#This Row],[Order Date]])</f>
        <v>3</v>
      </c>
      <c r="L349" t="str" cm="1">
        <f t="array" ref="L349">_xlfn.IFS(orders[[#This Row],[Customer Gender]]="M","Male", orders[[#This Row],[Customer Gender]]="F","Female", orders[[#This Row],[Customer Gender]]="O","Other", TRUE,"Unknown")</f>
        <v>Male</v>
      </c>
      <c r="M349">
        <v>1</v>
      </c>
      <c r="N349">
        <v>36.700000000000003</v>
      </c>
      <c r="O349">
        <v>36.700000000000003</v>
      </c>
    </row>
    <row r="350" spans="1:15" x14ac:dyDescent="0.3">
      <c r="A350" t="s">
        <v>434</v>
      </c>
      <c r="B350" t="s">
        <v>43</v>
      </c>
      <c r="C350" s="7">
        <v>45672</v>
      </c>
      <c r="D350" s="7">
        <v>45676</v>
      </c>
      <c r="E350" t="s">
        <v>22</v>
      </c>
      <c r="F350" t="s">
        <v>17</v>
      </c>
      <c r="G350">
        <v>5</v>
      </c>
      <c r="H350" t="s">
        <v>18</v>
      </c>
      <c r="I350" t="s">
        <v>23</v>
      </c>
      <c r="J350">
        <f>orders[[#This Row],[Ship Date]]-orders[[#This Row],[Order Date]]</f>
        <v>4</v>
      </c>
      <c r="K350">
        <f>WEEKNUM(orders[[#This Row],[Order Date]])</f>
        <v>3</v>
      </c>
      <c r="L350" t="str" cm="1">
        <f t="array" ref="L350">_xlfn.IFS(orders[[#This Row],[Customer Gender]]="M","Male", orders[[#This Row],[Customer Gender]]="F","Female", orders[[#This Row],[Customer Gender]]="O","Other", TRUE,"Unknown")</f>
        <v>Male</v>
      </c>
      <c r="M350">
        <v>3</v>
      </c>
      <c r="N350">
        <v>27.2</v>
      </c>
      <c r="O350" s="5">
        <v>81.599999999999994</v>
      </c>
    </row>
    <row r="351" spans="1:15" x14ac:dyDescent="0.3">
      <c r="A351" t="s">
        <v>435</v>
      </c>
      <c r="B351" t="s">
        <v>38</v>
      </c>
      <c r="C351" s="7">
        <v>45672</v>
      </c>
      <c r="D351" s="7">
        <v>45673</v>
      </c>
      <c r="E351" t="s">
        <v>26</v>
      </c>
      <c r="F351" t="s">
        <v>17</v>
      </c>
      <c r="G351">
        <v>5</v>
      </c>
      <c r="H351" t="s">
        <v>18</v>
      </c>
      <c r="I351" t="s">
        <v>436</v>
      </c>
      <c r="J351">
        <f>orders[[#This Row],[Ship Date]]-orders[[#This Row],[Order Date]]</f>
        <v>1</v>
      </c>
      <c r="K351">
        <f>WEEKNUM(orders[[#This Row],[Order Date]])</f>
        <v>3</v>
      </c>
      <c r="L351" t="str" cm="1">
        <f t="array" ref="L351">_xlfn.IFS(orders[[#This Row],[Customer Gender]]="M","Male", orders[[#This Row],[Customer Gender]]="F","Female", orders[[#This Row],[Customer Gender]]="O","Other", TRUE,"Unknown")</f>
        <v>Female</v>
      </c>
      <c r="M351">
        <v>1</v>
      </c>
      <c r="N351">
        <v>58.2</v>
      </c>
      <c r="O351">
        <v>58.2</v>
      </c>
    </row>
    <row r="352" spans="1:15" x14ac:dyDescent="0.3">
      <c r="A352" t="s">
        <v>437</v>
      </c>
      <c r="B352" t="s">
        <v>43</v>
      </c>
      <c r="C352" s="7">
        <v>45672</v>
      </c>
      <c r="D352" s="7">
        <v>45673</v>
      </c>
      <c r="E352" t="s">
        <v>22</v>
      </c>
      <c r="F352" t="s">
        <v>69</v>
      </c>
      <c r="G352">
        <v>2</v>
      </c>
      <c r="H352" t="s">
        <v>18</v>
      </c>
      <c r="I352" t="s">
        <v>27</v>
      </c>
      <c r="J352">
        <f>orders[[#This Row],[Ship Date]]-orders[[#This Row],[Order Date]]</f>
        <v>1</v>
      </c>
      <c r="K352">
        <f>WEEKNUM(orders[[#This Row],[Order Date]])</f>
        <v>3</v>
      </c>
      <c r="L352" t="str" cm="1">
        <f t="array" ref="L352">_xlfn.IFS(orders[[#This Row],[Customer Gender]]="M","Male", orders[[#This Row],[Customer Gender]]="F","Female", orders[[#This Row],[Customer Gender]]="O","Other", TRUE,"Unknown")</f>
        <v>Male</v>
      </c>
      <c r="M352">
        <v>3</v>
      </c>
      <c r="N352">
        <v>25.6</v>
      </c>
      <c r="O352" s="5">
        <v>76.800000000000011</v>
      </c>
    </row>
    <row r="353" spans="1:15" x14ac:dyDescent="0.3">
      <c r="A353" t="s">
        <v>438</v>
      </c>
      <c r="B353" t="s">
        <v>53</v>
      </c>
      <c r="C353" s="7">
        <v>45672</v>
      </c>
      <c r="D353" s="7">
        <v>45672</v>
      </c>
      <c r="E353" t="s">
        <v>26</v>
      </c>
      <c r="F353" t="s">
        <v>34</v>
      </c>
      <c r="G353">
        <v>5</v>
      </c>
      <c r="H353" t="s">
        <v>18</v>
      </c>
      <c r="I353" t="s">
        <v>32</v>
      </c>
      <c r="J353">
        <f>orders[[#This Row],[Ship Date]]-orders[[#This Row],[Order Date]]</f>
        <v>0</v>
      </c>
      <c r="K353">
        <f>WEEKNUM(orders[[#This Row],[Order Date]])</f>
        <v>3</v>
      </c>
      <c r="L353" t="str" cm="1">
        <f t="array" ref="L353">_xlfn.IFS(orders[[#This Row],[Customer Gender]]="M","Male", orders[[#This Row],[Customer Gender]]="F","Female", orders[[#This Row],[Customer Gender]]="O","Other", TRUE,"Unknown")</f>
        <v>Female</v>
      </c>
      <c r="M353">
        <v>1</v>
      </c>
      <c r="N353">
        <v>21.2</v>
      </c>
      <c r="O353">
        <v>21.2</v>
      </c>
    </row>
    <row r="354" spans="1:15" x14ac:dyDescent="0.3">
      <c r="A354" t="s">
        <v>439</v>
      </c>
      <c r="B354" t="s">
        <v>38</v>
      </c>
      <c r="C354" s="7">
        <v>45672</v>
      </c>
      <c r="D354" s="7">
        <v>45680</v>
      </c>
      <c r="E354" t="s">
        <v>26</v>
      </c>
      <c r="F354" t="s">
        <v>17</v>
      </c>
      <c r="G354">
        <v>5</v>
      </c>
      <c r="H354" t="s">
        <v>18</v>
      </c>
      <c r="I354" t="s">
        <v>32</v>
      </c>
      <c r="J354">
        <f>orders[[#This Row],[Ship Date]]-orders[[#This Row],[Order Date]]</f>
        <v>8</v>
      </c>
      <c r="K354">
        <f>WEEKNUM(orders[[#This Row],[Order Date]])</f>
        <v>3</v>
      </c>
      <c r="L354" t="str" cm="1">
        <f t="array" ref="L354">_xlfn.IFS(orders[[#This Row],[Customer Gender]]="M","Male", orders[[#This Row],[Customer Gender]]="F","Female", orders[[#This Row],[Customer Gender]]="O","Other", TRUE,"Unknown")</f>
        <v>Female</v>
      </c>
      <c r="M354">
        <v>2</v>
      </c>
      <c r="N354">
        <v>48.2</v>
      </c>
      <c r="O354" s="5">
        <v>96.4</v>
      </c>
    </row>
    <row r="355" spans="1:15" x14ac:dyDescent="0.3">
      <c r="A355" t="s">
        <v>440</v>
      </c>
      <c r="B355" t="s">
        <v>21</v>
      </c>
      <c r="C355" s="7">
        <v>45673</v>
      </c>
      <c r="D355" s="7">
        <v>45674</v>
      </c>
      <c r="E355" t="s">
        <v>22</v>
      </c>
      <c r="F355" t="s">
        <v>17</v>
      </c>
      <c r="G355">
        <v>4</v>
      </c>
      <c r="H355" t="s">
        <v>18</v>
      </c>
      <c r="I355" t="s">
        <v>32</v>
      </c>
      <c r="J355">
        <f>orders[[#This Row],[Ship Date]]-orders[[#This Row],[Order Date]]</f>
        <v>1</v>
      </c>
      <c r="K355">
        <f>WEEKNUM(orders[[#This Row],[Order Date]])</f>
        <v>3</v>
      </c>
      <c r="L355" t="str" cm="1">
        <f t="array" ref="L355">_xlfn.IFS(orders[[#This Row],[Customer Gender]]="M","Male", orders[[#This Row],[Customer Gender]]="F","Female", orders[[#This Row],[Customer Gender]]="O","Other", TRUE,"Unknown")</f>
        <v>Male</v>
      </c>
      <c r="M355">
        <v>4</v>
      </c>
      <c r="N355">
        <v>83.4</v>
      </c>
      <c r="O355">
        <v>333.6</v>
      </c>
    </row>
    <row r="356" spans="1:15" x14ac:dyDescent="0.3">
      <c r="A356" t="s">
        <v>441</v>
      </c>
      <c r="B356" t="s">
        <v>45</v>
      </c>
      <c r="C356" s="7">
        <v>45673</v>
      </c>
      <c r="D356" s="7">
        <v>45679</v>
      </c>
      <c r="E356" t="s">
        <v>22</v>
      </c>
      <c r="F356" t="s">
        <v>39</v>
      </c>
      <c r="G356">
        <v>3</v>
      </c>
      <c r="H356" t="s">
        <v>18</v>
      </c>
      <c r="I356" t="s">
        <v>32</v>
      </c>
      <c r="J356">
        <f>orders[[#This Row],[Ship Date]]-orders[[#This Row],[Order Date]]</f>
        <v>6</v>
      </c>
      <c r="K356">
        <f>WEEKNUM(orders[[#This Row],[Order Date]])</f>
        <v>3</v>
      </c>
      <c r="L356" t="str" cm="1">
        <f t="array" ref="L356">_xlfn.IFS(orders[[#This Row],[Customer Gender]]="M","Male", orders[[#This Row],[Customer Gender]]="F","Female", orders[[#This Row],[Customer Gender]]="O","Other", TRUE,"Unknown")</f>
        <v>Male</v>
      </c>
      <c r="M356">
        <v>3</v>
      </c>
      <c r="N356">
        <v>45.3</v>
      </c>
      <c r="O356" s="5">
        <v>135.89999999999998</v>
      </c>
    </row>
    <row r="357" spans="1:15" x14ac:dyDescent="0.3">
      <c r="A357" t="s">
        <v>442</v>
      </c>
      <c r="B357" t="s">
        <v>134</v>
      </c>
      <c r="C357" s="7">
        <v>45673</v>
      </c>
      <c r="D357" s="7">
        <v>45674</v>
      </c>
      <c r="E357" t="s">
        <v>2517</v>
      </c>
      <c r="F357" t="s">
        <v>17</v>
      </c>
      <c r="G357">
        <v>4</v>
      </c>
      <c r="H357" t="s">
        <v>18</v>
      </c>
      <c r="I357" t="s">
        <v>32</v>
      </c>
      <c r="J357">
        <f>orders[[#This Row],[Ship Date]]-orders[[#This Row],[Order Date]]</f>
        <v>1</v>
      </c>
      <c r="K357">
        <f>WEEKNUM(orders[[#This Row],[Order Date]])</f>
        <v>3</v>
      </c>
      <c r="L357" t="str" cm="1">
        <f t="array" ref="L357">_xlfn.IFS(orders[[#This Row],[Customer Gender]]="M","Male", orders[[#This Row],[Customer Gender]]="F","Female", orders[[#This Row],[Customer Gender]]="O","Other", TRUE,"Unknown")</f>
        <v>Unknown</v>
      </c>
      <c r="M357">
        <v>1</v>
      </c>
      <c r="N357">
        <v>42</v>
      </c>
      <c r="O357">
        <v>42</v>
      </c>
    </row>
    <row r="358" spans="1:15" x14ac:dyDescent="0.3">
      <c r="A358" t="s">
        <v>443</v>
      </c>
      <c r="B358" t="s">
        <v>16</v>
      </c>
      <c r="C358" s="7">
        <v>45673</v>
      </c>
      <c r="D358" s="7">
        <v>45675</v>
      </c>
      <c r="E358" t="s">
        <v>26</v>
      </c>
      <c r="F358" t="s">
        <v>34</v>
      </c>
      <c r="G358">
        <v>4</v>
      </c>
      <c r="H358" t="s">
        <v>18</v>
      </c>
      <c r="I358" t="s">
        <v>32</v>
      </c>
      <c r="J358">
        <f>orders[[#This Row],[Ship Date]]-orders[[#This Row],[Order Date]]</f>
        <v>2</v>
      </c>
      <c r="K358">
        <f>WEEKNUM(orders[[#This Row],[Order Date]])</f>
        <v>3</v>
      </c>
      <c r="L358" t="str" cm="1">
        <f t="array" ref="L358">_xlfn.IFS(orders[[#This Row],[Customer Gender]]="M","Male", orders[[#This Row],[Customer Gender]]="F","Female", orders[[#This Row],[Customer Gender]]="O","Other", TRUE,"Unknown")</f>
        <v>Female</v>
      </c>
      <c r="M358">
        <v>9</v>
      </c>
      <c r="N358">
        <v>21.8</v>
      </c>
      <c r="O358" s="5">
        <v>196.20000000000002</v>
      </c>
    </row>
    <row r="359" spans="1:15" x14ac:dyDescent="0.3">
      <c r="A359" t="s">
        <v>444</v>
      </c>
      <c r="B359" t="s">
        <v>43</v>
      </c>
      <c r="C359" s="7">
        <v>45673</v>
      </c>
      <c r="D359" s="7">
        <v>45676</v>
      </c>
      <c r="E359" t="s">
        <v>26</v>
      </c>
      <c r="F359" t="s">
        <v>34</v>
      </c>
      <c r="G359">
        <v>5</v>
      </c>
      <c r="H359" t="s">
        <v>18</v>
      </c>
      <c r="I359" t="s">
        <v>32</v>
      </c>
      <c r="J359">
        <f>orders[[#This Row],[Ship Date]]-orders[[#This Row],[Order Date]]</f>
        <v>3</v>
      </c>
      <c r="K359">
        <f>WEEKNUM(orders[[#This Row],[Order Date]])</f>
        <v>3</v>
      </c>
      <c r="L359" t="str" cm="1">
        <f t="array" ref="L359">_xlfn.IFS(orders[[#This Row],[Customer Gender]]="M","Male", orders[[#This Row],[Customer Gender]]="F","Female", orders[[#This Row],[Customer Gender]]="O","Other", TRUE,"Unknown")</f>
        <v>Female</v>
      </c>
      <c r="M359">
        <v>18</v>
      </c>
      <c r="N359">
        <v>21.4</v>
      </c>
      <c r="O359">
        <v>385.2</v>
      </c>
    </row>
    <row r="360" spans="1:15" x14ac:dyDescent="0.3">
      <c r="A360" t="s">
        <v>445</v>
      </c>
      <c r="B360" t="s">
        <v>53</v>
      </c>
      <c r="C360" s="7">
        <v>45673</v>
      </c>
      <c r="D360" s="7">
        <v>45673</v>
      </c>
      <c r="E360" t="s">
        <v>26</v>
      </c>
      <c r="F360" t="s">
        <v>34</v>
      </c>
      <c r="G360">
        <v>5</v>
      </c>
      <c r="H360" t="s">
        <v>18</v>
      </c>
      <c r="I360" t="s">
        <v>32</v>
      </c>
      <c r="J360">
        <f>orders[[#This Row],[Ship Date]]-orders[[#This Row],[Order Date]]</f>
        <v>0</v>
      </c>
      <c r="K360">
        <f>WEEKNUM(orders[[#This Row],[Order Date]])</f>
        <v>3</v>
      </c>
      <c r="L360" t="str" cm="1">
        <f t="array" ref="L360">_xlfn.IFS(orders[[#This Row],[Customer Gender]]="M","Male", orders[[#This Row],[Customer Gender]]="F","Female", orders[[#This Row],[Customer Gender]]="O","Other", TRUE,"Unknown")</f>
        <v>Female</v>
      </c>
      <c r="M360">
        <v>3</v>
      </c>
      <c r="N360">
        <v>45</v>
      </c>
      <c r="O360" s="5">
        <v>135</v>
      </c>
    </row>
    <row r="361" spans="1:15" x14ac:dyDescent="0.3">
      <c r="A361" t="s">
        <v>446</v>
      </c>
      <c r="B361" t="s">
        <v>80</v>
      </c>
      <c r="C361" s="7">
        <v>45673</v>
      </c>
      <c r="D361" s="7">
        <v>45674</v>
      </c>
      <c r="E361" t="s">
        <v>22</v>
      </c>
      <c r="F361" t="s">
        <v>17</v>
      </c>
      <c r="G361">
        <v>5</v>
      </c>
      <c r="H361" t="s">
        <v>18</v>
      </c>
      <c r="I361" t="s">
        <v>32</v>
      </c>
      <c r="J361">
        <f>orders[[#This Row],[Ship Date]]-orders[[#This Row],[Order Date]]</f>
        <v>1</v>
      </c>
      <c r="K361">
        <f>WEEKNUM(orders[[#This Row],[Order Date]])</f>
        <v>3</v>
      </c>
      <c r="L361" t="str" cm="1">
        <f t="array" ref="L361">_xlfn.IFS(orders[[#This Row],[Customer Gender]]="M","Male", orders[[#This Row],[Customer Gender]]="F","Female", orders[[#This Row],[Customer Gender]]="O","Other", TRUE,"Unknown")</f>
        <v>Male</v>
      </c>
      <c r="M361">
        <v>1</v>
      </c>
      <c r="N361">
        <v>39.6</v>
      </c>
      <c r="O361">
        <v>39.6</v>
      </c>
    </row>
    <row r="362" spans="1:15" x14ac:dyDescent="0.3">
      <c r="A362" t="s">
        <v>447</v>
      </c>
      <c r="B362" t="s">
        <v>68</v>
      </c>
      <c r="C362" s="7">
        <v>45673</v>
      </c>
      <c r="D362" s="7">
        <v>45679</v>
      </c>
      <c r="E362" t="s">
        <v>26</v>
      </c>
      <c r="F362" t="s">
        <v>34</v>
      </c>
      <c r="G362">
        <v>2</v>
      </c>
      <c r="H362" t="s">
        <v>18</v>
      </c>
      <c r="I362" t="s">
        <v>32</v>
      </c>
      <c r="J362">
        <f>orders[[#This Row],[Ship Date]]-orders[[#This Row],[Order Date]]</f>
        <v>6</v>
      </c>
      <c r="K362">
        <f>WEEKNUM(orders[[#This Row],[Order Date]])</f>
        <v>3</v>
      </c>
      <c r="L362" t="str" cm="1">
        <f t="array" ref="L362">_xlfn.IFS(orders[[#This Row],[Customer Gender]]="M","Male", orders[[#This Row],[Customer Gender]]="F","Female", orders[[#This Row],[Customer Gender]]="O","Other", TRUE,"Unknown")</f>
        <v>Female</v>
      </c>
      <c r="M362">
        <v>3</v>
      </c>
      <c r="N362">
        <v>79.8</v>
      </c>
      <c r="O362" s="5">
        <v>239.39999999999998</v>
      </c>
    </row>
    <row r="363" spans="1:15" x14ac:dyDescent="0.3">
      <c r="A363" t="s">
        <v>448</v>
      </c>
      <c r="B363" t="s">
        <v>21</v>
      </c>
      <c r="C363" s="7">
        <v>45673</v>
      </c>
      <c r="D363" s="7">
        <v>45674</v>
      </c>
      <c r="E363" t="s">
        <v>88</v>
      </c>
      <c r="F363" t="s">
        <v>17</v>
      </c>
      <c r="G363">
        <v>5</v>
      </c>
      <c r="H363" t="s">
        <v>18</v>
      </c>
      <c r="I363" t="s">
        <v>185</v>
      </c>
      <c r="J363">
        <f>orders[[#This Row],[Ship Date]]-orders[[#This Row],[Order Date]]</f>
        <v>1</v>
      </c>
      <c r="K363">
        <f>WEEKNUM(orders[[#This Row],[Order Date]])</f>
        <v>3</v>
      </c>
      <c r="L363" t="str" cm="1">
        <f t="array" ref="L363">_xlfn.IFS(orders[[#This Row],[Customer Gender]]="M","Male", orders[[#This Row],[Customer Gender]]="F","Female", orders[[#This Row],[Customer Gender]]="O","Other", TRUE,"Unknown")</f>
        <v>Other</v>
      </c>
      <c r="M363">
        <v>4</v>
      </c>
      <c r="N363">
        <v>63.6</v>
      </c>
      <c r="O363">
        <v>254.4</v>
      </c>
    </row>
    <row r="364" spans="1:15" x14ac:dyDescent="0.3">
      <c r="A364" t="s">
        <v>449</v>
      </c>
      <c r="B364" t="s">
        <v>41</v>
      </c>
      <c r="C364" s="7">
        <v>45673</v>
      </c>
      <c r="D364" s="7">
        <v>45677</v>
      </c>
      <c r="E364" t="s">
        <v>22</v>
      </c>
      <c r="F364" t="s">
        <v>34</v>
      </c>
      <c r="G364">
        <v>5</v>
      </c>
      <c r="H364" t="s">
        <v>18</v>
      </c>
      <c r="I364" t="s">
        <v>54</v>
      </c>
      <c r="J364">
        <f>orders[[#This Row],[Ship Date]]-orders[[#This Row],[Order Date]]</f>
        <v>4</v>
      </c>
      <c r="K364">
        <f>WEEKNUM(orders[[#This Row],[Order Date]])</f>
        <v>3</v>
      </c>
      <c r="L364" t="str" cm="1">
        <f t="array" ref="L364">_xlfn.IFS(orders[[#This Row],[Customer Gender]]="M","Male", orders[[#This Row],[Customer Gender]]="F","Female", orders[[#This Row],[Customer Gender]]="O","Other", TRUE,"Unknown")</f>
        <v>Male</v>
      </c>
      <c r="M364">
        <v>10</v>
      </c>
      <c r="N364">
        <v>92.7</v>
      </c>
      <c r="O364" s="5">
        <v>927</v>
      </c>
    </row>
    <row r="365" spans="1:15" x14ac:dyDescent="0.3">
      <c r="A365" t="s">
        <v>450</v>
      </c>
      <c r="B365" t="s">
        <v>21</v>
      </c>
      <c r="C365" s="7">
        <v>45673</v>
      </c>
      <c r="D365" s="7">
        <v>45675</v>
      </c>
      <c r="E365" t="s">
        <v>26</v>
      </c>
      <c r="F365" t="s">
        <v>34</v>
      </c>
      <c r="G365">
        <v>5</v>
      </c>
      <c r="H365" t="s">
        <v>18</v>
      </c>
      <c r="I365" t="s">
        <v>54</v>
      </c>
      <c r="J365">
        <f>orders[[#This Row],[Ship Date]]-orders[[#This Row],[Order Date]]</f>
        <v>2</v>
      </c>
      <c r="K365">
        <f>WEEKNUM(orders[[#This Row],[Order Date]])</f>
        <v>3</v>
      </c>
      <c r="L365" t="str" cm="1">
        <f t="array" ref="L365">_xlfn.IFS(orders[[#This Row],[Customer Gender]]="M","Male", orders[[#This Row],[Customer Gender]]="F","Female", orders[[#This Row],[Customer Gender]]="O","Other", TRUE,"Unknown")</f>
        <v>Female</v>
      </c>
      <c r="M365">
        <v>4</v>
      </c>
      <c r="N365">
        <v>48.4</v>
      </c>
      <c r="O365">
        <v>193.6</v>
      </c>
    </row>
    <row r="366" spans="1:15" x14ac:dyDescent="0.3">
      <c r="A366" t="s">
        <v>451</v>
      </c>
      <c r="B366" t="s">
        <v>45</v>
      </c>
      <c r="C366" s="7">
        <v>45673</v>
      </c>
      <c r="D366" s="7">
        <v>45676</v>
      </c>
      <c r="E366" t="s">
        <v>22</v>
      </c>
      <c r="F366" t="s">
        <v>39</v>
      </c>
      <c r="G366">
        <v>5</v>
      </c>
      <c r="H366" t="s">
        <v>18</v>
      </c>
      <c r="I366" t="s">
        <v>61</v>
      </c>
      <c r="J366">
        <f>orders[[#This Row],[Ship Date]]-orders[[#This Row],[Order Date]]</f>
        <v>3</v>
      </c>
      <c r="K366">
        <f>WEEKNUM(orders[[#This Row],[Order Date]])</f>
        <v>3</v>
      </c>
      <c r="L366" t="str" cm="1">
        <f t="array" ref="L366">_xlfn.IFS(orders[[#This Row],[Customer Gender]]="M","Male", orders[[#This Row],[Customer Gender]]="F","Female", orders[[#This Row],[Customer Gender]]="O","Other", TRUE,"Unknown")</f>
        <v>Male</v>
      </c>
      <c r="M366">
        <v>8</v>
      </c>
      <c r="N366">
        <v>36</v>
      </c>
      <c r="O366" s="5">
        <v>288</v>
      </c>
    </row>
    <row r="367" spans="1:15" x14ac:dyDescent="0.3">
      <c r="A367" t="s">
        <v>452</v>
      </c>
      <c r="B367" t="s">
        <v>43</v>
      </c>
      <c r="C367" s="7">
        <v>45673</v>
      </c>
      <c r="D367" s="7">
        <v>45675</v>
      </c>
      <c r="E367" t="s">
        <v>26</v>
      </c>
      <c r="F367" t="s">
        <v>39</v>
      </c>
      <c r="G367">
        <v>3</v>
      </c>
      <c r="H367" t="s">
        <v>18</v>
      </c>
      <c r="I367" t="s">
        <v>61</v>
      </c>
      <c r="J367">
        <f>orders[[#This Row],[Ship Date]]-orders[[#This Row],[Order Date]]</f>
        <v>2</v>
      </c>
      <c r="K367">
        <f>WEEKNUM(orders[[#This Row],[Order Date]])</f>
        <v>3</v>
      </c>
      <c r="L367" t="str" cm="1">
        <f t="array" ref="L367">_xlfn.IFS(orders[[#This Row],[Customer Gender]]="M","Male", orders[[#This Row],[Customer Gender]]="F","Female", orders[[#This Row],[Customer Gender]]="O","Other", TRUE,"Unknown")</f>
        <v>Female</v>
      </c>
      <c r="M367">
        <v>12</v>
      </c>
      <c r="N367">
        <v>27</v>
      </c>
      <c r="O367">
        <v>324</v>
      </c>
    </row>
    <row r="368" spans="1:15" x14ac:dyDescent="0.3">
      <c r="A368" t="s">
        <v>453</v>
      </c>
      <c r="B368" t="s">
        <v>25</v>
      </c>
      <c r="C368" s="7">
        <v>45673</v>
      </c>
      <c r="D368" s="7">
        <v>45674</v>
      </c>
      <c r="E368" t="s">
        <v>2517</v>
      </c>
      <c r="F368" t="s">
        <v>17</v>
      </c>
      <c r="G368">
        <v>4</v>
      </c>
      <c r="H368" t="s">
        <v>18</v>
      </c>
      <c r="I368" t="s">
        <v>61</v>
      </c>
      <c r="J368">
        <f>orders[[#This Row],[Ship Date]]-orders[[#This Row],[Order Date]]</f>
        <v>1</v>
      </c>
      <c r="K368">
        <f>WEEKNUM(orders[[#This Row],[Order Date]])</f>
        <v>3</v>
      </c>
      <c r="L368" t="str" cm="1">
        <f t="array" ref="L368">_xlfn.IFS(orders[[#This Row],[Customer Gender]]="M","Male", orders[[#This Row],[Customer Gender]]="F","Female", orders[[#This Row],[Customer Gender]]="O","Other", TRUE,"Unknown")</f>
        <v>Unknown</v>
      </c>
      <c r="M368">
        <v>8</v>
      </c>
      <c r="N368">
        <v>53.9</v>
      </c>
      <c r="O368" s="5">
        <v>431.2</v>
      </c>
    </row>
    <row r="369" spans="1:15" x14ac:dyDescent="0.3">
      <c r="A369" t="s">
        <v>454</v>
      </c>
      <c r="B369" t="s">
        <v>29</v>
      </c>
      <c r="C369" s="7">
        <v>45673</v>
      </c>
      <c r="D369" s="7">
        <v>45674</v>
      </c>
      <c r="E369" t="s">
        <v>26</v>
      </c>
      <c r="F369" t="s">
        <v>34</v>
      </c>
      <c r="G369">
        <v>4</v>
      </c>
      <c r="H369" t="s">
        <v>18</v>
      </c>
      <c r="I369" t="s">
        <v>71</v>
      </c>
      <c r="J369">
        <f>orders[[#This Row],[Ship Date]]-orders[[#This Row],[Order Date]]</f>
        <v>1</v>
      </c>
      <c r="K369">
        <f>WEEKNUM(orders[[#This Row],[Order Date]])</f>
        <v>3</v>
      </c>
      <c r="L369" t="str" cm="1">
        <f t="array" ref="L369">_xlfn.IFS(orders[[#This Row],[Customer Gender]]="M","Male", orders[[#This Row],[Customer Gender]]="F","Female", orders[[#This Row],[Customer Gender]]="O","Other", TRUE,"Unknown")</f>
        <v>Female</v>
      </c>
      <c r="M369">
        <v>9</v>
      </c>
      <c r="N369">
        <v>48.4</v>
      </c>
      <c r="O369">
        <v>435.59999999999997</v>
      </c>
    </row>
    <row r="370" spans="1:15" x14ac:dyDescent="0.3">
      <c r="A370" t="s">
        <v>455</v>
      </c>
      <c r="B370" t="s">
        <v>134</v>
      </c>
      <c r="C370" s="7">
        <v>45673</v>
      </c>
      <c r="D370" s="7">
        <v>45678</v>
      </c>
      <c r="E370" t="s">
        <v>22</v>
      </c>
      <c r="F370" t="s">
        <v>69</v>
      </c>
      <c r="G370">
        <v>2</v>
      </c>
      <c r="H370" t="s">
        <v>18</v>
      </c>
      <c r="I370" t="s">
        <v>73</v>
      </c>
      <c r="J370">
        <f>orders[[#This Row],[Ship Date]]-orders[[#This Row],[Order Date]]</f>
        <v>5</v>
      </c>
      <c r="K370">
        <f>WEEKNUM(orders[[#This Row],[Order Date]])</f>
        <v>3</v>
      </c>
      <c r="L370" t="str" cm="1">
        <f t="array" ref="L370">_xlfn.IFS(orders[[#This Row],[Customer Gender]]="M","Male", orders[[#This Row],[Customer Gender]]="F","Female", orders[[#This Row],[Customer Gender]]="O","Other", TRUE,"Unknown")</f>
        <v>Male</v>
      </c>
      <c r="M370">
        <v>2</v>
      </c>
      <c r="N370">
        <v>49.9</v>
      </c>
      <c r="O370" s="5">
        <v>99.8</v>
      </c>
    </row>
    <row r="371" spans="1:15" x14ac:dyDescent="0.3">
      <c r="A371" t="s">
        <v>456</v>
      </c>
      <c r="B371" t="s">
        <v>21</v>
      </c>
      <c r="C371" s="7">
        <v>45673</v>
      </c>
      <c r="D371" s="7">
        <v>45674</v>
      </c>
      <c r="E371" t="s">
        <v>26</v>
      </c>
      <c r="F371" t="s">
        <v>17</v>
      </c>
      <c r="G371">
        <v>5</v>
      </c>
      <c r="H371" t="s">
        <v>18</v>
      </c>
      <c r="I371" t="s">
        <v>76</v>
      </c>
      <c r="J371">
        <f>orders[[#This Row],[Ship Date]]-orders[[#This Row],[Order Date]]</f>
        <v>1</v>
      </c>
      <c r="K371">
        <f>WEEKNUM(orders[[#This Row],[Order Date]])</f>
        <v>3</v>
      </c>
      <c r="L371" t="str" cm="1">
        <f t="array" ref="L371">_xlfn.IFS(orders[[#This Row],[Customer Gender]]="M","Male", orders[[#This Row],[Customer Gender]]="F","Female", orders[[#This Row],[Customer Gender]]="O","Other", TRUE,"Unknown")</f>
        <v>Female</v>
      </c>
      <c r="M371">
        <v>3</v>
      </c>
      <c r="N371">
        <v>51.7</v>
      </c>
      <c r="O371">
        <v>155.10000000000002</v>
      </c>
    </row>
    <row r="372" spans="1:15" x14ac:dyDescent="0.3">
      <c r="A372" t="s">
        <v>457</v>
      </c>
      <c r="B372" t="s">
        <v>43</v>
      </c>
      <c r="C372" s="7">
        <v>45673</v>
      </c>
      <c r="D372" s="7">
        <v>45675</v>
      </c>
      <c r="E372" t="s">
        <v>26</v>
      </c>
      <c r="F372" t="s">
        <v>39</v>
      </c>
      <c r="G372">
        <v>4</v>
      </c>
      <c r="H372" t="s">
        <v>18</v>
      </c>
      <c r="I372" t="s">
        <v>107</v>
      </c>
      <c r="J372">
        <f>orders[[#This Row],[Ship Date]]-orders[[#This Row],[Order Date]]</f>
        <v>2</v>
      </c>
      <c r="K372">
        <f>WEEKNUM(orders[[#This Row],[Order Date]])</f>
        <v>3</v>
      </c>
      <c r="L372" t="str" cm="1">
        <f t="array" ref="L372">_xlfn.IFS(orders[[#This Row],[Customer Gender]]="M","Male", orders[[#This Row],[Customer Gender]]="F","Female", orders[[#This Row],[Customer Gender]]="O","Other", TRUE,"Unknown")</f>
        <v>Female</v>
      </c>
      <c r="M372">
        <v>3</v>
      </c>
      <c r="N372">
        <v>41.8</v>
      </c>
      <c r="O372" s="5">
        <v>125.39999999999999</v>
      </c>
    </row>
    <row r="373" spans="1:15" x14ac:dyDescent="0.3">
      <c r="A373" t="s">
        <v>458</v>
      </c>
      <c r="B373" t="s">
        <v>31</v>
      </c>
      <c r="C373" s="7">
        <v>45674</v>
      </c>
      <c r="D373" s="7">
        <v>45675</v>
      </c>
      <c r="E373" t="s">
        <v>22</v>
      </c>
      <c r="F373" t="s">
        <v>39</v>
      </c>
      <c r="G373">
        <v>5</v>
      </c>
      <c r="H373" t="s">
        <v>18</v>
      </c>
      <c r="I373" t="s">
        <v>114</v>
      </c>
      <c r="J373">
        <f>orders[[#This Row],[Ship Date]]-orders[[#This Row],[Order Date]]</f>
        <v>1</v>
      </c>
      <c r="K373">
        <f>WEEKNUM(orders[[#This Row],[Order Date]])</f>
        <v>3</v>
      </c>
      <c r="L373" t="str" cm="1">
        <f t="array" ref="L373">_xlfn.IFS(orders[[#This Row],[Customer Gender]]="M","Male", orders[[#This Row],[Customer Gender]]="F","Female", orders[[#This Row],[Customer Gender]]="O","Other", TRUE,"Unknown")</f>
        <v>Male</v>
      </c>
      <c r="M373">
        <v>4</v>
      </c>
      <c r="N373">
        <v>36.200000000000003</v>
      </c>
      <c r="O373">
        <v>144.80000000000001</v>
      </c>
    </row>
    <row r="374" spans="1:15" x14ac:dyDescent="0.3">
      <c r="A374" t="s">
        <v>459</v>
      </c>
      <c r="B374" t="s">
        <v>25</v>
      </c>
      <c r="C374" s="7">
        <v>45674</v>
      </c>
      <c r="D374" s="7">
        <v>45684</v>
      </c>
      <c r="E374" t="s">
        <v>22</v>
      </c>
      <c r="F374" t="s">
        <v>17</v>
      </c>
      <c r="G374">
        <v>4</v>
      </c>
      <c r="H374" t="s">
        <v>18</v>
      </c>
      <c r="I374" t="s">
        <v>23</v>
      </c>
      <c r="J374">
        <f>orders[[#This Row],[Ship Date]]-orders[[#This Row],[Order Date]]</f>
        <v>10</v>
      </c>
      <c r="K374">
        <f>WEEKNUM(orders[[#This Row],[Order Date]])</f>
        <v>3</v>
      </c>
      <c r="L374" t="str" cm="1">
        <f t="array" ref="L374">_xlfn.IFS(orders[[#This Row],[Customer Gender]]="M","Male", orders[[#This Row],[Customer Gender]]="F","Female", orders[[#This Row],[Customer Gender]]="O","Other", TRUE,"Unknown")</f>
        <v>Male</v>
      </c>
      <c r="M374">
        <v>1</v>
      </c>
      <c r="N374">
        <v>150.9</v>
      </c>
      <c r="O374" s="5">
        <v>150.9</v>
      </c>
    </row>
    <row r="375" spans="1:15" x14ac:dyDescent="0.3">
      <c r="A375" t="s">
        <v>460</v>
      </c>
      <c r="B375" t="s">
        <v>145</v>
      </c>
      <c r="C375" s="7">
        <v>45674</v>
      </c>
      <c r="D375" s="7">
        <v>45675</v>
      </c>
      <c r="E375" t="s">
        <v>2517</v>
      </c>
      <c r="F375" t="s">
        <v>39</v>
      </c>
      <c r="G375">
        <v>4</v>
      </c>
      <c r="H375" t="s">
        <v>18</v>
      </c>
      <c r="I375" t="s">
        <v>32</v>
      </c>
      <c r="J375">
        <f>orders[[#This Row],[Ship Date]]-orders[[#This Row],[Order Date]]</f>
        <v>1</v>
      </c>
      <c r="K375">
        <f>WEEKNUM(orders[[#This Row],[Order Date]])</f>
        <v>3</v>
      </c>
      <c r="L375" t="str" cm="1">
        <f t="array" ref="L375">_xlfn.IFS(orders[[#This Row],[Customer Gender]]="M","Male", orders[[#This Row],[Customer Gender]]="F","Female", orders[[#This Row],[Customer Gender]]="O","Other", TRUE,"Unknown")</f>
        <v>Unknown</v>
      </c>
      <c r="M375">
        <v>4</v>
      </c>
      <c r="N375">
        <v>77.599999999999994</v>
      </c>
      <c r="O375">
        <v>310.39999999999998</v>
      </c>
    </row>
    <row r="376" spans="1:15" x14ac:dyDescent="0.3">
      <c r="A376" t="s">
        <v>461</v>
      </c>
      <c r="B376" t="s">
        <v>75</v>
      </c>
      <c r="C376" s="7">
        <v>45674</v>
      </c>
      <c r="D376" s="7">
        <v>45674</v>
      </c>
      <c r="E376" t="s">
        <v>22</v>
      </c>
      <c r="F376" t="s">
        <v>34</v>
      </c>
      <c r="G376">
        <v>4</v>
      </c>
      <c r="H376" t="s">
        <v>18</v>
      </c>
      <c r="I376" t="s">
        <v>32</v>
      </c>
      <c r="J376">
        <f>orders[[#This Row],[Ship Date]]-orders[[#This Row],[Order Date]]</f>
        <v>0</v>
      </c>
      <c r="K376">
        <f>WEEKNUM(orders[[#This Row],[Order Date]])</f>
        <v>3</v>
      </c>
      <c r="L376" t="str" cm="1">
        <f t="array" ref="L376">_xlfn.IFS(orders[[#This Row],[Customer Gender]]="M","Male", orders[[#This Row],[Customer Gender]]="F","Female", orders[[#This Row],[Customer Gender]]="O","Other", TRUE,"Unknown")</f>
        <v>Male</v>
      </c>
      <c r="M376">
        <v>5</v>
      </c>
      <c r="N376">
        <v>65.5</v>
      </c>
      <c r="O376" s="5">
        <v>327.5</v>
      </c>
    </row>
    <row r="377" spans="1:15" x14ac:dyDescent="0.3">
      <c r="A377" t="s">
        <v>462</v>
      </c>
      <c r="B377" t="s">
        <v>38</v>
      </c>
      <c r="C377" s="7">
        <v>45674</v>
      </c>
      <c r="D377" s="7">
        <v>45676</v>
      </c>
      <c r="E377" t="s">
        <v>26</v>
      </c>
      <c r="F377" t="s">
        <v>17</v>
      </c>
      <c r="G377">
        <v>4</v>
      </c>
      <c r="H377" t="s">
        <v>18</v>
      </c>
      <c r="I377" t="s">
        <v>32</v>
      </c>
      <c r="J377">
        <f>orders[[#This Row],[Ship Date]]-orders[[#This Row],[Order Date]]</f>
        <v>2</v>
      </c>
      <c r="K377">
        <f>WEEKNUM(orders[[#This Row],[Order Date]])</f>
        <v>3</v>
      </c>
      <c r="L377" t="str" cm="1">
        <f t="array" ref="L377">_xlfn.IFS(orders[[#This Row],[Customer Gender]]="M","Male", orders[[#This Row],[Customer Gender]]="F","Female", orders[[#This Row],[Customer Gender]]="O","Other", TRUE,"Unknown")</f>
        <v>Female</v>
      </c>
      <c r="M377">
        <v>3</v>
      </c>
      <c r="N377">
        <v>90.1</v>
      </c>
      <c r="O377">
        <v>270.29999999999995</v>
      </c>
    </row>
    <row r="378" spans="1:15" x14ac:dyDescent="0.3">
      <c r="A378" t="s">
        <v>463</v>
      </c>
      <c r="B378" t="s">
        <v>21</v>
      </c>
      <c r="C378" s="7">
        <v>45674</v>
      </c>
      <c r="D378" s="7">
        <v>45677</v>
      </c>
      <c r="E378" t="s">
        <v>88</v>
      </c>
      <c r="F378" t="s">
        <v>69</v>
      </c>
      <c r="G378">
        <v>4</v>
      </c>
      <c r="H378" t="s">
        <v>18</v>
      </c>
      <c r="I378" t="s">
        <v>32</v>
      </c>
      <c r="J378">
        <f>orders[[#This Row],[Ship Date]]-orders[[#This Row],[Order Date]]</f>
        <v>3</v>
      </c>
      <c r="K378">
        <f>WEEKNUM(orders[[#This Row],[Order Date]])</f>
        <v>3</v>
      </c>
      <c r="L378" t="str" cm="1">
        <f t="array" ref="L378">_xlfn.IFS(orders[[#This Row],[Customer Gender]]="M","Male", orders[[#This Row],[Customer Gender]]="F","Female", orders[[#This Row],[Customer Gender]]="O","Other", TRUE,"Unknown")</f>
        <v>Other</v>
      </c>
      <c r="M378">
        <v>2</v>
      </c>
      <c r="N378">
        <v>108.3</v>
      </c>
      <c r="O378" s="5">
        <v>216.6</v>
      </c>
    </row>
    <row r="379" spans="1:15" x14ac:dyDescent="0.3">
      <c r="A379" t="s">
        <v>464</v>
      </c>
      <c r="B379" t="s">
        <v>36</v>
      </c>
      <c r="C379" s="7">
        <v>45674</v>
      </c>
      <c r="D379" s="7">
        <v>45678</v>
      </c>
      <c r="E379" t="s">
        <v>26</v>
      </c>
      <c r="F379" t="s">
        <v>17</v>
      </c>
      <c r="G379">
        <v>4</v>
      </c>
      <c r="H379" t="s">
        <v>18</v>
      </c>
      <c r="I379" t="s">
        <v>32</v>
      </c>
      <c r="J379">
        <f>orders[[#This Row],[Ship Date]]-orders[[#This Row],[Order Date]]</f>
        <v>4</v>
      </c>
      <c r="K379">
        <f>WEEKNUM(orders[[#This Row],[Order Date]])</f>
        <v>3</v>
      </c>
      <c r="L379" t="str" cm="1">
        <f t="array" ref="L379">_xlfn.IFS(orders[[#This Row],[Customer Gender]]="M","Male", orders[[#This Row],[Customer Gender]]="F","Female", orders[[#This Row],[Customer Gender]]="O","Other", TRUE,"Unknown")</f>
        <v>Female</v>
      </c>
      <c r="M379">
        <v>3</v>
      </c>
      <c r="N379">
        <v>59.9</v>
      </c>
      <c r="O379">
        <v>179.7</v>
      </c>
    </row>
    <row r="380" spans="1:15" x14ac:dyDescent="0.3">
      <c r="A380" t="s">
        <v>465</v>
      </c>
      <c r="B380" t="s">
        <v>25</v>
      </c>
      <c r="C380" s="7">
        <v>45674</v>
      </c>
      <c r="D380" s="7">
        <v>45676</v>
      </c>
      <c r="E380" t="s">
        <v>26</v>
      </c>
      <c r="F380" t="s">
        <v>34</v>
      </c>
      <c r="G380">
        <v>2</v>
      </c>
      <c r="H380" t="s">
        <v>18</v>
      </c>
      <c r="I380" t="s">
        <v>32</v>
      </c>
      <c r="J380">
        <f>orders[[#This Row],[Ship Date]]-orders[[#This Row],[Order Date]]</f>
        <v>2</v>
      </c>
      <c r="K380">
        <f>WEEKNUM(orders[[#This Row],[Order Date]])</f>
        <v>3</v>
      </c>
      <c r="L380" t="str" cm="1">
        <f t="array" ref="L380">_xlfn.IFS(orders[[#This Row],[Customer Gender]]="M","Male", orders[[#This Row],[Customer Gender]]="F","Female", orders[[#This Row],[Customer Gender]]="O","Other", TRUE,"Unknown")</f>
        <v>Female</v>
      </c>
      <c r="M380">
        <v>17</v>
      </c>
      <c r="N380">
        <v>139</v>
      </c>
      <c r="O380" s="5">
        <v>2363</v>
      </c>
    </row>
    <row r="381" spans="1:15" x14ac:dyDescent="0.3">
      <c r="A381" t="s">
        <v>466</v>
      </c>
      <c r="B381" t="s">
        <v>38</v>
      </c>
      <c r="C381" s="7">
        <v>45674</v>
      </c>
      <c r="D381" s="7">
        <v>45675</v>
      </c>
      <c r="E381" t="s">
        <v>26</v>
      </c>
      <c r="F381" t="s">
        <v>17</v>
      </c>
      <c r="G381">
        <v>4</v>
      </c>
      <c r="H381" t="s">
        <v>18</v>
      </c>
      <c r="I381" t="s">
        <v>32</v>
      </c>
      <c r="J381">
        <f>orders[[#This Row],[Ship Date]]-orders[[#This Row],[Order Date]]</f>
        <v>1</v>
      </c>
      <c r="K381">
        <f>WEEKNUM(orders[[#This Row],[Order Date]])</f>
        <v>3</v>
      </c>
      <c r="L381" t="str" cm="1">
        <f t="array" ref="L381">_xlfn.IFS(orders[[#This Row],[Customer Gender]]="M","Male", orders[[#This Row],[Customer Gender]]="F","Female", orders[[#This Row],[Customer Gender]]="O","Other", TRUE,"Unknown")</f>
        <v>Female</v>
      </c>
      <c r="M381">
        <v>3</v>
      </c>
      <c r="N381">
        <v>87.3</v>
      </c>
      <c r="O381">
        <v>261.89999999999998</v>
      </c>
    </row>
    <row r="382" spans="1:15" x14ac:dyDescent="0.3">
      <c r="A382" t="s">
        <v>467</v>
      </c>
      <c r="B382" t="s">
        <v>66</v>
      </c>
      <c r="C382" s="7">
        <v>45674</v>
      </c>
      <c r="D382" s="7">
        <v>45674</v>
      </c>
      <c r="E382" t="s">
        <v>22</v>
      </c>
      <c r="F382" t="s">
        <v>17</v>
      </c>
      <c r="G382">
        <v>4</v>
      </c>
      <c r="H382" t="s">
        <v>18</v>
      </c>
      <c r="I382" t="s">
        <v>32</v>
      </c>
      <c r="J382">
        <f>orders[[#This Row],[Ship Date]]-orders[[#This Row],[Order Date]]</f>
        <v>0</v>
      </c>
      <c r="K382">
        <f>WEEKNUM(orders[[#This Row],[Order Date]])</f>
        <v>3</v>
      </c>
      <c r="L382" t="str" cm="1">
        <f t="array" ref="L382">_xlfn.IFS(orders[[#This Row],[Customer Gender]]="M","Male", orders[[#This Row],[Customer Gender]]="F","Female", orders[[#This Row],[Customer Gender]]="O","Other", TRUE,"Unknown")</f>
        <v>Male</v>
      </c>
      <c r="M382">
        <v>4</v>
      </c>
      <c r="N382">
        <v>42.3</v>
      </c>
      <c r="O382" s="5">
        <v>169.2</v>
      </c>
    </row>
    <row r="383" spans="1:15" x14ac:dyDescent="0.3">
      <c r="A383" t="s">
        <v>468</v>
      </c>
      <c r="B383" t="s">
        <v>80</v>
      </c>
      <c r="C383" s="7">
        <v>45674</v>
      </c>
      <c r="D383" s="7">
        <v>45675</v>
      </c>
      <c r="E383" t="s">
        <v>88</v>
      </c>
      <c r="F383" t="s">
        <v>17</v>
      </c>
      <c r="G383">
        <v>3</v>
      </c>
      <c r="H383" t="s">
        <v>18</v>
      </c>
      <c r="I383" t="s">
        <v>32</v>
      </c>
      <c r="J383">
        <f>orders[[#This Row],[Ship Date]]-orders[[#This Row],[Order Date]]</f>
        <v>1</v>
      </c>
      <c r="K383">
        <f>WEEKNUM(orders[[#This Row],[Order Date]])</f>
        <v>3</v>
      </c>
      <c r="L383" t="str" cm="1">
        <f t="array" ref="L383">_xlfn.IFS(orders[[#This Row],[Customer Gender]]="M","Male", orders[[#This Row],[Customer Gender]]="F","Female", orders[[#This Row],[Customer Gender]]="O","Other", TRUE,"Unknown")</f>
        <v>Other</v>
      </c>
      <c r="M383">
        <v>8</v>
      </c>
      <c r="N383">
        <v>103.6</v>
      </c>
      <c r="O383">
        <v>828.8</v>
      </c>
    </row>
    <row r="384" spans="1:15" x14ac:dyDescent="0.3">
      <c r="A384" t="s">
        <v>469</v>
      </c>
      <c r="B384" t="s">
        <v>38</v>
      </c>
      <c r="C384" s="7">
        <v>45674</v>
      </c>
      <c r="D384" s="7">
        <v>45675</v>
      </c>
      <c r="E384" t="s">
        <v>22</v>
      </c>
      <c r="F384" t="s">
        <v>34</v>
      </c>
      <c r="G384">
        <v>4</v>
      </c>
      <c r="H384" t="s">
        <v>18</v>
      </c>
      <c r="I384" t="s">
        <v>54</v>
      </c>
      <c r="J384">
        <f>orders[[#This Row],[Ship Date]]-orders[[#This Row],[Order Date]]</f>
        <v>1</v>
      </c>
      <c r="K384">
        <f>WEEKNUM(orders[[#This Row],[Order Date]])</f>
        <v>3</v>
      </c>
      <c r="L384" t="str" cm="1">
        <f t="array" ref="L384">_xlfn.IFS(orders[[#This Row],[Customer Gender]]="M","Male", orders[[#This Row],[Customer Gender]]="F","Female", orders[[#This Row],[Customer Gender]]="O","Other", TRUE,"Unknown")</f>
        <v>Male</v>
      </c>
      <c r="M384">
        <v>2</v>
      </c>
      <c r="N384">
        <v>90.9</v>
      </c>
      <c r="O384" s="5">
        <v>181.8</v>
      </c>
    </row>
    <row r="385" spans="1:15" x14ac:dyDescent="0.3">
      <c r="A385" t="s">
        <v>470</v>
      </c>
      <c r="B385" t="s">
        <v>45</v>
      </c>
      <c r="C385" s="7">
        <v>45674</v>
      </c>
      <c r="D385" s="7">
        <v>45675</v>
      </c>
      <c r="E385" t="s">
        <v>26</v>
      </c>
      <c r="F385" t="s">
        <v>34</v>
      </c>
      <c r="G385">
        <v>4</v>
      </c>
      <c r="H385" t="s">
        <v>18</v>
      </c>
      <c r="I385" t="s">
        <v>54</v>
      </c>
      <c r="J385">
        <f>orders[[#This Row],[Ship Date]]-orders[[#This Row],[Order Date]]</f>
        <v>1</v>
      </c>
      <c r="K385">
        <f>WEEKNUM(orders[[#This Row],[Order Date]])</f>
        <v>3</v>
      </c>
      <c r="L385" t="str" cm="1">
        <f t="array" ref="L385">_xlfn.IFS(orders[[#This Row],[Customer Gender]]="M","Male", orders[[#This Row],[Customer Gender]]="F","Female", orders[[#This Row],[Customer Gender]]="O","Other", TRUE,"Unknown")</f>
        <v>Female</v>
      </c>
      <c r="M385">
        <v>16</v>
      </c>
      <c r="N385">
        <v>100.9</v>
      </c>
      <c r="O385">
        <v>1614.4</v>
      </c>
    </row>
    <row r="386" spans="1:15" x14ac:dyDescent="0.3">
      <c r="A386" t="s">
        <v>471</v>
      </c>
      <c r="B386" t="s">
        <v>31</v>
      </c>
      <c r="C386" s="7">
        <v>45674</v>
      </c>
      <c r="D386" s="7">
        <v>45676</v>
      </c>
      <c r="E386" t="s">
        <v>26</v>
      </c>
      <c r="F386" t="s">
        <v>34</v>
      </c>
      <c r="G386">
        <v>4</v>
      </c>
      <c r="H386" t="s">
        <v>18</v>
      </c>
      <c r="I386" t="s">
        <v>58</v>
      </c>
      <c r="J386">
        <f>orders[[#This Row],[Ship Date]]-orders[[#This Row],[Order Date]]</f>
        <v>2</v>
      </c>
      <c r="K386">
        <f>WEEKNUM(orders[[#This Row],[Order Date]])</f>
        <v>3</v>
      </c>
      <c r="L386" t="str" cm="1">
        <f t="array" ref="L386">_xlfn.IFS(orders[[#This Row],[Customer Gender]]="M","Male", orders[[#This Row],[Customer Gender]]="F","Female", orders[[#This Row],[Customer Gender]]="O","Other", TRUE,"Unknown")</f>
        <v>Female</v>
      </c>
      <c r="M386">
        <v>5</v>
      </c>
      <c r="N386">
        <v>36</v>
      </c>
      <c r="O386" s="5">
        <v>180</v>
      </c>
    </row>
    <row r="387" spans="1:15" x14ac:dyDescent="0.3">
      <c r="A387" t="s">
        <v>472</v>
      </c>
      <c r="B387" t="s">
        <v>38</v>
      </c>
      <c r="C387" s="7">
        <v>45674</v>
      </c>
      <c r="D387" s="7">
        <v>45677</v>
      </c>
      <c r="E387" t="s">
        <v>2517</v>
      </c>
      <c r="F387" t="s">
        <v>39</v>
      </c>
      <c r="G387">
        <v>4</v>
      </c>
      <c r="H387" t="s">
        <v>18</v>
      </c>
      <c r="I387" t="s">
        <v>58</v>
      </c>
      <c r="J387">
        <f>orders[[#This Row],[Ship Date]]-orders[[#This Row],[Order Date]]</f>
        <v>3</v>
      </c>
      <c r="K387">
        <f>WEEKNUM(orders[[#This Row],[Order Date]])</f>
        <v>3</v>
      </c>
      <c r="L387" t="str" cm="1">
        <f t="array" ref="L387">_xlfn.IFS(orders[[#This Row],[Customer Gender]]="M","Male", orders[[#This Row],[Customer Gender]]="F","Female", orders[[#This Row],[Customer Gender]]="O","Other", TRUE,"Unknown")</f>
        <v>Unknown</v>
      </c>
      <c r="M387">
        <v>6</v>
      </c>
      <c r="N387">
        <v>83.3</v>
      </c>
      <c r="O387">
        <v>499.79999999999995</v>
      </c>
    </row>
    <row r="388" spans="1:15" x14ac:dyDescent="0.3">
      <c r="A388" t="s">
        <v>473</v>
      </c>
      <c r="B388" t="s">
        <v>25</v>
      </c>
      <c r="C388" s="7">
        <v>45674</v>
      </c>
      <c r="D388" s="7">
        <v>45675</v>
      </c>
      <c r="E388" t="s">
        <v>22</v>
      </c>
      <c r="F388" t="s">
        <v>39</v>
      </c>
      <c r="G388">
        <v>3</v>
      </c>
      <c r="H388" t="s">
        <v>18</v>
      </c>
      <c r="I388" t="s">
        <v>58</v>
      </c>
      <c r="J388">
        <f>orders[[#This Row],[Ship Date]]-orders[[#This Row],[Order Date]]</f>
        <v>1</v>
      </c>
      <c r="K388">
        <f>WEEKNUM(orders[[#This Row],[Order Date]])</f>
        <v>3</v>
      </c>
      <c r="L388" t="str" cm="1">
        <f t="array" ref="L388">_xlfn.IFS(orders[[#This Row],[Customer Gender]]="M","Male", orders[[#This Row],[Customer Gender]]="F","Female", orders[[#This Row],[Customer Gender]]="O","Other", TRUE,"Unknown")</f>
        <v>Male</v>
      </c>
      <c r="M388">
        <v>17</v>
      </c>
      <c r="N388">
        <v>60.3</v>
      </c>
      <c r="O388" s="5">
        <v>1025.0999999999999</v>
      </c>
    </row>
    <row r="389" spans="1:15" x14ac:dyDescent="0.3">
      <c r="A389" t="s">
        <v>474</v>
      </c>
      <c r="B389" t="s">
        <v>25</v>
      </c>
      <c r="C389" s="7">
        <v>45674</v>
      </c>
      <c r="D389" s="7">
        <v>45675</v>
      </c>
      <c r="E389" t="s">
        <v>22</v>
      </c>
      <c r="F389" t="s">
        <v>39</v>
      </c>
      <c r="G389">
        <v>4</v>
      </c>
      <c r="H389" t="s">
        <v>18</v>
      </c>
      <c r="I389" t="s">
        <v>61</v>
      </c>
      <c r="J389">
        <f>orders[[#This Row],[Ship Date]]-orders[[#This Row],[Order Date]]</f>
        <v>1</v>
      </c>
      <c r="K389">
        <f>WEEKNUM(orders[[#This Row],[Order Date]])</f>
        <v>3</v>
      </c>
      <c r="L389" t="str" cm="1">
        <f t="array" ref="L389">_xlfn.IFS(orders[[#This Row],[Customer Gender]]="M","Male", orders[[#This Row],[Customer Gender]]="F","Female", orders[[#This Row],[Customer Gender]]="O","Other", TRUE,"Unknown")</f>
        <v>Male</v>
      </c>
      <c r="M389">
        <v>6</v>
      </c>
      <c r="N389">
        <v>120.3</v>
      </c>
      <c r="O389">
        <v>721.8</v>
      </c>
    </row>
    <row r="390" spans="1:15" x14ac:dyDescent="0.3">
      <c r="A390" t="s">
        <v>475</v>
      </c>
      <c r="B390" t="s">
        <v>31</v>
      </c>
      <c r="C390" s="7">
        <v>45674</v>
      </c>
      <c r="D390" s="7">
        <v>45678</v>
      </c>
      <c r="E390" t="s">
        <v>26</v>
      </c>
      <c r="F390" t="s">
        <v>39</v>
      </c>
      <c r="G390">
        <v>4</v>
      </c>
      <c r="H390" t="s">
        <v>18</v>
      </c>
      <c r="I390" t="s">
        <v>61</v>
      </c>
      <c r="J390">
        <f>orders[[#This Row],[Ship Date]]-orders[[#This Row],[Order Date]]</f>
        <v>4</v>
      </c>
      <c r="K390">
        <f>WEEKNUM(orders[[#This Row],[Order Date]])</f>
        <v>3</v>
      </c>
      <c r="L390" t="str" cm="1">
        <f t="array" ref="L390">_xlfn.IFS(orders[[#This Row],[Customer Gender]]="M","Male", orders[[#This Row],[Customer Gender]]="F","Female", orders[[#This Row],[Customer Gender]]="O","Other", TRUE,"Unknown")</f>
        <v>Female</v>
      </c>
      <c r="M390">
        <v>10</v>
      </c>
      <c r="N390">
        <v>34</v>
      </c>
      <c r="O390" s="5">
        <v>340</v>
      </c>
    </row>
    <row r="391" spans="1:15" x14ac:dyDescent="0.3">
      <c r="A391" t="s">
        <v>476</v>
      </c>
      <c r="B391" t="s">
        <v>53</v>
      </c>
      <c r="C391" s="7">
        <v>45674</v>
      </c>
      <c r="D391" s="7">
        <v>45677</v>
      </c>
      <c r="E391" t="s">
        <v>22</v>
      </c>
      <c r="F391" t="s">
        <v>34</v>
      </c>
      <c r="G391">
        <v>4</v>
      </c>
      <c r="H391" t="s">
        <v>18</v>
      </c>
      <c r="I391" t="s">
        <v>61</v>
      </c>
      <c r="J391">
        <f>orders[[#This Row],[Ship Date]]-orders[[#This Row],[Order Date]]</f>
        <v>3</v>
      </c>
      <c r="K391">
        <f>WEEKNUM(orders[[#This Row],[Order Date]])</f>
        <v>3</v>
      </c>
      <c r="L391" t="str" cm="1">
        <f t="array" ref="L391">_xlfn.IFS(orders[[#This Row],[Customer Gender]]="M","Male", orders[[#This Row],[Customer Gender]]="F","Female", orders[[#This Row],[Customer Gender]]="O","Other", TRUE,"Unknown")</f>
        <v>Male</v>
      </c>
      <c r="M391">
        <v>5</v>
      </c>
      <c r="N391">
        <v>42.6</v>
      </c>
      <c r="O391">
        <v>213</v>
      </c>
    </row>
    <row r="392" spans="1:15" x14ac:dyDescent="0.3">
      <c r="A392" t="s">
        <v>477</v>
      </c>
      <c r="B392" t="s">
        <v>36</v>
      </c>
      <c r="C392" s="7">
        <v>45674</v>
      </c>
      <c r="D392" s="7">
        <v>45674</v>
      </c>
      <c r="E392" t="s">
        <v>26</v>
      </c>
      <c r="F392" t="s">
        <v>39</v>
      </c>
      <c r="G392">
        <v>3</v>
      </c>
      <c r="H392" t="s">
        <v>18</v>
      </c>
      <c r="I392" t="s">
        <v>102</v>
      </c>
      <c r="J392">
        <f>orders[[#This Row],[Ship Date]]-orders[[#This Row],[Order Date]]</f>
        <v>0</v>
      </c>
      <c r="K392">
        <f>WEEKNUM(orders[[#This Row],[Order Date]])</f>
        <v>3</v>
      </c>
      <c r="L392" t="str" cm="1">
        <f t="array" ref="L392">_xlfn.IFS(orders[[#This Row],[Customer Gender]]="M","Male", orders[[#This Row],[Customer Gender]]="F","Female", orders[[#This Row],[Customer Gender]]="O","Other", TRUE,"Unknown")</f>
        <v>Female</v>
      </c>
      <c r="M392">
        <v>20</v>
      </c>
      <c r="N392">
        <v>47.4</v>
      </c>
      <c r="O392" s="5">
        <v>948</v>
      </c>
    </row>
    <row r="393" spans="1:15" x14ac:dyDescent="0.3">
      <c r="A393" t="s">
        <v>478</v>
      </c>
      <c r="B393" t="s">
        <v>25</v>
      </c>
      <c r="C393" s="7">
        <v>45675</v>
      </c>
      <c r="D393" s="7">
        <v>45676</v>
      </c>
      <c r="E393" t="s">
        <v>22</v>
      </c>
      <c r="F393" t="s">
        <v>34</v>
      </c>
      <c r="G393">
        <v>4</v>
      </c>
      <c r="H393" t="s">
        <v>18</v>
      </c>
      <c r="I393" t="s">
        <v>76</v>
      </c>
      <c r="J393">
        <f>orders[[#This Row],[Ship Date]]-orders[[#This Row],[Order Date]]</f>
        <v>1</v>
      </c>
      <c r="K393">
        <f>WEEKNUM(orders[[#This Row],[Order Date]])</f>
        <v>3</v>
      </c>
      <c r="L393" t="str" cm="1">
        <f t="array" ref="L393">_xlfn.IFS(orders[[#This Row],[Customer Gender]]="M","Male", orders[[#This Row],[Customer Gender]]="F","Female", orders[[#This Row],[Customer Gender]]="O","Other", TRUE,"Unknown")</f>
        <v>Male</v>
      </c>
      <c r="M393">
        <v>1</v>
      </c>
      <c r="N393">
        <v>74</v>
      </c>
      <c r="O393">
        <v>74</v>
      </c>
    </row>
    <row r="394" spans="1:15" x14ac:dyDescent="0.3">
      <c r="A394" t="s">
        <v>479</v>
      </c>
      <c r="B394" t="s">
        <v>25</v>
      </c>
      <c r="C394" s="7">
        <v>45675</v>
      </c>
      <c r="D394" s="7">
        <v>45678</v>
      </c>
      <c r="E394" t="s">
        <v>26</v>
      </c>
      <c r="F394" t="s">
        <v>34</v>
      </c>
      <c r="G394">
        <v>2</v>
      </c>
      <c r="H394" t="s">
        <v>18</v>
      </c>
      <c r="I394" t="s">
        <v>107</v>
      </c>
      <c r="J394">
        <f>orders[[#This Row],[Ship Date]]-orders[[#This Row],[Order Date]]</f>
        <v>3</v>
      </c>
      <c r="K394">
        <f>WEEKNUM(orders[[#This Row],[Order Date]])</f>
        <v>3</v>
      </c>
      <c r="L394" t="str" cm="1">
        <f t="array" ref="L394">_xlfn.IFS(orders[[#This Row],[Customer Gender]]="M","Male", orders[[#This Row],[Customer Gender]]="F","Female", orders[[#This Row],[Customer Gender]]="O","Other", TRUE,"Unknown")</f>
        <v>Female</v>
      </c>
      <c r="M394">
        <v>5</v>
      </c>
      <c r="N394">
        <v>60.4</v>
      </c>
      <c r="O394" s="5">
        <v>302</v>
      </c>
    </row>
    <row r="395" spans="1:15" x14ac:dyDescent="0.3">
      <c r="A395" t="s">
        <v>480</v>
      </c>
      <c r="B395" t="s">
        <v>68</v>
      </c>
      <c r="C395" s="7">
        <v>45675</v>
      </c>
      <c r="D395" s="7">
        <v>45678</v>
      </c>
      <c r="E395" t="s">
        <v>22</v>
      </c>
      <c r="F395" t="s">
        <v>34</v>
      </c>
      <c r="G395">
        <v>3</v>
      </c>
      <c r="H395" t="s">
        <v>18</v>
      </c>
      <c r="I395" t="s">
        <v>81</v>
      </c>
      <c r="J395">
        <f>orders[[#This Row],[Ship Date]]-orders[[#This Row],[Order Date]]</f>
        <v>3</v>
      </c>
      <c r="K395">
        <f>WEEKNUM(orders[[#This Row],[Order Date]])</f>
        <v>3</v>
      </c>
      <c r="L395" t="str" cm="1">
        <f t="array" ref="L395">_xlfn.IFS(orders[[#This Row],[Customer Gender]]="M","Male", orders[[#This Row],[Customer Gender]]="F","Female", orders[[#This Row],[Customer Gender]]="O","Other", TRUE,"Unknown")</f>
        <v>Male</v>
      </c>
      <c r="M395">
        <v>2</v>
      </c>
      <c r="N395">
        <v>69.3</v>
      </c>
      <c r="O395">
        <v>138.6</v>
      </c>
    </row>
    <row r="396" spans="1:15" x14ac:dyDescent="0.3">
      <c r="A396" t="s">
        <v>481</v>
      </c>
      <c r="B396" t="s">
        <v>36</v>
      </c>
      <c r="C396" s="7">
        <v>45675</v>
      </c>
      <c r="D396" s="7">
        <v>45681</v>
      </c>
      <c r="E396" t="s">
        <v>22</v>
      </c>
      <c r="F396" t="s">
        <v>50</v>
      </c>
      <c r="G396">
        <v>4</v>
      </c>
      <c r="H396" t="s">
        <v>18</v>
      </c>
      <c r="I396" t="s">
        <v>114</v>
      </c>
      <c r="J396">
        <f>orders[[#This Row],[Ship Date]]-orders[[#This Row],[Order Date]]</f>
        <v>6</v>
      </c>
      <c r="K396">
        <f>WEEKNUM(orders[[#This Row],[Order Date]])</f>
        <v>3</v>
      </c>
      <c r="L396" t="str" cm="1">
        <f t="array" ref="L396">_xlfn.IFS(orders[[#This Row],[Customer Gender]]="M","Male", orders[[#This Row],[Customer Gender]]="F","Female", orders[[#This Row],[Customer Gender]]="O","Other", TRUE,"Unknown")</f>
        <v>Male</v>
      </c>
      <c r="M396">
        <v>5</v>
      </c>
      <c r="N396">
        <v>81</v>
      </c>
      <c r="O396" s="5">
        <v>405</v>
      </c>
    </row>
    <row r="397" spans="1:15" x14ac:dyDescent="0.3">
      <c r="A397" t="s">
        <v>482</v>
      </c>
      <c r="B397" t="s">
        <v>122</v>
      </c>
      <c r="C397" s="7">
        <v>45675</v>
      </c>
      <c r="D397" s="7">
        <v>45677</v>
      </c>
      <c r="E397" t="s">
        <v>88</v>
      </c>
      <c r="F397" t="s">
        <v>34</v>
      </c>
      <c r="G397">
        <v>4</v>
      </c>
      <c r="H397" t="s">
        <v>18</v>
      </c>
      <c r="I397" t="s">
        <v>114</v>
      </c>
      <c r="J397">
        <f>orders[[#This Row],[Ship Date]]-orders[[#This Row],[Order Date]]</f>
        <v>2</v>
      </c>
      <c r="K397">
        <f>WEEKNUM(orders[[#This Row],[Order Date]])</f>
        <v>3</v>
      </c>
      <c r="L397" t="str" cm="1">
        <f t="array" ref="L397">_xlfn.IFS(orders[[#This Row],[Customer Gender]]="M","Male", orders[[#This Row],[Customer Gender]]="F","Female", orders[[#This Row],[Customer Gender]]="O","Other", TRUE,"Unknown")</f>
        <v>Other</v>
      </c>
      <c r="M397">
        <v>3</v>
      </c>
      <c r="N397">
        <v>41.5</v>
      </c>
      <c r="O397">
        <v>124.5</v>
      </c>
    </row>
    <row r="398" spans="1:15" x14ac:dyDescent="0.3">
      <c r="A398" t="s">
        <v>483</v>
      </c>
      <c r="B398" t="s">
        <v>145</v>
      </c>
      <c r="C398" s="7">
        <v>45675</v>
      </c>
      <c r="D398" s="7">
        <v>45680</v>
      </c>
      <c r="E398" t="s">
        <v>22</v>
      </c>
      <c r="F398" t="s">
        <v>34</v>
      </c>
      <c r="G398">
        <v>4</v>
      </c>
      <c r="H398" t="s">
        <v>18</v>
      </c>
      <c r="I398" t="s">
        <v>114</v>
      </c>
      <c r="J398">
        <f>orders[[#This Row],[Ship Date]]-orders[[#This Row],[Order Date]]</f>
        <v>5</v>
      </c>
      <c r="K398">
        <f>WEEKNUM(orders[[#This Row],[Order Date]])</f>
        <v>3</v>
      </c>
      <c r="L398" t="str" cm="1">
        <f t="array" ref="L398">_xlfn.IFS(orders[[#This Row],[Customer Gender]]="M","Male", orders[[#This Row],[Customer Gender]]="F","Female", orders[[#This Row],[Customer Gender]]="O","Other", TRUE,"Unknown")</f>
        <v>Male</v>
      </c>
      <c r="M398">
        <v>2</v>
      </c>
      <c r="N398">
        <v>69.7</v>
      </c>
      <c r="O398" s="5">
        <v>139.4</v>
      </c>
    </row>
    <row r="399" spans="1:15" x14ac:dyDescent="0.3">
      <c r="A399" t="s">
        <v>484</v>
      </c>
      <c r="B399" t="s">
        <v>25</v>
      </c>
      <c r="C399" s="7">
        <v>45675</v>
      </c>
      <c r="D399" s="7">
        <v>45675</v>
      </c>
      <c r="E399" t="s">
        <v>26</v>
      </c>
      <c r="F399" t="s">
        <v>69</v>
      </c>
      <c r="G399">
        <v>4</v>
      </c>
      <c r="H399" t="s">
        <v>18</v>
      </c>
      <c r="I399" t="s">
        <v>23</v>
      </c>
      <c r="J399">
        <f>orders[[#This Row],[Ship Date]]-orders[[#This Row],[Order Date]]</f>
        <v>0</v>
      </c>
      <c r="K399">
        <f>WEEKNUM(orders[[#This Row],[Order Date]])</f>
        <v>3</v>
      </c>
      <c r="L399" t="str" cm="1">
        <f t="array" ref="L399">_xlfn.IFS(orders[[#This Row],[Customer Gender]]="M","Male", orders[[#This Row],[Customer Gender]]="F","Female", orders[[#This Row],[Customer Gender]]="O","Other", TRUE,"Unknown")</f>
        <v>Female</v>
      </c>
      <c r="M399">
        <v>5</v>
      </c>
      <c r="N399">
        <v>83.6</v>
      </c>
      <c r="O399">
        <v>418</v>
      </c>
    </row>
    <row r="400" spans="1:15" x14ac:dyDescent="0.3">
      <c r="A400" t="s">
        <v>485</v>
      </c>
      <c r="B400" t="s">
        <v>43</v>
      </c>
      <c r="C400" s="7">
        <v>45675</v>
      </c>
      <c r="D400" s="7">
        <v>45677</v>
      </c>
      <c r="E400" t="s">
        <v>22</v>
      </c>
      <c r="F400" t="s">
        <v>34</v>
      </c>
      <c r="G400">
        <v>2</v>
      </c>
      <c r="H400" t="s">
        <v>18</v>
      </c>
      <c r="I400" t="s">
        <v>333</v>
      </c>
      <c r="J400">
        <f>orders[[#This Row],[Ship Date]]-orders[[#This Row],[Order Date]]</f>
        <v>2</v>
      </c>
      <c r="K400">
        <f>WEEKNUM(orders[[#This Row],[Order Date]])</f>
        <v>3</v>
      </c>
      <c r="L400" t="str" cm="1">
        <f t="array" ref="L400">_xlfn.IFS(orders[[#This Row],[Customer Gender]]="M","Male", orders[[#This Row],[Customer Gender]]="F","Female", orders[[#This Row],[Customer Gender]]="O","Other", TRUE,"Unknown")</f>
        <v>Male</v>
      </c>
      <c r="M400">
        <v>7</v>
      </c>
      <c r="N400">
        <v>21.5</v>
      </c>
      <c r="O400" s="5">
        <v>150.5</v>
      </c>
    </row>
    <row r="401" spans="1:15" x14ac:dyDescent="0.3">
      <c r="A401" t="s">
        <v>486</v>
      </c>
      <c r="B401" t="s">
        <v>43</v>
      </c>
      <c r="C401" s="7">
        <v>45675</v>
      </c>
      <c r="D401" s="7">
        <v>45676</v>
      </c>
      <c r="E401" t="s">
        <v>22</v>
      </c>
      <c r="F401" t="s">
        <v>17</v>
      </c>
      <c r="G401">
        <v>4</v>
      </c>
      <c r="H401" t="s">
        <v>18</v>
      </c>
      <c r="I401" t="s">
        <v>32</v>
      </c>
      <c r="J401">
        <f>orders[[#This Row],[Ship Date]]-orders[[#This Row],[Order Date]]</f>
        <v>1</v>
      </c>
      <c r="K401">
        <f>WEEKNUM(orders[[#This Row],[Order Date]])</f>
        <v>3</v>
      </c>
      <c r="L401" t="str" cm="1">
        <f t="array" ref="L401">_xlfn.IFS(orders[[#This Row],[Customer Gender]]="M","Male", orders[[#This Row],[Customer Gender]]="F","Female", orders[[#This Row],[Customer Gender]]="O","Other", TRUE,"Unknown")</f>
        <v>Male</v>
      </c>
      <c r="M401">
        <v>8</v>
      </c>
      <c r="N401">
        <v>28.6</v>
      </c>
      <c r="O401">
        <v>228.8</v>
      </c>
    </row>
    <row r="402" spans="1:15" x14ac:dyDescent="0.3">
      <c r="A402" t="s">
        <v>487</v>
      </c>
      <c r="B402" t="s">
        <v>43</v>
      </c>
      <c r="C402" s="7">
        <v>45675</v>
      </c>
      <c r="D402" s="7">
        <v>45678</v>
      </c>
      <c r="E402" t="s">
        <v>22</v>
      </c>
      <c r="F402" t="s">
        <v>50</v>
      </c>
      <c r="G402">
        <v>5</v>
      </c>
      <c r="H402" t="s">
        <v>18</v>
      </c>
      <c r="I402" t="s">
        <v>32</v>
      </c>
      <c r="J402">
        <f>orders[[#This Row],[Ship Date]]-orders[[#This Row],[Order Date]]</f>
        <v>3</v>
      </c>
      <c r="K402">
        <f>WEEKNUM(orders[[#This Row],[Order Date]])</f>
        <v>3</v>
      </c>
      <c r="L402" t="str" cm="1">
        <f t="array" ref="L402">_xlfn.IFS(orders[[#This Row],[Customer Gender]]="M","Male", orders[[#This Row],[Customer Gender]]="F","Female", orders[[#This Row],[Customer Gender]]="O","Other", TRUE,"Unknown")</f>
        <v>Male</v>
      </c>
      <c r="M402">
        <v>6</v>
      </c>
      <c r="N402">
        <v>18.8</v>
      </c>
      <c r="O402" s="5">
        <v>112.80000000000001</v>
      </c>
    </row>
    <row r="403" spans="1:15" x14ac:dyDescent="0.3">
      <c r="A403" t="s">
        <v>488</v>
      </c>
      <c r="B403" t="s">
        <v>53</v>
      </c>
      <c r="C403" s="7">
        <v>45675</v>
      </c>
      <c r="D403" s="7">
        <v>45675</v>
      </c>
      <c r="E403" t="s">
        <v>26</v>
      </c>
      <c r="F403" t="s">
        <v>34</v>
      </c>
      <c r="G403">
        <v>3</v>
      </c>
      <c r="H403" t="s">
        <v>18</v>
      </c>
      <c r="I403" t="s">
        <v>32</v>
      </c>
      <c r="J403">
        <f>orders[[#This Row],[Ship Date]]-orders[[#This Row],[Order Date]]</f>
        <v>0</v>
      </c>
      <c r="K403">
        <f>WEEKNUM(orders[[#This Row],[Order Date]])</f>
        <v>3</v>
      </c>
      <c r="L403" t="str" cm="1">
        <f t="array" ref="L403">_xlfn.IFS(orders[[#This Row],[Customer Gender]]="M","Male", orders[[#This Row],[Customer Gender]]="F","Female", orders[[#This Row],[Customer Gender]]="O","Other", TRUE,"Unknown")</f>
        <v>Female</v>
      </c>
      <c r="M403">
        <v>4</v>
      </c>
      <c r="N403">
        <v>35.1</v>
      </c>
      <c r="O403">
        <v>140.4</v>
      </c>
    </row>
    <row r="404" spans="1:15" x14ac:dyDescent="0.3">
      <c r="A404" t="s">
        <v>489</v>
      </c>
      <c r="B404" t="s">
        <v>16</v>
      </c>
      <c r="C404" s="7">
        <v>45675</v>
      </c>
      <c r="D404" s="7">
        <v>45677</v>
      </c>
      <c r="E404" t="s">
        <v>26</v>
      </c>
      <c r="F404" t="s">
        <v>34</v>
      </c>
      <c r="G404">
        <v>5</v>
      </c>
      <c r="H404" t="s">
        <v>18</v>
      </c>
      <c r="I404" t="s">
        <v>32</v>
      </c>
      <c r="J404">
        <f>orders[[#This Row],[Ship Date]]-orders[[#This Row],[Order Date]]</f>
        <v>2</v>
      </c>
      <c r="K404">
        <f>WEEKNUM(orders[[#This Row],[Order Date]])</f>
        <v>3</v>
      </c>
      <c r="L404" t="str" cm="1">
        <f t="array" ref="L404">_xlfn.IFS(orders[[#This Row],[Customer Gender]]="M","Male", orders[[#This Row],[Customer Gender]]="F","Female", orders[[#This Row],[Customer Gender]]="O","Other", TRUE,"Unknown")</f>
        <v>Female</v>
      </c>
      <c r="M404">
        <v>2</v>
      </c>
      <c r="N404">
        <v>12.7</v>
      </c>
      <c r="O404" s="5">
        <v>25.4</v>
      </c>
    </row>
    <row r="405" spans="1:15" x14ac:dyDescent="0.3">
      <c r="A405" t="s">
        <v>490</v>
      </c>
      <c r="B405" t="s">
        <v>43</v>
      </c>
      <c r="C405" s="7">
        <v>45675</v>
      </c>
      <c r="D405" s="7">
        <v>45677</v>
      </c>
      <c r="E405" t="s">
        <v>88</v>
      </c>
      <c r="F405" t="s">
        <v>17</v>
      </c>
      <c r="G405">
        <v>4</v>
      </c>
      <c r="H405" t="s">
        <v>18</v>
      </c>
      <c r="I405" t="s">
        <v>32</v>
      </c>
      <c r="J405">
        <f>orders[[#This Row],[Ship Date]]-orders[[#This Row],[Order Date]]</f>
        <v>2</v>
      </c>
      <c r="K405">
        <f>WEEKNUM(orders[[#This Row],[Order Date]])</f>
        <v>3</v>
      </c>
      <c r="L405" t="str" cm="1">
        <f t="array" ref="L405">_xlfn.IFS(orders[[#This Row],[Customer Gender]]="M","Male", orders[[#This Row],[Customer Gender]]="F","Female", orders[[#This Row],[Customer Gender]]="O","Other", TRUE,"Unknown")</f>
        <v>Other</v>
      </c>
      <c r="M405">
        <v>5</v>
      </c>
      <c r="N405">
        <v>27.4</v>
      </c>
      <c r="O405">
        <v>137</v>
      </c>
    </row>
    <row r="406" spans="1:15" x14ac:dyDescent="0.3">
      <c r="A406" t="s">
        <v>491</v>
      </c>
      <c r="B406" t="s">
        <v>53</v>
      </c>
      <c r="C406" s="7">
        <v>45675</v>
      </c>
      <c r="D406" s="7">
        <v>45676</v>
      </c>
      <c r="E406" t="s">
        <v>26</v>
      </c>
      <c r="F406" t="s">
        <v>34</v>
      </c>
      <c r="G406">
        <v>4</v>
      </c>
      <c r="H406" t="s">
        <v>18</v>
      </c>
      <c r="I406" t="s">
        <v>54</v>
      </c>
      <c r="J406">
        <f>orders[[#This Row],[Ship Date]]-orders[[#This Row],[Order Date]]</f>
        <v>1</v>
      </c>
      <c r="K406">
        <f>WEEKNUM(orders[[#This Row],[Order Date]])</f>
        <v>3</v>
      </c>
      <c r="L406" t="str" cm="1">
        <f t="array" ref="L406">_xlfn.IFS(orders[[#This Row],[Customer Gender]]="M","Male", orders[[#This Row],[Customer Gender]]="F","Female", orders[[#This Row],[Customer Gender]]="O","Other", TRUE,"Unknown")</f>
        <v>Female</v>
      </c>
      <c r="M406">
        <v>2</v>
      </c>
      <c r="N406">
        <v>61.3</v>
      </c>
      <c r="O406" s="5">
        <v>122.6</v>
      </c>
    </row>
    <row r="407" spans="1:15" x14ac:dyDescent="0.3">
      <c r="A407" t="s">
        <v>492</v>
      </c>
      <c r="B407" t="s">
        <v>43</v>
      </c>
      <c r="C407" s="7">
        <v>45675</v>
      </c>
      <c r="D407" s="7">
        <v>45677</v>
      </c>
      <c r="E407" t="s">
        <v>26</v>
      </c>
      <c r="F407" t="s">
        <v>50</v>
      </c>
      <c r="G407">
        <v>5</v>
      </c>
      <c r="H407" t="s">
        <v>18</v>
      </c>
      <c r="I407" t="s">
        <v>54</v>
      </c>
      <c r="J407">
        <f>orders[[#This Row],[Ship Date]]-orders[[#This Row],[Order Date]]</f>
        <v>2</v>
      </c>
      <c r="K407">
        <f>WEEKNUM(orders[[#This Row],[Order Date]])</f>
        <v>3</v>
      </c>
      <c r="L407" t="str" cm="1">
        <f t="array" ref="L407">_xlfn.IFS(orders[[#This Row],[Customer Gender]]="M","Male", orders[[#This Row],[Customer Gender]]="F","Female", orders[[#This Row],[Customer Gender]]="O","Other", TRUE,"Unknown")</f>
        <v>Female</v>
      </c>
      <c r="M407">
        <v>2</v>
      </c>
      <c r="N407">
        <v>64.7</v>
      </c>
      <c r="O407">
        <v>129.4</v>
      </c>
    </row>
    <row r="408" spans="1:15" x14ac:dyDescent="0.3">
      <c r="A408" t="s">
        <v>493</v>
      </c>
      <c r="B408" t="s">
        <v>41</v>
      </c>
      <c r="C408" s="7">
        <v>45675</v>
      </c>
      <c r="D408" s="7">
        <v>45677</v>
      </c>
      <c r="E408" t="s">
        <v>26</v>
      </c>
      <c r="F408" t="s">
        <v>17</v>
      </c>
      <c r="G408">
        <v>4</v>
      </c>
      <c r="H408" t="s">
        <v>18</v>
      </c>
      <c r="I408" t="s">
        <v>61</v>
      </c>
      <c r="J408">
        <f>orders[[#This Row],[Ship Date]]-orders[[#This Row],[Order Date]]</f>
        <v>2</v>
      </c>
      <c r="K408">
        <f>WEEKNUM(orders[[#This Row],[Order Date]])</f>
        <v>3</v>
      </c>
      <c r="L408" t="str" cm="1">
        <f t="array" ref="L408">_xlfn.IFS(orders[[#This Row],[Customer Gender]]="M","Male", orders[[#This Row],[Customer Gender]]="F","Female", orders[[#This Row],[Customer Gender]]="O","Other", TRUE,"Unknown")</f>
        <v>Female</v>
      </c>
      <c r="M408">
        <v>4</v>
      </c>
      <c r="N408">
        <v>91.4</v>
      </c>
      <c r="O408" s="5">
        <v>365.6</v>
      </c>
    </row>
    <row r="409" spans="1:15" x14ac:dyDescent="0.3">
      <c r="A409" t="s">
        <v>494</v>
      </c>
      <c r="B409" t="s">
        <v>16</v>
      </c>
      <c r="C409" s="7">
        <v>45676</v>
      </c>
      <c r="D409" s="7">
        <v>45677</v>
      </c>
      <c r="E409" t="s">
        <v>22</v>
      </c>
      <c r="F409" t="s">
        <v>17</v>
      </c>
      <c r="G409">
        <v>5</v>
      </c>
      <c r="H409" t="s">
        <v>18</v>
      </c>
      <c r="I409" t="s">
        <v>61</v>
      </c>
      <c r="J409">
        <f>orders[[#This Row],[Ship Date]]-orders[[#This Row],[Order Date]]</f>
        <v>1</v>
      </c>
      <c r="K409">
        <f>WEEKNUM(orders[[#This Row],[Order Date]])</f>
        <v>4</v>
      </c>
      <c r="L409" t="str" cm="1">
        <f t="array" ref="L409">_xlfn.IFS(orders[[#This Row],[Customer Gender]]="M","Male", orders[[#This Row],[Customer Gender]]="F","Female", orders[[#This Row],[Customer Gender]]="O","Other", TRUE,"Unknown")</f>
        <v>Male</v>
      </c>
      <c r="M409">
        <v>2</v>
      </c>
      <c r="N409">
        <v>33.1</v>
      </c>
      <c r="O409">
        <v>66.2</v>
      </c>
    </row>
    <row r="410" spans="1:15" x14ac:dyDescent="0.3">
      <c r="A410" t="s">
        <v>495</v>
      </c>
      <c r="B410" t="s">
        <v>29</v>
      </c>
      <c r="C410" s="7">
        <v>45676</v>
      </c>
      <c r="D410" s="7">
        <v>45677</v>
      </c>
      <c r="E410" t="s">
        <v>22</v>
      </c>
      <c r="F410" t="s">
        <v>39</v>
      </c>
      <c r="G410">
        <v>3</v>
      </c>
      <c r="H410" t="s">
        <v>18</v>
      </c>
      <c r="I410" t="s">
        <v>61</v>
      </c>
      <c r="J410">
        <f>orders[[#This Row],[Ship Date]]-orders[[#This Row],[Order Date]]</f>
        <v>1</v>
      </c>
      <c r="K410">
        <f>WEEKNUM(orders[[#This Row],[Order Date]])</f>
        <v>4</v>
      </c>
      <c r="L410" t="str" cm="1">
        <f t="array" ref="L410">_xlfn.IFS(orders[[#This Row],[Customer Gender]]="M","Male", orders[[#This Row],[Customer Gender]]="F","Female", orders[[#This Row],[Customer Gender]]="O","Other", TRUE,"Unknown")</f>
        <v>Male</v>
      </c>
      <c r="M410">
        <v>2</v>
      </c>
      <c r="N410">
        <v>105.6</v>
      </c>
      <c r="O410" s="5">
        <v>211.2</v>
      </c>
    </row>
    <row r="411" spans="1:15" x14ac:dyDescent="0.3">
      <c r="A411" t="s">
        <v>496</v>
      </c>
      <c r="B411" t="s">
        <v>53</v>
      </c>
      <c r="C411" s="7">
        <v>45676</v>
      </c>
      <c r="D411" s="7">
        <v>45677</v>
      </c>
      <c r="E411" t="s">
        <v>22</v>
      </c>
      <c r="F411" t="s">
        <v>39</v>
      </c>
      <c r="G411">
        <v>4</v>
      </c>
      <c r="H411" t="s">
        <v>18</v>
      </c>
      <c r="I411" t="s">
        <v>71</v>
      </c>
      <c r="J411">
        <f>orders[[#This Row],[Ship Date]]-orders[[#This Row],[Order Date]]</f>
        <v>1</v>
      </c>
      <c r="K411">
        <f>WEEKNUM(orders[[#This Row],[Order Date]])</f>
        <v>4</v>
      </c>
      <c r="L411" t="str" cm="1">
        <f t="array" ref="L411">_xlfn.IFS(orders[[#This Row],[Customer Gender]]="M","Male", orders[[#This Row],[Customer Gender]]="F","Female", orders[[#This Row],[Customer Gender]]="O","Other", TRUE,"Unknown")</f>
        <v>Male</v>
      </c>
      <c r="M411">
        <v>3</v>
      </c>
      <c r="N411">
        <v>46.4</v>
      </c>
      <c r="O411">
        <v>139.19999999999999</v>
      </c>
    </row>
    <row r="412" spans="1:15" x14ac:dyDescent="0.3">
      <c r="A412" t="s">
        <v>497</v>
      </c>
      <c r="B412" t="s">
        <v>45</v>
      </c>
      <c r="C412" s="7">
        <v>45676</v>
      </c>
      <c r="D412" s="7">
        <v>45679</v>
      </c>
      <c r="E412" t="s">
        <v>26</v>
      </c>
      <c r="F412" t="s">
        <v>69</v>
      </c>
      <c r="G412">
        <v>3</v>
      </c>
      <c r="H412" t="s">
        <v>18</v>
      </c>
      <c r="I412" t="s">
        <v>76</v>
      </c>
      <c r="J412">
        <f>orders[[#This Row],[Ship Date]]-orders[[#This Row],[Order Date]]</f>
        <v>3</v>
      </c>
      <c r="K412">
        <f>WEEKNUM(orders[[#This Row],[Order Date]])</f>
        <v>4</v>
      </c>
      <c r="L412" t="str" cm="1">
        <f t="array" ref="L412">_xlfn.IFS(orders[[#This Row],[Customer Gender]]="M","Male", orders[[#This Row],[Customer Gender]]="F","Female", orders[[#This Row],[Customer Gender]]="O","Other", TRUE,"Unknown")</f>
        <v>Female</v>
      </c>
      <c r="M412">
        <v>14</v>
      </c>
      <c r="N412">
        <v>35.299999999999997</v>
      </c>
      <c r="O412" s="5">
        <v>494.19999999999993</v>
      </c>
    </row>
    <row r="413" spans="1:15" x14ac:dyDescent="0.3">
      <c r="A413" t="s">
        <v>498</v>
      </c>
      <c r="B413" t="s">
        <v>16</v>
      </c>
      <c r="C413" s="7">
        <v>45676</v>
      </c>
      <c r="D413" s="7">
        <v>45678</v>
      </c>
      <c r="E413" t="s">
        <v>22</v>
      </c>
      <c r="F413" t="s">
        <v>50</v>
      </c>
      <c r="G413">
        <v>5</v>
      </c>
      <c r="H413" t="s">
        <v>18</v>
      </c>
      <c r="I413" t="s">
        <v>308</v>
      </c>
      <c r="J413">
        <f>orders[[#This Row],[Ship Date]]-orders[[#This Row],[Order Date]]</f>
        <v>2</v>
      </c>
      <c r="K413">
        <f>WEEKNUM(orders[[#This Row],[Order Date]])</f>
        <v>4</v>
      </c>
      <c r="L413" t="str" cm="1">
        <f t="array" ref="L413">_xlfn.IFS(orders[[#This Row],[Customer Gender]]="M","Male", orders[[#This Row],[Customer Gender]]="F","Female", orders[[#This Row],[Customer Gender]]="O","Other", TRUE,"Unknown")</f>
        <v>Male</v>
      </c>
      <c r="M413">
        <v>2</v>
      </c>
      <c r="N413">
        <v>16.100000000000001</v>
      </c>
      <c r="O413">
        <v>32.200000000000003</v>
      </c>
    </row>
    <row r="414" spans="1:15" x14ac:dyDescent="0.3">
      <c r="A414" t="s">
        <v>499</v>
      </c>
      <c r="B414" t="s">
        <v>31</v>
      </c>
      <c r="C414" s="7">
        <v>45676</v>
      </c>
      <c r="D414" s="7">
        <v>45679</v>
      </c>
      <c r="E414" t="s">
        <v>22</v>
      </c>
      <c r="F414" t="s">
        <v>17</v>
      </c>
      <c r="G414">
        <v>4</v>
      </c>
      <c r="H414" t="s">
        <v>18</v>
      </c>
      <c r="I414" t="s">
        <v>81</v>
      </c>
      <c r="J414">
        <f>orders[[#This Row],[Ship Date]]-orders[[#This Row],[Order Date]]</f>
        <v>3</v>
      </c>
      <c r="K414">
        <f>WEEKNUM(orders[[#This Row],[Order Date]])</f>
        <v>4</v>
      </c>
      <c r="L414" t="str" cm="1">
        <f t="array" ref="L414">_xlfn.IFS(orders[[#This Row],[Customer Gender]]="M","Male", orders[[#This Row],[Customer Gender]]="F","Female", orders[[#This Row],[Customer Gender]]="O","Other", TRUE,"Unknown")</f>
        <v>Male</v>
      </c>
      <c r="M414">
        <v>2</v>
      </c>
      <c r="N414">
        <v>27.9</v>
      </c>
      <c r="O414" s="5">
        <v>55.8</v>
      </c>
    </row>
    <row r="415" spans="1:15" x14ac:dyDescent="0.3">
      <c r="A415" t="s">
        <v>500</v>
      </c>
      <c r="B415" t="s">
        <v>43</v>
      </c>
      <c r="C415" s="7">
        <v>45676</v>
      </c>
      <c r="D415" s="7">
        <v>45684</v>
      </c>
      <c r="E415" t="s">
        <v>26</v>
      </c>
      <c r="F415" t="s">
        <v>34</v>
      </c>
      <c r="G415">
        <v>4</v>
      </c>
      <c r="H415" t="s">
        <v>18</v>
      </c>
      <c r="I415" t="s">
        <v>27</v>
      </c>
      <c r="J415">
        <f>orders[[#This Row],[Ship Date]]-orders[[#This Row],[Order Date]]</f>
        <v>8</v>
      </c>
      <c r="K415">
        <f>WEEKNUM(orders[[#This Row],[Order Date]])</f>
        <v>4</v>
      </c>
      <c r="L415" t="str" cm="1">
        <f t="array" ref="L415">_xlfn.IFS(orders[[#This Row],[Customer Gender]]="M","Male", orders[[#This Row],[Customer Gender]]="F","Female", orders[[#This Row],[Customer Gender]]="O","Other", TRUE,"Unknown")</f>
        <v>Female</v>
      </c>
      <c r="M415">
        <v>1</v>
      </c>
      <c r="N415">
        <v>47.1</v>
      </c>
      <c r="O415">
        <v>47.1</v>
      </c>
    </row>
    <row r="416" spans="1:15" x14ac:dyDescent="0.3">
      <c r="A416" t="s">
        <v>501</v>
      </c>
      <c r="B416" t="s">
        <v>38</v>
      </c>
      <c r="C416" s="7">
        <v>45676</v>
      </c>
      <c r="D416" s="7">
        <v>45679</v>
      </c>
      <c r="E416" t="s">
        <v>2517</v>
      </c>
      <c r="F416" t="s">
        <v>39</v>
      </c>
      <c r="G416">
        <v>5</v>
      </c>
      <c r="H416" t="s">
        <v>18</v>
      </c>
      <c r="I416" t="s">
        <v>146</v>
      </c>
      <c r="J416">
        <f>orders[[#This Row],[Ship Date]]-orders[[#This Row],[Order Date]]</f>
        <v>3</v>
      </c>
      <c r="K416">
        <f>WEEKNUM(orders[[#This Row],[Order Date]])</f>
        <v>4</v>
      </c>
      <c r="L416" t="str" cm="1">
        <f t="array" ref="L416">_xlfn.IFS(orders[[#This Row],[Customer Gender]]="M","Male", orders[[#This Row],[Customer Gender]]="F","Female", orders[[#This Row],[Customer Gender]]="O","Other", TRUE,"Unknown")</f>
        <v>Unknown</v>
      </c>
      <c r="M416">
        <v>2</v>
      </c>
      <c r="N416">
        <v>85</v>
      </c>
      <c r="O416" s="5">
        <v>170</v>
      </c>
    </row>
    <row r="417" spans="1:15" x14ac:dyDescent="0.3">
      <c r="A417" t="s">
        <v>502</v>
      </c>
      <c r="B417" t="s">
        <v>145</v>
      </c>
      <c r="C417" s="7">
        <v>45676</v>
      </c>
      <c r="D417" s="7">
        <v>45678</v>
      </c>
      <c r="E417" t="s">
        <v>26</v>
      </c>
      <c r="F417" t="s">
        <v>17</v>
      </c>
      <c r="G417">
        <v>4</v>
      </c>
      <c r="H417" t="s">
        <v>18</v>
      </c>
      <c r="I417" t="s">
        <v>32</v>
      </c>
      <c r="J417">
        <f>orders[[#This Row],[Ship Date]]-orders[[#This Row],[Order Date]]</f>
        <v>2</v>
      </c>
      <c r="K417">
        <f>WEEKNUM(orders[[#This Row],[Order Date]])</f>
        <v>4</v>
      </c>
      <c r="L417" t="str" cm="1">
        <f t="array" ref="L417">_xlfn.IFS(orders[[#This Row],[Customer Gender]]="M","Male", orders[[#This Row],[Customer Gender]]="F","Female", orders[[#This Row],[Customer Gender]]="O","Other", TRUE,"Unknown")</f>
        <v>Female</v>
      </c>
      <c r="M417">
        <v>2</v>
      </c>
      <c r="N417">
        <v>89</v>
      </c>
      <c r="O417">
        <v>178</v>
      </c>
    </row>
    <row r="418" spans="1:15" x14ac:dyDescent="0.3">
      <c r="A418" t="s">
        <v>503</v>
      </c>
      <c r="B418" t="s">
        <v>127</v>
      </c>
      <c r="C418" s="7">
        <v>45676</v>
      </c>
      <c r="D418" s="7">
        <v>45677</v>
      </c>
      <c r="E418" t="s">
        <v>88</v>
      </c>
      <c r="F418" t="s">
        <v>50</v>
      </c>
      <c r="G418">
        <v>5</v>
      </c>
      <c r="H418" t="s">
        <v>18</v>
      </c>
      <c r="I418" t="s">
        <v>32</v>
      </c>
      <c r="J418">
        <f>orders[[#This Row],[Ship Date]]-orders[[#This Row],[Order Date]]</f>
        <v>1</v>
      </c>
      <c r="K418">
        <f>WEEKNUM(orders[[#This Row],[Order Date]])</f>
        <v>4</v>
      </c>
      <c r="L418" t="str" cm="1">
        <f t="array" ref="L418">_xlfn.IFS(orders[[#This Row],[Customer Gender]]="M","Male", orders[[#This Row],[Customer Gender]]="F","Female", orders[[#This Row],[Customer Gender]]="O","Other", TRUE,"Unknown")</f>
        <v>Other</v>
      </c>
      <c r="M418">
        <v>3</v>
      </c>
      <c r="N418">
        <v>36.6</v>
      </c>
      <c r="O418" s="5">
        <v>109.80000000000001</v>
      </c>
    </row>
    <row r="419" spans="1:15" x14ac:dyDescent="0.3">
      <c r="A419" t="s">
        <v>504</v>
      </c>
      <c r="B419" t="s">
        <v>38</v>
      </c>
      <c r="C419" s="7">
        <v>45676</v>
      </c>
      <c r="D419" s="7">
        <v>45677</v>
      </c>
      <c r="E419" t="s">
        <v>22</v>
      </c>
      <c r="F419" t="s">
        <v>34</v>
      </c>
      <c r="G419">
        <v>5</v>
      </c>
      <c r="H419" t="s">
        <v>18</v>
      </c>
      <c r="I419" t="s">
        <v>32</v>
      </c>
      <c r="J419">
        <f>orders[[#This Row],[Ship Date]]-orders[[#This Row],[Order Date]]</f>
        <v>1</v>
      </c>
      <c r="K419">
        <f>WEEKNUM(orders[[#This Row],[Order Date]])</f>
        <v>4</v>
      </c>
      <c r="L419" t="str" cm="1">
        <f t="array" ref="L419">_xlfn.IFS(orders[[#This Row],[Customer Gender]]="M","Male", orders[[#This Row],[Customer Gender]]="F","Female", orders[[#This Row],[Customer Gender]]="O","Other", TRUE,"Unknown")</f>
        <v>Male</v>
      </c>
      <c r="M419">
        <v>7</v>
      </c>
      <c r="N419">
        <v>43.5</v>
      </c>
      <c r="O419">
        <v>304.5</v>
      </c>
    </row>
    <row r="420" spans="1:15" x14ac:dyDescent="0.3">
      <c r="A420" t="s">
        <v>505</v>
      </c>
      <c r="B420" t="s">
        <v>45</v>
      </c>
      <c r="C420" s="7">
        <v>45676</v>
      </c>
      <c r="D420" s="7">
        <v>45676</v>
      </c>
      <c r="E420" t="s">
        <v>26</v>
      </c>
      <c r="F420" t="s">
        <v>50</v>
      </c>
      <c r="G420">
        <v>4</v>
      </c>
      <c r="H420" t="s">
        <v>18</v>
      </c>
      <c r="I420" t="s">
        <v>32</v>
      </c>
      <c r="J420">
        <f>orders[[#This Row],[Ship Date]]-orders[[#This Row],[Order Date]]</f>
        <v>0</v>
      </c>
      <c r="K420">
        <f>WEEKNUM(orders[[#This Row],[Order Date]])</f>
        <v>4</v>
      </c>
      <c r="L420" t="str" cm="1">
        <f t="array" ref="L420">_xlfn.IFS(orders[[#This Row],[Customer Gender]]="M","Male", orders[[#This Row],[Customer Gender]]="F","Female", orders[[#This Row],[Customer Gender]]="O","Other", TRUE,"Unknown")</f>
        <v>Female</v>
      </c>
      <c r="M420">
        <v>19</v>
      </c>
      <c r="N420">
        <v>30.5</v>
      </c>
      <c r="O420" s="5">
        <v>579.5</v>
      </c>
    </row>
    <row r="421" spans="1:15" x14ac:dyDescent="0.3">
      <c r="A421" t="s">
        <v>506</v>
      </c>
      <c r="B421" t="s">
        <v>21</v>
      </c>
      <c r="C421" s="7">
        <v>45676</v>
      </c>
      <c r="D421" s="7">
        <v>45680</v>
      </c>
      <c r="E421" t="s">
        <v>22</v>
      </c>
      <c r="F421" t="s">
        <v>50</v>
      </c>
      <c r="G421">
        <v>2</v>
      </c>
      <c r="H421" t="s">
        <v>18</v>
      </c>
      <c r="I421" t="s">
        <v>32</v>
      </c>
      <c r="J421">
        <f>orders[[#This Row],[Ship Date]]-orders[[#This Row],[Order Date]]</f>
        <v>4</v>
      </c>
      <c r="K421">
        <f>WEEKNUM(orders[[#This Row],[Order Date]])</f>
        <v>4</v>
      </c>
      <c r="L421" t="str" cm="1">
        <f t="array" ref="L421">_xlfn.IFS(orders[[#This Row],[Customer Gender]]="M","Male", orders[[#This Row],[Customer Gender]]="F","Female", orders[[#This Row],[Customer Gender]]="O","Other", TRUE,"Unknown")</f>
        <v>Male</v>
      </c>
      <c r="M421">
        <v>2</v>
      </c>
      <c r="N421">
        <v>107.7</v>
      </c>
      <c r="O421">
        <v>215.4</v>
      </c>
    </row>
    <row r="422" spans="1:15" x14ac:dyDescent="0.3">
      <c r="A422" t="s">
        <v>507</v>
      </c>
      <c r="B422" t="s">
        <v>134</v>
      </c>
      <c r="C422" s="7">
        <v>45676</v>
      </c>
      <c r="D422" s="7">
        <v>45677</v>
      </c>
      <c r="E422" t="s">
        <v>22</v>
      </c>
      <c r="F422" t="s">
        <v>34</v>
      </c>
      <c r="G422">
        <v>4</v>
      </c>
      <c r="H422" t="s">
        <v>18</v>
      </c>
      <c r="I422" t="s">
        <v>32</v>
      </c>
      <c r="J422">
        <f>orders[[#This Row],[Ship Date]]-orders[[#This Row],[Order Date]]</f>
        <v>1</v>
      </c>
      <c r="K422">
        <f>WEEKNUM(orders[[#This Row],[Order Date]])</f>
        <v>4</v>
      </c>
      <c r="L422" t="str" cm="1">
        <f t="array" ref="L422">_xlfn.IFS(orders[[#This Row],[Customer Gender]]="M","Male", orders[[#This Row],[Customer Gender]]="F","Female", orders[[#This Row],[Customer Gender]]="O","Other", TRUE,"Unknown")</f>
        <v>Male</v>
      </c>
      <c r="M422">
        <v>26</v>
      </c>
      <c r="N422">
        <v>57.1</v>
      </c>
      <c r="O422" s="5">
        <v>1484.6000000000001</v>
      </c>
    </row>
    <row r="423" spans="1:15" x14ac:dyDescent="0.3">
      <c r="A423" t="s">
        <v>508</v>
      </c>
      <c r="B423" t="s">
        <v>25</v>
      </c>
      <c r="C423" s="7">
        <v>45676</v>
      </c>
      <c r="D423" s="7">
        <v>45677</v>
      </c>
      <c r="E423" t="s">
        <v>26</v>
      </c>
      <c r="F423" t="s">
        <v>69</v>
      </c>
      <c r="G423">
        <v>5</v>
      </c>
      <c r="H423" t="s">
        <v>18</v>
      </c>
      <c r="I423" t="s">
        <v>32</v>
      </c>
      <c r="J423">
        <f>orders[[#This Row],[Ship Date]]-orders[[#This Row],[Order Date]]</f>
        <v>1</v>
      </c>
      <c r="K423">
        <f>WEEKNUM(orders[[#This Row],[Order Date]])</f>
        <v>4</v>
      </c>
      <c r="L423" t="str" cm="1">
        <f t="array" ref="L423">_xlfn.IFS(orders[[#This Row],[Customer Gender]]="M","Male", orders[[#This Row],[Customer Gender]]="F","Female", orders[[#This Row],[Customer Gender]]="O","Other", TRUE,"Unknown")</f>
        <v>Female</v>
      </c>
      <c r="M423">
        <v>10</v>
      </c>
      <c r="N423">
        <v>111.7</v>
      </c>
      <c r="O423">
        <v>1117</v>
      </c>
    </row>
    <row r="424" spans="1:15" x14ac:dyDescent="0.3">
      <c r="A424" t="s">
        <v>509</v>
      </c>
      <c r="B424" t="s">
        <v>145</v>
      </c>
      <c r="C424" s="7">
        <v>45676</v>
      </c>
      <c r="D424" s="7">
        <v>45679</v>
      </c>
      <c r="E424" t="s">
        <v>22</v>
      </c>
      <c r="F424" t="s">
        <v>50</v>
      </c>
      <c r="G424">
        <v>5</v>
      </c>
      <c r="H424" t="s">
        <v>18</v>
      </c>
      <c r="I424" t="s">
        <v>32</v>
      </c>
      <c r="J424">
        <f>orders[[#This Row],[Ship Date]]-orders[[#This Row],[Order Date]]</f>
        <v>3</v>
      </c>
      <c r="K424">
        <f>WEEKNUM(orders[[#This Row],[Order Date]])</f>
        <v>4</v>
      </c>
      <c r="L424" t="str" cm="1">
        <f t="array" ref="L424">_xlfn.IFS(orders[[#This Row],[Customer Gender]]="M","Male", orders[[#This Row],[Customer Gender]]="F","Female", orders[[#This Row],[Customer Gender]]="O","Other", TRUE,"Unknown")</f>
        <v>Male</v>
      </c>
      <c r="M424">
        <v>7</v>
      </c>
      <c r="N424">
        <v>44.3</v>
      </c>
      <c r="O424" s="5">
        <v>310.09999999999997</v>
      </c>
    </row>
    <row r="425" spans="1:15" x14ac:dyDescent="0.3">
      <c r="A425" t="s">
        <v>510</v>
      </c>
      <c r="B425" t="s">
        <v>25</v>
      </c>
      <c r="C425" s="7">
        <v>45676</v>
      </c>
      <c r="D425" s="7">
        <v>45682</v>
      </c>
      <c r="E425" t="s">
        <v>88</v>
      </c>
      <c r="F425" t="s">
        <v>17</v>
      </c>
      <c r="G425">
        <v>4</v>
      </c>
      <c r="H425" t="s">
        <v>18</v>
      </c>
      <c r="I425" t="s">
        <v>32</v>
      </c>
      <c r="J425">
        <f>orders[[#This Row],[Ship Date]]-orders[[#This Row],[Order Date]]</f>
        <v>6</v>
      </c>
      <c r="K425">
        <f>WEEKNUM(orders[[#This Row],[Order Date]])</f>
        <v>4</v>
      </c>
      <c r="L425" t="str" cm="1">
        <f t="array" ref="L425">_xlfn.IFS(orders[[#This Row],[Customer Gender]]="M","Male", orders[[#This Row],[Customer Gender]]="F","Female", orders[[#This Row],[Customer Gender]]="O","Other", TRUE,"Unknown")</f>
        <v>Other</v>
      </c>
      <c r="M425">
        <v>8</v>
      </c>
      <c r="N425">
        <v>95.8</v>
      </c>
      <c r="O425">
        <v>766.4</v>
      </c>
    </row>
    <row r="426" spans="1:15" x14ac:dyDescent="0.3">
      <c r="A426" t="s">
        <v>511</v>
      </c>
      <c r="B426" t="s">
        <v>53</v>
      </c>
      <c r="C426" s="7">
        <v>45676</v>
      </c>
      <c r="D426" s="7">
        <v>45679</v>
      </c>
      <c r="E426" t="s">
        <v>26</v>
      </c>
      <c r="F426" t="s">
        <v>50</v>
      </c>
      <c r="G426">
        <v>3</v>
      </c>
      <c r="H426" t="s">
        <v>18</v>
      </c>
      <c r="I426" t="s">
        <v>32</v>
      </c>
      <c r="J426">
        <f>orders[[#This Row],[Ship Date]]-orders[[#This Row],[Order Date]]</f>
        <v>3</v>
      </c>
      <c r="K426">
        <f>WEEKNUM(orders[[#This Row],[Order Date]])</f>
        <v>4</v>
      </c>
      <c r="L426" t="str" cm="1">
        <f t="array" ref="L426">_xlfn.IFS(orders[[#This Row],[Customer Gender]]="M","Male", orders[[#This Row],[Customer Gender]]="F","Female", orders[[#This Row],[Customer Gender]]="O","Other", TRUE,"Unknown")</f>
        <v>Female</v>
      </c>
      <c r="M426">
        <v>7</v>
      </c>
      <c r="N426">
        <v>22.6</v>
      </c>
      <c r="O426" s="5">
        <v>158.20000000000002</v>
      </c>
    </row>
    <row r="427" spans="1:15" x14ac:dyDescent="0.3">
      <c r="A427" t="s">
        <v>512</v>
      </c>
      <c r="B427" t="s">
        <v>43</v>
      </c>
      <c r="C427" s="7">
        <v>45676</v>
      </c>
      <c r="D427" s="7">
        <v>45678</v>
      </c>
      <c r="E427" t="s">
        <v>26</v>
      </c>
      <c r="F427" t="s">
        <v>69</v>
      </c>
      <c r="G427">
        <v>4</v>
      </c>
      <c r="H427" t="s">
        <v>18</v>
      </c>
      <c r="I427" t="s">
        <v>32</v>
      </c>
      <c r="J427">
        <f>orders[[#This Row],[Ship Date]]-orders[[#This Row],[Order Date]]</f>
        <v>2</v>
      </c>
      <c r="K427">
        <f>WEEKNUM(orders[[#This Row],[Order Date]])</f>
        <v>4</v>
      </c>
      <c r="L427" t="str" cm="1">
        <f t="array" ref="L427">_xlfn.IFS(orders[[#This Row],[Customer Gender]]="M","Male", orders[[#This Row],[Customer Gender]]="F","Female", orders[[#This Row],[Customer Gender]]="O","Other", TRUE,"Unknown")</f>
        <v>Female</v>
      </c>
      <c r="M427">
        <v>8</v>
      </c>
      <c r="N427">
        <v>25.6</v>
      </c>
      <c r="O427">
        <v>204.8</v>
      </c>
    </row>
    <row r="428" spans="1:15" x14ac:dyDescent="0.3">
      <c r="A428" t="s">
        <v>513</v>
      </c>
      <c r="B428" t="s">
        <v>38</v>
      </c>
      <c r="C428" s="7">
        <v>45676</v>
      </c>
      <c r="D428" s="7">
        <v>45679</v>
      </c>
      <c r="E428" t="s">
        <v>26</v>
      </c>
      <c r="F428" t="s">
        <v>69</v>
      </c>
      <c r="G428">
        <v>4</v>
      </c>
      <c r="H428" t="s">
        <v>18</v>
      </c>
      <c r="I428" t="s">
        <v>32</v>
      </c>
      <c r="J428">
        <f>orders[[#This Row],[Ship Date]]-orders[[#This Row],[Order Date]]</f>
        <v>3</v>
      </c>
      <c r="K428">
        <f>WEEKNUM(orders[[#This Row],[Order Date]])</f>
        <v>4</v>
      </c>
      <c r="L428" t="str" cm="1">
        <f t="array" ref="L428">_xlfn.IFS(orders[[#This Row],[Customer Gender]]="M","Male", orders[[#This Row],[Customer Gender]]="F","Female", orders[[#This Row],[Customer Gender]]="O","Other", TRUE,"Unknown")</f>
        <v>Female</v>
      </c>
      <c r="M428">
        <v>16</v>
      </c>
      <c r="N428">
        <v>54.3</v>
      </c>
      <c r="O428" s="5">
        <v>868.8</v>
      </c>
    </row>
    <row r="429" spans="1:15" x14ac:dyDescent="0.3">
      <c r="A429" t="s">
        <v>514</v>
      </c>
      <c r="B429" t="s">
        <v>145</v>
      </c>
      <c r="C429" s="7">
        <v>45676</v>
      </c>
      <c r="D429" s="7">
        <v>45678</v>
      </c>
      <c r="E429" t="s">
        <v>22</v>
      </c>
      <c r="F429" t="s">
        <v>17</v>
      </c>
      <c r="G429">
        <v>5</v>
      </c>
      <c r="H429" t="s">
        <v>18</v>
      </c>
      <c r="I429" t="s">
        <v>32</v>
      </c>
      <c r="J429">
        <f>orders[[#This Row],[Ship Date]]-orders[[#This Row],[Order Date]]</f>
        <v>2</v>
      </c>
      <c r="K429">
        <f>WEEKNUM(orders[[#This Row],[Order Date]])</f>
        <v>4</v>
      </c>
      <c r="L429" t="str" cm="1">
        <f t="array" ref="L429">_xlfn.IFS(orders[[#This Row],[Customer Gender]]="M","Male", orders[[#This Row],[Customer Gender]]="F","Female", orders[[#This Row],[Customer Gender]]="O","Other", TRUE,"Unknown")</f>
        <v>Male</v>
      </c>
      <c r="M429">
        <v>13</v>
      </c>
      <c r="N429">
        <v>51.3</v>
      </c>
      <c r="O429">
        <v>666.9</v>
      </c>
    </row>
    <row r="430" spans="1:15" x14ac:dyDescent="0.3">
      <c r="A430" t="s">
        <v>515</v>
      </c>
      <c r="B430" t="s">
        <v>16</v>
      </c>
      <c r="C430" s="7">
        <v>45676</v>
      </c>
      <c r="D430" s="7">
        <v>45677</v>
      </c>
      <c r="E430" t="s">
        <v>26</v>
      </c>
      <c r="F430" t="s">
        <v>34</v>
      </c>
      <c r="G430">
        <v>3</v>
      </c>
      <c r="H430" t="s">
        <v>18</v>
      </c>
      <c r="I430" t="s">
        <v>32</v>
      </c>
      <c r="J430">
        <f>orders[[#This Row],[Ship Date]]-orders[[#This Row],[Order Date]]</f>
        <v>1</v>
      </c>
      <c r="K430">
        <f>WEEKNUM(orders[[#This Row],[Order Date]])</f>
        <v>4</v>
      </c>
      <c r="L430" t="str" cm="1">
        <f t="array" ref="L430">_xlfn.IFS(orders[[#This Row],[Customer Gender]]="M","Male", orders[[#This Row],[Customer Gender]]="F","Female", orders[[#This Row],[Customer Gender]]="O","Other", TRUE,"Unknown")</f>
        <v>Female</v>
      </c>
      <c r="M430">
        <v>8</v>
      </c>
      <c r="N430">
        <v>25.6</v>
      </c>
      <c r="O430" s="5">
        <v>204.8</v>
      </c>
    </row>
    <row r="431" spans="1:15" x14ac:dyDescent="0.3">
      <c r="A431" t="s">
        <v>516</v>
      </c>
      <c r="B431" t="s">
        <v>16</v>
      </c>
      <c r="C431" s="7">
        <v>45676</v>
      </c>
      <c r="D431" s="7">
        <v>45677</v>
      </c>
      <c r="E431" t="s">
        <v>26</v>
      </c>
      <c r="F431" t="s">
        <v>39</v>
      </c>
      <c r="G431">
        <v>5</v>
      </c>
      <c r="H431" t="s">
        <v>18</v>
      </c>
      <c r="I431" t="s">
        <v>32</v>
      </c>
      <c r="J431">
        <f>orders[[#This Row],[Ship Date]]-orders[[#This Row],[Order Date]]</f>
        <v>1</v>
      </c>
      <c r="K431">
        <f>WEEKNUM(orders[[#This Row],[Order Date]])</f>
        <v>4</v>
      </c>
      <c r="L431" t="str" cm="1">
        <f t="array" ref="L431">_xlfn.IFS(orders[[#This Row],[Customer Gender]]="M","Male", orders[[#This Row],[Customer Gender]]="F","Female", orders[[#This Row],[Customer Gender]]="O","Other", TRUE,"Unknown")</f>
        <v>Female</v>
      </c>
      <c r="M431">
        <v>2</v>
      </c>
      <c r="N431">
        <v>15.6</v>
      </c>
      <c r="O431">
        <v>31.2</v>
      </c>
    </row>
    <row r="432" spans="1:15" x14ac:dyDescent="0.3">
      <c r="A432" t="s">
        <v>517</v>
      </c>
      <c r="B432" t="s">
        <v>43</v>
      </c>
      <c r="C432" s="7">
        <v>45676</v>
      </c>
      <c r="D432" s="7">
        <v>45680</v>
      </c>
      <c r="E432" t="s">
        <v>26</v>
      </c>
      <c r="F432" t="s">
        <v>17</v>
      </c>
      <c r="G432">
        <v>3</v>
      </c>
      <c r="H432" t="s">
        <v>18</v>
      </c>
      <c r="I432" t="s">
        <v>32</v>
      </c>
      <c r="J432">
        <f>orders[[#This Row],[Ship Date]]-orders[[#This Row],[Order Date]]</f>
        <v>4</v>
      </c>
      <c r="K432">
        <f>WEEKNUM(orders[[#This Row],[Order Date]])</f>
        <v>4</v>
      </c>
      <c r="L432" t="str" cm="1">
        <f t="array" ref="L432">_xlfn.IFS(orders[[#This Row],[Customer Gender]]="M","Male", orders[[#This Row],[Customer Gender]]="F","Female", orders[[#This Row],[Customer Gender]]="O","Other", TRUE,"Unknown")</f>
        <v>Female</v>
      </c>
      <c r="M432">
        <v>3</v>
      </c>
      <c r="N432">
        <v>30.3</v>
      </c>
      <c r="O432" s="5">
        <v>90.9</v>
      </c>
    </row>
    <row r="433" spans="1:15" x14ac:dyDescent="0.3">
      <c r="A433" t="s">
        <v>518</v>
      </c>
      <c r="B433" t="s">
        <v>68</v>
      </c>
      <c r="C433" s="7">
        <v>45676</v>
      </c>
      <c r="D433" s="7">
        <v>45681</v>
      </c>
      <c r="E433" t="s">
        <v>26</v>
      </c>
      <c r="F433" t="s">
        <v>17</v>
      </c>
      <c r="G433">
        <v>5</v>
      </c>
      <c r="H433" t="s">
        <v>18</v>
      </c>
      <c r="I433" t="s">
        <v>363</v>
      </c>
      <c r="J433">
        <f>orders[[#This Row],[Ship Date]]-orders[[#This Row],[Order Date]]</f>
        <v>5</v>
      </c>
      <c r="K433">
        <f>WEEKNUM(orders[[#This Row],[Order Date]])</f>
        <v>4</v>
      </c>
      <c r="L433" t="str" cm="1">
        <f t="array" ref="L433">_xlfn.IFS(orders[[#This Row],[Customer Gender]]="M","Male", orders[[#This Row],[Customer Gender]]="F","Female", orders[[#This Row],[Customer Gender]]="O","Other", TRUE,"Unknown")</f>
        <v>Female</v>
      </c>
      <c r="M433">
        <v>2</v>
      </c>
      <c r="N433">
        <v>30.3</v>
      </c>
      <c r="O433">
        <v>60.6</v>
      </c>
    </row>
    <row r="434" spans="1:15" x14ac:dyDescent="0.3">
      <c r="A434" t="s">
        <v>519</v>
      </c>
      <c r="B434" t="s">
        <v>53</v>
      </c>
      <c r="C434" s="7">
        <v>45676</v>
      </c>
      <c r="D434" s="7">
        <v>45683</v>
      </c>
      <c r="E434" t="s">
        <v>26</v>
      </c>
      <c r="F434" t="s">
        <v>39</v>
      </c>
      <c r="G434">
        <v>4</v>
      </c>
      <c r="H434" t="s">
        <v>18</v>
      </c>
      <c r="I434" t="s">
        <v>185</v>
      </c>
      <c r="J434">
        <f>orders[[#This Row],[Ship Date]]-orders[[#This Row],[Order Date]]</f>
        <v>7</v>
      </c>
      <c r="K434">
        <f>WEEKNUM(orders[[#This Row],[Order Date]])</f>
        <v>4</v>
      </c>
      <c r="L434" t="str" cm="1">
        <f t="array" ref="L434">_xlfn.IFS(orders[[#This Row],[Customer Gender]]="M","Male", orders[[#This Row],[Customer Gender]]="F","Female", orders[[#This Row],[Customer Gender]]="O","Other", TRUE,"Unknown")</f>
        <v>Female</v>
      </c>
      <c r="M434">
        <v>3</v>
      </c>
      <c r="N434">
        <v>53</v>
      </c>
      <c r="O434" s="5">
        <v>159</v>
      </c>
    </row>
    <row r="435" spans="1:15" x14ac:dyDescent="0.3">
      <c r="A435" t="s">
        <v>520</v>
      </c>
      <c r="B435" t="s">
        <v>36</v>
      </c>
      <c r="C435" s="7">
        <v>45676</v>
      </c>
      <c r="D435" s="7">
        <v>45679</v>
      </c>
      <c r="E435" t="s">
        <v>22</v>
      </c>
      <c r="F435" t="s">
        <v>39</v>
      </c>
      <c r="G435">
        <v>2</v>
      </c>
      <c r="H435" t="s">
        <v>18</v>
      </c>
      <c r="I435" t="s">
        <v>187</v>
      </c>
      <c r="J435">
        <f>orders[[#This Row],[Ship Date]]-orders[[#This Row],[Order Date]]</f>
        <v>3</v>
      </c>
      <c r="K435">
        <f>WEEKNUM(orders[[#This Row],[Order Date]])</f>
        <v>4</v>
      </c>
      <c r="L435" t="str" cm="1">
        <f t="array" ref="L435">_xlfn.IFS(orders[[#This Row],[Customer Gender]]="M","Male", orders[[#This Row],[Customer Gender]]="F","Female", orders[[#This Row],[Customer Gender]]="O","Other", TRUE,"Unknown")</f>
        <v>Male</v>
      </c>
      <c r="M435">
        <v>18</v>
      </c>
      <c r="N435">
        <v>59.9</v>
      </c>
      <c r="O435">
        <v>1078.2</v>
      </c>
    </row>
    <row r="436" spans="1:15" x14ac:dyDescent="0.3">
      <c r="A436" t="s">
        <v>521</v>
      </c>
      <c r="B436" t="s">
        <v>45</v>
      </c>
      <c r="C436" s="7">
        <v>45676</v>
      </c>
      <c r="D436" s="7">
        <v>45677</v>
      </c>
      <c r="E436" t="s">
        <v>26</v>
      </c>
      <c r="F436" t="s">
        <v>34</v>
      </c>
      <c r="G436">
        <v>5</v>
      </c>
      <c r="H436" t="s">
        <v>18</v>
      </c>
      <c r="I436" t="s">
        <v>54</v>
      </c>
      <c r="J436">
        <f>orders[[#This Row],[Ship Date]]-orders[[#This Row],[Order Date]]</f>
        <v>1</v>
      </c>
      <c r="K436">
        <f>WEEKNUM(orders[[#This Row],[Order Date]])</f>
        <v>4</v>
      </c>
      <c r="L436" t="str" cm="1">
        <f t="array" ref="L436">_xlfn.IFS(orders[[#This Row],[Customer Gender]]="M","Male", orders[[#This Row],[Customer Gender]]="F","Female", orders[[#This Row],[Customer Gender]]="O","Other", TRUE,"Unknown")</f>
        <v>Female</v>
      </c>
      <c r="M436">
        <v>2</v>
      </c>
      <c r="N436">
        <v>45.7</v>
      </c>
      <c r="O436" s="5">
        <v>91.4</v>
      </c>
    </row>
    <row r="437" spans="1:15" x14ac:dyDescent="0.3">
      <c r="A437" t="s">
        <v>522</v>
      </c>
      <c r="B437" t="s">
        <v>43</v>
      </c>
      <c r="C437" s="7">
        <v>45676</v>
      </c>
      <c r="D437" s="7">
        <v>45677</v>
      </c>
      <c r="E437" t="s">
        <v>22</v>
      </c>
      <c r="F437" t="s">
        <v>17</v>
      </c>
      <c r="G437">
        <v>4</v>
      </c>
      <c r="H437" t="s">
        <v>18</v>
      </c>
      <c r="I437" t="s">
        <v>54</v>
      </c>
      <c r="J437">
        <f>orders[[#This Row],[Ship Date]]-orders[[#This Row],[Order Date]]</f>
        <v>1</v>
      </c>
      <c r="K437">
        <f>WEEKNUM(orders[[#This Row],[Order Date]])</f>
        <v>4</v>
      </c>
      <c r="L437" t="str" cm="1">
        <f t="array" ref="L437">_xlfn.IFS(orders[[#This Row],[Customer Gender]]="M","Male", orders[[#This Row],[Customer Gender]]="F","Female", orders[[#This Row],[Customer Gender]]="O","Other", TRUE,"Unknown")</f>
        <v>Male</v>
      </c>
      <c r="M437">
        <v>4</v>
      </c>
      <c r="N437">
        <v>46.1</v>
      </c>
      <c r="O437">
        <v>184.4</v>
      </c>
    </row>
    <row r="438" spans="1:15" x14ac:dyDescent="0.3">
      <c r="A438" t="s">
        <v>523</v>
      </c>
      <c r="B438" t="s">
        <v>43</v>
      </c>
      <c r="C438" s="7">
        <v>45676</v>
      </c>
      <c r="D438" s="7">
        <v>45677</v>
      </c>
      <c r="E438" t="s">
        <v>26</v>
      </c>
      <c r="F438" t="s">
        <v>17</v>
      </c>
      <c r="G438">
        <v>5</v>
      </c>
      <c r="H438" t="s">
        <v>18</v>
      </c>
      <c r="I438" t="s">
        <v>61</v>
      </c>
      <c r="J438">
        <f>orders[[#This Row],[Ship Date]]-orders[[#This Row],[Order Date]]</f>
        <v>1</v>
      </c>
      <c r="K438">
        <f>WEEKNUM(orders[[#This Row],[Order Date]])</f>
        <v>4</v>
      </c>
      <c r="L438" t="str" cm="1">
        <f t="array" ref="L438">_xlfn.IFS(orders[[#This Row],[Customer Gender]]="M","Male", orders[[#This Row],[Customer Gender]]="F","Female", orders[[#This Row],[Customer Gender]]="O","Other", TRUE,"Unknown")</f>
        <v>Female</v>
      </c>
      <c r="M438">
        <v>3</v>
      </c>
      <c r="N438">
        <v>17.5</v>
      </c>
      <c r="O438" s="5">
        <v>52.5</v>
      </c>
    </row>
    <row r="439" spans="1:15" x14ac:dyDescent="0.3">
      <c r="A439" t="s">
        <v>524</v>
      </c>
      <c r="B439" t="s">
        <v>53</v>
      </c>
      <c r="C439" s="7">
        <v>45676</v>
      </c>
      <c r="D439" s="7">
        <v>45687</v>
      </c>
      <c r="E439" t="s">
        <v>22</v>
      </c>
      <c r="F439" t="s">
        <v>39</v>
      </c>
      <c r="G439">
        <v>4</v>
      </c>
      <c r="H439" t="s">
        <v>18</v>
      </c>
      <c r="I439" t="s">
        <v>61</v>
      </c>
      <c r="J439">
        <f>orders[[#This Row],[Ship Date]]-orders[[#This Row],[Order Date]]</f>
        <v>11</v>
      </c>
      <c r="K439">
        <f>WEEKNUM(orders[[#This Row],[Order Date]])</f>
        <v>4</v>
      </c>
      <c r="L439" t="str" cm="1">
        <f t="array" ref="L439">_xlfn.IFS(orders[[#This Row],[Customer Gender]]="M","Male", orders[[#This Row],[Customer Gender]]="F","Female", orders[[#This Row],[Customer Gender]]="O","Other", TRUE,"Unknown")</f>
        <v>Male</v>
      </c>
      <c r="M439">
        <v>3</v>
      </c>
      <c r="N439">
        <v>36.5</v>
      </c>
      <c r="O439">
        <v>109.5</v>
      </c>
    </row>
    <row r="440" spans="1:15" x14ac:dyDescent="0.3">
      <c r="A440" t="s">
        <v>525</v>
      </c>
      <c r="B440" t="s">
        <v>43</v>
      </c>
      <c r="C440" s="7">
        <v>45677</v>
      </c>
      <c r="D440" s="7">
        <v>45679</v>
      </c>
      <c r="E440" t="s">
        <v>26</v>
      </c>
      <c r="F440" t="s">
        <v>34</v>
      </c>
      <c r="G440">
        <v>4</v>
      </c>
      <c r="H440" t="s">
        <v>18</v>
      </c>
      <c r="I440" t="s">
        <v>61</v>
      </c>
      <c r="J440">
        <f>orders[[#This Row],[Ship Date]]-orders[[#This Row],[Order Date]]</f>
        <v>2</v>
      </c>
      <c r="K440">
        <f>WEEKNUM(orders[[#This Row],[Order Date]])</f>
        <v>4</v>
      </c>
      <c r="L440" t="str" cm="1">
        <f t="array" ref="L440">_xlfn.IFS(orders[[#This Row],[Customer Gender]]="M","Male", orders[[#This Row],[Customer Gender]]="F","Female", orders[[#This Row],[Customer Gender]]="O","Other", TRUE,"Unknown")</f>
        <v>Female</v>
      </c>
      <c r="M440">
        <v>2</v>
      </c>
      <c r="N440">
        <v>47.5</v>
      </c>
      <c r="O440" s="5">
        <v>95</v>
      </c>
    </row>
    <row r="441" spans="1:15" x14ac:dyDescent="0.3">
      <c r="A441" t="s">
        <v>526</v>
      </c>
      <c r="B441" t="s">
        <v>38</v>
      </c>
      <c r="C441" s="7">
        <v>45677</v>
      </c>
      <c r="D441" s="7">
        <v>45679</v>
      </c>
      <c r="E441" t="s">
        <v>26</v>
      </c>
      <c r="F441" t="s">
        <v>17</v>
      </c>
      <c r="G441">
        <v>5</v>
      </c>
      <c r="H441" t="s">
        <v>18</v>
      </c>
      <c r="I441" t="s">
        <v>61</v>
      </c>
      <c r="J441">
        <f>orders[[#This Row],[Ship Date]]-orders[[#This Row],[Order Date]]</f>
        <v>2</v>
      </c>
      <c r="K441">
        <f>WEEKNUM(orders[[#This Row],[Order Date]])</f>
        <v>4</v>
      </c>
      <c r="L441" t="str" cm="1">
        <f t="array" ref="L441">_xlfn.IFS(orders[[#This Row],[Customer Gender]]="M","Male", orders[[#This Row],[Customer Gender]]="F","Female", orders[[#This Row],[Customer Gender]]="O","Other", TRUE,"Unknown")</f>
        <v>Female</v>
      </c>
      <c r="M441">
        <v>5</v>
      </c>
      <c r="N441">
        <v>45.6</v>
      </c>
      <c r="O441">
        <v>228</v>
      </c>
    </row>
    <row r="442" spans="1:15" x14ac:dyDescent="0.3">
      <c r="A442" t="s">
        <v>527</v>
      </c>
      <c r="B442" t="s">
        <v>45</v>
      </c>
      <c r="C442" s="7">
        <v>45677</v>
      </c>
      <c r="D442" s="7">
        <v>45679</v>
      </c>
      <c r="E442" t="s">
        <v>22</v>
      </c>
      <c r="F442" t="s">
        <v>17</v>
      </c>
      <c r="G442">
        <v>3</v>
      </c>
      <c r="H442" t="s">
        <v>18</v>
      </c>
      <c r="I442" t="s">
        <v>102</v>
      </c>
      <c r="J442">
        <f>orders[[#This Row],[Ship Date]]-orders[[#This Row],[Order Date]]</f>
        <v>2</v>
      </c>
      <c r="K442">
        <f>WEEKNUM(orders[[#This Row],[Order Date]])</f>
        <v>4</v>
      </c>
      <c r="L442" t="str" cm="1">
        <f t="array" ref="L442">_xlfn.IFS(orders[[#This Row],[Customer Gender]]="M","Male", orders[[#This Row],[Customer Gender]]="F","Female", orders[[#This Row],[Customer Gender]]="O","Other", TRUE,"Unknown")</f>
        <v>Male</v>
      </c>
      <c r="M442">
        <v>2</v>
      </c>
      <c r="N442">
        <v>50.5</v>
      </c>
      <c r="O442" s="5">
        <v>101</v>
      </c>
    </row>
    <row r="443" spans="1:15" x14ac:dyDescent="0.3">
      <c r="A443" t="s">
        <v>528</v>
      </c>
      <c r="B443" t="s">
        <v>25</v>
      </c>
      <c r="C443" s="7">
        <v>45677</v>
      </c>
      <c r="D443" s="7">
        <v>45680</v>
      </c>
      <c r="E443" t="s">
        <v>26</v>
      </c>
      <c r="F443" t="s">
        <v>39</v>
      </c>
      <c r="G443">
        <v>3</v>
      </c>
      <c r="H443" t="s">
        <v>18</v>
      </c>
      <c r="I443" t="s">
        <v>102</v>
      </c>
      <c r="J443">
        <f>orders[[#This Row],[Ship Date]]-orders[[#This Row],[Order Date]]</f>
        <v>3</v>
      </c>
      <c r="K443">
        <f>WEEKNUM(orders[[#This Row],[Order Date]])</f>
        <v>4</v>
      </c>
      <c r="L443" t="str" cm="1">
        <f t="array" ref="L443">_xlfn.IFS(orders[[#This Row],[Customer Gender]]="M","Male", orders[[#This Row],[Customer Gender]]="F","Female", orders[[#This Row],[Customer Gender]]="O","Other", TRUE,"Unknown")</f>
        <v>Female</v>
      </c>
      <c r="M443">
        <v>10</v>
      </c>
      <c r="N443">
        <v>99.8</v>
      </c>
      <c r="O443">
        <v>998</v>
      </c>
    </row>
    <row r="444" spans="1:15" x14ac:dyDescent="0.3">
      <c r="A444" t="s">
        <v>529</v>
      </c>
      <c r="B444" t="s">
        <v>43</v>
      </c>
      <c r="C444" s="7">
        <v>45677</v>
      </c>
      <c r="D444" s="7">
        <v>45679</v>
      </c>
      <c r="E444" t="s">
        <v>88</v>
      </c>
      <c r="F444" t="s">
        <v>69</v>
      </c>
      <c r="G444">
        <v>3</v>
      </c>
      <c r="H444" t="s">
        <v>18</v>
      </c>
      <c r="I444" t="s">
        <v>200</v>
      </c>
      <c r="J444">
        <f>orders[[#This Row],[Ship Date]]-orders[[#This Row],[Order Date]]</f>
        <v>2</v>
      </c>
      <c r="K444">
        <f>WEEKNUM(orders[[#This Row],[Order Date]])</f>
        <v>4</v>
      </c>
      <c r="L444" t="str" cm="1">
        <f t="array" ref="L444">_xlfn.IFS(orders[[#This Row],[Customer Gender]]="M","Male", orders[[#This Row],[Customer Gender]]="F","Female", orders[[#This Row],[Customer Gender]]="O","Other", TRUE,"Unknown")</f>
        <v>Other</v>
      </c>
      <c r="M444">
        <v>15</v>
      </c>
      <c r="N444">
        <v>19.2</v>
      </c>
      <c r="O444" s="5">
        <v>288</v>
      </c>
    </row>
    <row r="445" spans="1:15" x14ac:dyDescent="0.3">
      <c r="A445" t="s">
        <v>530</v>
      </c>
      <c r="B445" t="s">
        <v>134</v>
      </c>
      <c r="C445" s="7">
        <v>45677</v>
      </c>
      <c r="D445" s="7">
        <v>45678</v>
      </c>
      <c r="E445" t="s">
        <v>22</v>
      </c>
      <c r="F445" t="s">
        <v>34</v>
      </c>
      <c r="G445">
        <v>4</v>
      </c>
      <c r="H445" t="s">
        <v>18</v>
      </c>
      <c r="I445" t="s">
        <v>76</v>
      </c>
      <c r="J445">
        <f>orders[[#This Row],[Ship Date]]-orders[[#This Row],[Order Date]]</f>
        <v>1</v>
      </c>
      <c r="K445">
        <f>WEEKNUM(orders[[#This Row],[Order Date]])</f>
        <v>4</v>
      </c>
      <c r="L445" t="str" cm="1">
        <f t="array" ref="L445">_xlfn.IFS(orders[[#This Row],[Customer Gender]]="M","Male", orders[[#This Row],[Customer Gender]]="F","Female", orders[[#This Row],[Customer Gender]]="O","Other", TRUE,"Unknown")</f>
        <v>Male</v>
      </c>
      <c r="M445">
        <v>3</v>
      </c>
      <c r="N445">
        <v>22.6</v>
      </c>
      <c r="O445">
        <v>67.800000000000011</v>
      </c>
    </row>
    <row r="446" spans="1:15" x14ac:dyDescent="0.3">
      <c r="A446" t="s">
        <v>531</v>
      </c>
      <c r="B446" t="s">
        <v>21</v>
      </c>
      <c r="C446" s="7">
        <v>45677</v>
      </c>
      <c r="D446" s="7">
        <v>45679</v>
      </c>
      <c r="E446" t="s">
        <v>26</v>
      </c>
      <c r="F446" t="s">
        <v>17</v>
      </c>
      <c r="G446">
        <v>5</v>
      </c>
      <c r="H446" t="s">
        <v>18</v>
      </c>
      <c r="I446" t="s">
        <v>76</v>
      </c>
      <c r="J446">
        <f>orders[[#This Row],[Ship Date]]-orders[[#This Row],[Order Date]]</f>
        <v>2</v>
      </c>
      <c r="K446">
        <f>WEEKNUM(orders[[#This Row],[Order Date]])</f>
        <v>4</v>
      </c>
      <c r="L446" t="str" cm="1">
        <f t="array" ref="L446">_xlfn.IFS(orders[[#This Row],[Customer Gender]]="M","Male", orders[[#This Row],[Customer Gender]]="F","Female", orders[[#This Row],[Customer Gender]]="O","Other", TRUE,"Unknown")</f>
        <v>Female</v>
      </c>
      <c r="M446">
        <v>15</v>
      </c>
      <c r="N446">
        <v>126.9</v>
      </c>
      <c r="O446" s="5">
        <v>1903.5</v>
      </c>
    </row>
    <row r="447" spans="1:15" x14ac:dyDescent="0.3">
      <c r="A447" t="s">
        <v>532</v>
      </c>
      <c r="B447" t="s">
        <v>25</v>
      </c>
      <c r="C447" s="7">
        <v>45677</v>
      </c>
      <c r="D447" s="7">
        <v>45678</v>
      </c>
      <c r="E447" t="s">
        <v>26</v>
      </c>
      <c r="F447" t="s">
        <v>17</v>
      </c>
      <c r="G447">
        <v>3</v>
      </c>
      <c r="H447" t="s">
        <v>18</v>
      </c>
      <c r="I447" t="s">
        <v>76</v>
      </c>
      <c r="J447">
        <f>orders[[#This Row],[Ship Date]]-orders[[#This Row],[Order Date]]</f>
        <v>1</v>
      </c>
      <c r="K447">
        <f>WEEKNUM(orders[[#This Row],[Order Date]])</f>
        <v>4</v>
      </c>
      <c r="L447" t="str" cm="1">
        <f t="array" ref="L447">_xlfn.IFS(orders[[#This Row],[Customer Gender]]="M","Male", orders[[#This Row],[Customer Gender]]="F","Female", orders[[#This Row],[Customer Gender]]="O","Other", TRUE,"Unknown")</f>
        <v>Female</v>
      </c>
      <c r="M447">
        <v>2</v>
      </c>
      <c r="N447">
        <v>100.3</v>
      </c>
      <c r="O447">
        <v>200.6</v>
      </c>
    </row>
    <row r="448" spans="1:15" x14ac:dyDescent="0.3">
      <c r="A448" t="s">
        <v>533</v>
      </c>
      <c r="B448" t="s">
        <v>31</v>
      </c>
      <c r="C448" s="7">
        <v>45677</v>
      </c>
      <c r="D448" s="7">
        <v>45678</v>
      </c>
      <c r="E448" t="s">
        <v>26</v>
      </c>
      <c r="F448" t="s">
        <v>69</v>
      </c>
      <c r="G448">
        <v>4</v>
      </c>
      <c r="H448" t="s">
        <v>18</v>
      </c>
      <c r="I448" t="s">
        <v>81</v>
      </c>
      <c r="J448">
        <f>orders[[#This Row],[Ship Date]]-orders[[#This Row],[Order Date]]</f>
        <v>1</v>
      </c>
      <c r="K448">
        <f>WEEKNUM(orders[[#This Row],[Order Date]])</f>
        <v>4</v>
      </c>
      <c r="L448" t="str" cm="1">
        <f t="array" ref="L448">_xlfn.IFS(orders[[#This Row],[Customer Gender]]="M","Male", orders[[#This Row],[Customer Gender]]="F","Female", orders[[#This Row],[Customer Gender]]="O","Other", TRUE,"Unknown")</f>
        <v>Female</v>
      </c>
      <c r="M448">
        <v>18</v>
      </c>
      <c r="N448">
        <v>24.6</v>
      </c>
      <c r="O448" s="5">
        <v>442.8</v>
      </c>
    </row>
    <row r="449" spans="1:15" x14ac:dyDescent="0.3">
      <c r="A449" t="s">
        <v>534</v>
      </c>
      <c r="B449" t="s">
        <v>38</v>
      </c>
      <c r="C449" s="7">
        <v>45677</v>
      </c>
      <c r="D449" s="7">
        <v>45678</v>
      </c>
      <c r="E449" t="s">
        <v>22</v>
      </c>
      <c r="F449" t="s">
        <v>34</v>
      </c>
      <c r="G449">
        <v>5</v>
      </c>
      <c r="H449" t="s">
        <v>18</v>
      </c>
      <c r="I449" t="s">
        <v>81</v>
      </c>
      <c r="J449">
        <f>orders[[#This Row],[Ship Date]]-orders[[#This Row],[Order Date]]</f>
        <v>1</v>
      </c>
      <c r="K449">
        <f>WEEKNUM(orders[[#This Row],[Order Date]])</f>
        <v>4</v>
      </c>
      <c r="L449" t="str" cm="1">
        <f t="array" ref="L449">_xlfn.IFS(orders[[#This Row],[Customer Gender]]="M","Male", orders[[#This Row],[Customer Gender]]="F","Female", orders[[#This Row],[Customer Gender]]="O","Other", TRUE,"Unknown")</f>
        <v>Male</v>
      </c>
      <c r="M449">
        <v>2</v>
      </c>
      <c r="N449">
        <v>47.3</v>
      </c>
      <c r="O449">
        <v>94.6</v>
      </c>
    </row>
    <row r="450" spans="1:15" x14ac:dyDescent="0.3">
      <c r="A450" t="s">
        <v>535</v>
      </c>
      <c r="B450" t="s">
        <v>38</v>
      </c>
      <c r="C450" s="7">
        <v>45677</v>
      </c>
      <c r="D450" s="7">
        <v>45680</v>
      </c>
      <c r="E450" t="s">
        <v>26</v>
      </c>
      <c r="F450" t="s">
        <v>39</v>
      </c>
      <c r="G450">
        <v>5</v>
      </c>
      <c r="H450" t="s">
        <v>18</v>
      </c>
      <c r="I450" t="s">
        <v>114</v>
      </c>
      <c r="J450">
        <f>orders[[#This Row],[Ship Date]]-orders[[#This Row],[Order Date]]</f>
        <v>3</v>
      </c>
      <c r="K450">
        <f>WEEKNUM(orders[[#This Row],[Order Date]])</f>
        <v>4</v>
      </c>
      <c r="L450" t="str" cm="1">
        <f t="array" ref="L450">_xlfn.IFS(orders[[#This Row],[Customer Gender]]="M","Male", orders[[#This Row],[Customer Gender]]="F","Female", orders[[#This Row],[Customer Gender]]="O","Other", TRUE,"Unknown")</f>
        <v>Female</v>
      </c>
      <c r="M450">
        <v>7</v>
      </c>
      <c r="N450">
        <v>40.799999999999997</v>
      </c>
      <c r="O450" s="5">
        <v>285.59999999999997</v>
      </c>
    </row>
    <row r="451" spans="1:15" x14ac:dyDescent="0.3">
      <c r="A451" t="s">
        <v>536</v>
      </c>
      <c r="B451" t="s">
        <v>43</v>
      </c>
      <c r="C451" s="7">
        <v>45677</v>
      </c>
      <c r="D451" s="7">
        <v>45679</v>
      </c>
      <c r="E451" t="s">
        <v>26</v>
      </c>
      <c r="F451" t="s">
        <v>17</v>
      </c>
      <c r="G451">
        <v>4</v>
      </c>
      <c r="H451" t="s">
        <v>18</v>
      </c>
      <c r="I451" t="s">
        <v>23</v>
      </c>
      <c r="J451">
        <f>orders[[#This Row],[Ship Date]]-orders[[#This Row],[Order Date]]</f>
        <v>2</v>
      </c>
      <c r="K451">
        <f>WEEKNUM(orders[[#This Row],[Order Date]])</f>
        <v>4</v>
      </c>
      <c r="L451" t="str" cm="1">
        <f t="array" ref="L451">_xlfn.IFS(orders[[#This Row],[Customer Gender]]="M","Male", orders[[#This Row],[Customer Gender]]="F","Female", orders[[#This Row],[Customer Gender]]="O","Other", TRUE,"Unknown")</f>
        <v>Female</v>
      </c>
      <c r="M451">
        <v>8</v>
      </c>
      <c r="N451">
        <v>49.2</v>
      </c>
      <c r="O451">
        <v>393.6</v>
      </c>
    </row>
    <row r="452" spans="1:15" x14ac:dyDescent="0.3">
      <c r="A452" t="s">
        <v>537</v>
      </c>
      <c r="B452" t="s">
        <v>43</v>
      </c>
      <c r="C452" s="7">
        <v>45677</v>
      </c>
      <c r="D452" s="7">
        <v>45679</v>
      </c>
      <c r="E452" t="s">
        <v>2517</v>
      </c>
      <c r="F452" t="s">
        <v>39</v>
      </c>
      <c r="G452">
        <v>3</v>
      </c>
      <c r="H452" t="s">
        <v>18</v>
      </c>
      <c r="I452" t="s">
        <v>32</v>
      </c>
      <c r="J452">
        <f>orders[[#This Row],[Ship Date]]-orders[[#This Row],[Order Date]]</f>
        <v>2</v>
      </c>
      <c r="K452">
        <f>WEEKNUM(orders[[#This Row],[Order Date]])</f>
        <v>4</v>
      </c>
      <c r="L452" t="str" cm="1">
        <f t="array" ref="L452">_xlfn.IFS(orders[[#This Row],[Customer Gender]]="M","Male", orders[[#This Row],[Customer Gender]]="F","Female", orders[[#This Row],[Customer Gender]]="O","Other", TRUE,"Unknown")</f>
        <v>Unknown</v>
      </c>
      <c r="M452">
        <v>1</v>
      </c>
      <c r="N452">
        <v>28.5</v>
      </c>
      <c r="O452" s="5">
        <v>28.5</v>
      </c>
    </row>
    <row r="453" spans="1:15" x14ac:dyDescent="0.3">
      <c r="A453" t="s">
        <v>538</v>
      </c>
      <c r="B453" t="s">
        <v>145</v>
      </c>
      <c r="C453" s="7">
        <v>45677</v>
      </c>
      <c r="D453" s="7">
        <v>45683</v>
      </c>
      <c r="E453" t="s">
        <v>26</v>
      </c>
      <c r="F453" t="s">
        <v>17</v>
      </c>
      <c r="G453">
        <v>5</v>
      </c>
      <c r="H453" t="s">
        <v>18</v>
      </c>
      <c r="I453" t="s">
        <v>32</v>
      </c>
      <c r="J453">
        <f>orders[[#This Row],[Ship Date]]-orders[[#This Row],[Order Date]]</f>
        <v>6</v>
      </c>
      <c r="K453">
        <f>WEEKNUM(orders[[#This Row],[Order Date]])</f>
        <v>4</v>
      </c>
      <c r="L453" t="str" cm="1">
        <f t="array" ref="L453">_xlfn.IFS(orders[[#This Row],[Customer Gender]]="M","Male", orders[[#This Row],[Customer Gender]]="F","Female", orders[[#This Row],[Customer Gender]]="O","Other", TRUE,"Unknown")</f>
        <v>Female</v>
      </c>
      <c r="M453">
        <v>2</v>
      </c>
      <c r="N453">
        <v>36.799999999999997</v>
      </c>
      <c r="O453">
        <v>73.599999999999994</v>
      </c>
    </row>
    <row r="454" spans="1:15" x14ac:dyDescent="0.3">
      <c r="A454" t="s">
        <v>539</v>
      </c>
      <c r="B454" t="s">
        <v>41</v>
      </c>
      <c r="C454" s="7">
        <v>45677</v>
      </c>
      <c r="D454" s="7">
        <v>45678</v>
      </c>
      <c r="E454" t="s">
        <v>26</v>
      </c>
      <c r="F454" t="s">
        <v>17</v>
      </c>
      <c r="G454">
        <v>3</v>
      </c>
      <c r="H454" t="s">
        <v>18</v>
      </c>
      <c r="I454" t="s">
        <v>32</v>
      </c>
      <c r="J454">
        <f>orders[[#This Row],[Ship Date]]-orders[[#This Row],[Order Date]]</f>
        <v>1</v>
      </c>
      <c r="K454">
        <f>WEEKNUM(orders[[#This Row],[Order Date]])</f>
        <v>4</v>
      </c>
      <c r="L454" t="str" cm="1">
        <f t="array" ref="L454">_xlfn.IFS(orders[[#This Row],[Customer Gender]]="M","Male", orders[[#This Row],[Customer Gender]]="F","Female", orders[[#This Row],[Customer Gender]]="O","Other", TRUE,"Unknown")</f>
        <v>Female</v>
      </c>
      <c r="M454">
        <v>3</v>
      </c>
      <c r="N454">
        <v>33.5</v>
      </c>
      <c r="O454" s="5">
        <v>100.5</v>
      </c>
    </row>
    <row r="455" spans="1:15" x14ac:dyDescent="0.3">
      <c r="A455" t="s">
        <v>540</v>
      </c>
      <c r="B455" t="s">
        <v>38</v>
      </c>
      <c r="C455" s="7">
        <v>45677</v>
      </c>
      <c r="D455" s="7">
        <v>45679</v>
      </c>
      <c r="E455" t="s">
        <v>26</v>
      </c>
      <c r="F455" t="s">
        <v>17</v>
      </c>
      <c r="G455">
        <v>4</v>
      </c>
      <c r="H455" t="s">
        <v>18</v>
      </c>
      <c r="I455" t="s">
        <v>32</v>
      </c>
      <c r="J455">
        <f>orders[[#This Row],[Ship Date]]-orders[[#This Row],[Order Date]]</f>
        <v>2</v>
      </c>
      <c r="K455">
        <f>WEEKNUM(orders[[#This Row],[Order Date]])</f>
        <v>4</v>
      </c>
      <c r="L455" t="str" cm="1">
        <f t="array" ref="L455">_xlfn.IFS(orders[[#This Row],[Customer Gender]]="M","Male", orders[[#This Row],[Customer Gender]]="F","Female", orders[[#This Row],[Customer Gender]]="O","Other", TRUE,"Unknown")</f>
        <v>Female</v>
      </c>
      <c r="M455">
        <v>6</v>
      </c>
      <c r="N455">
        <v>62.5</v>
      </c>
      <c r="O455">
        <v>375</v>
      </c>
    </row>
    <row r="456" spans="1:15" x14ac:dyDescent="0.3">
      <c r="A456" t="s">
        <v>541</v>
      </c>
      <c r="B456" t="s">
        <v>43</v>
      </c>
      <c r="C456" s="7">
        <v>45677</v>
      </c>
      <c r="D456" s="7">
        <v>45678</v>
      </c>
      <c r="E456" t="s">
        <v>26</v>
      </c>
      <c r="F456" t="s">
        <v>50</v>
      </c>
      <c r="G456">
        <v>4</v>
      </c>
      <c r="H456" t="s">
        <v>18</v>
      </c>
      <c r="I456" t="s">
        <v>32</v>
      </c>
      <c r="J456">
        <f>orders[[#This Row],[Ship Date]]-orders[[#This Row],[Order Date]]</f>
        <v>1</v>
      </c>
      <c r="K456">
        <f>WEEKNUM(orders[[#This Row],[Order Date]])</f>
        <v>4</v>
      </c>
      <c r="L456" t="str" cm="1">
        <f t="array" ref="L456">_xlfn.IFS(orders[[#This Row],[Customer Gender]]="M","Male", orders[[#This Row],[Customer Gender]]="F","Female", orders[[#This Row],[Customer Gender]]="O","Other", TRUE,"Unknown")</f>
        <v>Female</v>
      </c>
      <c r="M456">
        <v>40</v>
      </c>
      <c r="N456">
        <v>47.9</v>
      </c>
      <c r="O456" s="5">
        <v>1916</v>
      </c>
    </row>
    <row r="457" spans="1:15" x14ac:dyDescent="0.3">
      <c r="A457" t="s">
        <v>542</v>
      </c>
      <c r="B457" t="s">
        <v>38</v>
      </c>
      <c r="C457" s="7">
        <v>45677</v>
      </c>
      <c r="D457" s="7">
        <v>45688</v>
      </c>
      <c r="E457" t="s">
        <v>26</v>
      </c>
      <c r="F457" t="s">
        <v>17</v>
      </c>
      <c r="G457">
        <v>2</v>
      </c>
      <c r="H457" t="s">
        <v>18</v>
      </c>
      <c r="I457" t="s">
        <v>32</v>
      </c>
      <c r="J457">
        <f>orders[[#This Row],[Ship Date]]-orders[[#This Row],[Order Date]]</f>
        <v>11</v>
      </c>
      <c r="K457">
        <f>WEEKNUM(orders[[#This Row],[Order Date]])</f>
        <v>4</v>
      </c>
      <c r="L457" t="str" cm="1">
        <f t="array" ref="L457">_xlfn.IFS(orders[[#This Row],[Customer Gender]]="M","Male", orders[[#This Row],[Customer Gender]]="F","Female", orders[[#This Row],[Customer Gender]]="O","Other", TRUE,"Unknown")</f>
        <v>Female</v>
      </c>
      <c r="M457">
        <v>6</v>
      </c>
      <c r="N457">
        <v>92.9</v>
      </c>
      <c r="O457">
        <v>557.40000000000009</v>
      </c>
    </row>
    <row r="458" spans="1:15" x14ac:dyDescent="0.3">
      <c r="A458" t="s">
        <v>543</v>
      </c>
      <c r="B458" t="s">
        <v>68</v>
      </c>
      <c r="C458" s="7">
        <v>45677</v>
      </c>
      <c r="D458" s="7">
        <v>45677</v>
      </c>
      <c r="E458" t="s">
        <v>26</v>
      </c>
      <c r="F458" t="s">
        <v>34</v>
      </c>
      <c r="G458">
        <v>3</v>
      </c>
      <c r="H458" t="s">
        <v>18</v>
      </c>
      <c r="I458" t="s">
        <v>544</v>
      </c>
      <c r="J458">
        <f>orders[[#This Row],[Ship Date]]-orders[[#This Row],[Order Date]]</f>
        <v>0</v>
      </c>
      <c r="K458">
        <f>WEEKNUM(orders[[#This Row],[Order Date]])</f>
        <v>4</v>
      </c>
      <c r="L458" t="str" cm="1">
        <f t="array" ref="L458">_xlfn.IFS(orders[[#This Row],[Customer Gender]]="M","Male", orders[[#This Row],[Customer Gender]]="F","Female", orders[[#This Row],[Customer Gender]]="O","Other", TRUE,"Unknown")</f>
        <v>Female</v>
      </c>
      <c r="M458">
        <v>3</v>
      </c>
      <c r="N458">
        <v>44.1</v>
      </c>
      <c r="O458" s="5">
        <v>132.30000000000001</v>
      </c>
    </row>
    <row r="459" spans="1:15" x14ac:dyDescent="0.3">
      <c r="A459" t="s">
        <v>545</v>
      </c>
      <c r="B459" t="s">
        <v>16</v>
      </c>
      <c r="C459" s="7">
        <v>45678</v>
      </c>
      <c r="D459" s="7">
        <v>45680</v>
      </c>
      <c r="E459" t="s">
        <v>26</v>
      </c>
      <c r="F459" t="s">
        <v>39</v>
      </c>
      <c r="G459">
        <v>4</v>
      </c>
      <c r="H459" t="s">
        <v>18</v>
      </c>
      <c r="I459" t="s">
        <v>51</v>
      </c>
      <c r="J459">
        <f>orders[[#This Row],[Ship Date]]-orders[[#This Row],[Order Date]]</f>
        <v>2</v>
      </c>
      <c r="K459">
        <f>WEEKNUM(orders[[#This Row],[Order Date]])</f>
        <v>4</v>
      </c>
      <c r="L459" t="str" cm="1">
        <f t="array" ref="L459">_xlfn.IFS(orders[[#This Row],[Customer Gender]]="M","Male", orders[[#This Row],[Customer Gender]]="F","Female", orders[[#This Row],[Customer Gender]]="O","Other", TRUE,"Unknown")</f>
        <v>Female</v>
      </c>
      <c r="M459">
        <v>1</v>
      </c>
      <c r="N459">
        <v>11.4</v>
      </c>
      <c r="O459">
        <v>11.4</v>
      </c>
    </row>
    <row r="460" spans="1:15" x14ac:dyDescent="0.3">
      <c r="A460" t="s">
        <v>546</v>
      </c>
      <c r="B460" t="s">
        <v>38</v>
      </c>
      <c r="C460" s="7">
        <v>45678</v>
      </c>
      <c r="D460" s="7">
        <v>45680</v>
      </c>
      <c r="E460" t="s">
        <v>26</v>
      </c>
      <c r="F460" t="s">
        <v>17</v>
      </c>
      <c r="G460">
        <v>5</v>
      </c>
      <c r="H460" t="s">
        <v>18</v>
      </c>
      <c r="I460" t="s">
        <v>54</v>
      </c>
      <c r="J460">
        <f>orders[[#This Row],[Ship Date]]-orders[[#This Row],[Order Date]]</f>
        <v>2</v>
      </c>
      <c r="K460">
        <f>WEEKNUM(orders[[#This Row],[Order Date]])</f>
        <v>4</v>
      </c>
      <c r="L460" t="str" cm="1">
        <f t="array" ref="L460">_xlfn.IFS(orders[[#This Row],[Customer Gender]]="M","Male", orders[[#This Row],[Customer Gender]]="F","Female", orders[[#This Row],[Customer Gender]]="O","Other", TRUE,"Unknown")</f>
        <v>Female</v>
      </c>
      <c r="M460">
        <v>1</v>
      </c>
      <c r="N460">
        <v>83.7</v>
      </c>
      <c r="O460" s="5">
        <v>83.7</v>
      </c>
    </row>
    <row r="461" spans="1:15" x14ac:dyDescent="0.3">
      <c r="A461" t="s">
        <v>547</v>
      </c>
      <c r="B461" t="s">
        <v>53</v>
      </c>
      <c r="C461" s="7">
        <v>45678</v>
      </c>
      <c r="D461" s="7">
        <v>45679</v>
      </c>
      <c r="E461" t="s">
        <v>22</v>
      </c>
      <c r="F461" t="s">
        <v>39</v>
      </c>
      <c r="G461">
        <v>4</v>
      </c>
      <c r="H461" t="s">
        <v>18</v>
      </c>
      <c r="I461" t="s">
        <v>61</v>
      </c>
      <c r="J461">
        <f>orders[[#This Row],[Ship Date]]-orders[[#This Row],[Order Date]]</f>
        <v>1</v>
      </c>
      <c r="K461">
        <f>WEEKNUM(orders[[#This Row],[Order Date]])</f>
        <v>4</v>
      </c>
      <c r="L461" t="str" cm="1">
        <f t="array" ref="L461">_xlfn.IFS(orders[[#This Row],[Customer Gender]]="M","Male", orders[[#This Row],[Customer Gender]]="F","Female", orders[[#This Row],[Customer Gender]]="O","Other", TRUE,"Unknown")</f>
        <v>Male</v>
      </c>
      <c r="M461">
        <v>2</v>
      </c>
      <c r="N461">
        <v>23.2</v>
      </c>
      <c r="O461">
        <v>46.4</v>
      </c>
    </row>
    <row r="462" spans="1:15" x14ac:dyDescent="0.3">
      <c r="A462" t="s">
        <v>548</v>
      </c>
      <c r="B462" t="s">
        <v>25</v>
      </c>
      <c r="C462" s="7">
        <v>45678</v>
      </c>
      <c r="D462" s="7">
        <v>45681</v>
      </c>
      <c r="E462" t="s">
        <v>26</v>
      </c>
      <c r="F462" t="s">
        <v>17</v>
      </c>
      <c r="G462">
        <v>5</v>
      </c>
      <c r="H462" t="s">
        <v>18</v>
      </c>
      <c r="I462" t="s">
        <v>71</v>
      </c>
      <c r="J462">
        <f>orders[[#This Row],[Ship Date]]-orders[[#This Row],[Order Date]]</f>
        <v>3</v>
      </c>
      <c r="K462">
        <f>WEEKNUM(orders[[#This Row],[Order Date]])</f>
        <v>4</v>
      </c>
      <c r="L462" t="str" cm="1">
        <f t="array" ref="L462">_xlfn.IFS(orders[[#This Row],[Customer Gender]]="M","Male", orders[[#This Row],[Customer Gender]]="F","Female", orders[[#This Row],[Customer Gender]]="O","Other", TRUE,"Unknown")</f>
        <v>Female</v>
      </c>
      <c r="M462">
        <v>1</v>
      </c>
      <c r="N462">
        <v>162.1</v>
      </c>
      <c r="O462" s="5">
        <v>162.1</v>
      </c>
    </row>
    <row r="463" spans="1:15" x14ac:dyDescent="0.3">
      <c r="A463" t="s">
        <v>549</v>
      </c>
      <c r="B463" t="s">
        <v>38</v>
      </c>
      <c r="C463" s="7">
        <v>45678</v>
      </c>
      <c r="D463" s="7">
        <v>45682</v>
      </c>
      <c r="E463" t="s">
        <v>22</v>
      </c>
      <c r="F463" t="s">
        <v>34</v>
      </c>
      <c r="G463">
        <v>4</v>
      </c>
      <c r="H463" t="s">
        <v>18</v>
      </c>
      <c r="I463" t="s">
        <v>71</v>
      </c>
      <c r="J463">
        <f>orders[[#This Row],[Ship Date]]-orders[[#This Row],[Order Date]]</f>
        <v>4</v>
      </c>
      <c r="K463">
        <f>WEEKNUM(orders[[#This Row],[Order Date]])</f>
        <v>4</v>
      </c>
      <c r="L463" t="str" cm="1">
        <f t="array" ref="L463">_xlfn.IFS(orders[[#This Row],[Customer Gender]]="M","Male", orders[[#This Row],[Customer Gender]]="F","Female", orders[[#This Row],[Customer Gender]]="O","Other", TRUE,"Unknown")</f>
        <v>Male</v>
      </c>
      <c r="M463">
        <v>4</v>
      </c>
      <c r="N463">
        <v>49.2</v>
      </c>
      <c r="O463">
        <v>196.8</v>
      </c>
    </row>
    <row r="464" spans="1:15" x14ac:dyDescent="0.3">
      <c r="A464" t="s">
        <v>550</v>
      </c>
      <c r="B464" t="s">
        <v>21</v>
      </c>
      <c r="C464" s="7">
        <v>45678</v>
      </c>
      <c r="D464" s="7">
        <v>45679</v>
      </c>
      <c r="E464" t="s">
        <v>22</v>
      </c>
      <c r="F464" t="s">
        <v>50</v>
      </c>
      <c r="G464">
        <v>4</v>
      </c>
      <c r="H464" t="s">
        <v>18</v>
      </c>
      <c r="I464" t="s">
        <v>73</v>
      </c>
      <c r="J464">
        <f>orders[[#This Row],[Ship Date]]-orders[[#This Row],[Order Date]]</f>
        <v>1</v>
      </c>
      <c r="K464">
        <f>WEEKNUM(orders[[#This Row],[Order Date]])</f>
        <v>4</v>
      </c>
      <c r="L464" t="str" cm="1">
        <f t="array" ref="L464">_xlfn.IFS(orders[[#This Row],[Customer Gender]]="M","Male", orders[[#This Row],[Customer Gender]]="F","Female", orders[[#This Row],[Customer Gender]]="O","Other", TRUE,"Unknown")</f>
        <v>Male</v>
      </c>
      <c r="M464">
        <v>2</v>
      </c>
      <c r="N464">
        <v>61</v>
      </c>
      <c r="O464" s="5">
        <v>122</v>
      </c>
    </row>
    <row r="465" spans="1:15" x14ac:dyDescent="0.3">
      <c r="A465" t="s">
        <v>551</v>
      </c>
      <c r="B465" t="s">
        <v>25</v>
      </c>
      <c r="C465" s="7">
        <v>45678</v>
      </c>
      <c r="D465" s="7">
        <v>45680</v>
      </c>
      <c r="E465" t="s">
        <v>22</v>
      </c>
      <c r="F465" t="s">
        <v>17</v>
      </c>
      <c r="G465">
        <v>4</v>
      </c>
      <c r="H465" t="s">
        <v>18</v>
      </c>
      <c r="I465" t="s">
        <v>76</v>
      </c>
      <c r="J465">
        <f>orders[[#This Row],[Ship Date]]-orders[[#This Row],[Order Date]]</f>
        <v>2</v>
      </c>
      <c r="K465">
        <f>WEEKNUM(orders[[#This Row],[Order Date]])</f>
        <v>4</v>
      </c>
      <c r="L465" t="str" cm="1">
        <f t="array" ref="L465">_xlfn.IFS(orders[[#This Row],[Customer Gender]]="M","Male", orders[[#This Row],[Customer Gender]]="F","Female", orders[[#This Row],[Customer Gender]]="O","Other", TRUE,"Unknown")</f>
        <v>Male</v>
      </c>
      <c r="M465">
        <v>10</v>
      </c>
      <c r="N465">
        <v>53.1</v>
      </c>
      <c r="O465">
        <v>531</v>
      </c>
    </row>
    <row r="466" spans="1:15" x14ac:dyDescent="0.3">
      <c r="A466" t="s">
        <v>552</v>
      </c>
      <c r="B466" t="s">
        <v>31</v>
      </c>
      <c r="C466" s="7">
        <v>45678</v>
      </c>
      <c r="D466" s="7">
        <v>45680</v>
      </c>
      <c r="E466" t="s">
        <v>2517</v>
      </c>
      <c r="F466" t="s">
        <v>34</v>
      </c>
      <c r="G466">
        <v>5</v>
      </c>
      <c r="H466" t="s">
        <v>18</v>
      </c>
      <c r="I466" t="s">
        <v>81</v>
      </c>
      <c r="J466">
        <f>orders[[#This Row],[Ship Date]]-orders[[#This Row],[Order Date]]</f>
        <v>2</v>
      </c>
      <c r="K466">
        <f>WEEKNUM(orders[[#This Row],[Order Date]])</f>
        <v>4</v>
      </c>
      <c r="L466" t="str" cm="1">
        <f t="array" ref="L466">_xlfn.IFS(orders[[#This Row],[Customer Gender]]="M","Male", orders[[#This Row],[Customer Gender]]="F","Female", orders[[#This Row],[Customer Gender]]="O","Other", TRUE,"Unknown")</f>
        <v>Unknown</v>
      </c>
      <c r="M466">
        <v>2</v>
      </c>
      <c r="N466">
        <v>22.4</v>
      </c>
      <c r="O466" s="5">
        <v>44.8</v>
      </c>
    </row>
    <row r="467" spans="1:15" x14ac:dyDescent="0.3">
      <c r="A467" t="s">
        <v>553</v>
      </c>
      <c r="B467" t="s">
        <v>21</v>
      </c>
      <c r="C467" s="7">
        <v>45678</v>
      </c>
      <c r="D467" s="7">
        <v>45679</v>
      </c>
      <c r="E467" t="s">
        <v>22</v>
      </c>
      <c r="F467" t="s">
        <v>17</v>
      </c>
      <c r="G467">
        <v>4</v>
      </c>
      <c r="H467" t="s">
        <v>18</v>
      </c>
      <c r="I467" t="s">
        <v>114</v>
      </c>
      <c r="J467">
        <f>orders[[#This Row],[Ship Date]]-orders[[#This Row],[Order Date]]</f>
        <v>1</v>
      </c>
      <c r="K467">
        <f>WEEKNUM(orders[[#This Row],[Order Date]])</f>
        <v>4</v>
      </c>
      <c r="L467" t="str" cm="1">
        <f t="array" ref="L467">_xlfn.IFS(orders[[#This Row],[Customer Gender]]="M","Male", orders[[#This Row],[Customer Gender]]="F","Female", orders[[#This Row],[Customer Gender]]="O","Other", TRUE,"Unknown")</f>
        <v>Male</v>
      </c>
      <c r="M467">
        <v>5</v>
      </c>
      <c r="N467">
        <v>75.3</v>
      </c>
      <c r="O467">
        <v>376.5</v>
      </c>
    </row>
    <row r="468" spans="1:15" x14ac:dyDescent="0.3">
      <c r="A468" t="s">
        <v>554</v>
      </c>
      <c r="B468" t="s">
        <v>38</v>
      </c>
      <c r="C468" s="7">
        <v>45678</v>
      </c>
      <c r="D468" s="7">
        <v>45679</v>
      </c>
      <c r="E468" t="s">
        <v>26</v>
      </c>
      <c r="F468" t="s">
        <v>17</v>
      </c>
      <c r="G468">
        <v>3</v>
      </c>
      <c r="H468" t="s">
        <v>18</v>
      </c>
      <c r="I468" t="s">
        <v>114</v>
      </c>
      <c r="J468">
        <f>orders[[#This Row],[Ship Date]]-orders[[#This Row],[Order Date]]</f>
        <v>1</v>
      </c>
      <c r="K468">
        <f>WEEKNUM(orders[[#This Row],[Order Date]])</f>
        <v>4</v>
      </c>
      <c r="L468" t="str" cm="1">
        <f t="array" ref="L468">_xlfn.IFS(orders[[#This Row],[Customer Gender]]="M","Male", orders[[#This Row],[Customer Gender]]="F","Female", orders[[#This Row],[Customer Gender]]="O","Other", TRUE,"Unknown")</f>
        <v>Female</v>
      </c>
      <c r="M468">
        <v>1</v>
      </c>
      <c r="N468">
        <v>48.5</v>
      </c>
      <c r="O468" s="5">
        <v>48.5</v>
      </c>
    </row>
    <row r="469" spans="1:15" x14ac:dyDescent="0.3">
      <c r="A469" t="s">
        <v>555</v>
      </c>
      <c r="B469" t="s">
        <v>38</v>
      </c>
      <c r="C469" s="7">
        <v>45678</v>
      </c>
      <c r="D469" s="7">
        <v>45682</v>
      </c>
      <c r="E469" t="s">
        <v>26</v>
      </c>
      <c r="F469" t="s">
        <v>50</v>
      </c>
      <c r="G469">
        <v>4</v>
      </c>
      <c r="H469" t="s">
        <v>18</v>
      </c>
      <c r="I469" t="s">
        <v>23</v>
      </c>
      <c r="J469">
        <f>orders[[#This Row],[Ship Date]]-orders[[#This Row],[Order Date]]</f>
        <v>4</v>
      </c>
      <c r="K469">
        <f>WEEKNUM(orders[[#This Row],[Order Date]])</f>
        <v>4</v>
      </c>
      <c r="L469" t="str" cm="1">
        <f t="array" ref="L469">_xlfn.IFS(orders[[#This Row],[Customer Gender]]="M","Male", orders[[#This Row],[Customer Gender]]="F","Female", orders[[#This Row],[Customer Gender]]="O","Other", TRUE,"Unknown")</f>
        <v>Female</v>
      </c>
      <c r="M469">
        <v>1</v>
      </c>
      <c r="N469">
        <v>42.6</v>
      </c>
      <c r="O469">
        <v>42.6</v>
      </c>
    </row>
    <row r="470" spans="1:15" x14ac:dyDescent="0.3">
      <c r="A470" t="s">
        <v>556</v>
      </c>
      <c r="B470" t="s">
        <v>36</v>
      </c>
      <c r="C470" s="7">
        <v>45678</v>
      </c>
      <c r="D470" s="7">
        <v>45679</v>
      </c>
      <c r="E470" t="s">
        <v>22</v>
      </c>
      <c r="F470" t="s">
        <v>17</v>
      </c>
      <c r="G470">
        <v>4</v>
      </c>
      <c r="H470" t="s">
        <v>18</v>
      </c>
      <c r="I470" t="s">
        <v>146</v>
      </c>
      <c r="J470">
        <f>orders[[#This Row],[Ship Date]]-orders[[#This Row],[Order Date]]</f>
        <v>1</v>
      </c>
      <c r="K470">
        <f>WEEKNUM(orders[[#This Row],[Order Date]])</f>
        <v>4</v>
      </c>
      <c r="L470" t="str" cm="1">
        <f t="array" ref="L470">_xlfn.IFS(orders[[#This Row],[Customer Gender]]="M","Male", orders[[#This Row],[Customer Gender]]="F","Female", orders[[#This Row],[Customer Gender]]="O","Other", TRUE,"Unknown")</f>
        <v>Male</v>
      </c>
      <c r="M470">
        <v>5</v>
      </c>
      <c r="N470">
        <v>49</v>
      </c>
      <c r="O470" s="5">
        <v>245</v>
      </c>
    </row>
    <row r="471" spans="1:15" x14ac:dyDescent="0.3">
      <c r="A471" t="s">
        <v>557</v>
      </c>
      <c r="B471" t="s">
        <v>43</v>
      </c>
      <c r="C471" s="7">
        <v>45678</v>
      </c>
      <c r="D471" s="7">
        <v>45679</v>
      </c>
      <c r="E471" t="s">
        <v>22</v>
      </c>
      <c r="F471" t="s">
        <v>39</v>
      </c>
      <c r="G471">
        <v>3</v>
      </c>
      <c r="H471" t="s">
        <v>18</v>
      </c>
      <c r="I471" t="s">
        <v>32</v>
      </c>
      <c r="J471">
        <f>orders[[#This Row],[Ship Date]]-orders[[#This Row],[Order Date]]</f>
        <v>1</v>
      </c>
      <c r="K471">
        <f>WEEKNUM(orders[[#This Row],[Order Date]])</f>
        <v>4</v>
      </c>
      <c r="L471" t="str" cm="1">
        <f t="array" ref="L471">_xlfn.IFS(orders[[#This Row],[Customer Gender]]="M","Male", orders[[#This Row],[Customer Gender]]="F","Female", orders[[#This Row],[Customer Gender]]="O","Other", TRUE,"Unknown")</f>
        <v>Male</v>
      </c>
      <c r="M471">
        <v>3</v>
      </c>
      <c r="N471">
        <v>31.3</v>
      </c>
      <c r="O471">
        <v>93.9</v>
      </c>
    </row>
    <row r="472" spans="1:15" x14ac:dyDescent="0.3">
      <c r="A472" t="s">
        <v>558</v>
      </c>
      <c r="B472" t="s">
        <v>25</v>
      </c>
      <c r="C472" s="7">
        <v>45678</v>
      </c>
      <c r="D472" s="7">
        <v>45679</v>
      </c>
      <c r="E472" t="s">
        <v>26</v>
      </c>
      <c r="F472" t="s">
        <v>39</v>
      </c>
      <c r="G472">
        <v>4</v>
      </c>
      <c r="H472" t="s">
        <v>18</v>
      </c>
      <c r="I472" t="s">
        <v>32</v>
      </c>
      <c r="J472">
        <f>orders[[#This Row],[Ship Date]]-orders[[#This Row],[Order Date]]</f>
        <v>1</v>
      </c>
      <c r="K472">
        <f>WEEKNUM(orders[[#This Row],[Order Date]])</f>
        <v>4</v>
      </c>
      <c r="L472" t="str" cm="1">
        <f t="array" ref="L472">_xlfn.IFS(orders[[#This Row],[Customer Gender]]="M","Male", orders[[#This Row],[Customer Gender]]="F","Female", orders[[#This Row],[Customer Gender]]="O","Other", TRUE,"Unknown")</f>
        <v>Female</v>
      </c>
      <c r="M472">
        <v>2</v>
      </c>
      <c r="N472">
        <v>85.4</v>
      </c>
      <c r="O472" s="5">
        <v>170.8</v>
      </c>
    </row>
    <row r="473" spans="1:15" x14ac:dyDescent="0.3">
      <c r="A473" t="s">
        <v>559</v>
      </c>
      <c r="B473" t="s">
        <v>43</v>
      </c>
      <c r="C473" s="7">
        <v>45678</v>
      </c>
      <c r="D473" s="7">
        <v>45679</v>
      </c>
      <c r="E473" t="s">
        <v>88</v>
      </c>
      <c r="F473" t="s">
        <v>17</v>
      </c>
      <c r="G473">
        <v>5</v>
      </c>
      <c r="H473" t="s">
        <v>18</v>
      </c>
      <c r="I473" t="s">
        <v>32</v>
      </c>
      <c r="J473">
        <f>orders[[#This Row],[Ship Date]]-orders[[#This Row],[Order Date]]</f>
        <v>1</v>
      </c>
      <c r="K473">
        <f>WEEKNUM(orders[[#This Row],[Order Date]])</f>
        <v>4</v>
      </c>
      <c r="L473" t="str" cm="1">
        <f t="array" ref="L473">_xlfn.IFS(orders[[#This Row],[Customer Gender]]="M","Male", orders[[#This Row],[Customer Gender]]="F","Female", orders[[#This Row],[Customer Gender]]="O","Other", TRUE,"Unknown")</f>
        <v>Other</v>
      </c>
      <c r="M473">
        <v>4</v>
      </c>
      <c r="N473">
        <v>40</v>
      </c>
      <c r="O473">
        <v>160</v>
      </c>
    </row>
    <row r="474" spans="1:15" x14ac:dyDescent="0.3">
      <c r="A474" t="s">
        <v>560</v>
      </c>
      <c r="B474" t="s">
        <v>36</v>
      </c>
      <c r="C474" s="7">
        <v>45678</v>
      </c>
      <c r="D474" s="7">
        <v>45681</v>
      </c>
      <c r="E474" t="s">
        <v>22</v>
      </c>
      <c r="F474" t="s">
        <v>34</v>
      </c>
      <c r="G474">
        <v>5</v>
      </c>
      <c r="H474" t="s">
        <v>18</v>
      </c>
      <c r="I474" t="s">
        <v>32</v>
      </c>
      <c r="J474">
        <f>orders[[#This Row],[Ship Date]]-orders[[#This Row],[Order Date]]</f>
        <v>3</v>
      </c>
      <c r="K474">
        <f>WEEKNUM(orders[[#This Row],[Order Date]])</f>
        <v>4</v>
      </c>
      <c r="L474" t="str" cm="1">
        <f t="array" ref="L474">_xlfn.IFS(orders[[#This Row],[Customer Gender]]="M","Male", orders[[#This Row],[Customer Gender]]="F","Female", orders[[#This Row],[Customer Gender]]="O","Other", TRUE,"Unknown")</f>
        <v>Male</v>
      </c>
      <c r="M474">
        <v>2</v>
      </c>
      <c r="N474">
        <v>38.5</v>
      </c>
      <c r="O474" s="5">
        <v>77</v>
      </c>
    </row>
    <row r="475" spans="1:15" x14ac:dyDescent="0.3">
      <c r="A475" t="s">
        <v>561</v>
      </c>
      <c r="B475" t="s">
        <v>25</v>
      </c>
      <c r="C475" s="7">
        <v>45678</v>
      </c>
      <c r="D475" s="7">
        <v>45679</v>
      </c>
      <c r="E475" t="s">
        <v>2517</v>
      </c>
      <c r="F475" t="s">
        <v>17</v>
      </c>
      <c r="G475">
        <v>4</v>
      </c>
      <c r="H475" t="s">
        <v>18</v>
      </c>
      <c r="I475" t="s">
        <v>32</v>
      </c>
      <c r="J475">
        <f>orders[[#This Row],[Ship Date]]-orders[[#This Row],[Order Date]]</f>
        <v>1</v>
      </c>
      <c r="K475">
        <f>WEEKNUM(orders[[#This Row],[Order Date]])</f>
        <v>4</v>
      </c>
      <c r="L475" t="str" cm="1">
        <f t="array" ref="L475">_xlfn.IFS(orders[[#This Row],[Customer Gender]]="M","Male", orders[[#This Row],[Customer Gender]]="F","Female", orders[[#This Row],[Customer Gender]]="O","Other", TRUE,"Unknown")</f>
        <v>Unknown</v>
      </c>
      <c r="M475">
        <v>2</v>
      </c>
      <c r="N475">
        <v>57.8</v>
      </c>
      <c r="O475">
        <v>115.6</v>
      </c>
    </row>
    <row r="476" spans="1:15" x14ac:dyDescent="0.3">
      <c r="A476" t="s">
        <v>562</v>
      </c>
      <c r="B476" t="s">
        <v>43</v>
      </c>
      <c r="C476" s="7">
        <v>45678</v>
      </c>
      <c r="D476" s="7">
        <v>45679</v>
      </c>
      <c r="E476" t="s">
        <v>26</v>
      </c>
      <c r="F476" t="s">
        <v>17</v>
      </c>
      <c r="G476">
        <v>2</v>
      </c>
      <c r="H476" t="s">
        <v>18</v>
      </c>
      <c r="I476" t="s">
        <v>32</v>
      </c>
      <c r="J476">
        <f>orders[[#This Row],[Ship Date]]-orders[[#This Row],[Order Date]]</f>
        <v>1</v>
      </c>
      <c r="K476">
        <f>WEEKNUM(orders[[#This Row],[Order Date]])</f>
        <v>4</v>
      </c>
      <c r="L476" t="str" cm="1">
        <f t="array" ref="L476">_xlfn.IFS(orders[[#This Row],[Customer Gender]]="M","Male", orders[[#This Row],[Customer Gender]]="F","Female", orders[[#This Row],[Customer Gender]]="O","Other", TRUE,"Unknown")</f>
        <v>Female</v>
      </c>
      <c r="M476">
        <v>1</v>
      </c>
      <c r="N476">
        <v>19.2</v>
      </c>
      <c r="O476" s="5">
        <v>19.2</v>
      </c>
    </row>
    <row r="477" spans="1:15" x14ac:dyDescent="0.3">
      <c r="A477" t="s">
        <v>563</v>
      </c>
      <c r="B477" t="s">
        <v>38</v>
      </c>
      <c r="C477" s="7">
        <v>45678</v>
      </c>
      <c r="D477" s="7">
        <v>45681</v>
      </c>
      <c r="E477" t="s">
        <v>22</v>
      </c>
      <c r="F477" t="s">
        <v>34</v>
      </c>
      <c r="G477">
        <v>3</v>
      </c>
      <c r="H477" t="s">
        <v>18</v>
      </c>
      <c r="I477" t="s">
        <v>32</v>
      </c>
      <c r="J477">
        <f>orders[[#This Row],[Ship Date]]-orders[[#This Row],[Order Date]]</f>
        <v>3</v>
      </c>
      <c r="K477">
        <f>WEEKNUM(orders[[#This Row],[Order Date]])</f>
        <v>4</v>
      </c>
      <c r="L477" t="str" cm="1">
        <f t="array" ref="L477">_xlfn.IFS(orders[[#This Row],[Customer Gender]]="M","Male", orders[[#This Row],[Customer Gender]]="F","Female", orders[[#This Row],[Customer Gender]]="O","Other", TRUE,"Unknown")</f>
        <v>Male</v>
      </c>
      <c r="M477">
        <v>6</v>
      </c>
      <c r="N477">
        <v>114.8</v>
      </c>
      <c r="O477">
        <v>688.8</v>
      </c>
    </row>
    <row r="478" spans="1:15" x14ac:dyDescent="0.3">
      <c r="A478" t="s">
        <v>564</v>
      </c>
      <c r="B478" t="s">
        <v>53</v>
      </c>
      <c r="C478" s="7">
        <v>45678</v>
      </c>
      <c r="D478" s="7">
        <v>45681</v>
      </c>
      <c r="E478" t="s">
        <v>26</v>
      </c>
      <c r="F478" t="s">
        <v>50</v>
      </c>
      <c r="G478">
        <v>3</v>
      </c>
      <c r="H478" t="s">
        <v>18</v>
      </c>
      <c r="I478" t="s">
        <v>32</v>
      </c>
      <c r="J478">
        <f>orders[[#This Row],[Ship Date]]-orders[[#This Row],[Order Date]]</f>
        <v>3</v>
      </c>
      <c r="K478">
        <f>WEEKNUM(orders[[#This Row],[Order Date]])</f>
        <v>4</v>
      </c>
      <c r="L478" t="str" cm="1">
        <f t="array" ref="L478">_xlfn.IFS(orders[[#This Row],[Customer Gender]]="M","Male", orders[[#This Row],[Customer Gender]]="F","Female", orders[[#This Row],[Customer Gender]]="O","Other", TRUE,"Unknown")</f>
        <v>Female</v>
      </c>
      <c r="M478">
        <v>7</v>
      </c>
      <c r="N478">
        <v>48.4</v>
      </c>
      <c r="O478" s="5">
        <v>338.8</v>
      </c>
    </row>
    <row r="479" spans="1:15" x14ac:dyDescent="0.3">
      <c r="A479" t="s">
        <v>565</v>
      </c>
      <c r="B479" t="s">
        <v>45</v>
      </c>
      <c r="C479" s="7">
        <v>45678</v>
      </c>
      <c r="D479" s="7">
        <v>45679</v>
      </c>
      <c r="E479" t="s">
        <v>26</v>
      </c>
      <c r="F479" t="s">
        <v>34</v>
      </c>
      <c r="G479">
        <v>2</v>
      </c>
      <c r="H479" t="s">
        <v>18</v>
      </c>
      <c r="I479" t="s">
        <v>32</v>
      </c>
      <c r="J479">
        <f>orders[[#This Row],[Ship Date]]-orders[[#This Row],[Order Date]]</f>
        <v>1</v>
      </c>
      <c r="K479">
        <f>WEEKNUM(orders[[#This Row],[Order Date]])</f>
        <v>4</v>
      </c>
      <c r="L479" t="str" cm="1">
        <f t="array" ref="L479">_xlfn.IFS(orders[[#This Row],[Customer Gender]]="M","Male", orders[[#This Row],[Customer Gender]]="F","Female", orders[[#This Row],[Customer Gender]]="O","Other", TRUE,"Unknown")</f>
        <v>Female</v>
      </c>
      <c r="M479">
        <v>5</v>
      </c>
      <c r="N479">
        <v>73.2</v>
      </c>
      <c r="O479">
        <v>366</v>
      </c>
    </row>
    <row r="480" spans="1:15" x14ac:dyDescent="0.3">
      <c r="A480" t="s">
        <v>566</v>
      </c>
      <c r="B480" t="s">
        <v>122</v>
      </c>
      <c r="C480" s="7">
        <v>45678</v>
      </c>
      <c r="D480" s="7">
        <v>45682</v>
      </c>
      <c r="E480" t="s">
        <v>26</v>
      </c>
      <c r="F480" t="s">
        <v>50</v>
      </c>
      <c r="G480">
        <v>4</v>
      </c>
      <c r="H480" t="s">
        <v>18</v>
      </c>
      <c r="I480" t="s">
        <v>32</v>
      </c>
      <c r="J480">
        <f>orders[[#This Row],[Ship Date]]-orders[[#This Row],[Order Date]]</f>
        <v>4</v>
      </c>
      <c r="K480">
        <f>WEEKNUM(orders[[#This Row],[Order Date]])</f>
        <v>4</v>
      </c>
      <c r="L480" t="str" cm="1">
        <f t="array" ref="L480">_xlfn.IFS(orders[[#This Row],[Customer Gender]]="M","Male", orders[[#This Row],[Customer Gender]]="F","Female", orders[[#This Row],[Customer Gender]]="O","Other", TRUE,"Unknown")</f>
        <v>Female</v>
      </c>
      <c r="M480">
        <v>2</v>
      </c>
      <c r="N480">
        <v>48.6</v>
      </c>
      <c r="O480" s="5">
        <v>97.2</v>
      </c>
    </row>
    <row r="481" spans="1:15" x14ac:dyDescent="0.3">
      <c r="A481" t="s">
        <v>567</v>
      </c>
      <c r="B481" t="s">
        <v>16</v>
      </c>
      <c r="C481" s="7">
        <v>45678</v>
      </c>
      <c r="D481" s="7">
        <v>45679</v>
      </c>
      <c r="E481" t="s">
        <v>22</v>
      </c>
      <c r="F481" t="s">
        <v>17</v>
      </c>
      <c r="G481">
        <v>4</v>
      </c>
      <c r="H481" t="s">
        <v>18</v>
      </c>
      <c r="I481" t="s">
        <v>32</v>
      </c>
      <c r="J481">
        <f>orders[[#This Row],[Ship Date]]-orders[[#This Row],[Order Date]]</f>
        <v>1</v>
      </c>
      <c r="K481">
        <f>WEEKNUM(orders[[#This Row],[Order Date]])</f>
        <v>4</v>
      </c>
      <c r="L481" t="str" cm="1">
        <f t="array" ref="L481">_xlfn.IFS(orders[[#This Row],[Customer Gender]]="M","Male", orders[[#This Row],[Customer Gender]]="F","Female", orders[[#This Row],[Customer Gender]]="O","Other", TRUE,"Unknown")</f>
        <v>Male</v>
      </c>
      <c r="M481">
        <v>6</v>
      </c>
      <c r="N481">
        <v>48.7</v>
      </c>
      <c r="O481">
        <v>292.20000000000005</v>
      </c>
    </row>
    <row r="482" spans="1:15" x14ac:dyDescent="0.3">
      <c r="A482" t="s">
        <v>568</v>
      </c>
      <c r="B482" t="s">
        <v>31</v>
      </c>
      <c r="C482" s="7">
        <v>45678</v>
      </c>
      <c r="D482" s="7">
        <v>45681</v>
      </c>
      <c r="E482" t="s">
        <v>22</v>
      </c>
      <c r="F482" t="s">
        <v>39</v>
      </c>
      <c r="G482">
        <v>5</v>
      </c>
      <c r="H482" t="s">
        <v>18</v>
      </c>
      <c r="I482" t="s">
        <v>32</v>
      </c>
      <c r="J482">
        <f>orders[[#This Row],[Ship Date]]-orders[[#This Row],[Order Date]]</f>
        <v>3</v>
      </c>
      <c r="K482">
        <f>WEEKNUM(orders[[#This Row],[Order Date]])</f>
        <v>4</v>
      </c>
      <c r="L482" t="str" cm="1">
        <f t="array" ref="L482">_xlfn.IFS(orders[[#This Row],[Customer Gender]]="M","Male", orders[[#This Row],[Customer Gender]]="F","Female", orders[[#This Row],[Customer Gender]]="O","Other", TRUE,"Unknown")</f>
        <v>Male</v>
      </c>
      <c r="M482">
        <v>2</v>
      </c>
      <c r="N482">
        <v>32.200000000000003</v>
      </c>
      <c r="O482" s="5">
        <v>64.400000000000006</v>
      </c>
    </row>
    <row r="483" spans="1:15" x14ac:dyDescent="0.3">
      <c r="A483" t="s">
        <v>569</v>
      </c>
      <c r="B483" t="s">
        <v>122</v>
      </c>
      <c r="C483" s="7">
        <v>45678</v>
      </c>
      <c r="D483" s="7">
        <v>45679</v>
      </c>
      <c r="E483" t="s">
        <v>22</v>
      </c>
      <c r="F483" t="s">
        <v>17</v>
      </c>
      <c r="G483">
        <v>4</v>
      </c>
      <c r="H483" t="s">
        <v>18</v>
      </c>
      <c r="I483" t="s">
        <v>363</v>
      </c>
      <c r="J483">
        <f>orders[[#This Row],[Ship Date]]-orders[[#This Row],[Order Date]]</f>
        <v>1</v>
      </c>
      <c r="K483">
        <f>WEEKNUM(orders[[#This Row],[Order Date]])</f>
        <v>4</v>
      </c>
      <c r="L483" t="str" cm="1">
        <f t="array" ref="L483">_xlfn.IFS(orders[[#This Row],[Customer Gender]]="M","Male", orders[[#This Row],[Customer Gender]]="F","Female", orders[[#This Row],[Customer Gender]]="O","Other", TRUE,"Unknown")</f>
        <v>Male</v>
      </c>
      <c r="M483">
        <v>8</v>
      </c>
      <c r="N483">
        <v>25.8</v>
      </c>
      <c r="O483">
        <v>206.4</v>
      </c>
    </row>
    <row r="484" spans="1:15" x14ac:dyDescent="0.3">
      <c r="A484" t="s">
        <v>570</v>
      </c>
      <c r="B484" t="s">
        <v>38</v>
      </c>
      <c r="C484" s="7">
        <v>45679</v>
      </c>
      <c r="D484" s="7">
        <v>45682</v>
      </c>
      <c r="E484" t="s">
        <v>26</v>
      </c>
      <c r="F484" t="s">
        <v>34</v>
      </c>
      <c r="G484">
        <v>3</v>
      </c>
      <c r="H484" t="s">
        <v>18</v>
      </c>
      <c r="I484" t="s">
        <v>187</v>
      </c>
      <c r="J484">
        <f>orders[[#This Row],[Ship Date]]-orders[[#This Row],[Order Date]]</f>
        <v>3</v>
      </c>
      <c r="K484">
        <f>WEEKNUM(orders[[#This Row],[Order Date]])</f>
        <v>4</v>
      </c>
      <c r="L484" t="str" cm="1">
        <f t="array" ref="L484">_xlfn.IFS(orders[[#This Row],[Customer Gender]]="M","Male", orders[[#This Row],[Customer Gender]]="F","Female", orders[[#This Row],[Customer Gender]]="O","Other", TRUE,"Unknown")</f>
        <v>Female</v>
      </c>
      <c r="M484">
        <v>2</v>
      </c>
      <c r="N484">
        <v>94.8</v>
      </c>
      <c r="O484" s="5">
        <v>189.6</v>
      </c>
    </row>
    <row r="485" spans="1:15" x14ac:dyDescent="0.3">
      <c r="A485" t="s">
        <v>571</v>
      </c>
      <c r="B485" t="s">
        <v>122</v>
      </c>
      <c r="C485" s="7">
        <v>45679</v>
      </c>
      <c r="D485" s="7">
        <v>45682</v>
      </c>
      <c r="E485" t="s">
        <v>22</v>
      </c>
      <c r="F485" t="s">
        <v>17</v>
      </c>
      <c r="G485">
        <v>4</v>
      </c>
      <c r="H485" t="s">
        <v>18</v>
      </c>
      <c r="I485" t="s">
        <v>187</v>
      </c>
      <c r="J485">
        <f>orders[[#This Row],[Ship Date]]-orders[[#This Row],[Order Date]]</f>
        <v>3</v>
      </c>
      <c r="K485">
        <f>WEEKNUM(orders[[#This Row],[Order Date]])</f>
        <v>4</v>
      </c>
      <c r="L485" t="str" cm="1">
        <f t="array" ref="L485">_xlfn.IFS(orders[[#This Row],[Customer Gender]]="M","Male", orders[[#This Row],[Customer Gender]]="F","Female", orders[[#This Row],[Customer Gender]]="O","Other", TRUE,"Unknown")</f>
        <v>Male</v>
      </c>
      <c r="M485">
        <v>25</v>
      </c>
      <c r="N485">
        <v>56.8</v>
      </c>
      <c r="O485">
        <v>1420</v>
      </c>
    </row>
    <row r="486" spans="1:15" x14ac:dyDescent="0.3">
      <c r="A486" t="s">
        <v>572</v>
      </c>
      <c r="B486" t="s">
        <v>43</v>
      </c>
      <c r="C486" s="7">
        <v>45679</v>
      </c>
      <c r="D486" s="7">
        <v>45686</v>
      </c>
      <c r="E486" t="s">
        <v>26</v>
      </c>
      <c r="F486" t="s">
        <v>39</v>
      </c>
      <c r="G486">
        <v>5</v>
      </c>
      <c r="H486" t="s">
        <v>18</v>
      </c>
      <c r="I486" t="s">
        <v>157</v>
      </c>
      <c r="J486">
        <f>orders[[#This Row],[Ship Date]]-orders[[#This Row],[Order Date]]</f>
        <v>7</v>
      </c>
      <c r="K486">
        <f>WEEKNUM(orders[[#This Row],[Order Date]])</f>
        <v>4</v>
      </c>
      <c r="L486" t="str" cm="1">
        <f t="array" ref="L486">_xlfn.IFS(orders[[#This Row],[Customer Gender]]="M","Male", orders[[#This Row],[Customer Gender]]="F","Female", orders[[#This Row],[Customer Gender]]="O","Other", TRUE,"Unknown")</f>
        <v>Female</v>
      </c>
      <c r="M486">
        <v>16</v>
      </c>
      <c r="N486">
        <v>18.3</v>
      </c>
      <c r="O486" s="5">
        <v>292.8</v>
      </c>
    </row>
    <row r="487" spans="1:15" x14ac:dyDescent="0.3">
      <c r="A487" t="s">
        <v>573</v>
      </c>
      <c r="B487" t="s">
        <v>16</v>
      </c>
      <c r="C487" s="7">
        <v>45679</v>
      </c>
      <c r="D487" s="7">
        <v>45684</v>
      </c>
      <c r="E487" t="s">
        <v>26</v>
      </c>
      <c r="F487" t="s">
        <v>39</v>
      </c>
      <c r="G487">
        <v>5</v>
      </c>
      <c r="H487" t="s">
        <v>18</v>
      </c>
      <c r="I487" t="s">
        <v>61</v>
      </c>
      <c r="J487">
        <f>orders[[#This Row],[Ship Date]]-orders[[#This Row],[Order Date]]</f>
        <v>5</v>
      </c>
      <c r="K487">
        <f>WEEKNUM(orders[[#This Row],[Order Date]])</f>
        <v>4</v>
      </c>
      <c r="L487" t="str" cm="1">
        <f t="array" ref="L487">_xlfn.IFS(orders[[#This Row],[Customer Gender]]="M","Male", orders[[#This Row],[Customer Gender]]="F","Female", orders[[#This Row],[Customer Gender]]="O","Other", TRUE,"Unknown")</f>
        <v>Female</v>
      </c>
      <c r="M487">
        <v>3</v>
      </c>
      <c r="N487">
        <v>16.8</v>
      </c>
      <c r="O487">
        <v>50.400000000000006</v>
      </c>
    </row>
    <row r="488" spans="1:15" x14ac:dyDescent="0.3">
      <c r="A488" t="s">
        <v>574</v>
      </c>
      <c r="B488" t="s">
        <v>36</v>
      </c>
      <c r="C488" s="7">
        <v>45679</v>
      </c>
      <c r="D488" s="7">
        <v>45680</v>
      </c>
      <c r="E488" t="s">
        <v>22</v>
      </c>
      <c r="F488" t="s">
        <v>34</v>
      </c>
      <c r="G488">
        <v>4</v>
      </c>
      <c r="H488" t="s">
        <v>18</v>
      </c>
      <c r="I488" t="s">
        <v>102</v>
      </c>
      <c r="J488">
        <f>orders[[#This Row],[Ship Date]]-orders[[#This Row],[Order Date]]</f>
        <v>1</v>
      </c>
      <c r="K488">
        <f>WEEKNUM(orders[[#This Row],[Order Date]])</f>
        <v>4</v>
      </c>
      <c r="L488" t="str" cm="1">
        <f t="array" ref="L488">_xlfn.IFS(orders[[#This Row],[Customer Gender]]="M","Male", orders[[#This Row],[Customer Gender]]="F","Female", orders[[#This Row],[Customer Gender]]="O","Other", TRUE,"Unknown")</f>
        <v>Male</v>
      </c>
      <c r="M488">
        <v>11</v>
      </c>
      <c r="N488">
        <v>35.799999999999997</v>
      </c>
      <c r="O488" s="5">
        <v>393.79999999999995</v>
      </c>
    </row>
    <row r="489" spans="1:15" x14ac:dyDescent="0.3">
      <c r="A489" t="s">
        <v>575</v>
      </c>
      <c r="B489" t="s">
        <v>145</v>
      </c>
      <c r="C489" s="7">
        <v>45679</v>
      </c>
      <c r="D489" s="7">
        <v>45680</v>
      </c>
      <c r="E489" t="s">
        <v>22</v>
      </c>
      <c r="F489" t="s">
        <v>17</v>
      </c>
      <c r="G489">
        <v>3</v>
      </c>
      <c r="H489" t="s">
        <v>18</v>
      </c>
      <c r="I489" t="s">
        <v>102</v>
      </c>
      <c r="J489">
        <f>orders[[#This Row],[Ship Date]]-orders[[#This Row],[Order Date]]</f>
        <v>1</v>
      </c>
      <c r="K489">
        <f>WEEKNUM(orders[[#This Row],[Order Date]])</f>
        <v>4</v>
      </c>
      <c r="L489" t="str" cm="1">
        <f t="array" ref="L489">_xlfn.IFS(orders[[#This Row],[Customer Gender]]="M","Male", orders[[#This Row],[Customer Gender]]="F","Female", orders[[#This Row],[Customer Gender]]="O","Other", TRUE,"Unknown")</f>
        <v>Male</v>
      </c>
      <c r="M489">
        <v>1</v>
      </c>
      <c r="N489">
        <v>64.900000000000006</v>
      </c>
      <c r="O489">
        <v>64.900000000000006</v>
      </c>
    </row>
    <row r="490" spans="1:15" x14ac:dyDescent="0.3">
      <c r="A490" t="s">
        <v>576</v>
      </c>
      <c r="B490" t="s">
        <v>145</v>
      </c>
      <c r="C490" s="7">
        <v>45679</v>
      </c>
      <c r="D490" s="7">
        <v>45681</v>
      </c>
      <c r="E490" t="s">
        <v>2517</v>
      </c>
      <c r="F490" t="s">
        <v>34</v>
      </c>
      <c r="G490">
        <v>4</v>
      </c>
      <c r="H490" t="s">
        <v>18</v>
      </c>
      <c r="I490" t="s">
        <v>71</v>
      </c>
      <c r="J490">
        <f>orders[[#This Row],[Ship Date]]-orders[[#This Row],[Order Date]]</f>
        <v>2</v>
      </c>
      <c r="K490">
        <f>WEEKNUM(orders[[#This Row],[Order Date]])</f>
        <v>4</v>
      </c>
      <c r="L490" t="str" cm="1">
        <f t="array" ref="L490">_xlfn.IFS(orders[[#This Row],[Customer Gender]]="M","Male", orders[[#This Row],[Customer Gender]]="F","Female", orders[[#This Row],[Customer Gender]]="O","Other", TRUE,"Unknown")</f>
        <v>Unknown</v>
      </c>
      <c r="M490">
        <v>1</v>
      </c>
      <c r="N490">
        <v>28.5</v>
      </c>
      <c r="O490" s="5">
        <v>28.5</v>
      </c>
    </row>
    <row r="491" spans="1:15" x14ac:dyDescent="0.3">
      <c r="A491" t="s">
        <v>577</v>
      </c>
      <c r="B491" t="s">
        <v>145</v>
      </c>
      <c r="C491" s="7">
        <v>45679</v>
      </c>
      <c r="D491" s="7">
        <v>45681</v>
      </c>
      <c r="E491" t="s">
        <v>26</v>
      </c>
      <c r="F491" t="s">
        <v>34</v>
      </c>
      <c r="G491">
        <v>4</v>
      </c>
      <c r="H491" t="s">
        <v>18</v>
      </c>
      <c r="I491" t="s">
        <v>73</v>
      </c>
      <c r="J491">
        <f>orders[[#This Row],[Ship Date]]-orders[[#This Row],[Order Date]]</f>
        <v>2</v>
      </c>
      <c r="K491">
        <f>WEEKNUM(orders[[#This Row],[Order Date]])</f>
        <v>4</v>
      </c>
      <c r="L491" t="str" cm="1">
        <f t="array" ref="L491">_xlfn.IFS(orders[[#This Row],[Customer Gender]]="M","Male", orders[[#This Row],[Customer Gender]]="F","Female", orders[[#This Row],[Customer Gender]]="O","Other", TRUE,"Unknown")</f>
        <v>Female</v>
      </c>
      <c r="M491">
        <v>2</v>
      </c>
      <c r="N491">
        <v>103.5</v>
      </c>
      <c r="O491">
        <v>207</v>
      </c>
    </row>
    <row r="492" spans="1:15" x14ac:dyDescent="0.3">
      <c r="A492" t="s">
        <v>578</v>
      </c>
      <c r="B492" t="s">
        <v>31</v>
      </c>
      <c r="C492" s="7">
        <v>45679</v>
      </c>
      <c r="D492" s="7">
        <v>45680</v>
      </c>
      <c r="E492" t="s">
        <v>26</v>
      </c>
      <c r="F492" t="s">
        <v>34</v>
      </c>
      <c r="G492">
        <v>4</v>
      </c>
      <c r="H492" t="s">
        <v>18</v>
      </c>
      <c r="I492" t="s">
        <v>73</v>
      </c>
      <c r="J492">
        <f>orders[[#This Row],[Ship Date]]-orders[[#This Row],[Order Date]]</f>
        <v>1</v>
      </c>
      <c r="K492">
        <f>WEEKNUM(orders[[#This Row],[Order Date]])</f>
        <v>4</v>
      </c>
      <c r="L492" t="str" cm="1">
        <f t="array" ref="L492">_xlfn.IFS(orders[[#This Row],[Customer Gender]]="M","Male", orders[[#This Row],[Customer Gender]]="F","Female", orders[[#This Row],[Customer Gender]]="O","Other", TRUE,"Unknown")</f>
        <v>Female</v>
      </c>
      <c r="M492">
        <v>2</v>
      </c>
      <c r="N492">
        <v>41.2</v>
      </c>
      <c r="O492" s="5">
        <v>82.4</v>
      </c>
    </row>
    <row r="493" spans="1:15" x14ac:dyDescent="0.3">
      <c r="A493" t="s">
        <v>579</v>
      </c>
      <c r="B493" t="s">
        <v>45</v>
      </c>
      <c r="C493" s="7">
        <v>45679</v>
      </c>
      <c r="D493" s="7">
        <v>45681</v>
      </c>
      <c r="E493" t="s">
        <v>26</v>
      </c>
      <c r="F493" t="s">
        <v>50</v>
      </c>
      <c r="G493">
        <v>1</v>
      </c>
      <c r="H493" t="s">
        <v>18</v>
      </c>
      <c r="I493" t="s">
        <v>76</v>
      </c>
      <c r="J493">
        <f>orders[[#This Row],[Ship Date]]-orders[[#This Row],[Order Date]]</f>
        <v>2</v>
      </c>
      <c r="K493">
        <f>WEEKNUM(orders[[#This Row],[Order Date]])</f>
        <v>4</v>
      </c>
      <c r="L493" t="str" cm="1">
        <f t="array" ref="L493">_xlfn.IFS(orders[[#This Row],[Customer Gender]]="M","Male", orders[[#This Row],[Customer Gender]]="F","Female", orders[[#This Row],[Customer Gender]]="O","Other", TRUE,"Unknown")</f>
        <v>Female</v>
      </c>
      <c r="M493">
        <v>1</v>
      </c>
      <c r="N493">
        <v>37.799999999999997</v>
      </c>
      <c r="O493">
        <v>37.799999999999997</v>
      </c>
    </row>
    <row r="494" spans="1:15" x14ac:dyDescent="0.3">
      <c r="A494" t="s">
        <v>580</v>
      </c>
      <c r="B494" t="s">
        <v>43</v>
      </c>
      <c r="C494" s="7">
        <v>45679</v>
      </c>
      <c r="D494" s="7">
        <v>45681</v>
      </c>
      <c r="E494" t="s">
        <v>26</v>
      </c>
      <c r="F494" t="s">
        <v>69</v>
      </c>
      <c r="G494">
        <v>4</v>
      </c>
      <c r="H494" t="s">
        <v>18</v>
      </c>
      <c r="I494" t="s">
        <v>76</v>
      </c>
      <c r="J494">
        <f>orders[[#This Row],[Ship Date]]-orders[[#This Row],[Order Date]]</f>
        <v>2</v>
      </c>
      <c r="K494">
        <f>WEEKNUM(orders[[#This Row],[Order Date]])</f>
        <v>4</v>
      </c>
      <c r="L494" t="str" cm="1">
        <f t="array" ref="L494">_xlfn.IFS(orders[[#This Row],[Customer Gender]]="M","Male", orders[[#This Row],[Customer Gender]]="F","Female", orders[[#This Row],[Customer Gender]]="O","Other", TRUE,"Unknown")</f>
        <v>Female</v>
      </c>
      <c r="M494">
        <v>2</v>
      </c>
      <c r="N494">
        <v>42.6</v>
      </c>
      <c r="O494" s="5">
        <v>85.2</v>
      </c>
    </row>
    <row r="495" spans="1:15" x14ac:dyDescent="0.3">
      <c r="A495" t="s">
        <v>581</v>
      </c>
      <c r="B495" t="s">
        <v>43</v>
      </c>
      <c r="C495" s="7">
        <v>45679</v>
      </c>
      <c r="D495" s="7">
        <v>45681</v>
      </c>
      <c r="E495" t="s">
        <v>26</v>
      </c>
      <c r="F495" t="s">
        <v>39</v>
      </c>
      <c r="G495">
        <v>4</v>
      </c>
      <c r="H495" t="s">
        <v>18</v>
      </c>
      <c r="I495" t="s">
        <v>76</v>
      </c>
      <c r="J495">
        <f>orders[[#This Row],[Ship Date]]-orders[[#This Row],[Order Date]]</f>
        <v>2</v>
      </c>
      <c r="K495">
        <f>WEEKNUM(orders[[#This Row],[Order Date]])</f>
        <v>4</v>
      </c>
      <c r="L495" t="str" cm="1">
        <f t="array" ref="L495">_xlfn.IFS(orders[[#This Row],[Customer Gender]]="M","Male", orders[[#This Row],[Customer Gender]]="F","Female", orders[[#This Row],[Customer Gender]]="O","Other", TRUE,"Unknown")</f>
        <v>Female</v>
      </c>
      <c r="M495">
        <v>10</v>
      </c>
      <c r="N495">
        <v>15.2</v>
      </c>
      <c r="O495">
        <v>152</v>
      </c>
    </row>
    <row r="496" spans="1:15" x14ac:dyDescent="0.3">
      <c r="A496" t="s">
        <v>582</v>
      </c>
      <c r="B496" t="s">
        <v>41</v>
      </c>
      <c r="C496" s="7">
        <v>45679</v>
      </c>
      <c r="D496" s="7">
        <v>45680</v>
      </c>
      <c r="E496" t="s">
        <v>26</v>
      </c>
      <c r="F496" t="s">
        <v>39</v>
      </c>
      <c r="G496">
        <v>3</v>
      </c>
      <c r="H496" t="s">
        <v>18</v>
      </c>
      <c r="I496" t="s">
        <v>107</v>
      </c>
      <c r="J496">
        <f>orders[[#This Row],[Ship Date]]-orders[[#This Row],[Order Date]]</f>
        <v>1</v>
      </c>
      <c r="K496">
        <f>WEEKNUM(orders[[#This Row],[Order Date]])</f>
        <v>4</v>
      </c>
      <c r="L496" t="str" cm="1">
        <f t="array" ref="L496">_xlfn.IFS(orders[[#This Row],[Customer Gender]]="M","Male", orders[[#This Row],[Customer Gender]]="F","Female", orders[[#This Row],[Customer Gender]]="O","Other", TRUE,"Unknown")</f>
        <v>Female</v>
      </c>
      <c r="M496">
        <v>4</v>
      </c>
      <c r="N496">
        <v>83.4</v>
      </c>
      <c r="O496" s="5">
        <v>333.6</v>
      </c>
    </row>
    <row r="497" spans="1:15" x14ac:dyDescent="0.3">
      <c r="A497" t="s">
        <v>583</v>
      </c>
      <c r="B497" t="s">
        <v>170</v>
      </c>
      <c r="C497" s="7">
        <v>45679</v>
      </c>
      <c r="D497" s="7">
        <v>45680</v>
      </c>
      <c r="E497" t="s">
        <v>26</v>
      </c>
      <c r="F497" t="s">
        <v>17</v>
      </c>
      <c r="G497">
        <v>3</v>
      </c>
      <c r="H497" t="s">
        <v>18</v>
      </c>
      <c r="I497" t="s">
        <v>81</v>
      </c>
      <c r="J497">
        <f>orders[[#This Row],[Ship Date]]-orders[[#This Row],[Order Date]]</f>
        <v>1</v>
      </c>
      <c r="K497">
        <f>WEEKNUM(orders[[#This Row],[Order Date]])</f>
        <v>4</v>
      </c>
      <c r="L497" t="str" cm="1">
        <f t="array" ref="L497">_xlfn.IFS(orders[[#This Row],[Customer Gender]]="M","Male", orders[[#This Row],[Customer Gender]]="F","Female", orders[[#This Row],[Customer Gender]]="O","Other", TRUE,"Unknown")</f>
        <v>Female</v>
      </c>
      <c r="M497">
        <v>2</v>
      </c>
      <c r="N497">
        <v>27.7</v>
      </c>
      <c r="O497">
        <v>55.4</v>
      </c>
    </row>
    <row r="498" spans="1:15" x14ac:dyDescent="0.3">
      <c r="A498" t="s">
        <v>584</v>
      </c>
      <c r="B498" t="s">
        <v>53</v>
      </c>
      <c r="C498" s="7">
        <v>45679</v>
      </c>
      <c r="D498" s="7">
        <v>45680</v>
      </c>
      <c r="E498" t="s">
        <v>22</v>
      </c>
      <c r="F498" t="s">
        <v>50</v>
      </c>
      <c r="G498">
        <v>4</v>
      </c>
      <c r="H498" t="s">
        <v>18</v>
      </c>
      <c r="I498" t="s">
        <v>81</v>
      </c>
      <c r="J498">
        <f>orders[[#This Row],[Ship Date]]-orders[[#This Row],[Order Date]]</f>
        <v>1</v>
      </c>
      <c r="K498">
        <f>WEEKNUM(orders[[#This Row],[Order Date]])</f>
        <v>4</v>
      </c>
      <c r="L498" t="str" cm="1">
        <f t="array" ref="L498">_xlfn.IFS(orders[[#This Row],[Customer Gender]]="M","Male", orders[[#This Row],[Customer Gender]]="F","Female", orders[[#This Row],[Customer Gender]]="O","Other", TRUE,"Unknown")</f>
        <v>Male</v>
      </c>
      <c r="M498">
        <v>12</v>
      </c>
      <c r="N498">
        <v>20.8</v>
      </c>
      <c r="O498" s="5">
        <v>249.60000000000002</v>
      </c>
    </row>
    <row r="499" spans="1:15" x14ac:dyDescent="0.3">
      <c r="A499" t="s">
        <v>585</v>
      </c>
      <c r="B499" t="s">
        <v>66</v>
      </c>
      <c r="C499" s="7">
        <v>45679</v>
      </c>
      <c r="D499" s="7">
        <v>45683</v>
      </c>
      <c r="E499" t="s">
        <v>26</v>
      </c>
      <c r="F499" t="s">
        <v>69</v>
      </c>
      <c r="G499">
        <v>5</v>
      </c>
      <c r="H499" t="s">
        <v>18</v>
      </c>
      <c r="I499" t="s">
        <v>586</v>
      </c>
      <c r="J499">
        <f>orders[[#This Row],[Ship Date]]-orders[[#This Row],[Order Date]]</f>
        <v>4</v>
      </c>
      <c r="K499">
        <f>WEEKNUM(orders[[#This Row],[Order Date]])</f>
        <v>4</v>
      </c>
      <c r="L499" t="str" cm="1">
        <f t="array" ref="L499">_xlfn.IFS(orders[[#This Row],[Customer Gender]]="M","Male", orders[[#This Row],[Customer Gender]]="F","Female", orders[[#This Row],[Customer Gender]]="O","Other", TRUE,"Unknown")</f>
        <v>Female</v>
      </c>
      <c r="M499">
        <v>2</v>
      </c>
      <c r="N499">
        <v>72.7</v>
      </c>
      <c r="O499">
        <v>145.4</v>
      </c>
    </row>
    <row r="500" spans="1:15" x14ac:dyDescent="0.3">
      <c r="A500" t="s">
        <v>587</v>
      </c>
      <c r="B500" t="s">
        <v>53</v>
      </c>
      <c r="C500" s="7">
        <v>45679</v>
      </c>
      <c r="D500" s="7">
        <v>45680</v>
      </c>
      <c r="E500" t="s">
        <v>22</v>
      </c>
      <c r="F500" t="s">
        <v>17</v>
      </c>
      <c r="G500">
        <v>5</v>
      </c>
      <c r="H500" t="s">
        <v>18</v>
      </c>
      <c r="I500" t="s">
        <v>146</v>
      </c>
      <c r="J500">
        <f>orders[[#This Row],[Ship Date]]-orders[[#This Row],[Order Date]]</f>
        <v>1</v>
      </c>
      <c r="K500">
        <f>WEEKNUM(orders[[#This Row],[Order Date]])</f>
        <v>4</v>
      </c>
      <c r="L500" t="str" cm="1">
        <f t="array" ref="L500">_xlfn.IFS(orders[[#This Row],[Customer Gender]]="M","Male", orders[[#This Row],[Customer Gender]]="F","Female", orders[[#This Row],[Customer Gender]]="O","Other", TRUE,"Unknown")</f>
        <v>Male</v>
      </c>
      <c r="M500">
        <v>4</v>
      </c>
      <c r="N500">
        <v>38.6</v>
      </c>
      <c r="O500" s="5">
        <v>154.4</v>
      </c>
    </row>
    <row r="501" spans="1:15" x14ac:dyDescent="0.3">
      <c r="A501" t="s">
        <v>588</v>
      </c>
      <c r="B501" t="s">
        <v>43</v>
      </c>
      <c r="C501" s="7">
        <v>45679</v>
      </c>
      <c r="D501" s="7">
        <v>45680</v>
      </c>
      <c r="E501" t="s">
        <v>88</v>
      </c>
      <c r="F501" t="s">
        <v>69</v>
      </c>
      <c r="G501">
        <v>1</v>
      </c>
      <c r="H501" t="s">
        <v>18</v>
      </c>
      <c r="I501" t="s">
        <v>32</v>
      </c>
      <c r="J501">
        <f>orders[[#This Row],[Ship Date]]-orders[[#This Row],[Order Date]]</f>
        <v>1</v>
      </c>
      <c r="K501">
        <f>WEEKNUM(orders[[#This Row],[Order Date]])</f>
        <v>4</v>
      </c>
      <c r="L501" t="str" cm="1">
        <f t="array" ref="L501">_xlfn.IFS(orders[[#This Row],[Customer Gender]]="M","Male", orders[[#This Row],[Customer Gender]]="F","Female", orders[[#This Row],[Customer Gender]]="O","Other", TRUE,"Unknown")</f>
        <v>Other</v>
      </c>
      <c r="M501">
        <v>7</v>
      </c>
      <c r="N501">
        <v>33.1</v>
      </c>
      <c r="O501">
        <v>231.70000000000002</v>
      </c>
    </row>
    <row r="502" spans="1:15" x14ac:dyDescent="0.3">
      <c r="A502" t="s">
        <v>589</v>
      </c>
      <c r="B502" t="s">
        <v>53</v>
      </c>
      <c r="C502" s="7">
        <v>45679</v>
      </c>
      <c r="D502" s="7">
        <v>45679</v>
      </c>
      <c r="E502" t="s">
        <v>2517</v>
      </c>
      <c r="F502" t="s">
        <v>34</v>
      </c>
      <c r="G502">
        <v>3</v>
      </c>
      <c r="H502" t="s">
        <v>18</v>
      </c>
      <c r="I502" t="s">
        <v>32</v>
      </c>
      <c r="J502">
        <f>orders[[#This Row],[Ship Date]]-orders[[#This Row],[Order Date]]</f>
        <v>0</v>
      </c>
      <c r="K502">
        <f>WEEKNUM(orders[[#This Row],[Order Date]])</f>
        <v>4</v>
      </c>
      <c r="L502" t="str" cm="1">
        <f t="array" ref="L502">_xlfn.IFS(orders[[#This Row],[Customer Gender]]="M","Male", orders[[#This Row],[Customer Gender]]="F","Female", orders[[#This Row],[Customer Gender]]="O","Other", TRUE,"Unknown")</f>
        <v>Unknown</v>
      </c>
      <c r="M502">
        <v>2</v>
      </c>
      <c r="N502">
        <v>30.5</v>
      </c>
      <c r="O502" s="5">
        <v>61</v>
      </c>
    </row>
    <row r="503" spans="1:15" x14ac:dyDescent="0.3">
      <c r="A503" t="s">
        <v>590</v>
      </c>
      <c r="B503" t="s">
        <v>45</v>
      </c>
      <c r="C503" s="7">
        <v>45679</v>
      </c>
      <c r="D503" s="7">
        <v>45680</v>
      </c>
      <c r="E503" t="s">
        <v>22</v>
      </c>
      <c r="F503" t="s">
        <v>17</v>
      </c>
      <c r="G503">
        <v>3</v>
      </c>
      <c r="H503" t="s">
        <v>18</v>
      </c>
      <c r="I503" t="s">
        <v>32</v>
      </c>
      <c r="J503">
        <f>orders[[#This Row],[Ship Date]]-orders[[#This Row],[Order Date]]</f>
        <v>1</v>
      </c>
      <c r="K503">
        <f>WEEKNUM(orders[[#This Row],[Order Date]])</f>
        <v>4</v>
      </c>
      <c r="L503" t="str" cm="1">
        <f t="array" ref="L503">_xlfn.IFS(orders[[#This Row],[Customer Gender]]="M","Male", orders[[#This Row],[Customer Gender]]="F","Female", orders[[#This Row],[Customer Gender]]="O","Other", TRUE,"Unknown")</f>
        <v>Male</v>
      </c>
      <c r="M503">
        <v>2</v>
      </c>
      <c r="N503">
        <v>69.599999999999994</v>
      </c>
      <c r="O503">
        <v>139.19999999999999</v>
      </c>
    </row>
    <row r="504" spans="1:15" x14ac:dyDescent="0.3">
      <c r="A504" t="s">
        <v>591</v>
      </c>
      <c r="B504" t="s">
        <v>66</v>
      </c>
      <c r="C504" s="7">
        <v>45679</v>
      </c>
      <c r="D504" s="7">
        <v>45683</v>
      </c>
      <c r="E504" t="s">
        <v>26</v>
      </c>
      <c r="F504" t="s">
        <v>34</v>
      </c>
      <c r="G504">
        <v>4</v>
      </c>
      <c r="H504" t="s">
        <v>18</v>
      </c>
      <c r="I504" t="s">
        <v>32</v>
      </c>
      <c r="J504">
        <f>orders[[#This Row],[Ship Date]]-orders[[#This Row],[Order Date]]</f>
        <v>4</v>
      </c>
      <c r="K504">
        <f>WEEKNUM(orders[[#This Row],[Order Date]])</f>
        <v>4</v>
      </c>
      <c r="L504" t="str" cm="1">
        <f t="array" ref="L504">_xlfn.IFS(orders[[#This Row],[Customer Gender]]="M","Male", orders[[#This Row],[Customer Gender]]="F","Female", orders[[#This Row],[Customer Gender]]="O","Other", TRUE,"Unknown")</f>
        <v>Female</v>
      </c>
      <c r="M504">
        <v>1</v>
      </c>
      <c r="N504">
        <v>42.4</v>
      </c>
      <c r="O504" s="5">
        <v>42.4</v>
      </c>
    </row>
    <row r="505" spans="1:15" x14ac:dyDescent="0.3">
      <c r="A505" t="s">
        <v>592</v>
      </c>
      <c r="B505" t="s">
        <v>134</v>
      </c>
      <c r="C505" s="7">
        <v>45679</v>
      </c>
      <c r="D505" s="7">
        <v>45682</v>
      </c>
      <c r="E505" t="s">
        <v>26</v>
      </c>
      <c r="F505" t="s">
        <v>39</v>
      </c>
      <c r="G505">
        <v>3</v>
      </c>
      <c r="H505" t="s">
        <v>18</v>
      </c>
      <c r="I505" t="s">
        <v>32</v>
      </c>
      <c r="J505">
        <f>orders[[#This Row],[Ship Date]]-orders[[#This Row],[Order Date]]</f>
        <v>3</v>
      </c>
      <c r="K505">
        <f>WEEKNUM(orders[[#This Row],[Order Date]])</f>
        <v>4</v>
      </c>
      <c r="L505" t="str" cm="1">
        <f t="array" ref="L505">_xlfn.IFS(orders[[#This Row],[Customer Gender]]="M","Male", orders[[#This Row],[Customer Gender]]="F","Female", orders[[#This Row],[Customer Gender]]="O","Other", TRUE,"Unknown")</f>
        <v>Female</v>
      </c>
      <c r="M505">
        <v>1</v>
      </c>
      <c r="N505">
        <v>32.200000000000003</v>
      </c>
      <c r="O505">
        <v>32.200000000000003</v>
      </c>
    </row>
    <row r="506" spans="1:15" x14ac:dyDescent="0.3">
      <c r="A506" t="s">
        <v>593</v>
      </c>
      <c r="B506" t="s">
        <v>38</v>
      </c>
      <c r="C506" s="7">
        <v>45679</v>
      </c>
      <c r="D506" s="7">
        <v>45682</v>
      </c>
      <c r="E506" t="s">
        <v>26</v>
      </c>
      <c r="F506" t="s">
        <v>17</v>
      </c>
      <c r="G506">
        <v>5</v>
      </c>
      <c r="H506" t="s">
        <v>18</v>
      </c>
      <c r="I506" t="s">
        <v>32</v>
      </c>
      <c r="J506">
        <f>orders[[#This Row],[Ship Date]]-orders[[#This Row],[Order Date]]</f>
        <v>3</v>
      </c>
      <c r="K506">
        <f>WEEKNUM(orders[[#This Row],[Order Date]])</f>
        <v>4</v>
      </c>
      <c r="L506" t="str" cm="1">
        <f t="array" ref="L506">_xlfn.IFS(orders[[#This Row],[Customer Gender]]="M","Male", orders[[#This Row],[Customer Gender]]="F","Female", orders[[#This Row],[Customer Gender]]="O","Other", TRUE,"Unknown")</f>
        <v>Female</v>
      </c>
      <c r="M506">
        <v>2</v>
      </c>
      <c r="N506">
        <v>41.5</v>
      </c>
      <c r="O506" s="5">
        <v>83</v>
      </c>
    </row>
    <row r="507" spans="1:15" x14ac:dyDescent="0.3">
      <c r="A507" t="s">
        <v>594</v>
      </c>
      <c r="B507" t="s">
        <v>127</v>
      </c>
      <c r="C507" s="7">
        <v>45679</v>
      </c>
      <c r="D507" s="7">
        <v>45683</v>
      </c>
      <c r="E507" t="s">
        <v>26</v>
      </c>
      <c r="F507" t="s">
        <v>50</v>
      </c>
      <c r="G507">
        <v>4</v>
      </c>
      <c r="H507" t="s">
        <v>18</v>
      </c>
      <c r="I507" t="s">
        <v>32</v>
      </c>
      <c r="J507">
        <f>orders[[#This Row],[Ship Date]]-orders[[#This Row],[Order Date]]</f>
        <v>4</v>
      </c>
      <c r="K507">
        <f>WEEKNUM(orders[[#This Row],[Order Date]])</f>
        <v>4</v>
      </c>
      <c r="L507" t="str" cm="1">
        <f t="array" ref="L507">_xlfn.IFS(orders[[#This Row],[Customer Gender]]="M","Male", orders[[#This Row],[Customer Gender]]="F","Female", orders[[#This Row],[Customer Gender]]="O","Other", TRUE,"Unknown")</f>
        <v>Female</v>
      </c>
      <c r="M507">
        <v>9</v>
      </c>
      <c r="N507">
        <v>58.9</v>
      </c>
      <c r="O507">
        <v>530.1</v>
      </c>
    </row>
    <row r="508" spans="1:15" x14ac:dyDescent="0.3">
      <c r="A508" t="s">
        <v>595</v>
      </c>
      <c r="B508" t="s">
        <v>25</v>
      </c>
      <c r="C508" s="7">
        <v>45679</v>
      </c>
      <c r="D508" s="7">
        <v>45682</v>
      </c>
      <c r="E508" t="s">
        <v>26</v>
      </c>
      <c r="F508" t="s">
        <v>34</v>
      </c>
      <c r="G508">
        <v>4</v>
      </c>
      <c r="H508" t="s">
        <v>18</v>
      </c>
      <c r="I508" t="s">
        <v>32</v>
      </c>
      <c r="J508">
        <f>orders[[#This Row],[Ship Date]]-orders[[#This Row],[Order Date]]</f>
        <v>3</v>
      </c>
      <c r="K508">
        <f>WEEKNUM(orders[[#This Row],[Order Date]])</f>
        <v>4</v>
      </c>
      <c r="L508" t="str" cm="1">
        <f t="array" ref="L508">_xlfn.IFS(orders[[#This Row],[Customer Gender]]="M","Male", orders[[#This Row],[Customer Gender]]="F","Female", orders[[#This Row],[Customer Gender]]="O","Other", TRUE,"Unknown")</f>
        <v>Female</v>
      </c>
      <c r="M508">
        <v>1</v>
      </c>
      <c r="N508">
        <v>57.1</v>
      </c>
      <c r="O508" s="5">
        <v>57.1</v>
      </c>
    </row>
    <row r="509" spans="1:15" x14ac:dyDescent="0.3">
      <c r="A509" t="s">
        <v>596</v>
      </c>
      <c r="B509" t="s">
        <v>38</v>
      </c>
      <c r="C509" s="7">
        <v>45679</v>
      </c>
      <c r="D509" s="7">
        <v>45681</v>
      </c>
      <c r="E509" t="s">
        <v>22</v>
      </c>
      <c r="F509" t="s">
        <v>34</v>
      </c>
      <c r="G509">
        <v>4</v>
      </c>
      <c r="H509" t="s">
        <v>18</v>
      </c>
      <c r="I509" t="s">
        <v>32</v>
      </c>
      <c r="J509">
        <f>orders[[#This Row],[Ship Date]]-orders[[#This Row],[Order Date]]</f>
        <v>2</v>
      </c>
      <c r="K509">
        <f>WEEKNUM(orders[[#This Row],[Order Date]])</f>
        <v>4</v>
      </c>
      <c r="L509" t="str" cm="1">
        <f t="array" ref="L509">_xlfn.IFS(orders[[#This Row],[Customer Gender]]="M","Male", orders[[#This Row],[Customer Gender]]="F","Female", orders[[#This Row],[Customer Gender]]="O","Other", TRUE,"Unknown")</f>
        <v>Male</v>
      </c>
      <c r="M509">
        <v>1</v>
      </c>
      <c r="N509">
        <v>57.2</v>
      </c>
      <c r="O509">
        <v>57.2</v>
      </c>
    </row>
    <row r="510" spans="1:15" x14ac:dyDescent="0.3">
      <c r="A510" t="s">
        <v>597</v>
      </c>
      <c r="B510" t="s">
        <v>43</v>
      </c>
      <c r="C510" s="7">
        <v>45679</v>
      </c>
      <c r="D510" s="7">
        <v>45680</v>
      </c>
      <c r="E510" t="s">
        <v>22</v>
      </c>
      <c r="F510" t="s">
        <v>34</v>
      </c>
      <c r="G510">
        <v>4</v>
      </c>
      <c r="H510" t="s">
        <v>18</v>
      </c>
      <c r="I510" t="s">
        <v>54</v>
      </c>
      <c r="J510">
        <f>orders[[#This Row],[Ship Date]]-orders[[#This Row],[Order Date]]</f>
        <v>1</v>
      </c>
      <c r="K510">
        <f>WEEKNUM(orders[[#This Row],[Order Date]])</f>
        <v>4</v>
      </c>
      <c r="L510" t="str" cm="1">
        <f t="array" ref="L510">_xlfn.IFS(orders[[#This Row],[Customer Gender]]="M","Male", orders[[#This Row],[Customer Gender]]="F","Female", orders[[#This Row],[Customer Gender]]="O","Other", TRUE,"Unknown")</f>
        <v>Male</v>
      </c>
      <c r="M510">
        <v>2</v>
      </c>
      <c r="N510">
        <v>35.1</v>
      </c>
      <c r="O510" s="5">
        <v>70.2</v>
      </c>
    </row>
    <row r="511" spans="1:15" x14ac:dyDescent="0.3">
      <c r="A511" t="s">
        <v>598</v>
      </c>
      <c r="B511" t="s">
        <v>21</v>
      </c>
      <c r="C511" s="7">
        <v>45679</v>
      </c>
      <c r="D511" s="7">
        <v>45681</v>
      </c>
      <c r="E511" t="s">
        <v>26</v>
      </c>
      <c r="F511" t="s">
        <v>69</v>
      </c>
      <c r="G511">
        <v>3</v>
      </c>
      <c r="H511" t="s">
        <v>18</v>
      </c>
      <c r="I511" t="s">
        <v>61</v>
      </c>
      <c r="J511">
        <f>orders[[#This Row],[Ship Date]]-orders[[#This Row],[Order Date]]</f>
        <v>2</v>
      </c>
      <c r="K511">
        <f>WEEKNUM(orders[[#This Row],[Order Date]])</f>
        <v>4</v>
      </c>
      <c r="L511" t="str" cm="1">
        <f t="array" ref="L511">_xlfn.IFS(orders[[#This Row],[Customer Gender]]="M","Male", orders[[#This Row],[Customer Gender]]="F","Female", orders[[#This Row],[Customer Gender]]="O","Other", TRUE,"Unknown")</f>
        <v>Female</v>
      </c>
      <c r="M511">
        <v>1</v>
      </c>
      <c r="N511">
        <v>52.1</v>
      </c>
      <c r="O511">
        <v>52.1</v>
      </c>
    </row>
    <row r="512" spans="1:15" x14ac:dyDescent="0.3">
      <c r="A512" t="s">
        <v>599</v>
      </c>
      <c r="B512" t="s">
        <v>75</v>
      </c>
      <c r="C512" s="7">
        <v>45679</v>
      </c>
      <c r="D512" s="7">
        <v>45681</v>
      </c>
      <c r="E512" t="s">
        <v>26</v>
      </c>
      <c r="F512" t="s">
        <v>69</v>
      </c>
      <c r="G512">
        <v>3</v>
      </c>
      <c r="H512" t="s">
        <v>18</v>
      </c>
      <c r="I512" t="s">
        <v>61</v>
      </c>
      <c r="J512">
        <f>orders[[#This Row],[Ship Date]]-orders[[#This Row],[Order Date]]</f>
        <v>2</v>
      </c>
      <c r="K512">
        <f>WEEKNUM(orders[[#This Row],[Order Date]])</f>
        <v>4</v>
      </c>
      <c r="L512" t="str" cm="1">
        <f t="array" ref="L512">_xlfn.IFS(orders[[#This Row],[Customer Gender]]="M","Male", orders[[#This Row],[Customer Gender]]="F","Female", orders[[#This Row],[Customer Gender]]="O","Other", TRUE,"Unknown")</f>
        <v>Female</v>
      </c>
      <c r="M512">
        <v>3</v>
      </c>
      <c r="N512">
        <v>59.8</v>
      </c>
      <c r="O512" s="5">
        <v>179.39999999999998</v>
      </c>
    </row>
    <row r="513" spans="1:15" x14ac:dyDescent="0.3">
      <c r="A513" t="s">
        <v>600</v>
      </c>
      <c r="B513" t="s">
        <v>29</v>
      </c>
      <c r="C513" s="7">
        <v>45679</v>
      </c>
      <c r="D513" s="7">
        <v>45679</v>
      </c>
      <c r="E513" t="s">
        <v>2517</v>
      </c>
      <c r="F513" t="s">
        <v>39</v>
      </c>
      <c r="G513">
        <v>4</v>
      </c>
      <c r="H513" t="s">
        <v>18</v>
      </c>
      <c r="I513" t="s">
        <v>61</v>
      </c>
      <c r="J513">
        <f>orders[[#This Row],[Ship Date]]-orders[[#This Row],[Order Date]]</f>
        <v>0</v>
      </c>
      <c r="K513">
        <f>WEEKNUM(orders[[#This Row],[Order Date]])</f>
        <v>4</v>
      </c>
      <c r="L513" t="str" cm="1">
        <f t="array" ref="L513">_xlfn.IFS(orders[[#This Row],[Customer Gender]]="M","Male", orders[[#This Row],[Customer Gender]]="F","Female", orders[[#This Row],[Customer Gender]]="O","Other", TRUE,"Unknown")</f>
        <v>Unknown</v>
      </c>
      <c r="M513">
        <v>4</v>
      </c>
      <c r="N513">
        <v>83.3</v>
      </c>
      <c r="O513">
        <v>333.2</v>
      </c>
    </row>
    <row r="514" spans="1:15" x14ac:dyDescent="0.3">
      <c r="A514" t="s">
        <v>601</v>
      </c>
      <c r="B514" t="s">
        <v>122</v>
      </c>
      <c r="C514" s="7">
        <v>45679</v>
      </c>
      <c r="D514" s="7">
        <v>45680</v>
      </c>
      <c r="E514" t="s">
        <v>26</v>
      </c>
      <c r="F514" t="s">
        <v>34</v>
      </c>
      <c r="G514">
        <v>4</v>
      </c>
      <c r="H514" t="s">
        <v>18</v>
      </c>
      <c r="I514" t="s">
        <v>61</v>
      </c>
      <c r="J514">
        <f>orders[[#This Row],[Ship Date]]-orders[[#This Row],[Order Date]]</f>
        <v>1</v>
      </c>
      <c r="K514">
        <f>WEEKNUM(orders[[#This Row],[Order Date]])</f>
        <v>4</v>
      </c>
      <c r="L514" t="str" cm="1">
        <f t="array" ref="L514">_xlfn.IFS(orders[[#This Row],[Customer Gender]]="M","Male", orders[[#This Row],[Customer Gender]]="F","Female", orders[[#This Row],[Customer Gender]]="O","Other", TRUE,"Unknown")</f>
        <v>Female</v>
      </c>
      <c r="M514">
        <v>12</v>
      </c>
      <c r="N514">
        <v>41.3</v>
      </c>
      <c r="O514" s="5">
        <v>495.59999999999997</v>
      </c>
    </row>
    <row r="515" spans="1:15" x14ac:dyDescent="0.3">
      <c r="A515" t="s">
        <v>602</v>
      </c>
      <c r="B515" t="s">
        <v>43</v>
      </c>
      <c r="C515" s="7">
        <v>45679</v>
      </c>
      <c r="D515" s="7">
        <v>45681</v>
      </c>
      <c r="E515" t="s">
        <v>22</v>
      </c>
      <c r="F515" t="s">
        <v>69</v>
      </c>
      <c r="G515">
        <v>3</v>
      </c>
      <c r="H515" t="s">
        <v>18</v>
      </c>
      <c r="I515" t="s">
        <v>71</v>
      </c>
      <c r="J515">
        <f>orders[[#This Row],[Ship Date]]-orders[[#This Row],[Order Date]]</f>
        <v>2</v>
      </c>
      <c r="K515">
        <f>WEEKNUM(orders[[#This Row],[Order Date]])</f>
        <v>4</v>
      </c>
      <c r="L515" t="str" cm="1">
        <f t="array" ref="L515">_xlfn.IFS(orders[[#This Row],[Customer Gender]]="M","Male", orders[[#This Row],[Customer Gender]]="F","Female", orders[[#This Row],[Customer Gender]]="O","Other", TRUE,"Unknown")</f>
        <v>Male</v>
      </c>
      <c r="M515">
        <v>5</v>
      </c>
      <c r="N515">
        <v>16</v>
      </c>
      <c r="O515">
        <v>80</v>
      </c>
    </row>
    <row r="516" spans="1:15" x14ac:dyDescent="0.3">
      <c r="A516" t="s">
        <v>603</v>
      </c>
      <c r="B516" t="s">
        <v>53</v>
      </c>
      <c r="C516" s="7">
        <v>45680</v>
      </c>
      <c r="D516" s="7">
        <v>45682</v>
      </c>
      <c r="E516" t="s">
        <v>22</v>
      </c>
      <c r="F516" t="s">
        <v>17</v>
      </c>
      <c r="G516">
        <v>5</v>
      </c>
      <c r="H516" t="s">
        <v>18</v>
      </c>
      <c r="I516" t="s">
        <v>76</v>
      </c>
      <c r="J516">
        <f>orders[[#This Row],[Ship Date]]-orders[[#This Row],[Order Date]]</f>
        <v>2</v>
      </c>
      <c r="K516">
        <f>WEEKNUM(orders[[#This Row],[Order Date]])</f>
        <v>4</v>
      </c>
      <c r="L516" t="str" cm="1">
        <f t="array" ref="L516">_xlfn.IFS(orders[[#This Row],[Customer Gender]]="M","Male", orders[[#This Row],[Customer Gender]]="F","Female", orders[[#This Row],[Customer Gender]]="O","Other", TRUE,"Unknown")</f>
        <v>Male</v>
      </c>
      <c r="M516">
        <v>2</v>
      </c>
      <c r="N516">
        <v>20.8</v>
      </c>
      <c r="O516" s="5">
        <v>41.6</v>
      </c>
    </row>
    <row r="517" spans="1:15" x14ac:dyDescent="0.3">
      <c r="A517" t="s">
        <v>604</v>
      </c>
      <c r="B517" t="s">
        <v>43</v>
      </c>
      <c r="C517" s="7">
        <v>45680</v>
      </c>
      <c r="D517" s="7">
        <v>45681</v>
      </c>
      <c r="E517" t="s">
        <v>2517</v>
      </c>
      <c r="F517" t="s">
        <v>50</v>
      </c>
      <c r="G517">
        <v>5</v>
      </c>
      <c r="H517" t="s">
        <v>18</v>
      </c>
      <c r="I517" t="s">
        <v>76</v>
      </c>
      <c r="J517">
        <f>orders[[#This Row],[Ship Date]]-orders[[#This Row],[Order Date]]</f>
        <v>1</v>
      </c>
      <c r="K517">
        <f>WEEKNUM(orders[[#This Row],[Order Date]])</f>
        <v>4</v>
      </c>
      <c r="L517" t="str" cm="1">
        <f t="array" ref="L517">_xlfn.IFS(orders[[#This Row],[Customer Gender]]="M","Male", orders[[#This Row],[Customer Gender]]="F","Female", orders[[#This Row],[Customer Gender]]="O","Other", TRUE,"Unknown")</f>
        <v>Unknown</v>
      </c>
      <c r="M517">
        <v>28</v>
      </c>
      <c r="N517">
        <v>27.1</v>
      </c>
      <c r="O517">
        <v>758.80000000000007</v>
      </c>
    </row>
    <row r="518" spans="1:15" x14ac:dyDescent="0.3">
      <c r="A518" t="s">
        <v>605</v>
      </c>
      <c r="B518" t="s">
        <v>53</v>
      </c>
      <c r="C518" s="7">
        <v>45680</v>
      </c>
      <c r="D518" s="7">
        <v>45682</v>
      </c>
      <c r="E518" t="s">
        <v>26</v>
      </c>
      <c r="F518" t="s">
        <v>17</v>
      </c>
      <c r="G518">
        <v>4</v>
      </c>
      <c r="H518" t="s">
        <v>18</v>
      </c>
      <c r="I518" t="s">
        <v>107</v>
      </c>
      <c r="J518">
        <f>orders[[#This Row],[Ship Date]]-orders[[#This Row],[Order Date]]</f>
        <v>2</v>
      </c>
      <c r="K518">
        <f>WEEKNUM(orders[[#This Row],[Order Date]])</f>
        <v>4</v>
      </c>
      <c r="L518" t="str" cm="1">
        <f t="array" ref="L518">_xlfn.IFS(orders[[#This Row],[Customer Gender]]="M","Male", orders[[#This Row],[Customer Gender]]="F","Female", orders[[#This Row],[Customer Gender]]="O","Other", TRUE,"Unknown")</f>
        <v>Female</v>
      </c>
      <c r="M518">
        <v>2</v>
      </c>
      <c r="N518">
        <v>38.9</v>
      </c>
      <c r="O518" s="5">
        <v>77.8</v>
      </c>
    </row>
    <row r="519" spans="1:15" x14ac:dyDescent="0.3">
      <c r="A519" t="s">
        <v>606</v>
      </c>
      <c r="B519" t="s">
        <v>16</v>
      </c>
      <c r="C519" s="7">
        <v>45680</v>
      </c>
      <c r="D519" s="7">
        <v>45683</v>
      </c>
      <c r="E519" t="s">
        <v>26</v>
      </c>
      <c r="F519" t="s">
        <v>34</v>
      </c>
      <c r="G519">
        <v>5</v>
      </c>
      <c r="H519" t="s">
        <v>18</v>
      </c>
      <c r="I519" t="s">
        <v>607</v>
      </c>
      <c r="J519">
        <f>orders[[#This Row],[Ship Date]]-orders[[#This Row],[Order Date]]</f>
        <v>3</v>
      </c>
      <c r="K519">
        <f>WEEKNUM(orders[[#This Row],[Order Date]])</f>
        <v>4</v>
      </c>
      <c r="L519" t="str" cm="1">
        <f t="array" ref="L519">_xlfn.IFS(orders[[#This Row],[Customer Gender]]="M","Male", orders[[#This Row],[Customer Gender]]="F","Female", orders[[#This Row],[Customer Gender]]="O","Other", TRUE,"Unknown")</f>
        <v>Female</v>
      </c>
      <c r="M519">
        <v>2</v>
      </c>
      <c r="N519">
        <v>10.8</v>
      </c>
      <c r="O519">
        <v>21.6</v>
      </c>
    </row>
    <row r="520" spans="1:15" x14ac:dyDescent="0.3">
      <c r="A520" t="s">
        <v>608</v>
      </c>
      <c r="B520" t="s">
        <v>31</v>
      </c>
      <c r="C520" s="7">
        <v>45680</v>
      </c>
      <c r="D520" s="7">
        <v>45684</v>
      </c>
      <c r="E520" t="s">
        <v>26</v>
      </c>
      <c r="F520" t="s">
        <v>17</v>
      </c>
      <c r="G520">
        <v>4</v>
      </c>
      <c r="H520" t="s">
        <v>18</v>
      </c>
      <c r="I520" t="s">
        <v>114</v>
      </c>
      <c r="J520">
        <f>orders[[#This Row],[Ship Date]]-orders[[#This Row],[Order Date]]</f>
        <v>4</v>
      </c>
      <c r="K520">
        <f>WEEKNUM(orders[[#This Row],[Order Date]])</f>
        <v>4</v>
      </c>
      <c r="L520" t="str" cm="1">
        <f t="array" ref="L520">_xlfn.IFS(orders[[#This Row],[Customer Gender]]="M","Male", orders[[#This Row],[Customer Gender]]="F","Female", orders[[#This Row],[Customer Gender]]="O","Other", TRUE,"Unknown")</f>
        <v>Female</v>
      </c>
      <c r="M520">
        <v>13</v>
      </c>
      <c r="N520">
        <v>48.4</v>
      </c>
      <c r="O520" s="5">
        <v>629.19999999999993</v>
      </c>
    </row>
    <row r="521" spans="1:15" x14ac:dyDescent="0.3">
      <c r="A521" t="s">
        <v>609</v>
      </c>
      <c r="B521" t="s">
        <v>31</v>
      </c>
      <c r="C521" s="7">
        <v>45680</v>
      </c>
      <c r="D521" s="7">
        <v>45683</v>
      </c>
      <c r="E521" t="s">
        <v>26</v>
      </c>
      <c r="F521" t="s">
        <v>34</v>
      </c>
      <c r="G521">
        <v>3</v>
      </c>
      <c r="H521" t="s">
        <v>18</v>
      </c>
      <c r="I521" t="s">
        <v>27</v>
      </c>
      <c r="J521">
        <f>orders[[#This Row],[Ship Date]]-orders[[#This Row],[Order Date]]</f>
        <v>3</v>
      </c>
      <c r="K521">
        <f>WEEKNUM(orders[[#This Row],[Order Date]])</f>
        <v>4</v>
      </c>
      <c r="L521" t="str" cm="1">
        <f t="array" ref="L521">_xlfn.IFS(orders[[#This Row],[Customer Gender]]="M","Male", orders[[#This Row],[Customer Gender]]="F","Female", orders[[#This Row],[Customer Gender]]="O","Other", TRUE,"Unknown")</f>
        <v>Female</v>
      </c>
      <c r="M521">
        <v>3</v>
      </c>
      <c r="N521">
        <v>29.2</v>
      </c>
      <c r="O521">
        <v>87.6</v>
      </c>
    </row>
    <row r="522" spans="1:15" x14ac:dyDescent="0.3">
      <c r="A522" t="s">
        <v>610</v>
      </c>
      <c r="B522" t="s">
        <v>31</v>
      </c>
      <c r="C522" s="7">
        <v>45680</v>
      </c>
      <c r="D522" s="7">
        <v>45681</v>
      </c>
      <c r="E522" t="s">
        <v>22</v>
      </c>
      <c r="F522" t="s">
        <v>17</v>
      </c>
      <c r="G522">
        <v>3</v>
      </c>
      <c r="H522" t="s">
        <v>18</v>
      </c>
      <c r="I522" t="s">
        <v>27</v>
      </c>
      <c r="J522">
        <f>orders[[#This Row],[Ship Date]]-orders[[#This Row],[Order Date]]</f>
        <v>1</v>
      </c>
      <c r="K522">
        <f>WEEKNUM(orders[[#This Row],[Order Date]])</f>
        <v>4</v>
      </c>
      <c r="L522" t="str" cm="1">
        <f t="array" ref="L522">_xlfn.IFS(orders[[#This Row],[Customer Gender]]="M","Male", orders[[#This Row],[Customer Gender]]="F","Female", orders[[#This Row],[Customer Gender]]="O","Other", TRUE,"Unknown")</f>
        <v>Male</v>
      </c>
      <c r="M522">
        <v>2</v>
      </c>
      <c r="N522">
        <v>25.1</v>
      </c>
      <c r="O522" s="5">
        <v>50.2</v>
      </c>
    </row>
    <row r="523" spans="1:15" x14ac:dyDescent="0.3">
      <c r="A523" t="s">
        <v>611</v>
      </c>
      <c r="B523" t="s">
        <v>41</v>
      </c>
      <c r="C523" s="7">
        <v>45680</v>
      </c>
      <c r="D523" s="7">
        <v>45680</v>
      </c>
      <c r="E523" t="s">
        <v>26</v>
      </c>
      <c r="F523" t="s">
        <v>39</v>
      </c>
      <c r="G523">
        <v>3</v>
      </c>
      <c r="H523" t="s">
        <v>18</v>
      </c>
      <c r="I523" t="s">
        <v>32</v>
      </c>
      <c r="J523">
        <f>orders[[#This Row],[Ship Date]]-orders[[#This Row],[Order Date]]</f>
        <v>0</v>
      </c>
      <c r="K523">
        <f>WEEKNUM(orders[[#This Row],[Order Date]])</f>
        <v>4</v>
      </c>
      <c r="L523" t="str" cm="1">
        <f t="array" ref="L523">_xlfn.IFS(orders[[#This Row],[Customer Gender]]="M","Male", orders[[#This Row],[Customer Gender]]="F","Female", orders[[#This Row],[Customer Gender]]="O","Other", TRUE,"Unknown")</f>
        <v>Female</v>
      </c>
      <c r="M523">
        <v>3</v>
      </c>
      <c r="N523">
        <v>65.599999999999994</v>
      </c>
      <c r="O523">
        <v>196.79999999999998</v>
      </c>
    </row>
    <row r="524" spans="1:15" x14ac:dyDescent="0.3">
      <c r="A524" t="s">
        <v>612</v>
      </c>
      <c r="B524" t="s">
        <v>25</v>
      </c>
      <c r="C524" s="7">
        <v>45680</v>
      </c>
      <c r="D524" s="7">
        <v>45680</v>
      </c>
      <c r="E524" t="s">
        <v>2517</v>
      </c>
      <c r="F524" t="s">
        <v>17</v>
      </c>
      <c r="G524">
        <v>4</v>
      </c>
      <c r="H524" t="s">
        <v>18</v>
      </c>
      <c r="I524" t="s">
        <v>32</v>
      </c>
      <c r="J524">
        <f>orders[[#This Row],[Ship Date]]-orders[[#This Row],[Order Date]]</f>
        <v>0</v>
      </c>
      <c r="K524">
        <f>WEEKNUM(orders[[#This Row],[Order Date]])</f>
        <v>4</v>
      </c>
      <c r="L524" t="str" cm="1">
        <f t="array" ref="L524">_xlfn.IFS(orders[[#This Row],[Customer Gender]]="M","Male", orders[[#This Row],[Customer Gender]]="F","Female", orders[[#This Row],[Customer Gender]]="O","Other", TRUE,"Unknown")</f>
        <v>Unknown</v>
      </c>
      <c r="M524">
        <v>2</v>
      </c>
      <c r="N524">
        <v>57.3</v>
      </c>
      <c r="O524" s="5">
        <v>114.6</v>
      </c>
    </row>
    <row r="525" spans="1:15" x14ac:dyDescent="0.3">
      <c r="A525" t="s">
        <v>613</v>
      </c>
      <c r="B525" t="s">
        <v>45</v>
      </c>
      <c r="C525" s="7">
        <v>45680</v>
      </c>
      <c r="D525" s="7">
        <v>45681</v>
      </c>
      <c r="E525" t="s">
        <v>26</v>
      </c>
      <c r="F525" t="s">
        <v>39</v>
      </c>
      <c r="G525">
        <v>5</v>
      </c>
      <c r="H525" t="s">
        <v>18</v>
      </c>
      <c r="I525" t="s">
        <v>32</v>
      </c>
      <c r="J525">
        <f>orders[[#This Row],[Ship Date]]-orders[[#This Row],[Order Date]]</f>
        <v>1</v>
      </c>
      <c r="K525">
        <f>WEEKNUM(orders[[#This Row],[Order Date]])</f>
        <v>4</v>
      </c>
      <c r="L525" t="str" cm="1">
        <f t="array" ref="L525">_xlfn.IFS(orders[[#This Row],[Customer Gender]]="M","Male", orders[[#This Row],[Customer Gender]]="F","Female", orders[[#This Row],[Customer Gender]]="O","Other", TRUE,"Unknown")</f>
        <v>Female</v>
      </c>
      <c r="M525">
        <v>4</v>
      </c>
      <c r="N525">
        <v>22.4</v>
      </c>
      <c r="O525">
        <v>89.6</v>
      </c>
    </row>
    <row r="526" spans="1:15" x14ac:dyDescent="0.3">
      <c r="A526" t="s">
        <v>614</v>
      </c>
      <c r="B526" t="s">
        <v>68</v>
      </c>
      <c r="C526" s="7">
        <v>45680</v>
      </c>
      <c r="D526" s="7">
        <v>45681</v>
      </c>
      <c r="E526" t="s">
        <v>26</v>
      </c>
      <c r="F526" t="s">
        <v>17</v>
      </c>
      <c r="G526">
        <v>4</v>
      </c>
      <c r="H526" t="s">
        <v>18</v>
      </c>
      <c r="I526" t="s">
        <v>32</v>
      </c>
      <c r="J526">
        <f>orders[[#This Row],[Ship Date]]-orders[[#This Row],[Order Date]]</f>
        <v>1</v>
      </c>
      <c r="K526">
        <f>WEEKNUM(orders[[#This Row],[Order Date]])</f>
        <v>4</v>
      </c>
      <c r="L526" t="str" cm="1">
        <f t="array" ref="L526">_xlfn.IFS(orders[[#This Row],[Customer Gender]]="M","Male", orders[[#This Row],[Customer Gender]]="F","Female", orders[[#This Row],[Customer Gender]]="O","Other", TRUE,"Unknown")</f>
        <v>Female</v>
      </c>
      <c r="M526">
        <v>9</v>
      </c>
      <c r="N526">
        <v>45.7</v>
      </c>
      <c r="O526" s="5">
        <v>411.3</v>
      </c>
    </row>
    <row r="527" spans="1:15" x14ac:dyDescent="0.3">
      <c r="A527" t="s">
        <v>615</v>
      </c>
      <c r="B527" t="s">
        <v>43</v>
      </c>
      <c r="C527" s="7">
        <v>45680</v>
      </c>
      <c r="D527" s="7">
        <v>45681</v>
      </c>
      <c r="E527" t="s">
        <v>22</v>
      </c>
      <c r="F527" t="s">
        <v>34</v>
      </c>
      <c r="G527">
        <v>4</v>
      </c>
      <c r="H527" t="s">
        <v>18</v>
      </c>
      <c r="I527" t="s">
        <v>32</v>
      </c>
      <c r="J527">
        <f>orders[[#This Row],[Ship Date]]-orders[[#This Row],[Order Date]]</f>
        <v>1</v>
      </c>
      <c r="K527">
        <f>WEEKNUM(orders[[#This Row],[Order Date]])</f>
        <v>4</v>
      </c>
      <c r="L527" t="str" cm="1">
        <f t="array" ref="L527">_xlfn.IFS(orders[[#This Row],[Customer Gender]]="M","Male", orders[[#This Row],[Customer Gender]]="F","Female", orders[[#This Row],[Customer Gender]]="O","Other", TRUE,"Unknown")</f>
        <v>Male</v>
      </c>
      <c r="M527">
        <v>2</v>
      </c>
      <c r="N527">
        <v>29.3</v>
      </c>
      <c r="O527">
        <v>58.6</v>
      </c>
    </row>
    <row r="528" spans="1:15" x14ac:dyDescent="0.3">
      <c r="A528" t="s">
        <v>616</v>
      </c>
      <c r="B528" t="s">
        <v>145</v>
      </c>
      <c r="C528" s="7">
        <v>45680</v>
      </c>
      <c r="D528" s="7">
        <v>45681</v>
      </c>
      <c r="E528" t="s">
        <v>22</v>
      </c>
      <c r="F528" t="s">
        <v>17</v>
      </c>
      <c r="G528">
        <v>5</v>
      </c>
      <c r="H528" t="s">
        <v>18</v>
      </c>
      <c r="I528" t="s">
        <v>32</v>
      </c>
      <c r="J528">
        <f>orders[[#This Row],[Ship Date]]-orders[[#This Row],[Order Date]]</f>
        <v>1</v>
      </c>
      <c r="K528">
        <f>WEEKNUM(orders[[#This Row],[Order Date]])</f>
        <v>4</v>
      </c>
      <c r="L528" t="str" cm="1">
        <f t="array" ref="L528">_xlfn.IFS(orders[[#This Row],[Customer Gender]]="M","Male", orders[[#This Row],[Customer Gender]]="F","Female", orders[[#This Row],[Customer Gender]]="O","Other", TRUE,"Unknown")</f>
        <v>Male</v>
      </c>
      <c r="M528">
        <v>22</v>
      </c>
      <c r="N528">
        <v>74</v>
      </c>
      <c r="O528" s="5">
        <v>1628</v>
      </c>
    </row>
    <row r="529" spans="1:15" x14ac:dyDescent="0.3">
      <c r="A529" t="s">
        <v>617</v>
      </c>
      <c r="B529" t="s">
        <v>80</v>
      </c>
      <c r="C529" s="7">
        <v>45680</v>
      </c>
      <c r="D529" s="7">
        <v>45682</v>
      </c>
      <c r="E529" t="s">
        <v>26</v>
      </c>
      <c r="F529" t="s">
        <v>34</v>
      </c>
      <c r="G529">
        <v>4</v>
      </c>
      <c r="H529" t="s">
        <v>18</v>
      </c>
      <c r="I529" t="s">
        <v>32</v>
      </c>
      <c r="J529">
        <f>orders[[#This Row],[Ship Date]]-orders[[#This Row],[Order Date]]</f>
        <v>2</v>
      </c>
      <c r="K529">
        <f>WEEKNUM(orders[[#This Row],[Order Date]])</f>
        <v>4</v>
      </c>
      <c r="L529" t="str" cm="1">
        <f t="array" ref="L529">_xlfn.IFS(orders[[#This Row],[Customer Gender]]="M","Male", orders[[#This Row],[Customer Gender]]="F","Female", orders[[#This Row],[Customer Gender]]="O","Other", TRUE,"Unknown")</f>
        <v>Female</v>
      </c>
      <c r="M529">
        <v>2</v>
      </c>
      <c r="N529">
        <v>39.200000000000003</v>
      </c>
      <c r="O529">
        <v>78.400000000000006</v>
      </c>
    </row>
    <row r="530" spans="1:15" x14ac:dyDescent="0.3">
      <c r="A530" t="s">
        <v>618</v>
      </c>
      <c r="B530" t="s">
        <v>31</v>
      </c>
      <c r="C530" s="7">
        <v>45680</v>
      </c>
      <c r="D530" s="7">
        <v>45681</v>
      </c>
      <c r="E530" t="s">
        <v>26</v>
      </c>
      <c r="F530" t="s">
        <v>39</v>
      </c>
      <c r="G530">
        <v>3</v>
      </c>
      <c r="H530" t="s">
        <v>18</v>
      </c>
      <c r="I530" t="s">
        <v>32</v>
      </c>
      <c r="J530">
        <f>orders[[#This Row],[Ship Date]]-orders[[#This Row],[Order Date]]</f>
        <v>1</v>
      </c>
      <c r="K530">
        <f>WEEKNUM(orders[[#This Row],[Order Date]])</f>
        <v>4</v>
      </c>
      <c r="L530" t="str" cm="1">
        <f t="array" ref="L530">_xlfn.IFS(orders[[#This Row],[Customer Gender]]="M","Male", orders[[#This Row],[Customer Gender]]="F","Female", orders[[#This Row],[Customer Gender]]="O","Other", TRUE,"Unknown")</f>
        <v>Female</v>
      </c>
      <c r="M530">
        <v>17</v>
      </c>
      <c r="N530">
        <v>62.7</v>
      </c>
      <c r="O530" s="5">
        <v>1065.9000000000001</v>
      </c>
    </row>
    <row r="531" spans="1:15" x14ac:dyDescent="0.3">
      <c r="A531" t="s">
        <v>619</v>
      </c>
      <c r="B531" t="s">
        <v>53</v>
      </c>
      <c r="C531" s="7">
        <v>45680</v>
      </c>
      <c r="D531" s="7">
        <v>45681</v>
      </c>
      <c r="E531" t="s">
        <v>26</v>
      </c>
      <c r="F531" t="s">
        <v>50</v>
      </c>
      <c r="G531">
        <v>4</v>
      </c>
      <c r="H531" t="s">
        <v>18</v>
      </c>
      <c r="I531" t="s">
        <v>32</v>
      </c>
      <c r="J531">
        <f>orders[[#This Row],[Ship Date]]-orders[[#This Row],[Order Date]]</f>
        <v>1</v>
      </c>
      <c r="K531">
        <f>WEEKNUM(orders[[#This Row],[Order Date]])</f>
        <v>4</v>
      </c>
      <c r="L531" t="str" cm="1">
        <f t="array" ref="L531">_xlfn.IFS(orders[[#This Row],[Customer Gender]]="M","Male", orders[[#This Row],[Customer Gender]]="F","Female", orders[[#This Row],[Customer Gender]]="O","Other", TRUE,"Unknown")</f>
        <v>Female</v>
      </c>
      <c r="M531">
        <v>2</v>
      </c>
      <c r="N531">
        <v>60.1</v>
      </c>
      <c r="O531">
        <v>120.2</v>
      </c>
    </row>
    <row r="532" spans="1:15" x14ac:dyDescent="0.3">
      <c r="A532" t="s">
        <v>620</v>
      </c>
      <c r="B532" t="s">
        <v>16</v>
      </c>
      <c r="C532" s="7">
        <v>45680</v>
      </c>
      <c r="D532" s="7">
        <v>45681</v>
      </c>
      <c r="E532" t="s">
        <v>26</v>
      </c>
      <c r="F532" t="s">
        <v>50</v>
      </c>
      <c r="G532">
        <v>3</v>
      </c>
      <c r="H532" t="s">
        <v>18</v>
      </c>
      <c r="I532" t="s">
        <v>32</v>
      </c>
      <c r="J532">
        <f>orders[[#This Row],[Ship Date]]-orders[[#This Row],[Order Date]]</f>
        <v>1</v>
      </c>
      <c r="K532">
        <f>WEEKNUM(orders[[#This Row],[Order Date]])</f>
        <v>4</v>
      </c>
      <c r="L532" t="str" cm="1">
        <f t="array" ref="L532">_xlfn.IFS(orders[[#This Row],[Customer Gender]]="M","Male", orders[[#This Row],[Customer Gender]]="F","Female", orders[[#This Row],[Customer Gender]]="O","Other", TRUE,"Unknown")</f>
        <v>Female</v>
      </c>
      <c r="M532">
        <v>4</v>
      </c>
      <c r="N532">
        <v>11.2</v>
      </c>
      <c r="O532" s="5">
        <v>44.8</v>
      </c>
    </row>
    <row r="533" spans="1:15" x14ac:dyDescent="0.3">
      <c r="A533" t="s">
        <v>621</v>
      </c>
      <c r="B533" t="s">
        <v>43</v>
      </c>
      <c r="C533" s="7">
        <v>45680</v>
      </c>
      <c r="D533" s="7">
        <v>45681</v>
      </c>
      <c r="E533" t="s">
        <v>26</v>
      </c>
      <c r="F533" t="s">
        <v>17</v>
      </c>
      <c r="G533">
        <v>4</v>
      </c>
      <c r="H533" t="s">
        <v>18</v>
      </c>
      <c r="I533" t="s">
        <v>54</v>
      </c>
      <c r="J533">
        <f>orders[[#This Row],[Ship Date]]-orders[[#This Row],[Order Date]]</f>
        <v>1</v>
      </c>
      <c r="K533">
        <f>WEEKNUM(orders[[#This Row],[Order Date]])</f>
        <v>4</v>
      </c>
      <c r="L533" t="str" cm="1">
        <f t="array" ref="L533">_xlfn.IFS(orders[[#This Row],[Customer Gender]]="M","Male", orders[[#This Row],[Customer Gender]]="F","Female", orders[[#This Row],[Customer Gender]]="O","Other", TRUE,"Unknown")</f>
        <v>Female</v>
      </c>
      <c r="M533">
        <v>2</v>
      </c>
      <c r="N533">
        <v>22.9</v>
      </c>
      <c r="O533">
        <v>45.8</v>
      </c>
    </row>
    <row r="534" spans="1:15" x14ac:dyDescent="0.3">
      <c r="A534" t="s">
        <v>622</v>
      </c>
      <c r="B534" t="s">
        <v>21</v>
      </c>
      <c r="C534" s="7">
        <v>45680</v>
      </c>
      <c r="D534" s="7">
        <v>45683</v>
      </c>
      <c r="E534" t="s">
        <v>26</v>
      </c>
      <c r="F534" t="s">
        <v>17</v>
      </c>
      <c r="G534">
        <v>4</v>
      </c>
      <c r="H534" t="s">
        <v>18</v>
      </c>
      <c r="I534" t="s">
        <v>54</v>
      </c>
      <c r="J534">
        <f>orders[[#This Row],[Ship Date]]-orders[[#This Row],[Order Date]]</f>
        <v>3</v>
      </c>
      <c r="K534">
        <f>WEEKNUM(orders[[#This Row],[Order Date]])</f>
        <v>4</v>
      </c>
      <c r="L534" t="str" cm="1">
        <f t="array" ref="L534">_xlfn.IFS(orders[[#This Row],[Customer Gender]]="M","Male", orders[[#This Row],[Customer Gender]]="F","Female", orders[[#This Row],[Customer Gender]]="O","Other", TRUE,"Unknown")</f>
        <v>Female</v>
      </c>
      <c r="M534">
        <v>2</v>
      </c>
      <c r="N534">
        <v>37.6</v>
      </c>
      <c r="O534" s="5">
        <v>75.2</v>
      </c>
    </row>
    <row r="535" spans="1:15" x14ac:dyDescent="0.3">
      <c r="A535" t="s">
        <v>623</v>
      </c>
      <c r="B535" t="s">
        <v>38</v>
      </c>
      <c r="C535" s="7">
        <v>45680</v>
      </c>
      <c r="D535" s="7">
        <v>45681</v>
      </c>
      <c r="E535" t="s">
        <v>26</v>
      </c>
      <c r="F535" t="s">
        <v>50</v>
      </c>
      <c r="G535">
        <v>5</v>
      </c>
      <c r="H535" t="s">
        <v>18</v>
      </c>
      <c r="I535" t="s">
        <v>54</v>
      </c>
      <c r="J535">
        <f>orders[[#This Row],[Ship Date]]-orders[[#This Row],[Order Date]]</f>
        <v>1</v>
      </c>
      <c r="K535">
        <f>WEEKNUM(orders[[#This Row],[Order Date]])</f>
        <v>4</v>
      </c>
      <c r="L535" t="str" cm="1">
        <f t="array" ref="L535">_xlfn.IFS(orders[[#This Row],[Customer Gender]]="M","Male", orders[[#This Row],[Customer Gender]]="F","Female", orders[[#This Row],[Customer Gender]]="O","Other", TRUE,"Unknown")</f>
        <v>Female</v>
      </c>
      <c r="M535">
        <v>1</v>
      </c>
      <c r="N535">
        <v>42.4</v>
      </c>
      <c r="O535">
        <v>42.4</v>
      </c>
    </row>
    <row r="536" spans="1:15" x14ac:dyDescent="0.3">
      <c r="A536" t="s">
        <v>624</v>
      </c>
      <c r="B536" t="s">
        <v>43</v>
      </c>
      <c r="C536" s="7">
        <v>45680</v>
      </c>
      <c r="D536" s="7">
        <v>45684</v>
      </c>
      <c r="E536" t="s">
        <v>26</v>
      </c>
      <c r="F536" t="s">
        <v>39</v>
      </c>
      <c r="G536">
        <v>4</v>
      </c>
      <c r="H536" t="s">
        <v>18</v>
      </c>
      <c r="I536" t="s">
        <v>58</v>
      </c>
      <c r="J536">
        <f>orders[[#This Row],[Ship Date]]-orders[[#This Row],[Order Date]]</f>
        <v>4</v>
      </c>
      <c r="K536">
        <f>WEEKNUM(orders[[#This Row],[Order Date]])</f>
        <v>4</v>
      </c>
      <c r="L536" t="str" cm="1">
        <f t="array" ref="L536">_xlfn.IFS(orders[[#This Row],[Customer Gender]]="M","Male", orders[[#This Row],[Customer Gender]]="F","Female", orders[[#This Row],[Customer Gender]]="O","Other", TRUE,"Unknown")</f>
        <v>Female</v>
      </c>
      <c r="M536">
        <v>2</v>
      </c>
      <c r="N536">
        <v>19.600000000000001</v>
      </c>
      <c r="O536" s="5">
        <v>39.200000000000003</v>
      </c>
    </row>
    <row r="537" spans="1:15" x14ac:dyDescent="0.3">
      <c r="A537" t="s">
        <v>625</v>
      </c>
      <c r="B537" t="s">
        <v>45</v>
      </c>
      <c r="C537" s="7">
        <v>45680</v>
      </c>
      <c r="D537" s="7">
        <v>45683</v>
      </c>
      <c r="E537" t="s">
        <v>26</v>
      </c>
      <c r="F537" t="s">
        <v>39</v>
      </c>
      <c r="G537">
        <v>4</v>
      </c>
      <c r="H537" t="s">
        <v>18</v>
      </c>
      <c r="I537" t="s">
        <v>58</v>
      </c>
      <c r="J537">
        <f>orders[[#This Row],[Ship Date]]-orders[[#This Row],[Order Date]]</f>
        <v>3</v>
      </c>
      <c r="K537">
        <f>WEEKNUM(orders[[#This Row],[Order Date]])</f>
        <v>4</v>
      </c>
      <c r="L537" t="str" cm="1">
        <f t="array" ref="L537">_xlfn.IFS(orders[[#This Row],[Customer Gender]]="M","Male", orders[[#This Row],[Customer Gender]]="F","Female", orders[[#This Row],[Customer Gender]]="O","Other", TRUE,"Unknown")</f>
        <v>Female</v>
      </c>
      <c r="M537">
        <v>1</v>
      </c>
      <c r="N537">
        <v>90.5</v>
      </c>
      <c r="O537">
        <v>90.5</v>
      </c>
    </row>
    <row r="538" spans="1:15" x14ac:dyDescent="0.3">
      <c r="A538" t="s">
        <v>626</v>
      </c>
      <c r="B538" t="s">
        <v>127</v>
      </c>
      <c r="C538" s="7">
        <v>45680</v>
      </c>
      <c r="D538" s="7">
        <v>45681</v>
      </c>
      <c r="E538" t="s">
        <v>22</v>
      </c>
      <c r="F538" t="s">
        <v>39</v>
      </c>
      <c r="G538">
        <v>3</v>
      </c>
      <c r="H538" t="s">
        <v>18</v>
      </c>
      <c r="I538" t="s">
        <v>58</v>
      </c>
      <c r="J538">
        <f>orders[[#This Row],[Ship Date]]-orders[[#This Row],[Order Date]]</f>
        <v>1</v>
      </c>
      <c r="K538">
        <f>WEEKNUM(orders[[#This Row],[Order Date]])</f>
        <v>4</v>
      </c>
      <c r="L538" t="str" cm="1">
        <f t="array" ref="L538">_xlfn.IFS(orders[[#This Row],[Customer Gender]]="M","Male", orders[[#This Row],[Customer Gender]]="F","Female", orders[[#This Row],[Customer Gender]]="O","Other", TRUE,"Unknown")</f>
        <v>Male</v>
      </c>
      <c r="M538">
        <v>11</v>
      </c>
      <c r="N538">
        <v>33.9</v>
      </c>
      <c r="O538" s="5">
        <v>372.9</v>
      </c>
    </row>
    <row r="539" spans="1:15" x14ac:dyDescent="0.3">
      <c r="A539" t="s">
        <v>627</v>
      </c>
      <c r="B539" t="s">
        <v>16</v>
      </c>
      <c r="C539" s="7">
        <v>45680</v>
      </c>
      <c r="D539" s="7">
        <v>45682</v>
      </c>
      <c r="E539" t="s">
        <v>26</v>
      </c>
      <c r="F539" t="s">
        <v>69</v>
      </c>
      <c r="G539">
        <v>2</v>
      </c>
      <c r="H539" t="s">
        <v>18</v>
      </c>
      <c r="I539" t="s">
        <v>61</v>
      </c>
      <c r="J539">
        <f>orders[[#This Row],[Ship Date]]-orders[[#This Row],[Order Date]]</f>
        <v>2</v>
      </c>
      <c r="K539">
        <f>WEEKNUM(orders[[#This Row],[Order Date]])</f>
        <v>4</v>
      </c>
      <c r="L539" t="str" cm="1">
        <f t="array" ref="L539">_xlfn.IFS(orders[[#This Row],[Customer Gender]]="M","Male", orders[[#This Row],[Customer Gender]]="F","Female", orders[[#This Row],[Customer Gender]]="O","Other", TRUE,"Unknown")</f>
        <v>Female</v>
      </c>
      <c r="M539">
        <v>2</v>
      </c>
      <c r="N539">
        <v>32.799999999999997</v>
      </c>
      <c r="O539">
        <v>65.599999999999994</v>
      </c>
    </row>
    <row r="540" spans="1:15" x14ac:dyDescent="0.3">
      <c r="A540" t="s">
        <v>628</v>
      </c>
      <c r="B540" t="s">
        <v>122</v>
      </c>
      <c r="C540" s="7">
        <v>45680</v>
      </c>
      <c r="D540" s="7">
        <v>45681</v>
      </c>
      <c r="E540" t="s">
        <v>22</v>
      </c>
      <c r="F540" t="s">
        <v>50</v>
      </c>
      <c r="G540">
        <v>3</v>
      </c>
      <c r="H540" t="s">
        <v>18</v>
      </c>
      <c r="I540" t="s">
        <v>61</v>
      </c>
      <c r="J540">
        <f>orders[[#This Row],[Ship Date]]-orders[[#This Row],[Order Date]]</f>
        <v>1</v>
      </c>
      <c r="K540">
        <f>WEEKNUM(orders[[#This Row],[Order Date]])</f>
        <v>4</v>
      </c>
      <c r="L540" t="str" cm="1">
        <f t="array" ref="L540">_xlfn.IFS(orders[[#This Row],[Customer Gender]]="M","Male", orders[[#This Row],[Customer Gender]]="F","Female", orders[[#This Row],[Customer Gender]]="O","Other", TRUE,"Unknown")</f>
        <v>Male</v>
      </c>
      <c r="M540">
        <v>1</v>
      </c>
      <c r="N540">
        <v>49.9</v>
      </c>
      <c r="O540" s="5">
        <v>49.9</v>
      </c>
    </row>
    <row r="541" spans="1:15" x14ac:dyDescent="0.3">
      <c r="A541" t="s">
        <v>629</v>
      </c>
      <c r="B541" t="s">
        <v>41</v>
      </c>
      <c r="C541" s="7">
        <v>45680</v>
      </c>
      <c r="D541" s="7">
        <v>45681</v>
      </c>
      <c r="E541" t="s">
        <v>26</v>
      </c>
      <c r="F541" t="s">
        <v>69</v>
      </c>
      <c r="G541">
        <v>4</v>
      </c>
      <c r="H541" t="s">
        <v>18</v>
      </c>
      <c r="I541" t="s">
        <v>61</v>
      </c>
      <c r="J541">
        <f>orders[[#This Row],[Ship Date]]-orders[[#This Row],[Order Date]]</f>
        <v>1</v>
      </c>
      <c r="K541">
        <f>WEEKNUM(orders[[#This Row],[Order Date]])</f>
        <v>4</v>
      </c>
      <c r="L541" t="str" cm="1">
        <f t="array" ref="L541">_xlfn.IFS(orders[[#This Row],[Customer Gender]]="M","Male", orders[[#This Row],[Customer Gender]]="F","Female", orders[[#This Row],[Customer Gender]]="O","Other", TRUE,"Unknown")</f>
        <v>Female</v>
      </c>
      <c r="M541">
        <v>5</v>
      </c>
      <c r="N541">
        <v>79.2</v>
      </c>
      <c r="O541">
        <v>396</v>
      </c>
    </row>
    <row r="542" spans="1:15" x14ac:dyDescent="0.3">
      <c r="A542" t="s">
        <v>630</v>
      </c>
      <c r="B542" t="s">
        <v>43</v>
      </c>
      <c r="C542" s="7">
        <v>45680</v>
      </c>
      <c r="D542" s="7">
        <v>45682</v>
      </c>
      <c r="E542" t="s">
        <v>22</v>
      </c>
      <c r="F542" t="s">
        <v>50</v>
      </c>
      <c r="G542">
        <v>5</v>
      </c>
      <c r="H542" t="s">
        <v>18</v>
      </c>
      <c r="I542" t="s">
        <v>61</v>
      </c>
      <c r="J542">
        <f>orders[[#This Row],[Ship Date]]-orders[[#This Row],[Order Date]]</f>
        <v>2</v>
      </c>
      <c r="K542">
        <f>WEEKNUM(orders[[#This Row],[Order Date]])</f>
        <v>4</v>
      </c>
      <c r="L542" t="str" cm="1">
        <f t="array" ref="L542">_xlfn.IFS(orders[[#This Row],[Customer Gender]]="M","Male", orders[[#This Row],[Customer Gender]]="F","Female", orders[[#This Row],[Customer Gender]]="O","Other", TRUE,"Unknown")</f>
        <v>Male</v>
      </c>
      <c r="M542">
        <v>16</v>
      </c>
      <c r="N542">
        <v>19.5</v>
      </c>
      <c r="O542" s="5">
        <v>312</v>
      </c>
    </row>
    <row r="543" spans="1:15" x14ac:dyDescent="0.3">
      <c r="A543" t="s">
        <v>631</v>
      </c>
      <c r="B543" t="s">
        <v>43</v>
      </c>
      <c r="C543" s="7">
        <v>45680</v>
      </c>
      <c r="D543" s="7">
        <v>45681</v>
      </c>
      <c r="E543" t="s">
        <v>22</v>
      </c>
      <c r="F543" t="s">
        <v>34</v>
      </c>
      <c r="G543">
        <v>4</v>
      </c>
      <c r="H543" t="s">
        <v>18</v>
      </c>
      <c r="I543" t="s">
        <v>73</v>
      </c>
      <c r="J543">
        <f>orders[[#This Row],[Ship Date]]-orders[[#This Row],[Order Date]]</f>
        <v>1</v>
      </c>
      <c r="K543">
        <f>WEEKNUM(orders[[#This Row],[Order Date]])</f>
        <v>4</v>
      </c>
      <c r="L543" t="str" cm="1">
        <f t="array" ref="L543">_xlfn.IFS(orders[[#This Row],[Customer Gender]]="M","Male", orders[[#This Row],[Customer Gender]]="F","Female", orders[[#This Row],[Customer Gender]]="O","Other", TRUE,"Unknown")</f>
        <v>Male</v>
      </c>
      <c r="M543">
        <v>4</v>
      </c>
      <c r="N543">
        <v>18</v>
      </c>
      <c r="O543">
        <v>72</v>
      </c>
    </row>
    <row r="544" spans="1:15" x14ac:dyDescent="0.3">
      <c r="A544" t="s">
        <v>632</v>
      </c>
      <c r="B544" t="s">
        <v>45</v>
      </c>
      <c r="C544" s="7">
        <v>45680</v>
      </c>
      <c r="D544" s="7">
        <v>45682</v>
      </c>
      <c r="E544" t="s">
        <v>26</v>
      </c>
      <c r="F544" t="s">
        <v>34</v>
      </c>
      <c r="G544">
        <v>3</v>
      </c>
      <c r="H544" t="s">
        <v>18</v>
      </c>
      <c r="I544" t="s">
        <v>73</v>
      </c>
      <c r="J544">
        <f>orders[[#This Row],[Ship Date]]-orders[[#This Row],[Order Date]]</f>
        <v>2</v>
      </c>
      <c r="K544">
        <f>WEEKNUM(orders[[#This Row],[Order Date]])</f>
        <v>4</v>
      </c>
      <c r="L544" t="str" cm="1">
        <f t="array" ref="L544">_xlfn.IFS(orders[[#This Row],[Customer Gender]]="M","Male", orders[[#This Row],[Customer Gender]]="F","Female", orders[[#This Row],[Customer Gender]]="O","Other", TRUE,"Unknown")</f>
        <v>Female</v>
      </c>
      <c r="M544">
        <v>3</v>
      </c>
      <c r="N544">
        <v>45.9</v>
      </c>
      <c r="O544" s="5">
        <v>137.69999999999999</v>
      </c>
    </row>
    <row r="545" spans="1:15" x14ac:dyDescent="0.3">
      <c r="A545" t="s">
        <v>633</v>
      </c>
      <c r="B545" t="s">
        <v>66</v>
      </c>
      <c r="C545" s="7">
        <v>45680</v>
      </c>
      <c r="D545" s="7">
        <v>45682</v>
      </c>
      <c r="E545" t="s">
        <v>26</v>
      </c>
      <c r="F545" t="s">
        <v>34</v>
      </c>
      <c r="G545">
        <v>5</v>
      </c>
      <c r="H545" t="s">
        <v>18</v>
      </c>
      <c r="I545" t="s">
        <v>76</v>
      </c>
      <c r="J545">
        <f>orders[[#This Row],[Ship Date]]-orders[[#This Row],[Order Date]]</f>
        <v>2</v>
      </c>
      <c r="K545">
        <f>WEEKNUM(orders[[#This Row],[Order Date]])</f>
        <v>4</v>
      </c>
      <c r="L545" t="str" cm="1">
        <f t="array" ref="L545">_xlfn.IFS(orders[[#This Row],[Customer Gender]]="M","Male", orders[[#This Row],[Customer Gender]]="F","Female", orders[[#This Row],[Customer Gender]]="O","Other", TRUE,"Unknown")</f>
        <v>Female</v>
      </c>
      <c r="M545">
        <v>1</v>
      </c>
      <c r="N545">
        <v>41.2</v>
      </c>
      <c r="O545">
        <v>41.2</v>
      </c>
    </row>
    <row r="546" spans="1:15" x14ac:dyDescent="0.3">
      <c r="A546" t="s">
        <v>634</v>
      </c>
      <c r="B546" t="s">
        <v>25</v>
      </c>
      <c r="C546" s="7">
        <v>45680</v>
      </c>
      <c r="D546" s="7">
        <v>45682</v>
      </c>
      <c r="E546" t="s">
        <v>26</v>
      </c>
      <c r="F546" t="s">
        <v>39</v>
      </c>
      <c r="G546">
        <v>5</v>
      </c>
      <c r="H546" t="s">
        <v>18</v>
      </c>
      <c r="I546" t="s">
        <v>308</v>
      </c>
      <c r="J546">
        <f>orders[[#This Row],[Ship Date]]-orders[[#This Row],[Order Date]]</f>
        <v>2</v>
      </c>
      <c r="K546">
        <f>WEEKNUM(orders[[#This Row],[Order Date]])</f>
        <v>4</v>
      </c>
      <c r="L546" t="str" cm="1">
        <f t="array" ref="L546">_xlfn.IFS(orders[[#This Row],[Customer Gender]]="M","Male", orders[[#This Row],[Customer Gender]]="F","Female", orders[[#This Row],[Customer Gender]]="O","Other", TRUE,"Unknown")</f>
        <v>Female</v>
      </c>
      <c r="M546">
        <v>10</v>
      </c>
      <c r="N546">
        <v>167.2</v>
      </c>
      <c r="O546" s="5">
        <v>1672</v>
      </c>
    </row>
    <row r="547" spans="1:15" x14ac:dyDescent="0.3">
      <c r="A547" t="s">
        <v>635</v>
      </c>
      <c r="B547" t="s">
        <v>38</v>
      </c>
      <c r="C547" s="7">
        <v>45681</v>
      </c>
      <c r="D547" s="7">
        <v>45684</v>
      </c>
      <c r="E547" t="s">
        <v>26</v>
      </c>
      <c r="F547" t="s">
        <v>34</v>
      </c>
      <c r="G547">
        <v>5</v>
      </c>
      <c r="H547" t="s">
        <v>18</v>
      </c>
      <c r="I547" t="s">
        <v>376</v>
      </c>
      <c r="J547">
        <f>orders[[#This Row],[Ship Date]]-orders[[#This Row],[Order Date]]</f>
        <v>3</v>
      </c>
      <c r="K547">
        <f>WEEKNUM(orders[[#This Row],[Order Date]])</f>
        <v>4</v>
      </c>
      <c r="L547" t="str" cm="1">
        <f t="array" ref="L547">_xlfn.IFS(orders[[#This Row],[Customer Gender]]="M","Male", orders[[#This Row],[Customer Gender]]="F","Female", orders[[#This Row],[Customer Gender]]="O","Other", TRUE,"Unknown")</f>
        <v>Female</v>
      </c>
      <c r="M547">
        <v>30</v>
      </c>
      <c r="N547">
        <v>74.5</v>
      </c>
      <c r="O547">
        <v>2235</v>
      </c>
    </row>
    <row r="548" spans="1:15" x14ac:dyDescent="0.3">
      <c r="A548" t="s">
        <v>636</v>
      </c>
      <c r="B548" t="s">
        <v>41</v>
      </c>
      <c r="C548" s="7">
        <v>45681</v>
      </c>
      <c r="D548" s="7">
        <v>45682</v>
      </c>
      <c r="E548" t="s">
        <v>2517</v>
      </c>
      <c r="F548" t="s">
        <v>39</v>
      </c>
      <c r="G548">
        <v>4</v>
      </c>
      <c r="H548" t="s">
        <v>18</v>
      </c>
      <c r="I548" t="s">
        <v>109</v>
      </c>
      <c r="J548">
        <f>orders[[#This Row],[Ship Date]]-orders[[#This Row],[Order Date]]</f>
        <v>1</v>
      </c>
      <c r="K548">
        <f>WEEKNUM(orders[[#This Row],[Order Date]])</f>
        <v>4</v>
      </c>
      <c r="L548" t="str" cm="1">
        <f t="array" ref="L548">_xlfn.IFS(orders[[#This Row],[Customer Gender]]="M","Male", orders[[#This Row],[Customer Gender]]="F","Female", orders[[#This Row],[Customer Gender]]="O","Other", TRUE,"Unknown")</f>
        <v>Unknown</v>
      </c>
      <c r="M548">
        <v>4</v>
      </c>
      <c r="N548">
        <v>39.299999999999997</v>
      </c>
      <c r="O548" s="5">
        <v>157.19999999999999</v>
      </c>
    </row>
    <row r="549" spans="1:15" x14ac:dyDescent="0.3">
      <c r="A549" t="s">
        <v>637</v>
      </c>
      <c r="B549" t="s">
        <v>45</v>
      </c>
      <c r="C549" s="7">
        <v>45681</v>
      </c>
      <c r="D549" s="7">
        <v>45684</v>
      </c>
      <c r="E549" t="s">
        <v>22</v>
      </c>
      <c r="F549" t="s">
        <v>34</v>
      </c>
      <c r="G549">
        <v>5</v>
      </c>
      <c r="H549" t="s">
        <v>18</v>
      </c>
      <c r="I549" t="s">
        <v>78</v>
      </c>
      <c r="J549">
        <f>orders[[#This Row],[Ship Date]]-orders[[#This Row],[Order Date]]</f>
        <v>3</v>
      </c>
      <c r="K549">
        <f>WEEKNUM(orders[[#This Row],[Order Date]])</f>
        <v>4</v>
      </c>
      <c r="L549" t="str" cm="1">
        <f t="array" ref="L549">_xlfn.IFS(orders[[#This Row],[Customer Gender]]="M","Male", orders[[#This Row],[Customer Gender]]="F","Female", orders[[#This Row],[Customer Gender]]="O","Other", TRUE,"Unknown")</f>
        <v>Male</v>
      </c>
      <c r="M549">
        <v>1</v>
      </c>
      <c r="N549">
        <v>68.5</v>
      </c>
      <c r="O549">
        <v>68.5</v>
      </c>
    </row>
    <row r="550" spans="1:15" x14ac:dyDescent="0.3">
      <c r="A550" t="s">
        <v>638</v>
      </c>
      <c r="B550" t="s">
        <v>16</v>
      </c>
      <c r="C550" s="7">
        <v>45681</v>
      </c>
      <c r="D550" s="7">
        <v>45681</v>
      </c>
      <c r="E550" t="s">
        <v>26</v>
      </c>
      <c r="F550" t="s">
        <v>69</v>
      </c>
      <c r="G550">
        <v>4</v>
      </c>
      <c r="H550" t="s">
        <v>18</v>
      </c>
      <c r="I550" t="s">
        <v>81</v>
      </c>
      <c r="J550">
        <f>orders[[#This Row],[Ship Date]]-orders[[#This Row],[Order Date]]</f>
        <v>0</v>
      </c>
      <c r="K550">
        <f>WEEKNUM(orders[[#This Row],[Order Date]])</f>
        <v>4</v>
      </c>
      <c r="L550" t="str" cm="1">
        <f t="array" ref="L550">_xlfn.IFS(orders[[#This Row],[Customer Gender]]="M","Male", orders[[#This Row],[Customer Gender]]="F","Female", orders[[#This Row],[Customer Gender]]="O","Other", TRUE,"Unknown")</f>
        <v>Female</v>
      </c>
      <c r="M550">
        <v>3</v>
      </c>
      <c r="N550">
        <v>22.5</v>
      </c>
      <c r="O550" s="5">
        <v>67.5</v>
      </c>
    </row>
    <row r="551" spans="1:15" x14ac:dyDescent="0.3">
      <c r="A551" t="s">
        <v>639</v>
      </c>
      <c r="B551" t="s">
        <v>21</v>
      </c>
      <c r="C551" s="7">
        <v>45681</v>
      </c>
      <c r="D551" s="7">
        <v>45682</v>
      </c>
      <c r="E551" t="s">
        <v>88</v>
      </c>
      <c r="F551" t="s">
        <v>69</v>
      </c>
      <c r="G551">
        <v>3</v>
      </c>
      <c r="H551" t="s">
        <v>18</v>
      </c>
      <c r="I551" t="s">
        <v>640</v>
      </c>
      <c r="J551">
        <f>orders[[#This Row],[Ship Date]]-orders[[#This Row],[Order Date]]</f>
        <v>1</v>
      </c>
      <c r="K551">
        <f>WEEKNUM(orders[[#This Row],[Order Date]])</f>
        <v>4</v>
      </c>
      <c r="L551" t="str" cm="1">
        <f t="array" ref="L551">_xlfn.IFS(orders[[#This Row],[Customer Gender]]="M","Male", orders[[#This Row],[Customer Gender]]="F","Female", orders[[#This Row],[Customer Gender]]="O","Other", TRUE,"Unknown")</f>
        <v>Other</v>
      </c>
      <c r="M551">
        <v>1</v>
      </c>
      <c r="N551">
        <v>48</v>
      </c>
      <c r="O551">
        <v>48</v>
      </c>
    </row>
    <row r="552" spans="1:15" x14ac:dyDescent="0.3">
      <c r="A552" t="s">
        <v>641</v>
      </c>
      <c r="B552" t="s">
        <v>38</v>
      </c>
      <c r="C552" s="7">
        <v>45681</v>
      </c>
      <c r="D552" s="7">
        <v>45682</v>
      </c>
      <c r="E552" t="s">
        <v>22</v>
      </c>
      <c r="F552" t="s">
        <v>50</v>
      </c>
      <c r="G552">
        <v>3</v>
      </c>
      <c r="H552" t="s">
        <v>18</v>
      </c>
      <c r="I552" t="s">
        <v>23</v>
      </c>
      <c r="J552">
        <f>orders[[#This Row],[Ship Date]]-orders[[#This Row],[Order Date]]</f>
        <v>1</v>
      </c>
      <c r="K552">
        <f>WEEKNUM(orders[[#This Row],[Order Date]])</f>
        <v>4</v>
      </c>
      <c r="L552" t="str" cm="1">
        <f t="array" ref="L552">_xlfn.IFS(orders[[#This Row],[Customer Gender]]="M","Male", orders[[#This Row],[Customer Gender]]="F","Female", orders[[#This Row],[Customer Gender]]="O","Other", TRUE,"Unknown")</f>
        <v>Male</v>
      </c>
      <c r="M552">
        <v>1</v>
      </c>
      <c r="N552">
        <v>94</v>
      </c>
      <c r="O552" s="5">
        <v>94</v>
      </c>
    </row>
    <row r="553" spans="1:15" x14ac:dyDescent="0.3">
      <c r="A553" t="s">
        <v>642</v>
      </c>
      <c r="B553" t="s">
        <v>43</v>
      </c>
      <c r="C553" s="7">
        <v>45681</v>
      </c>
      <c r="D553" s="7">
        <v>45682</v>
      </c>
      <c r="E553" t="s">
        <v>26</v>
      </c>
      <c r="F553" t="s">
        <v>17</v>
      </c>
      <c r="G553">
        <v>4</v>
      </c>
      <c r="H553" t="s">
        <v>18</v>
      </c>
      <c r="I553" t="s">
        <v>586</v>
      </c>
      <c r="J553">
        <f>orders[[#This Row],[Ship Date]]-orders[[#This Row],[Order Date]]</f>
        <v>1</v>
      </c>
      <c r="K553">
        <f>WEEKNUM(orders[[#This Row],[Order Date]])</f>
        <v>4</v>
      </c>
      <c r="L553" t="str" cm="1">
        <f t="array" ref="L553">_xlfn.IFS(orders[[#This Row],[Customer Gender]]="M","Male", orders[[#This Row],[Customer Gender]]="F","Female", orders[[#This Row],[Customer Gender]]="O","Other", TRUE,"Unknown")</f>
        <v>Female</v>
      </c>
      <c r="M553">
        <v>3</v>
      </c>
      <c r="N553">
        <v>21.9</v>
      </c>
      <c r="O553">
        <v>65.699999999999989</v>
      </c>
    </row>
    <row r="554" spans="1:15" x14ac:dyDescent="0.3">
      <c r="A554" t="s">
        <v>643</v>
      </c>
      <c r="B554" t="s">
        <v>38</v>
      </c>
      <c r="C554" s="7">
        <v>45681</v>
      </c>
      <c r="D554" s="7">
        <v>45682</v>
      </c>
      <c r="E554" t="s">
        <v>26</v>
      </c>
      <c r="F554" t="s">
        <v>17</v>
      </c>
      <c r="G554">
        <v>4</v>
      </c>
      <c r="H554" t="s">
        <v>18</v>
      </c>
      <c r="I554" t="s">
        <v>32</v>
      </c>
      <c r="J554">
        <f>orders[[#This Row],[Ship Date]]-orders[[#This Row],[Order Date]]</f>
        <v>1</v>
      </c>
      <c r="K554">
        <f>WEEKNUM(orders[[#This Row],[Order Date]])</f>
        <v>4</v>
      </c>
      <c r="L554" t="str" cm="1">
        <f t="array" ref="L554">_xlfn.IFS(orders[[#This Row],[Customer Gender]]="M","Male", orders[[#This Row],[Customer Gender]]="F","Female", orders[[#This Row],[Customer Gender]]="O","Other", TRUE,"Unknown")</f>
        <v>Female</v>
      </c>
      <c r="M554">
        <v>7</v>
      </c>
      <c r="N554">
        <v>64.900000000000006</v>
      </c>
      <c r="O554" s="5">
        <v>454.30000000000007</v>
      </c>
    </row>
    <row r="555" spans="1:15" x14ac:dyDescent="0.3">
      <c r="A555" t="s">
        <v>644</v>
      </c>
      <c r="B555" t="s">
        <v>68</v>
      </c>
      <c r="C555" s="7">
        <v>45681</v>
      </c>
      <c r="D555" s="7">
        <v>45681</v>
      </c>
      <c r="E555" t="s">
        <v>26</v>
      </c>
      <c r="F555" t="s">
        <v>34</v>
      </c>
      <c r="G555">
        <v>3</v>
      </c>
      <c r="H555" t="s">
        <v>18</v>
      </c>
      <c r="I555" t="s">
        <v>32</v>
      </c>
      <c r="J555">
        <f>orders[[#This Row],[Ship Date]]-orders[[#This Row],[Order Date]]</f>
        <v>0</v>
      </c>
      <c r="K555">
        <f>WEEKNUM(orders[[#This Row],[Order Date]])</f>
        <v>4</v>
      </c>
      <c r="L555" t="str" cm="1">
        <f t="array" ref="L555">_xlfn.IFS(orders[[#This Row],[Customer Gender]]="M","Male", orders[[#This Row],[Customer Gender]]="F","Female", orders[[#This Row],[Customer Gender]]="O","Other", TRUE,"Unknown")</f>
        <v>Female</v>
      </c>
      <c r="M555">
        <v>1</v>
      </c>
      <c r="N555">
        <v>52.9</v>
      </c>
      <c r="O555">
        <v>52.9</v>
      </c>
    </row>
    <row r="556" spans="1:15" x14ac:dyDescent="0.3">
      <c r="A556" t="s">
        <v>645</v>
      </c>
      <c r="B556" t="s">
        <v>43</v>
      </c>
      <c r="C556" s="7">
        <v>45681</v>
      </c>
      <c r="D556" s="7">
        <v>45682</v>
      </c>
      <c r="E556" t="s">
        <v>26</v>
      </c>
      <c r="F556" t="s">
        <v>34</v>
      </c>
      <c r="G556">
        <v>5</v>
      </c>
      <c r="H556" t="s">
        <v>18</v>
      </c>
      <c r="I556" t="s">
        <v>32</v>
      </c>
      <c r="J556">
        <f>orders[[#This Row],[Ship Date]]-orders[[#This Row],[Order Date]]</f>
        <v>1</v>
      </c>
      <c r="K556">
        <f>WEEKNUM(orders[[#This Row],[Order Date]])</f>
        <v>4</v>
      </c>
      <c r="L556" t="str" cm="1">
        <f t="array" ref="L556">_xlfn.IFS(orders[[#This Row],[Customer Gender]]="M","Male", orders[[#This Row],[Customer Gender]]="F","Female", orders[[#This Row],[Customer Gender]]="O","Other", TRUE,"Unknown")</f>
        <v>Female</v>
      </c>
      <c r="M556">
        <v>3</v>
      </c>
      <c r="N556">
        <v>25.5</v>
      </c>
      <c r="O556" s="5">
        <v>76.5</v>
      </c>
    </row>
    <row r="557" spans="1:15" x14ac:dyDescent="0.3">
      <c r="A557" t="s">
        <v>646</v>
      </c>
      <c r="B557" t="s">
        <v>38</v>
      </c>
      <c r="C557" s="7">
        <v>45681</v>
      </c>
      <c r="D557" s="7">
        <v>45682</v>
      </c>
      <c r="E557" t="s">
        <v>26</v>
      </c>
      <c r="F557" t="s">
        <v>50</v>
      </c>
      <c r="G557">
        <v>4</v>
      </c>
      <c r="H557" t="s">
        <v>18</v>
      </c>
      <c r="I557" t="s">
        <v>32</v>
      </c>
      <c r="J557">
        <f>orders[[#This Row],[Ship Date]]-orders[[#This Row],[Order Date]]</f>
        <v>1</v>
      </c>
      <c r="K557">
        <f>WEEKNUM(orders[[#This Row],[Order Date]])</f>
        <v>4</v>
      </c>
      <c r="L557" t="str" cm="1">
        <f t="array" ref="L557">_xlfn.IFS(orders[[#This Row],[Customer Gender]]="M","Male", orders[[#This Row],[Customer Gender]]="F","Female", orders[[#This Row],[Customer Gender]]="O","Other", TRUE,"Unknown")</f>
        <v>Female</v>
      </c>
      <c r="M557">
        <v>3</v>
      </c>
      <c r="N557">
        <v>51.9</v>
      </c>
      <c r="O557">
        <v>155.69999999999999</v>
      </c>
    </row>
    <row r="558" spans="1:15" x14ac:dyDescent="0.3">
      <c r="A558" t="s">
        <v>647</v>
      </c>
      <c r="B558" t="s">
        <v>36</v>
      </c>
      <c r="C558" s="7">
        <v>45681</v>
      </c>
      <c r="D558" s="7">
        <v>45684</v>
      </c>
      <c r="E558" t="s">
        <v>26</v>
      </c>
      <c r="F558" t="s">
        <v>69</v>
      </c>
      <c r="G558">
        <v>4</v>
      </c>
      <c r="H558" t="s">
        <v>18</v>
      </c>
      <c r="I558" t="s">
        <v>32</v>
      </c>
      <c r="J558">
        <f>orders[[#This Row],[Ship Date]]-orders[[#This Row],[Order Date]]</f>
        <v>3</v>
      </c>
      <c r="K558">
        <f>WEEKNUM(orders[[#This Row],[Order Date]])</f>
        <v>4</v>
      </c>
      <c r="L558" t="str" cm="1">
        <f t="array" ref="L558">_xlfn.IFS(orders[[#This Row],[Customer Gender]]="M","Male", orders[[#This Row],[Customer Gender]]="F","Female", orders[[#This Row],[Customer Gender]]="O","Other", TRUE,"Unknown")</f>
        <v>Female</v>
      </c>
      <c r="M558">
        <v>1</v>
      </c>
      <c r="N558">
        <v>46.3</v>
      </c>
      <c r="O558" s="5">
        <v>46.3</v>
      </c>
    </row>
    <row r="559" spans="1:15" x14ac:dyDescent="0.3">
      <c r="A559" t="s">
        <v>648</v>
      </c>
      <c r="B559" t="s">
        <v>38</v>
      </c>
      <c r="C559" s="7">
        <v>45681</v>
      </c>
      <c r="D559" s="7">
        <v>45683</v>
      </c>
      <c r="E559" t="s">
        <v>26</v>
      </c>
      <c r="F559" t="s">
        <v>50</v>
      </c>
      <c r="G559">
        <v>4</v>
      </c>
      <c r="H559" t="s">
        <v>18</v>
      </c>
      <c r="I559" t="s">
        <v>32</v>
      </c>
      <c r="J559">
        <f>orders[[#This Row],[Ship Date]]-orders[[#This Row],[Order Date]]</f>
        <v>2</v>
      </c>
      <c r="K559">
        <f>WEEKNUM(orders[[#This Row],[Order Date]])</f>
        <v>4</v>
      </c>
      <c r="L559" t="str" cm="1">
        <f t="array" ref="L559">_xlfn.IFS(orders[[#This Row],[Customer Gender]]="M","Male", orders[[#This Row],[Customer Gender]]="F","Female", orders[[#This Row],[Customer Gender]]="O","Other", TRUE,"Unknown")</f>
        <v>Female</v>
      </c>
      <c r="M559">
        <v>2</v>
      </c>
      <c r="N559">
        <v>68.2</v>
      </c>
      <c r="O559">
        <v>136.4</v>
      </c>
    </row>
    <row r="560" spans="1:15" x14ac:dyDescent="0.3">
      <c r="A560" t="s">
        <v>649</v>
      </c>
      <c r="B560" t="s">
        <v>21</v>
      </c>
      <c r="C560" s="7">
        <v>45681</v>
      </c>
      <c r="D560" s="7">
        <v>45682</v>
      </c>
      <c r="E560" t="s">
        <v>22</v>
      </c>
      <c r="F560" t="s">
        <v>17</v>
      </c>
      <c r="G560">
        <v>3</v>
      </c>
      <c r="H560" t="s">
        <v>18</v>
      </c>
      <c r="I560" t="s">
        <v>32</v>
      </c>
      <c r="J560">
        <f>orders[[#This Row],[Ship Date]]-orders[[#This Row],[Order Date]]</f>
        <v>1</v>
      </c>
      <c r="K560">
        <f>WEEKNUM(orders[[#This Row],[Order Date]])</f>
        <v>4</v>
      </c>
      <c r="L560" t="str" cm="1">
        <f t="array" ref="L560">_xlfn.IFS(orders[[#This Row],[Customer Gender]]="M","Male", orders[[#This Row],[Customer Gender]]="F","Female", orders[[#This Row],[Customer Gender]]="O","Other", TRUE,"Unknown")</f>
        <v>Male</v>
      </c>
      <c r="M560">
        <v>1</v>
      </c>
      <c r="N560">
        <v>40.299999999999997</v>
      </c>
      <c r="O560" s="5">
        <v>40.299999999999997</v>
      </c>
    </row>
    <row r="561" spans="1:15" x14ac:dyDescent="0.3">
      <c r="A561" t="s">
        <v>650</v>
      </c>
      <c r="B561" t="s">
        <v>25</v>
      </c>
      <c r="C561" s="7">
        <v>45681</v>
      </c>
      <c r="D561" s="7">
        <v>45686</v>
      </c>
      <c r="E561" t="s">
        <v>22</v>
      </c>
      <c r="F561" t="s">
        <v>17</v>
      </c>
      <c r="G561">
        <v>5</v>
      </c>
      <c r="H561" t="s">
        <v>18</v>
      </c>
      <c r="I561" t="s">
        <v>54</v>
      </c>
      <c r="J561">
        <f>orders[[#This Row],[Ship Date]]-orders[[#This Row],[Order Date]]</f>
        <v>5</v>
      </c>
      <c r="K561">
        <f>WEEKNUM(orders[[#This Row],[Order Date]])</f>
        <v>4</v>
      </c>
      <c r="L561" t="str" cm="1">
        <f t="array" ref="L561">_xlfn.IFS(orders[[#This Row],[Customer Gender]]="M","Male", orders[[#This Row],[Customer Gender]]="F","Female", orders[[#This Row],[Customer Gender]]="O","Other", TRUE,"Unknown")</f>
        <v>Male</v>
      </c>
      <c r="M561">
        <v>3</v>
      </c>
      <c r="N561">
        <v>91.3</v>
      </c>
      <c r="O561">
        <v>273.89999999999998</v>
      </c>
    </row>
    <row r="562" spans="1:15" x14ac:dyDescent="0.3">
      <c r="A562" t="s">
        <v>651</v>
      </c>
      <c r="B562" t="s">
        <v>16</v>
      </c>
      <c r="C562" s="7">
        <v>45681</v>
      </c>
      <c r="D562" s="7">
        <v>45682</v>
      </c>
      <c r="E562" t="s">
        <v>26</v>
      </c>
      <c r="F562" t="s">
        <v>17</v>
      </c>
      <c r="G562">
        <v>3</v>
      </c>
      <c r="H562" t="s">
        <v>18</v>
      </c>
      <c r="I562" t="s">
        <v>54</v>
      </c>
      <c r="J562">
        <f>orders[[#This Row],[Ship Date]]-orders[[#This Row],[Order Date]]</f>
        <v>1</v>
      </c>
      <c r="K562">
        <f>WEEKNUM(orders[[#This Row],[Order Date]])</f>
        <v>4</v>
      </c>
      <c r="L562" t="str" cm="1">
        <f t="array" ref="L562">_xlfn.IFS(orders[[#This Row],[Customer Gender]]="M","Male", orders[[#This Row],[Customer Gender]]="F","Female", orders[[#This Row],[Customer Gender]]="O","Other", TRUE,"Unknown")</f>
        <v>Female</v>
      </c>
      <c r="M562">
        <v>3</v>
      </c>
      <c r="N562">
        <v>11.9</v>
      </c>
      <c r="O562" s="5">
        <v>35.700000000000003</v>
      </c>
    </row>
    <row r="563" spans="1:15" x14ac:dyDescent="0.3">
      <c r="A563" t="s">
        <v>652</v>
      </c>
      <c r="B563" t="s">
        <v>25</v>
      </c>
      <c r="C563" s="7">
        <v>45681</v>
      </c>
      <c r="D563" s="7">
        <v>45683</v>
      </c>
      <c r="E563" t="s">
        <v>22</v>
      </c>
      <c r="F563" t="s">
        <v>34</v>
      </c>
      <c r="G563">
        <v>4</v>
      </c>
      <c r="H563" t="s">
        <v>18</v>
      </c>
      <c r="I563" t="s">
        <v>54</v>
      </c>
      <c r="J563">
        <f>orders[[#This Row],[Ship Date]]-orders[[#This Row],[Order Date]]</f>
        <v>2</v>
      </c>
      <c r="K563">
        <f>WEEKNUM(orders[[#This Row],[Order Date]])</f>
        <v>4</v>
      </c>
      <c r="L563" t="str" cm="1">
        <f t="array" ref="L563">_xlfn.IFS(orders[[#This Row],[Customer Gender]]="M","Male", orders[[#This Row],[Customer Gender]]="F","Female", orders[[#This Row],[Customer Gender]]="O","Other", TRUE,"Unknown")</f>
        <v>Male</v>
      </c>
      <c r="M563">
        <v>2</v>
      </c>
      <c r="N563">
        <v>63.5</v>
      </c>
      <c r="O563">
        <v>127</v>
      </c>
    </row>
    <row r="564" spans="1:15" x14ac:dyDescent="0.3">
      <c r="A564" t="s">
        <v>653</v>
      </c>
      <c r="B564" t="s">
        <v>31</v>
      </c>
      <c r="C564" s="7">
        <v>45681</v>
      </c>
      <c r="D564" s="7">
        <v>45684</v>
      </c>
      <c r="E564" t="s">
        <v>22</v>
      </c>
      <c r="F564" t="s">
        <v>39</v>
      </c>
      <c r="G564">
        <v>5</v>
      </c>
      <c r="H564" t="s">
        <v>18</v>
      </c>
      <c r="I564" t="s">
        <v>54</v>
      </c>
      <c r="J564">
        <f>orders[[#This Row],[Ship Date]]-orders[[#This Row],[Order Date]]</f>
        <v>3</v>
      </c>
      <c r="K564">
        <f>WEEKNUM(orders[[#This Row],[Order Date]])</f>
        <v>4</v>
      </c>
      <c r="L564" t="str" cm="1">
        <f t="array" ref="L564">_xlfn.IFS(orders[[#This Row],[Customer Gender]]="M","Male", orders[[#This Row],[Customer Gender]]="F","Female", orders[[#This Row],[Customer Gender]]="O","Other", TRUE,"Unknown")</f>
        <v>Male</v>
      </c>
      <c r="M564">
        <v>2</v>
      </c>
      <c r="N564">
        <v>27.1</v>
      </c>
      <c r="O564" s="5">
        <v>54.2</v>
      </c>
    </row>
    <row r="565" spans="1:15" x14ac:dyDescent="0.3">
      <c r="A565" t="s">
        <v>654</v>
      </c>
      <c r="B565" t="s">
        <v>21</v>
      </c>
      <c r="C565" s="7">
        <v>45682</v>
      </c>
      <c r="D565" s="7">
        <v>45685</v>
      </c>
      <c r="E565" t="s">
        <v>22</v>
      </c>
      <c r="F565" t="s">
        <v>34</v>
      </c>
      <c r="G565">
        <v>3</v>
      </c>
      <c r="H565" t="s">
        <v>18</v>
      </c>
      <c r="I565" t="s">
        <v>58</v>
      </c>
      <c r="J565">
        <f>orders[[#This Row],[Ship Date]]-orders[[#This Row],[Order Date]]</f>
        <v>3</v>
      </c>
      <c r="K565">
        <f>WEEKNUM(orders[[#This Row],[Order Date]])</f>
        <v>4</v>
      </c>
      <c r="L565" t="str" cm="1">
        <f t="array" ref="L565">_xlfn.IFS(orders[[#This Row],[Customer Gender]]="M","Male", orders[[#This Row],[Customer Gender]]="F","Female", orders[[#This Row],[Customer Gender]]="O","Other", TRUE,"Unknown")</f>
        <v>Male</v>
      </c>
      <c r="M565">
        <v>2</v>
      </c>
      <c r="N565">
        <v>82.1</v>
      </c>
      <c r="O565">
        <v>164.2</v>
      </c>
    </row>
    <row r="566" spans="1:15" x14ac:dyDescent="0.3">
      <c r="A566" t="s">
        <v>655</v>
      </c>
      <c r="B566" t="s">
        <v>29</v>
      </c>
      <c r="C566" s="7">
        <v>45682</v>
      </c>
      <c r="D566" s="7">
        <v>45684</v>
      </c>
      <c r="E566" t="s">
        <v>26</v>
      </c>
      <c r="F566" t="s">
        <v>34</v>
      </c>
      <c r="G566">
        <v>4</v>
      </c>
      <c r="H566" t="s">
        <v>18</v>
      </c>
      <c r="I566" t="s">
        <v>61</v>
      </c>
      <c r="J566">
        <f>orders[[#This Row],[Ship Date]]-orders[[#This Row],[Order Date]]</f>
        <v>2</v>
      </c>
      <c r="K566">
        <f>WEEKNUM(orders[[#This Row],[Order Date]])</f>
        <v>4</v>
      </c>
      <c r="L566" t="str" cm="1">
        <f t="array" ref="L566">_xlfn.IFS(orders[[#This Row],[Customer Gender]]="M","Male", orders[[#This Row],[Customer Gender]]="F","Female", orders[[#This Row],[Customer Gender]]="O","Other", TRUE,"Unknown")</f>
        <v>Female</v>
      </c>
      <c r="M566">
        <v>5</v>
      </c>
      <c r="N566">
        <v>42.9</v>
      </c>
      <c r="O566" s="5">
        <v>214.5</v>
      </c>
    </row>
    <row r="567" spans="1:15" x14ac:dyDescent="0.3">
      <c r="A567" t="s">
        <v>656</v>
      </c>
      <c r="B567" t="s">
        <v>43</v>
      </c>
      <c r="C567" s="7">
        <v>45682</v>
      </c>
      <c r="D567" s="7">
        <v>45689</v>
      </c>
      <c r="E567" t="s">
        <v>22</v>
      </c>
      <c r="F567" t="s">
        <v>17</v>
      </c>
      <c r="G567">
        <v>4</v>
      </c>
      <c r="H567" t="s">
        <v>18</v>
      </c>
      <c r="I567" t="s">
        <v>61</v>
      </c>
      <c r="J567">
        <f>orders[[#This Row],[Ship Date]]-orders[[#This Row],[Order Date]]</f>
        <v>7</v>
      </c>
      <c r="K567">
        <f>WEEKNUM(orders[[#This Row],[Order Date]])</f>
        <v>4</v>
      </c>
      <c r="L567" t="str" cm="1">
        <f t="array" ref="L567">_xlfn.IFS(orders[[#This Row],[Customer Gender]]="M","Male", orders[[#This Row],[Customer Gender]]="F","Female", orders[[#This Row],[Customer Gender]]="O","Other", TRUE,"Unknown")</f>
        <v>Male</v>
      </c>
      <c r="M567">
        <v>11</v>
      </c>
      <c r="N567">
        <v>37.9</v>
      </c>
      <c r="O567">
        <v>416.9</v>
      </c>
    </row>
    <row r="568" spans="1:15" x14ac:dyDescent="0.3">
      <c r="A568" t="s">
        <v>657</v>
      </c>
      <c r="B568" t="s">
        <v>16</v>
      </c>
      <c r="C568" s="7">
        <v>45682</v>
      </c>
      <c r="D568" s="7">
        <v>45683</v>
      </c>
      <c r="E568" t="s">
        <v>26</v>
      </c>
      <c r="F568" t="s">
        <v>17</v>
      </c>
      <c r="G568">
        <v>3</v>
      </c>
      <c r="H568" t="s">
        <v>18</v>
      </c>
      <c r="I568" t="s">
        <v>102</v>
      </c>
      <c r="J568">
        <f>orders[[#This Row],[Ship Date]]-orders[[#This Row],[Order Date]]</f>
        <v>1</v>
      </c>
      <c r="K568">
        <f>WEEKNUM(orders[[#This Row],[Order Date]])</f>
        <v>4</v>
      </c>
      <c r="L568" t="str" cm="1">
        <f t="array" ref="L568">_xlfn.IFS(orders[[#This Row],[Customer Gender]]="M","Male", orders[[#This Row],[Customer Gender]]="F","Female", orders[[#This Row],[Customer Gender]]="O","Other", TRUE,"Unknown")</f>
        <v>Female</v>
      </c>
      <c r="M568">
        <v>1</v>
      </c>
      <c r="N568">
        <v>22.4</v>
      </c>
      <c r="O568" s="5">
        <v>22.4</v>
      </c>
    </row>
    <row r="569" spans="1:15" x14ac:dyDescent="0.3">
      <c r="A569" t="s">
        <v>658</v>
      </c>
      <c r="B569" t="s">
        <v>25</v>
      </c>
      <c r="C569" s="7">
        <v>45682</v>
      </c>
      <c r="D569" s="7">
        <v>45695</v>
      </c>
      <c r="E569" t="s">
        <v>26</v>
      </c>
      <c r="F569" t="s">
        <v>50</v>
      </c>
      <c r="G569">
        <v>3</v>
      </c>
      <c r="H569" t="s">
        <v>18</v>
      </c>
      <c r="I569" t="s">
        <v>76</v>
      </c>
      <c r="J569">
        <f>orders[[#This Row],[Ship Date]]-orders[[#This Row],[Order Date]]</f>
        <v>13</v>
      </c>
      <c r="K569">
        <f>WEEKNUM(orders[[#This Row],[Order Date]])</f>
        <v>4</v>
      </c>
      <c r="L569" t="str" cm="1">
        <f t="array" ref="L569">_xlfn.IFS(orders[[#This Row],[Customer Gender]]="M","Male", orders[[#This Row],[Customer Gender]]="F","Female", orders[[#This Row],[Customer Gender]]="O","Other", TRUE,"Unknown")</f>
        <v>Female</v>
      </c>
      <c r="M569">
        <v>13</v>
      </c>
      <c r="N569">
        <v>79.900000000000006</v>
      </c>
      <c r="O569">
        <v>1038.7</v>
      </c>
    </row>
    <row r="570" spans="1:15" x14ac:dyDescent="0.3">
      <c r="A570" t="s">
        <v>659</v>
      </c>
      <c r="B570" t="s">
        <v>21</v>
      </c>
      <c r="C570" s="7">
        <v>45682</v>
      </c>
      <c r="D570" s="7">
        <v>45685</v>
      </c>
      <c r="E570" t="s">
        <v>26</v>
      </c>
      <c r="F570" t="s">
        <v>17</v>
      </c>
      <c r="G570">
        <v>3</v>
      </c>
      <c r="H570" t="s">
        <v>18</v>
      </c>
      <c r="I570" t="s">
        <v>76</v>
      </c>
      <c r="J570">
        <f>orders[[#This Row],[Ship Date]]-orders[[#This Row],[Order Date]]</f>
        <v>3</v>
      </c>
      <c r="K570">
        <f>WEEKNUM(orders[[#This Row],[Order Date]])</f>
        <v>4</v>
      </c>
      <c r="L570" t="str" cm="1">
        <f t="array" ref="L570">_xlfn.IFS(orders[[#This Row],[Customer Gender]]="M","Male", orders[[#This Row],[Customer Gender]]="F","Female", orders[[#This Row],[Customer Gender]]="O","Other", TRUE,"Unknown")</f>
        <v>Female</v>
      </c>
      <c r="M570">
        <v>1</v>
      </c>
      <c r="N570">
        <v>70.599999999999994</v>
      </c>
      <c r="O570" s="5">
        <v>70.599999999999994</v>
      </c>
    </row>
    <row r="571" spans="1:15" x14ac:dyDescent="0.3">
      <c r="A571" t="s">
        <v>660</v>
      </c>
      <c r="B571" t="s">
        <v>38</v>
      </c>
      <c r="C571" s="7">
        <v>45682</v>
      </c>
      <c r="D571" s="7">
        <v>45684</v>
      </c>
      <c r="E571" t="s">
        <v>22</v>
      </c>
      <c r="F571" t="s">
        <v>17</v>
      </c>
      <c r="G571">
        <v>4</v>
      </c>
      <c r="H571" t="s">
        <v>18</v>
      </c>
      <c r="I571" t="s">
        <v>81</v>
      </c>
      <c r="J571">
        <f>orders[[#This Row],[Ship Date]]-orders[[#This Row],[Order Date]]</f>
        <v>2</v>
      </c>
      <c r="K571">
        <f>WEEKNUM(orders[[#This Row],[Order Date]])</f>
        <v>4</v>
      </c>
      <c r="L571" t="str" cm="1">
        <f t="array" ref="L571">_xlfn.IFS(orders[[#This Row],[Customer Gender]]="M","Male", orders[[#This Row],[Customer Gender]]="F","Female", orders[[#This Row],[Customer Gender]]="O","Other", TRUE,"Unknown")</f>
        <v>Male</v>
      </c>
      <c r="M571">
        <v>1</v>
      </c>
      <c r="N571">
        <v>49.5</v>
      </c>
      <c r="O571">
        <v>49.5</v>
      </c>
    </row>
    <row r="572" spans="1:15" x14ac:dyDescent="0.3">
      <c r="A572" t="s">
        <v>661</v>
      </c>
      <c r="B572" t="s">
        <v>25</v>
      </c>
      <c r="C572" s="7">
        <v>45682</v>
      </c>
      <c r="D572" s="7">
        <v>45684</v>
      </c>
      <c r="E572" t="s">
        <v>22</v>
      </c>
      <c r="F572" t="s">
        <v>17</v>
      </c>
      <c r="G572">
        <v>4</v>
      </c>
      <c r="H572" t="s">
        <v>18</v>
      </c>
      <c r="I572" t="s">
        <v>114</v>
      </c>
      <c r="J572">
        <f>orders[[#This Row],[Ship Date]]-orders[[#This Row],[Order Date]]</f>
        <v>2</v>
      </c>
      <c r="K572">
        <f>WEEKNUM(orders[[#This Row],[Order Date]])</f>
        <v>4</v>
      </c>
      <c r="L572" t="str" cm="1">
        <f t="array" ref="L572">_xlfn.IFS(orders[[#This Row],[Customer Gender]]="M","Male", orders[[#This Row],[Customer Gender]]="F","Female", orders[[#This Row],[Customer Gender]]="O","Other", TRUE,"Unknown")</f>
        <v>Male</v>
      </c>
      <c r="M572">
        <v>2</v>
      </c>
      <c r="N572">
        <v>96.6</v>
      </c>
      <c r="O572" s="5">
        <v>193.2</v>
      </c>
    </row>
    <row r="573" spans="1:15" x14ac:dyDescent="0.3">
      <c r="A573" t="s">
        <v>662</v>
      </c>
      <c r="B573" t="s">
        <v>38</v>
      </c>
      <c r="C573" s="7">
        <v>45682</v>
      </c>
      <c r="D573" s="7">
        <v>45683</v>
      </c>
      <c r="E573" t="s">
        <v>26</v>
      </c>
      <c r="F573" t="s">
        <v>34</v>
      </c>
      <c r="G573">
        <v>3</v>
      </c>
      <c r="H573" t="s">
        <v>18</v>
      </c>
      <c r="I573" t="s">
        <v>114</v>
      </c>
      <c r="J573">
        <f>orders[[#This Row],[Ship Date]]-orders[[#This Row],[Order Date]]</f>
        <v>1</v>
      </c>
      <c r="K573">
        <f>WEEKNUM(orders[[#This Row],[Order Date]])</f>
        <v>4</v>
      </c>
      <c r="L573" t="str" cm="1">
        <f t="array" ref="L573">_xlfn.IFS(orders[[#This Row],[Customer Gender]]="M","Male", orders[[#This Row],[Customer Gender]]="F","Female", orders[[#This Row],[Customer Gender]]="O","Other", TRUE,"Unknown")</f>
        <v>Female</v>
      </c>
      <c r="M573">
        <v>2</v>
      </c>
      <c r="N573">
        <v>52.8</v>
      </c>
      <c r="O573">
        <v>105.6</v>
      </c>
    </row>
    <row r="574" spans="1:15" x14ac:dyDescent="0.3">
      <c r="A574" t="s">
        <v>663</v>
      </c>
      <c r="B574" t="s">
        <v>25</v>
      </c>
      <c r="C574" s="7">
        <v>45682</v>
      </c>
      <c r="D574" s="7">
        <v>45683</v>
      </c>
      <c r="E574" t="s">
        <v>22</v>
      </c>
      <c r="F574" t="s">
        <v>17</v>
      </c>
      <c r="G574">
        <v>4</v>
      </c>
      <c r="H574" t="s">
        <v>18</v>
      </c>
      <c r="I574" t="s">
        <v>23</v>
      </c>
      <c r="J574">
        <f>orders[[#This Row],[Ship Date]]-orders[[#This Row],[Order Date]]</f>
        <v>1</v>
      </c>
      <c r="K574">
        <f>WEEKNUM(orders[[#This Row],[Order Date]])</f>
        <v>4</v>
      </c>
      <c r="L574" t="str" cm="1">
        <f t="array" ref="L574">_xlfn.IFS(orders[[#This Row],[Customer Gender]]="M","Male", orders[[#This Row],[Customer Gender]]="F","Female", orders[[#This Row],[Customer Gender]]="O","Other", TRUE,"Unknown")</f>
        <v>Male</v>
      </c>
      <c r="M574">
        <v>1</v>
      </c>
      <c r="N574">
        <v>101.7</v>
      </c>
      <c r="O574" s="5">
        <v>101.7</v>
      </c>
    </row>
    <row r="575" spans="1:15" x14ac:dyDescent="0.3">
      <c r="A575" t="s">
        <v>664</v>
      </c>
      <c r="B575" t="s">
        <v>31</v>
      </c>
      <c r="C575" s="7">
        <v>45682</v>
      </c>
      <c r="D575" s="7">
        <v>45687</v>
      </c>
      <c r="E575" t="s">
        <v>26</v>
      </c>
      <c r="F575" t="s">
        <v>34</v>
      </c>
      <c r="G575">
        <v>3</v>
      </c>
      <c r="H575" t="s">
        <v>18</v>
      </c>
      <c r="I575" t="s">
        <v>146</v>
      </c>
      <c r="J575">
        <f>orders[[#This Row],[Ship Date]]-orders[[#This Row],[Order Date]]</f>
        <v>5</v>
      </c>
      <c r="K575">
        <f>WEEKNUM(orders[[#This Row],[Order Date]])</f>
        <v>4</v>
      </c>
      <c r="L575" t="str" cm="1">
        <f t="array" ref="L575">_xlfn.IFS(orders[[#This Row],[Customer Gender]]="M","Male", orders[[#This Row],[Customer Gender]]="F","Female", orders[[#This Row],[Customer Gender]]="O","Other", TRUE,"Unknown")</f>
        <v>Female</v>
      </c>
      <c r="M575">
        <v>5</v>
      </c>
      <c r="N575">
        <v>26.9</v>
      </c>
      <c r="O575">
        <v>134.5</v>
      </c>
    </row>
    <row r="576" spans="1:15" x14ac:dyDescent="0.3">
      <c r="A576" t="s">
        <v>665</v>
      </c>
      <c r="B576" t="s">
        <v>25</v>
      </c>
      <c r="C576" s="7">
        <v>45682</v>
      </c>
      <c r="D576" s="7">
        <v>45682</v>
      </c>
      <c r="E576" t="s">
        <v>26</v>
      </c>
      <c r="F576" t="s">
        <v>34</v>
      </c>
      <c r="G576">
        <v>3</v>
      </c>
      <c r="H576" t="s">
        <v>18</v>
      </c>
      <c r="I576" t="s">
        <v>32</v>
      </c>
      <c r="J576">
        <f>orders[[#This Row],[Ship Date]]-orders[[#This Row],[Order Date]]</f>
        <v>0</v>
      </c>
      <c r="K576">
        <f>WEEKNUM(orders[[#This Row],[Order Date]])</f>
        <v>4</v>
      </c>
      <c r="L576" t="str" cm="1">
        <f t="array" ref="L576">_xlfn.IFS(orders[[#This Row],[Customer Gender]]="M","Male", orders[[#This Row],[Customer Gender]]="F","Female", orders[[#This Row],[Customer Gender]]="O","Other", TRUE,"Unknown")</f>
        <v>Female</v>
      </c>
      <c r="M576">
        <v>4</v>
      </c>
      <c r="N576">
        <v>211</v>
      </c>
      <c r="O576" s="5">
        <v>844</v>
      </c>
    </row>
    <row r="577" spans="1:15" x14ac:dyDescent="0.3">
      <c r="A577" t="s">
        <v>666</v>
      </c>
      <c r="B577" t="s">
        <v>16</v>
      </c>
      <c r="C577" s="7">
        <v>45682</v>
      </c>
      <c r="D577" s="7">
        <v>45685</v>
      </c>
      <c r="E577" t="s">
        <v>22</v>
      </c>
      <c r="F577" t="s">
        <v>69</v>
      </c>
      <c r="G577">
        <v>4</v>
      </c>
      <c r="H577" t="s">
        <v>18</v>
      </c>
      <c r="I577" t="s">
        <v>32</v>
      </c>
      <c r="J577">
        <f>orders[[#This Row],[Ship Date]]-orders[[#This Row],[Order Date]]</f>
        <v>3</v>
      </c>
      <c r="K577">
        <f>WEEKNUM(orders[[#This Row],[Order Date]])</f>
        <v>4</v>
      </c>
      <c r="L577" t="str" cm="1">
        <f t="array" ref="L577">_xlfn.IFS(orders[[#This Row],[Customer Gender]]="M","Male", orders[[#This Row],[Customer Gender]]="F","Female", orders[[#This Row],[Customer Gender]]="O","Other", TRUE,"Unknown")</f>
        <v>Male</v>
      </c>
      <c r="M577">
        <v>4</v>
      </c>
      <c r="N577">
        <v>21.1</v>
      </c>
      <c r="O577">
        <v>84.4</v>
      </c>
    </row>
    <row r="578" spans="1:15" x14ac:dyDescent="0.3">
      <c r="A578" t="s">
        <v>667</v>
      </c>
      <c r="B578" t="s">
        <v>53</v>
      </c>
      <c r="C578" s="7">
        <v>45682</v>
      </c>
      <c r="D578" s="7">
        <v>45684</v>
      </c>
      <c r="E578" t="s">
        <v>22</v>
      </c>
      <c r="F578" t="s">
        <v>17</v>
      </c>
      <c r="G578">
        <v>2</v>
      </c>
      <c r="H578" t="s">
        <v>18</v>
      </c>
      <c r="I578" t="s">
        <v>32</v>
      </c>
      <c r="J578">
        <f>orders[[#This Row],[Ship Date]]-orders[[#This Row],[Order Date]]</f>
        <v>2</v>
      </c>
      <c r="K578">
        <f>WEEKNUM(orders[[#This Row],[Order Date]])</f>
        <v>4</v>
      </c>
      <c r="L578" t="str" cm="1">
        <f t="array" ref="L578">_xlfn.IFS(orders[[#This Row],[Customer Gender]]="M","Male", orders[[#This Row],[Customer Gender]]="F","Female", orders[[#This Row],[Customer Gender]]="O","Other", TRUE,"Unknown")</f>
        <v>Male</v>
      </c>
      <c r="M578">
        <v>1</v>
      </c>
      <c r="N578">
        <v>26.6</v>
      </c>
      <c r="O578" s="5">
        <v>26.6</v>
      </c>
    </row>
    <row r="579" spans="1:15" x14ac:dyDescent="0.3">
      <c r="A579" t="s">
        <v>668</v>
      </c>
      <c r="B579" t="s">
        <v>68</v>
      </c>
      <c r="C579" s="7">
        <v>45682</v>
      </c>
      <c r="D579" s="7">
        <v>45683</v>
      </c>
      <c r="E579" t="s">
        <v>26</v>
      </c>
      <c r="F579" t="s">
        <v>50</v>
      </c>
      <c r="G579">
        <v>4</v>
      </c>
      <c r="H579" t="s">
        <v>18</v>
      </c>
      <c r="I579" t="s">
        <v>669</v>
      </c>
      <c r="J579">
        <f>orders[[#This Row],[Ship Date]]-orders[[#This Row],[Order Date]]</f>
        <v>1</v>
      </c>
      <c r="K579">
        <f>WEEKNUM(orders[[#This Row],[Order Date]])</f>
        <v>4</v>
      </c>
      <c r="L579" t="str" cm="1">
        <f t="array" ref="L579">_xlfn.IFS(orders[[#This Row],[Customer Gender]]="M","Male", orders[[#This Row],[Customer Gender]]="F","Female", orders[[#This Row],[Customer Gender]]="O","Other", TRUE,"Unknown")</f>
        <v>Female</v>
      </c>
      <c r="M579">
        <v>4</v>
      </c>
      <c r="N579">
        <v>51.2</v>
      </c>
      <c r="O579">
        <v>204.8</v>
      </c>
    </row>
    <row r="580" spans="1:15" x14ac:dyDescent="0.3">
      <c r="A580" t="s">
        <v>670</v>
      </c>
      <c r="B580" t="s">
        <v>16</v>
      </c>
      <c r="C580" s="7">
        <v>45682</v>
      </c>
      <c r="D580" s="7">
        <v>45686</v>
      </c>
      <c r="E580" t="s">
        <v>26</v>
      </c>
      <c r="F580" t="s">
        <v>17</v>
      </c>
      <c r="G580">
        <v>4</v>
      </c>
      <c r="H580" t="s">
        <v>18</v>
      </c>
      <c r="I580" t="s">
        <v>61</v>
      </c>
      <c r="J580">
        <f>orders[[#This Row],[Ship Date]]-orders[[#This Row],[Order Date]]</f>
        <v>4</v>
      </c>
      <c r="K580">
        <f>WEEKNUM(orders[[#This Row],[Order Date]])</f>
        <v>4</v>
      </c>
      <c r="L580" t="str" cm="1">
        <f t="array" ref="L580">_xlfn.IFS(orders[[#This Row],[Customer Gender]]="M","Male", orders[[#This Row],[Customer Gender]]="F","Female", orders[[#This Row],[Customer Gender]]="O","Other", TRUE,"Unknown")</f>
        <v>Female</v>
      </c>
      <c r="M580">
        <v>5</v>
      </c>
      <c r="N580">
        <v>10.6</v>
      </c>
      <c r="O580" s="5">
        <v>53</v>
      </c>
    </row>
    <row r="581" spans="1:15" x14ac:dyDescent="0.3">
      <c r="A581" t="s">
        <v>671</v>
      </c>
      <c r="B581" t="s">
        <v>38</v>
      </c>
      <c r="C581" s="7">
        <v>45682</v>
      </c>
      <c r="D581" s="7">
        <v>45685</v>
      </c>
      <c r="E581" t="s">
        <v>26</v>
      </c>
      <c r="F581" t="s">
        <v>69</v>
      </c>
      <c r="G581">
        <v>4</v>
      </c>
      <c r="H581" t="s">
        <v>18</v>
      </c>
      <c r="I581" t="s">
        <v>61</v>
      </c>
      <c r="J581">
        <f>orders[[#This Row],[Ship Date]]-orders[[#This Row],[Order Date]]</f>
        <v>3</v>
      </c>
      <c r="K581">
        <f>WEEKNUM(orders[[#This Row],[Order Date]])</f>
        <v>4</v>
      </c>
      <c r="L581" t="str" cm="1">
        <f t="array" ref="L581">_xlfn.IFS(orders[[#This Row],[Customer Gender]]="M","Male", orders[[#This Row],[Customer Gender]]="F","Female", orders[[#This Row],[Customer Gender]]="O","Other", TRUE,"Unknown")</f>
        <v>Female</v>
      </c>
      <c r="M581">
        <v>3</v>
      </c>
      <c r="N581">
        <v>43.4</v>
      </c>
      <c r="O581">
        <v>130.19999999999999</v>
      </c>
    </row>
    <row r="582" spans="1:15" x14ac:dyDescent="0.3">
      <c r="A582" t="s">
        <v>672</v>
      </c>
      <c r="B582" t="s">
        <v>68</v>
      </c>
      <c r="C582" s="7">
        <v>45682</v>
      </c>
      <c r="D582" s="7">
        <v>45682</v>
      </c>
      <c r="E582" t="s">
        <v>26</v>
      </c>
      <c r="F582" t="s">
        <v>17</v>
      </c>
      <c r="G582">
        <v>5</v>
      </c>
      <c r="H582" t="s">
        <v>18</v>
      </c>
      <c r="I582" t="s">
        <v>61</v>
      </c>
      <c r="J582">
        <f>orders[[#This Row],[Ship Date]]-orders[[#This Row],[Order Date]]</f>
        <v>0</v>
      </c>
      <c r="K582">
        <f>WEEKNUM(orders[[#This Row],[Order Date]])</f>
        <v>4</v>
      </c>
      <c r="L582" t="str" cm="1">
        <f t="array" ref="L582">_xlfn.IFS(orders[[#This Row],[Customer Gender]]="M","Male", orders[[#This Row],[Customer Gender]]="F","Female", orders[[#This Row],[Customer Gender]]="O","Other", TRUE,"Unknown")</f>
        <v>Female</v>
      </c>
      <c r="M582">
        <v>1</v>
      </c>
      <c r="N582">
        <v>80</v>
      </c>
      <c r="O582" s="5">
        <v>80</v>
      </c>
    </row>
    <row r="583" spans="1:15" x14ac:dyDescent="0.3">
      <c r="A583" t="s">
        <v>673</v>
      </c>
      <c r="B583" t="s">
        <v>53</v>
      </c>
      <c r="C583" s="7">
        <v>45682</v>
      </c>
      <c r="D583" s="7">
        <v>45684</v>
      </c>
      <c r="E583" t="s">
        <v>26</v>
      </c>
      <c r="F583" t="s">
        <v>34</v>
      </c>
      <c r="G583">
        <v>2</v>
      </c>
      <c r="H583" t="s">
        <v>18</v>
      </c>
      <c r="I583" t="s">
        <v>61</v>
      </c>
      <c r="J583">
        <f>orders[[#This Row],[Ship Date]]-orders[[#This Row],[Order Date]]</f>
        <v>2</v>
      </c>
      <c r="K583">
        <f>WEEKNUM(orders[[#This Row],[Order Date]])</f>
        <v>4</v>
      </c>
      <c r="L583" t="str" cm="1">
        <f t="array" ref="L583">_xlfn.IFS(orders[[#This Row],[Customer Gender]]="M","Male", orders[[#This Row],[Customer Gender]]="F","Female", orders[[#This Row],[Customer Gender]]="O","Other", TRUE,"Unknown")</f>
        <v>Female</v>
      </c>
      <c r="M583">
        <v>4</v>
      </c>
      <c r="N583">
        <v>64.7</v>
      </c>
      <c r="O583">
        <v>258.8</v>
      </c>
    </row>
    <row r="584" spans="1:15" x14ac:dyDescent="0.3">
      <c r="A584" t="s">
        <v>674</v>
      </c>
      <c r="B584" t="s">
        <v>43</v>
      </c>
      <c r="C584" s="7">
        <v>45683</v>
      </c>
      <c r="D584" s="7">
        <v>45683</v>
      </c>
      <c r="E584" t="s">
        <v>26</v>
      </c>
      <c r="F584" t="s">
        <v>69</v>
      </c>
      <c r="G584">
        <v>3</v>
      </c>
      <c r="H584" t="s">
        <v>18</v>
      </c>
      <c r="I584" t="s">
        <v>200</v>
      </c>
      <c r="J584">
        <f>orders[[#This Row],[Ship Date]]-orders[[#This Row],[Order Date]]</f>
        <v>0</v>
      </c>
      <c r="K584">
        <f>WEEKNUM(orders[[#This Row],[Order Date]])</f>
        <v>5</v>
      </c>
      <c r="L584" t="str" cm="1">
        <f t="array" ref="L584">_xlfn.IFS(orders[[#This Row],[Customer Gender]]="M","Male", orders[[#This Row],[Customer Gender]]="F","Female", orders[[#This Row],[Customer Gender]]="O","Other", TRUE,"Unknown")</f>
        <v>Female</v>
      </c>
      <c r="M584">
        <v>11</v>
      </c>
      <c r="N584">
        <v>26.3</v>
      </c>
      <c r="O584" s="5">
        <v>289.3</v>
      </c>
    </row>
    <row r="585" spans="1:15" x14ac:dyDescent="0.3">
      <c r="A585" t="s">
        <v>675</v>
      </c>
      <c r="B585" t="s">
        <v>53</v>
      </c>
      <c r="C585" s="7">
        <v>45683</v>
      </c>
      <c r="D585" s="7">
        <v>45683</v>
      </c>
      <c r="E585" t="s">
        <v>22</v>
      </c>
      <c r="F585" t="s">
        <v>17</v>
      </c>
      <c r="G585">
        <v>3</v>
      </c>
      <c r="H585" t="s">
        <v>18</v>
      </c>
      <c r="I585" t="s">
        <v>71</v>
      </c>
      <c r="J585">
        <f>orders[[#This Row],[Ship Date]]-orders[[#This Row],[Order Date]]</f>
        <v>0</v>
      </c>
      <c r="K585">
        <f>WEEKNUM(orders[[#This Row],[Order Date]])</f>
        <v>5</v>
      </c>
      <c r="L585" t="str" cm="1">
        <f t="array" ref="L585">_xlfn.IFS(orders[[#This Row],[Customer Gender]]="M","Male", orders[[#This Row],[Customer Gender]]="F","Female", orders[[#This Row],[Customer Gender]]="O","Other", TRUE,"Unknown")</f>
        <v>Male</v>
      </c>
      <c r="M585">
        <v>1</v>
      </c>
      <c r="N585">
        <v>28.5</v>
      </c>
      <c r="O585">
        <v>28.5</v>
      </c>
    </row>
    <row r="586" spans="1:15" x14ac:dyDescent="0.3">
      <c r="A586" t="s">
        <v>676</v>
      </c>
      <c r="B586" t="s">
        <v>134</v>
      </c>
      <c r="C586" s="7">
        <v>45683</v>
      </c>
      <c r="D586" s="7">
        <v>45685</v>
      </c>
      <c r="E586" t="s">
        <v>26</v>
      </c>
      <c r="F586" t="s">
        <v>17</v>
      </c>
      <c r="G586">
        <v>3</v>
      </c>
      <c r="H586" t="s">
        <v>18</v>
      </c>
      <c r="I586" t="s">
        <v>71</v>
      </c>
      <c r="J586">
        <f>orders[[#This Row],[Ship Date]]-orders[[#This Row],[Order Date]]</f>
        <v>2</v>
      </c>
      <c r="K586">
        <f>WEEKNUM(orders[[#This Row],[Order Date]])</f>
        <v>5</v>
      </c>
      <c r="L586" t="str" cm="1">
        <f t="array" ref="L586">_xlfn.IFS(orders[[#This Row],[Customer Gender]]="M","Male", orders[[#This Row],[Customer Gender]]="F","Female", orders[[#This Row],[Customer Gender]]="O","Other", TRUE,"Unknown")</f>
        <v>Female</v>
      </c>
      <c r="M586">
        <v>1</v>
      </c>
      <c r="N586">
        <v>47.8</v>
      </c>
      <c r="O586" s="5">
        <v>47.8</v>
      </c>
    </row>
    <row r="587" spans="1:15" x14ac:dyDescent="0.3">
      <c r="A587" t="s">
        <v>677</v>
      </c>
      <c r="B587" t="s">
        <v>53</v>
      </c>
      <c r="C587" s="7">
        <v>45683</v>
      </c>
      <c r="D587" s="7">
        <v>45686</v>
      </c>
      <c r="E587" t="s">
        <v>26</v>
      </c>
      <c r="F587" t="s">
        <v>69</v>
      </c>
      <c r="G587">
        <v>3</v>
      </c>
      <c r="H587" t="s">
        <v>18</v>
      </c>
      <c r="I587" t="s">
        <v>76</v>
      </c>
      <c r="J587">
        <f>orders[[#This Row],[Ship Date]]-orders[[#This Row],[Order Date]]</f>
        <v>3</v>
      </c>
      <c r="K587">
        <f>WEEKNUM(orders[[#This Row],[Order Date]])</f>
        <v>5</v>
      </c>
      <c r="L587" t="str" cm="1">
        <f t="array" ref="L587">_xlfn.IFS(orders[[#This Row],[Customer Gender]]="M","Male", orders[[#This Row],[Customer Gender]]="F","Female", orders[[#This Row],[Customer Gender]]="O","Other", TRUE,"Unknown")</f>
        <v>Female</v>
      </c>
      <c r="M587">
        <v>3</v>
      </c>
      <c r="N587">
        <v>42.8</v>
      </c>
      <c r="O587">
        <v>128.39999999999998</v>
      </c>
    </row>
    <row r="588" spans="1:15" x14ac:dyDescent="0.3">
      <c r="A588" t="s">
        <v>678</v>
      </c>
      <c r="B588" t="s">
        <v>38</v>
      </c>
      <c r="C588" s="7">
        <v>45683</v>
      </c>
      <c r="D588" s="7">
        <v>45688</v>
      </c>
      <c r="E588" t="s">
        <v>26</v>
      </c>
      <c r="F588" t="s">
        <v>34</v>
      </c>
      <c r="G588">
        <v>5</v>
      </c>
      <c r="H588" t="s">
        <v>18</v>
      </c>
      <c r="I588" t="s">
        <v>76</v>
      </c>
      <c r="J588">
        <f>orders[[#This Row],[Ship Date]]-orders[[#This Row],[Order Date]]</f>
        <v>5</v>
      </c>
      <c r="K588">
        <f>WEEKNUM(orders[[#This Row],[Order Date]])</f>
        <v>5</v>
      </c>
      <c r="L588" t="str" cm="1">
        <f t="array" ref="L588">_xlfn.IFS(orders[[#This Row],[Customer Gender]]="M","Male", orders[[#This Row],[Customer Gender]]="F","Female", orders[[#This Row],[Customer Gender]]="O","Other", TRUE,"Unknown")</f>
        <v>Female</v>
      </c>
      <c r="M588">
        <v>5</v>
      </c>
      <c r="N588">
        <v>46.8</v>
      </c>
      <c r="O588" s="5">
        <v>234</v>
      </c>
    </row>
    <row r="589" spans="1:15" x14ac:dyDescent="0.3">
      <c r="A589" t="s">
        <v>679</v>
      </c>
      <c r="B589" t="s">
        <v>21</v>
      </c>
      <c r="C589" s="7">
        <v>45683</v>
      </c>
      <c r="D589" s="7">
        <v>45684</v>
      </c>
      <c r="E589" t="s">
        <v>22</v>
      </c>
      <c r="F589" t="s">
        <v>34</v>
      </c>
      <c r="G589">
        <v>4</v>
      </c>
      <c r="H589" t="s">
        <v>18</v>
      </c>
      <c r="I589" t="s">
        <v>76</v>
      </c>
      <c r="J589">
        <f>orders[[#This Row],[Ship Date]]-orders[[#This Row],[Order Date]]</f>
        <v>1</v>
      </c>
      <c r="K589">
        <f>WEEKNUM(orders[[#This Row],[Order Date]])</f>
        <v>5</v>
      </c>
      <c r="L589" t="str" cm="1">
        <f t="array" ref="L589">_xlfn.IFS(orders[[#This Row],[Customer Gender]]="M","Male", orders[[#This Row],[Customer Gender]]="F","Female", orders[[#This Row],[Customer Gender]]="O","Other", TRUE,"Unknown")</f>
        <v>Male</v>
      </c>
      <c r="M589">
        <v>10</v>
      </c>
      <c r="N589">
        <v>64.099999999999994</v>
      </c>
      <c r="O589">
        <v>641</v>
      </c>
    </row>
    <row r="590" spans="1:15" x14ac:dyDescent="0.3">
      <c r="A590" t="s">
        <v>680</v>
      </c>
      <c r="B590" t="s">
        <v>25</v>
      </c>
      <c r="C590" s="7">
        <v>45683</v>
      </c>
      <c r="D590" s="7">
        <v>45684</v>
      </c>
      <c r="E590" t="s">
        <v>26</v>
      </c>
      <c r="F590" t="s">
        <v>17</v>
      </c>
      <c r="G590">
        <v>3</v>
      </c>
      <c r="H590" t="s">
        <v>18</v>
      </c>
      <c r="I590" t="s">
        <v>112</v>
      </c>
      <c r="J590">
        <f>orders[[#This Row],[Ship Date]]-orders[[#This Row],[Order Date]]</f>
        <v>1</v>
      </c>
      <c r="K590">
        <f>WEEKNUM(orders[[#This Row],[Order Date]])</f>
        <v>5</v>
      </c>
      <c r="L590" t="str" cm="1">
        <f t="array" ref="L590">_xlfn.IFS(orders[[#This Row],[Customer Gender]]="M","Male", orders[[#This Row],[Customer Gender]]="F","Female", orders[[#This Row],[Customer Gender]]="O","Other", TRUE,"Unknown")</f>
        <v>Female</v>
      </c>
      <c r="M590">
        <v>1</v>
      </c>
      <c r="N590">
        <v>89.1</v>
      </c>
      <c r="O590" s="5">
        <v>89.1</v>
      </c>
    </row>
    <row r="591" spans="1:15" x14ac:dyDescent="0.3">
      <c r="A591" t="s">
        <v>681</v>
      </c>
      <c r="B591" t="s">
        <v>25</v>
      </c>
      <c r="C591" s="7">
        <v>45683</v>
      </c>
      <c r="D591" s="7">
        <v>45684</v>
      </c>
      <c r="E591" t="s">
        <v>26</v>
      </c>
      <c r="F591" t="s">
        <v>39</v>
      </c>
      <c r="G591">
        <v>3</v>
      </c>
      <c r="H591" t="s">
        <v>18</v>
      </c>
      <c r="I591" t="s">
        <v>81</v>
      </c>
      <c r="J591">
        <f>orders[[#This Row],[Ship Date]]-orders[[#This Row],[Order Date]]</f>
        <v>1</v>
      </c>
      <c r="K591">
        <f>WEEKNUM(orders[[#This Row],[Order Date]])</f>
        <v>5</v>
      </c>
      <c r="L591" t="str" cm="1">
        <f t="array" ref="L591">_xlfn.IFS(orders[[#This Row],[Customer Gender]]="M","Male", orders[[#This Row],[Customer Gender]]="F","Female", orders[[#This Row],[Customer Gender]]="O","Other", TRUE,"Unknown")</f>
        <v>Female</v>
      </c>
      <c r="M591">
        <v>3</v>
      </c>
      <c r="N591">
        <v>83.1</v>
      </c>
      <c r="O591">
        <v>249.29999999999998</v>
      </c>
    </row>
    <row r="592" spans="1:15" x14ac:dyDescent="0.3">
      <c r="A592" t="s">
        <v>682</v>
      </c>
      <c r="B592" t="s">
        <v>43</v>
      </c>
      <c r="C592" s="7">
        <v>45683</v>
      </c>
      <c r="D592" s="7">
        <v>45684</v>
      </c>
      <c r="E592" t="s">
        <v>22</v>
      </c>
      <c r="F592" t="s">
        <v>17</v>
      </c>
      <c r="G592">
        <v>4</v>
      </c>
      <c r="H592" t="s">
        <v>18</v>
      </c>
      <c r="I592" t="s">
        <v>23</v>
      </c>
      <c r="J592">
        <f>orders[[#This Row],[Ship Date]]-orders[[#This Row],[Order Date]]</f>
        <v>1</v>
      </c>
      <c r="K592">
        <f>WEEKNUM(orders[[#This Row],[Order Date]])</f>
        <v>5</v>
      </c>
      <c r="L592" t="str" cm="1">
        <f t="array" ref="L592">_xlfn.IFS(orders[[#This Row],[Customer Gender]]="M","Male", orders[[#This Row],[Customer Gender]]="F","Female", orders[[#This Row],[Customer Gender]]="O","Other", TRUE,"Unknown")</f>
        <v>Male</v>
      </c>
      <c r="M592">
        <v>3</v>
      </c>
      <c r="N592">
        <v>40.9</v>
      </c>
      <c r="O592" s="5">
        <v>122.69999999999999</v>
      </c>
    </row>
    <row r="593" spans="1:15" x14ac:dyDescent="0.3">
      <c r="A593" t="s">
        <v>683</v>
      </c>
      <c r="B593" t="s">
        <v>25</v>
      </c>
      <c r="C593" s="7">
        <v>45683</v>
      </c>
      <c r="D593" s="7">
        <v>45684</v>
      </c>
      <c r="E593" t="s">
        <v>26</v>
      </c>
      <c r="F593" t="s">
        <v>50</v>
      </c>
      <c r="G593">
        <v>4</v>
      </c>
      <c r="H593" t="s">
        <v>18</v>
      </c>
      <c r="I593" t="s">
        <v>27</v>
      </c>
      <c r="J593">
        <f>orders[[#This Row],[Ship Date]]-orders[[#This Row],[Order Date]]</f>
        <v>1</v>
      </c>
      <c r="K593">
        <f>WEEKNUM(orders[[#This Row],[Order Date]])</f>
        <v>5</v>
      </c>
      <c r="L593" t="str" cm="1">
        <f t="array" ref="L593">_xlfn.IFS(orders[[#This Row],[Customer Gender]]="M","Male", orders[[#This Row],[Customer Gender]]="F","Female", orders[[#This Row],[Customer Gender]]="O","Other", TRUE,"Unknown")</f>
        <v>Female</v>
      </c>
      <c r="M593">
        <v>2</v>
      </c>
      <c r="N593">
        <v>125.7</v>
      </c>
      <c r="O593">
        <v>251.4</v>
      </c>
    </row>
    <row r="594" spans="1:15" x14ac:dyDescent="0.3">
      <c r="A594" t="s">
        <v>684</v>
      </c>
      <c r="B594" t="s">
        <v>29</v>
      </c>
      <c r="C594" s="7">
        <v>45683</v>
      </c>
      <c r="D594" s="7">
        <v>45683</v>
      </c>
      <c r="E594" t="s">
        <v>26</v>
      </c>
      <c r="F594" t="s">
        <v>39</v>
      </c>
      <c r="G594">
        <v>5</v>
      </c>
      <c r="H594" t="s">
        <v>18</v>
      </c>
      <c r="I594" t="s">
        <v>146</v>
      </c>
      <c r="J594">
        <f>orders[[#This Row],[Ship Date]]-orders[[#This Row],[Order Date]]</f>
        <v>0</v>
      </c>
      <c r="K594">
        <f>WEEKNUM(orders[[#This Row],[Order Date]])</f>
        <v>5</v>
      </c>
      <c r="L594" t="str" cm="1">
        <f t="array" ref="L594">_xlfn.IFS(orders[[#This Row],[Customer Gender]]="M","Male", orders[[#This Row],[Customer Gender]]="F","Female", orders[[#This Row],[Customer Gender]]="O","Other", TRUE,"Unknown")</f>
        <v>Female</v>
      </c>
      <c r="M594">
        <v>2</v>
      </c>
      <c r="N594">
        <v>30.9</v>
      </c>
      <c r="O594" s="5">
        <v>61.8</v>
      </c>
    </row>
    <row r="595" spans="1:15" x14ac:dyDescent="0.3">
      <c r="A595" t="s">
        <v>685</v>
      </c>
      <c r="B595" t="s">
        <v>43</v>
      </c>
      <c r="C595" s="7">
        <v>45683</v>
      </c>
      <c r="D595" s="7">
        <v>45684</v>
      </c>
      <c r="E595" t="s">
        <v>26</v>
      </c>
      <c r="F595" t="s">
        <v>34</v>
      </c>
      <c r="G595">
        <v>4</v>
      </c>
      <c r="H595" t="s">
        <v>18</v>
      </c>
      <c r="I595" t="s">
        <v>32</v>
      </c>
      <c r="J595">
        <f>orders[[#This Row],[Ship Date]]-orders[[#This Row],[Order Date]]</f>
        <v>1</v>
      </c>
      <c r="K595">
        <f>WEEKNUM(orders[[#This Row],[Order Date]])</f>
        <v>5</v>
      </c>
      <c r="L595" t="str" cm="1">
        <f t="array" ref="L595">_xlfn.IFS(orders[[#This Row],[Customer Gender]]="M","Male", orders[[#This Row],[Customer Gender]]="F","Female", orders[[#This Row],[Customer Gender]]="O","Other", TRUE,"Unknown")</f>
        <v>Female</v>
      </c>
      <c r="M595">
        <v>2</v>
      </c>
      <c r="N595">
        <v>18.3</v>
      </c>
      <c r="O595">
        <v>36.6</v>
      </c>
    </row>
    <row r="596" spans="1:15" x14ac:dyDescent="0.3">
      <c r="A596" t="s">
        <v>686</v>
      </c>
      <c r="B596" t="s">
        <v>31</v>
      </c>
      <c r="C596" s="7">
        <v>45683</v>
      </c>
      <c r="D596" s="7">
        <v>45687</v>
      </c>
      <c r="E596" t="s">
        <v>22</v>
      </c>
      <c r="F596" t="s">
        <v>39</v>
      </c>
      <c r="G596">
        <v>5</v>
      </c>
      <c r="H596" t="s">
        <v>18</v>
      </c>
      <c r="I596" t="s">
        <v>32</v>
      </c>
      <c r="J596">
        <f>orders[[#This Row],[Ship Date]]-orders[[#This Row],[Order Date]]</f>
        <v>4</v>
      </c>
      <c r="K596">
        <f>WEEKNUM(orders[[#This Row],[Order Date]])</f>
        <v>5</v>
      </c>
      <c r="L596" t="str" cm="1">
        <f t="array" ref="L596">_xlfn.IFS(orders[[#This Row],[Customer Gender]]="M","Male", orders[[#This Row],[Customer Gender]]="F","Female", orders[[#This Row],[Customer Gender]]="O","Other", TRUE,"Unknown")</f>
        <v>Male</v>
      </c>
      <c r="M596">
        <v>2</v>
      </c>
      <c r="N596">
        <v>56.5</v>
      </c>
      <c r="O596" s="5">
        <v>113</v>
      </c>
    </row>
    <row r="597" spans="1:15" x14ac:dyDescent="0.3">
      <c r="A597" t="s">
        <v>687</v>
      </c>
      <c r="B597" t="s">
        <v>53</v>
      </c>
      <c r="C597" s="7">
        <v>45683</v>
      </c>
      <c r="D597" s="7">
        <v>45685</v>
      </c>
      <c r="E597" t="s">
        <v>22</v>
      </c>
      <c r="F597" t="s">
        <v>69</v>
      </c>
      <c r="G597">
        <v>5</v>
      </c>
      <c r="H597" t="s">
        <v>18</v>
      </c>
      <c r="I597" t="s">
        <v>32</v>
      </c>
      <c r="J597">
        <f>orders[[#This Row],[Ship Date]]-orders[[#This Row],[Order Date]]</f>
        <v>2</v>
      </c>
      <c r="K597">
        <f>WEEKNUM(orders[[#This Row],[Order Date]])</f>
        <v>5</v>
      </c>
      <c r="L597" t="str" cm="1">
        <f t="array" ref="L597">_xlfn.IFS(orders[[#This Row],[Customer Gender]]="M","Male", orders[[#This Row],[Customer Gender]]="F","Female", orders[[#This Row],[Customer Gender]]="O","Other", TRUE,"Unknown")</f>
        <v>Male</v>
      </c>
      <c r="M597">
        <v>7</v>
      </c>
      <c r="N597">
        <v>29.9</v>
      </c>
      <c r="O597">
        <v>209.29999999999998</v>
      </c>
    </row>
    <row r="598" spans="1:15" x14ac:dyDescent="0.3">
      <c r="A598" t="s">
        <v>688</v>
      </c>
      <c r="B598" t="s">
        <v>36</v>
      </c>
      <c r="C598" s="7">
        <v>45683</v>
      </c>
      <c r="D598" s="7">
        <v>45684</v>
      </c>
      <c r="E598" t="s">
        <v>26</v>
      </c>
      <c r="F598" t="s">
        <v>39</v>
      </c>
      <c r="G598">
        <v>4</v>
      </c>
      <c r="H598" t="s">
        <v>18</v>
      </c>
      <c r="I598" t="s">
        <v>32</v>
      </c>
      <c r="J598">
        <f>orders[[#This Row],[Ship Date]]-orders[[#This Row],[Order Date]]</f>
        <v>1</v>
      </c>
      <c r="K598">
        <f>WEEKNUM(orders[[#This Row],[Order Date]])</f>
        <v>5</v>
      </c>
      <c r="L598" t="str" cm="1">
        <f t="array" ref="L598">_xlfn.IFS(orders[[#This Row],[Customer Gender]]="M","Male", orders[[#This Row],[Customer Gender]]="F","Female", orders[[#This Row],[Customer Gender]]="O","Other", TRUE,"Unknown")</f>
        <v>Female</v>
      </c>
      <c r="M598">
        <v>2</v>
      </c>
      <c r="N598">
        <v>50.4</v>
      </c>
      <c r="O598" s="5">
        <v>100.8</v>
      </c>
    </row>
    <row r="599" spans="1:15" x14ac:dyDescent="0.3">
      <c r="A599" t="s">
        <v>689</v>
      </c>
      <c r="B599" t="s">
        <v>25</v>
      </c>
      <c r="C599" s="7">
        <v>45683</v>
      </c>
      <c r="D599" s="7">
        <v>45683</v>
      </c>
      <c r="E599" t="s">
        <v>26</v>
      </c>
      <c r="F599" t="s">
        <v>39</v>
      </c>
      <c r="G599">
        <v>5</v>
      </c>
      <c r="H599" t="s">
        <v>18</v>
      </c>
      <c r="I599" t="s">
        <v>32</v>
      </c>
      <c r="J599">
        <f>orders[[#This Row],[Ship Date]]-orders[[#This Row],[Order Date]]</f>
        <v>0</v>
      </c>
      <c r="K599">
        <f>WEEKNUM(orders[[#This Row],[Order Date]])</f>
        <v>5</v>
      </c>
      <c r="L599" t="str" cm="1">
        <f t="array" ref="L599">_xlfn.IFS(orders[[#This Row],[Customer Gender]]="M","Male", orders[[#This Row],[Customer Gender]]="F","Female", orders[[#This Row],[Customer Gender]]="O","Other", TRUE,"Unknown")</f>
        <v>Female</v>
      </c>
      <c r="M599">
        <v>1</v>
      </c>
      <c r="N599">
        <v>85.8</v>
      </c>
      <c r="O599">
        <v>85.8</v>
      </c>
    </row>
    <row r="600" spans="1:15" x14ac:dyDescent="0.3">
      <c r="A600" t="s">
        <v>690</v>
      </c>
      <c r="B600" t="s">
        <v>31</v>
      </c>
      <c r="C600" s="7">
        <v>45683</v>
      </c>
      <c r="D600" s="7">
        <v>45685</v>
      </c>
      <c r="E600" t="s">
        <v>22</v>
      </c>
      <c r="F600" t="s">
        <v>34</v>
      </c>
      <c r="G600">
        <v>4</v>
      </c>
      <c r="H600" t="s">
        <v>18</v>
      </c>
      <c r="I600" t="s">
        <v>32</v>
      </c>
      <c r="J600">
        <f>orders[[#This Row],[Ship Date]]-orders[[#This Row],[Order Date]]</f>
        <v>2</v>
      </c>
      <c r="K600">
        <f>WEEKNUM(orders[[#This Row],[Order Date]])</f>
        <v>5</v>
      </c>
      <c r="L600" t="str" cm="1">
        <f t="array" ref="L600">_xlfn.IFS(orders[[#This Row],[Customer Gender]]="M","Male", orders[[#This Row],[Customer Gender]]="F","Female", orders[[#This Row],[Customer Gender]]="O","Other", TRUE,"Unknown")</f>
        <v>Male</v>
      </c>
      <c r="M600">
        <v>16</v>
      </c>
      <c r="N600">
        <v>66.599999999999994</v>
      </c>
      <c r="O600" s="5">
        <v>1065.5999999999999</v>
      </c>
    </row>
    <row r="601" spans="1:15" x14ac:dyDescent="0.3">
      <c r="A601" t="s">
        <v>691</v>
      </c>
      <c r="B601" t="s">
        <v>38</v>
      </c>
      <c r="C601" s="7">
        <v>45683</v>
      </c>
      <c r="D601" s="7">
        <v>45684</v>
      </c>
      <c r="E601" t="s">
        <v>26</v>
      </c>
      <c r="F601" t="s">
        <v>17</v>
      </c>
      <c r="G601">
        <v>3</v>
      </c>
      <c r="H601" t="s">
        <v>18</v>
      </c>
      <c r="I601" t="s">
        <v>32</v>
      </c>
      <c r="J601">
        <f>orders[[#This Row],[Ship Date]]-orders[[#This Row],[Order Date]]</f>
        <v>1</v>
      </c>
      <c r="K601">
        <f>WEEKNUM(orders[[#This Row],[Order Date]])</f>
        <v>5</v>
      </c>
      <c r="L601" t="str" cm="1">
        <f t="array" ref="L601">_xlfn.IFS(orders[[#This Row],[Customer Gender]]="M","Male", orders[[#This Row],[Customer Gender]]="F","Female", orders[[#This Row],[Customer Gender]]="O","Other", TRUE,"Unknown")</f>
        <v>Female</v>
      </c>
      <c r="M601">
        <v>4</v>
      </c>
      <c r="N601">
        <v>70.3</v>
      </c>
      <c r="O601">
        <v>281.2</v>
      </c>
    </row>
    <row r="602" spans="1:15" x14ac:dyDescent="0.3">
      <c r="A602" t="s">
        <v>692</v>
      </c>
      <c r="B602" t="s">
        <v>43</v>
      </c>
      <c r="C602" s="7">
        <v>45683</v>
      </c>
      <c r="D602" s="7">
        <v>45686</v>
      </c>
      <c r="E602" t="s">
        <v>22</v>
      </c>
      <c r="F602" t="s">
        <v>17</v>
      </c>
      <c r="G602">
        <v>5</v>
      </c>
      <c r="H602" t="s">
        <v>18</v>
      </c>
      <c r="I602" t="s">
        <v>32</v>
      </c>
      <c r="J602">
        <f>orders[[#This Row],[Ship Date]]-orders[[#This Row],[Order Date]]</f>
        <v>3</v>
      </c>
      <c r="K602">
        <f>WEEKNUM(orders[[#This Row],[Order Date]])</f>
        <v>5</v>
      </c>
      <c r="L602" t="str" cm="1">
        <f t="array" ref="L602">_xlfn.IFS(orders[[#This Row],[Customer Gender]]="M","Male", orders[[#This Row],[Customer Gender]]="F","Female", orders[[#This Row],[Customer Gender]]="O","Other", TRUE,"Unknown")</f>
        <v>Male</v>
      </c>
      <c r="M602">
        <v>4</v>
      </c>
      <c r="N602">
        <v>31</v>
      </c>
      <c r="O602" s="5">
        <v>124</v>
      </c>
    </row>
    <row r="603" spans="1:15" x14ac:dyDescent="0.3">
      <c r="A603" t="s">
        <v>693</v>
      </c>
      <c r="B603" t="s">
        <v>41</v>
      </c>
      <c r="C603" s="7">
        <v>45683</v>
      </c>
      <c r="D603" s="7">
        <v>45684</v>
      </c>
      <c r="E603" t="s">
        <v>26</v>
      </c>
      <c r="F603" t="s">
        <v>34</v>
      </c>
      <c r="G603">
        <v>3</v>
      </c>
      <c r="H603" t="s">
        <v>18</v>
      </c>
      <c r="I603" t="s">
        <v>363</v>
      </c>
      <c r="J603">
        <f>orders[[#This Row],[Ship Date]]-orders[[#This Row],[Order Date]]</f>
        <v>1</v>
      </c>
      <c r="K603">
        <f>WEEKNUM(orders[[#This Row],[Order Date]])</f>
        <v>5</v>
      </c>
      <c r="L603" t="str" cm="1">
        <f t="array" ref="L603">_xlfn.IFS(orders[[#This Row],[Customer Gender]]="M","Male", orders[[#This Row],[Customer Gender]]="F","Female", orders[[#This Row],[Customer Gender]]="O","Other", TRUE,"Unknown")</f>
        <v>Female</v>
      </c>
      <c r="M603">
        <v>6</v>
      </c>
      <c r="N603">
        <v>81.599999999999994</v>
      </c>
      <c r="O603">
        <v>489.59999999999997</v>
      </c>
    </row>
    <row r="604" spans="1:15" x14ac:dyDescent="0.3">
      <c r="A604" t="s">
        <v>694</v>
      </c>
      <c r="B604" t="s">
        <v>21</v>
      </c>
      <c r="C604" s="7">
        <v>45683</v>
      </c>
      <c r="D604" s="7">
        <v>45684</v>
      </c>
      <c r="E604" t="s">
        <v>26</v>
      </c>
      <c r="F604" t="s">
        <v>17</v>
      </c>
      <c r="G604">
        <v>4</v>
      </c>
      <c r="H604" t="s">
        <v>18</v>
      </c>
      <c r="I604" t="s">
        <v>97</v>
      </c>
      <c r="J604">
        <f>orders[[#This Row],[Ship Date]]-orders[[#This Row],[Order Date]]</f>
        <v>1</v>
      </c>
      <c r="K604">
        <f>WEEKNUM(orders[[#This Row],[Order Date]])</f>
        <v>5</v>
      </c>
      <c r="L604" t="str" cm="1">
        <f t="array" ref="L604">_xlfn.IFS(orders[[#This Row],[Customer Gender]]="M","Male", orders[[#This Row],[Customer Gender]]="F","Female", orders[[#This Row],[Customer Gender]]="O","Other", TRUE,"Unknown")</f>
        <v>Female</v>
      </c>
      <c r="M604">
        <v>25</v>
      </c>
      <c r="N604">
        <v>58.3</v>
      </c>
      <c r="O604" s="5">
        <v>1457.5</v>
      </c>
    </row>
    <row r="605" spans="1:15" x14ac:dyDescent="0.3">
      <c r="A605" t="s">
        <v>695</v>
      </c>
      <c r="B605" t="s">
        <v>21</v>
      </c>
      <c r="C605" s="7">
        <v>45683</v>
      </c>
      <c r="D605" s="7">
        <v>45685</v>
      </c>
      <c r="E605" t="s">
        <v>22</v>
      </c>
      <c r="F605" t="s">
        <v>17</v>
      </c>
      <c r="G605">
        <v>5</v>
      </c>
      <c r="H605" t="s">
        <v>18</v>
      </c>
      <c r="I605" t="s">
        <v>61</v>
      </c>
      <c r="J605">
        <f>orders[[#This Row],[Ship Date]]-orders[[#This Row],[Order Date]]</f>
        <v>2</v>
      </c>
      <c r="K605">
        <f>WEEKNUM(orders[[#This Row],[Order Date]])</f>
        <v>5</v>
      </c>
      <c r="L605" t="str" cm="1">
        <f t="array" ref="L605">_xlfn.IFS(orders[[#This Row],[Customer Gender]]="M","Male", orders[[#This Row],[Customer Gender]]="F","Female", orders[[#This Row],[Customer Gender]]="O","Other", TRUE,"Unknown")</f>
        <v>Male</v>
      </c>
      <c r="M605">
        <v>4</v>
      </c>
      <c r="N605">
        <v>35.1</v>
      </c>
      <c r="O605">
        <v>140.4</v>
      </c>
    </row>
    <row r="606" spans="1:15" x14ac:dyDescent="0.3">
      <c r="A606" t="s">
        <v>696</v>
      </c>
      <c r="B606" t="s">
        <v>25</v>
      </c>
      <c r="C606" s="7">
        <v>45683</v>
      </c>
      <c r="D606" s="7">
        <v>45684</v>
      </c>
      <c r="E606" t="s">
        <v>22</v>
      </c>
      <c r="F606" t="s">
        <v>50</v>
      </c>
      <c r="G606">
        <v>5</v>
      </c>
      <c r="H606" t="s">
        <v>18</v>
      </c>
      <c r="I606" t="s">
        <v>61</v>
      </c>
      <c r="J606">
        <f>orders[[#This Row],[Ship Date]]-orders[[#This Row],[Order Date]]</f>
        <v>1</v>
      </c>
      <c r="K606">
        <f>WEEKNUM(orders[[#This Row],[Order Date]])</f>
        <v>5</v>
      </c>
      <c r="L606" t="str" cm="1">
        <f t="array" ref="L606">_xlfn.IFS(orders[[#This Row],[Customer Gender]]="M","Male", orders[[#This Row],[Customer Gender]]="F","Female", orders[[#This Row],[Customer Gender]]="O","Other", TRUE,"Unknown")</f>
        <v>Male</v>
      </c>
      <c r="M606">
        <v>1</v>
      </c>
      <c r="N606">
        <v>80.2</v>
      </c>
      <c r="O606" s="5">
        <v>80.2</v>
      </c>
    </row>
    <row r="607" spans="1:15" x14ac:dyDescent="0.3">
      <c r="A607" t="s">
        <v>697</v>
      </c>
      <c r="B607" t="s">
        <v>80</v>
      </c>
      <c r="C607" s="7">
        <v>45683</v>
      </c>
      <c r="D607" s="7">
        <v>45685</v>
      </c>
      <c r="E607" t="s">
        <v>26</v>
      </c>
      <c r="F607" t="s">
        <v>34</v>
      </c>
      <c r="G607">
        <v>4</v>
      </c>
      <c r="H607" t="s">
        <v>18</v>
      </c>
      <c r="I607" t="s">
        <v>71</v>
      </c>
      <c r="J607">
        <f>orders[[#This Row],[Ship Date]]-orders[[#This Row],[Order Date]]</f>
        <v>2</v>
      </c>
      <c r="K607">
        <f>WEEKNUM(orders[[#This Row],[Order Date]])</f>
        <v>5</v>
      </c>
      <c r="L607" t="str" cm="1">
        <f t="array" ref="L607">_xlfn.IFS(orders[[#This Row],[Customer Gender]]="M","Male", orders[[#This Row],[Customer Gender]]="F","Female", orders[[#This Row],[Customer Gender]]="O","Other", TRUE,"Unknown")</f>
        <v>Female</v>
      </c>
      <c r="M607">
        <v>3</v>
      </c>
      <c r="N607">
        <v>39.200000000000003</v>
      </c>
      <c r="O607">
        <v>117.60000000000001</v>
      </c>
    </row>
    <row r="608" spans="1:15" x14ac:dyDescent="0.3">
      <c r="A608" t="s">
        <v>698</v>
      </c>
      <c r="B608" t="s">
        <v>16</v>
      </c>
      <c r="C608" s="7">
        <v>45683</v>
      </c>
      <c r="D608" s="7">
        <v>45683</v>
      </c>
      <c r="E608" t="s">
        <v>26</v>
      </c>
      <c r="F608" t="s">
        <v>50</v>
      </c>
      <c r="G608">
        <v>4</v>
      </c>
      <c r="H608" t="s">
        <v>18</v>
      </c>
      <c r="I608" t="s">
        <v>699</v>
      </c>
      <c r="J608">
        <f>orders[[#This Row],[Ship Date]]-orders[[#This Row],[Order Date]]</f>
        <v>0</v>
      </c>
      <c r="K608">
        <f>WEEKNUM(orders[[#This Row],[Order Date]])</f>
        <v>5</v>
      </c>
      <c r="L608" t="str" cm="1">
        <f t="array" ref="L608">_xlfn.IFS(orders[[#This Row],[Customer Gender]]="M","Male", orders[[#This Row],[Customer Gender]]="F","Female", orders[[#This Row],[Customer Gender]]="O","Other", TRUE,"Unknown")</f>
        <v>Female</v>
      </c>
      <c r="M608">
        <v>2</v>
      </c>
      <c r="N608">
        <v>15.4</v>
      </c>
      <c r="O608" s="5">
        <v>30.8</v>
      </c>
    </row>
    <row r="609" spans="1:15" x14ac:dyDescent="0.3">
      <c r="A609" t="s">
        <v>700</v>
      </c>
      <c r="B609" t="s">
        <v>29</v>
      </c>
      <c r="C609" s="7">
        <v>45683</v>
      </c>
      <c r="D609" s="7">
        <v>45686</v>
      </c>
      <c r="E609" t="s">
        <v>22</v>
      </c>
      <c r="F609" t="s">
        <v>50</v>
      </c>
      <c r="G609">
        <v>4</v>
      </c>
      <c r="H609" t="s">
        <v>18</v>
      </c>
      <c r="I609" t="s">
        <v>107</v>
      </c>
      <c r="J609">
        <f>orders[[#This Row],[Ship Date]]-orders[[#This Row],[Order Date]]</f>
        <v>3</v>
      </c>
      <c r="K609">
        <f>WEEKNUM(orders[[#This Row],[Order Date]])</f>
        <v>5</v>
      </c>
      <c r="L609" t="str" cm="1">
        <f t="array" ref="L609">_xlfn.IFS(orders[[#This Row],[Customer Gender]]="M","Male", orders[[#This Row],[Customer Gender]]="F","Female", orders[[#This Row],[Customer Gender]]="O","Other", TRUE,"Unknown")</f>
        <v>Male</v>
      </c>
      <c r="M609">
        <v>3</v>
      </c>
      <c r="N609">
        <v>65.400000000000006</v>
      </c>
      <c r="O609">
        <v>196.20000000000002</v>
      </c>
    </row>
    <row r="610" spans="1:15" x14ac:dyDescent="0.3">
      <c r="A610" t="s">
        <v>701</v>
      </c>
      <c r="B610" t="s">
        <v>21</v>
      </c>
      <c r="C610" s="7">
        <v>45683</v>
      </c>
      <c r="D610" s="7">
        <v>45685</v>
      </c>
      <c r="E610" t="s">
        <v>26</v>
      </c>
      <c r="F610" t="s">
        <v>34</v>
      </c>
      <c r="G610">
        <v>4</v>
      </c>
      <c r="H610" t="s">
        <v>18</v>
      </c>
      <c r="I610" t="s">
        <v>109</v>
      </c>
      <c r="J610">
        <f>orders[[#This Row],[Ship Date]]-orders[[#This Row],[Order Date]]</f>
        <v>2</v>
      </c>
      <c r="K610">
        <f>WEEKNUM(orders[[#This Row],[Order Date]])</f>
        <v>5</v>
      </c>
      <c r="L610" t="str" cm="1">
        <f t="array" ref="L610">_xlfn.IFS(orders[[#This Row],[Customer Gender]]="M","Male", orders[[#This Row],[Customer Gender]]="F","Female", orders[[#This Row],[Customer Gender]]="O","Other", TRUE,"Unknown")</f>
        <v>Female</v>
      </c>
      <c r="M610">
        <v>8</v>
      </c>
      <c r="N610">
        <v>63.2</v>
      </c>
      <c r="O610" s="5">
        <v>505.6</v>
      </c>
    </row>
    <row r="611" spans="1:15" x14ac:dyDescent="0.3">
      <c r="A611" t="s">
        <v>702</v>
      </c>
      <c r="B611" t="s">
        <v>21</v>
      </c>
      <c r="C611" s="7">
        <v>45683</v>
      </c>
      <c r="D611" s="7">
        <v>45687</v>
      </c>
      <c r="E611" t="s">
        <v>26</v>
      </c>
      <c r="F611" t="s">
        <v>69</v>
      </c>
      <c r="G611">
        <v>3</v>
      </c>
      <c r="H611" t="s">
        <v>18</v>
      </c>
      <c r="I611" t="s">
        <v>109</v>
      </c>
      <c r="J611">
        <f>orders[[#This Row],[Ship Date]]-orders[[#This Row],[Order Date]]</f>
        <v>4</v>
      </c>
      <c r="K611">
        <f>WEEKNUM(orders[[#This Row],[Order Date]])</f>
        <v>5</v>
      </c>
      <c r="L611" t="str" cm="1">
        <f t="array" ref="L611">_xlfn.IFS(orders[[#This Row],[Customer Gender]]="M","Male", orders[[#This Row],[Customer Gender]]="F","Female", orders[[#This Row],[Customer Gender]]="O","Other", TRUE,"Unknown")</f>
        <v>Female</v>
      </c>
      <c r="M611">
        <v>6</v>
      </c>
      <c r="N611">
        <v>35.700000000000003</v>
      </c>
      <c r="O611">
        <v>214.20000000000002</v>
      </c>
    </row>
    <row r="612" spans="1:15" x14ac:dyDescent="0.3">
      <c r="A612" t="s">
        <v>703</v>
      </c>
      <c r="B612" t="s">
        <v>16</v>
      </c>
      <c r="C612" s="7">
        <v>45683</v>
      </c>
      <c r="D612" s="7">
        <v>45684</v>
      </c>
      <c r="E612" t="s">
        <v>26</v>
      </c>
      <c r="F612" t="s">
        <v>50</v>
      </c>
      <c r="G612">
        <v>4</v>
      </c>
      <c r="H612" t="s">
        <v>18</v>
      </c>
      <c r="I612" t="s">
        <v>114</v>
      </c>
      <c r="J612">
        <f>orders[[#This Row],[Ship Date]]-orders[[#This Row],[Order Date]]</f>
        <v>1</v>
      </c>
      <c r="K612">
        <f>WEEKNUM(orders[[#This Row],[Order Date]])</f>
        <v>5</v>
      </c>
      <c r="L612" t="str" cm="1">
        <f t="array" ref="L612">_xlfn.IFS(orders[[#This Row],[Customer Gender]]="M","Male", orders[[#This Row],[Customer Gender]]="F","Female", orders[[#This Row],[Customer Gender]]="O","Other", TRUE,"Unknown")</f>
        <v>Female</v>
      </c>
      <c r="M612">
        <v>20</v>
      </c>
      <c r="N612">
        <v>26.2</v>
      </c>
      <c r="O612" s="5">
        <v>524</v>
      </c>
    </row>
    <row r="613" spans="1:15" x14ac:dyDescent="0.3">
      <c r="A613" t="s">
        <v>704</v>
      </c>
      <c r="B613" t="s">
        <v>41</v>
      </c>
      <c r="C613" s="7">
        <v>45683</v>
      </c>
      <c r="D613" s="7">
        <v>45684</v>
      </c>
      <c r="E613" t="s">
        <v>26</v>
      </c>
      <c r="F613" t="s">
        <v>17</v>
      </c>
      <c r="G613">
        <v>5</v>
      </c>
      <c r="H613" t="s">
        <v>18</v>
      </c>
      <c r="I613" t="s">
        <v>23</v>
      </c>
      <c r="J613">
        <f>orders[[#This Row],[Ship Date]]-orders[[#This Row],[Order Date]]</f>
        <v>1</v>
      </c>
      <c r="K613">
        <f>WEEKNUM(orders[[#This Row],[Order Date]])</f>
        <v>5</v>
      </c>
      <c r="L613" t="str" cm="1">
        <f t="array" ref="L613">_xlfn.IFS(orders[[#This Row],[Customer Gender]]="M","Male", orders[[#This Row],[Customer Gender]]="F","Female", orders[[#This Row],[Customer Gender]]="O","Other", TRUE,"Unknown")</f>
        <v>Female</v>
      </c>
      <c r="M613">
        <v>2</v>
      </c>
      <c r="N613">
        <v>31</v>
      </c>
      <c r="O613">
        <v>62</v>
      </c>
    </row>
    <row r="614" spans="1:15" x14ac:dyDescent="0.3">
      <c r="A614" t="s">
        <v>705</v>
      </c>
      <c r="B614" t="s">
        <v>43</v>
      </c>
      <c r="C614" s="7">
        <v>45683</v>
      </c>
      <c r="D614" s="7">
        <v>45684</v>
      </c>
      <c r="E614" t="s">
        <v>26</v>
      </c>
      <c r="F614" t="s">
        <v>34</v>
      </c>
      <c r="G614">
        <v>4</v>
      </c>
      <c r="H614" t="s">
        <v>18</v>
      </c>
      <c r="I614" t="s">
        <v>146</v>
      </c>
      <c r="J614">
        <f>orders[[#This Row],[Ship Date]]-orders[[#This Row],[Order Date]]</f>
        <v>1</v>
      </c>
      <c r="K614">
        <f>WEEKNUM(orders[[#This Row],[Order Date]])</f>
        <v>5</v>
      </c>
      <c r="L614" t="str" cm="1">
        <f t="array" ref="L614">_xlfn.IFS(orders[[#This Row],[Customer Gender]]="M","Male", orders[[#This Row],[Customer Gender]]="F","Female", orders[[#This Row],[Customer Gender]]="O","Other", TRUE,"Unknown")</f>
        <v>Female</v>
      </c>
      <c r="M614">
        <v>4</v>
      </c>
      <c r="N614">
        <v>37.700000000000003</v>
      </c>
      <c r="O614" s="5">
        <v>150.80000000000001</v>
      </c>
    </row>
    <row r="615" spans="1:15" x14ac:dyDescent="0.3">
      <c r="A615" t="s">
        <v>706</v>
      </c>
      <c r="B615" t="s">
        <v>53</v>
      </c>
      <c r="C615" s="7">
        <v>45683</v>
      </c>
      <c r="D615" s="7">
        <v>45685</v>
      </c>
      <c r="E615" t="s">
        <v>26</v>
      </c>
      <c r="F615" t="s">
        <v>69</v>
      </c>
      <c r="G615">
        <v>3</v>
      </c>
      <c r="H615" t="s">
        <v>18</v>
      </c>
      <c r="I615" t="s">
        <v>32</v>
      </c>
      <c r="J615">
        <f>orders[[#This Row],[Ship Date]]-orders[[#This Row],[Order Date]]</f>
        <v>2</v>
      </c>
      <c r="K615">
        <f>WEEKNUM(orders[[#This Row],[Order Date]])</f>
        <v>5</v>
      </c>
      <c r="L615" t="str" cm="1">
        <f t="array" ref="L615">_xlfn.IFS(orders[[#This Row],[Customer Gender]]="M","Male", orders[[#This Row],[Customer Gender]]="F","Female", orders[[#This Row],[Customer Gender]]="O","Other", TRUE,"Unknown")</f>
        <v>Female</v>
      </c>
      <c r="M615">
        <v>34</v>
      </c>
      <c r="N615">
        <v>43.6</v>
      </c>
      <c r="O615">
        <v>1482.4</v>
      </c>
    </row>
    <row r="616" spans="1:15" x14ac:dyDescent="0.3">
      <c r="A616" t="s">
        <v>707</v>
      </c>
      <c r="B616" t="s">
        <v>45</v>
      </c>
      <c r="C616" s="7">
        <v>45683</v>
      </c>
      <c r="D616" s="7">
        <v>45685</v>
      </c>
      <c r="E616" t="s">
        <v>22</v>
      </c>
      <c r="F616" t="s">
        <v>17</v>
      </c>
      <c r="G616">
        <v>2</v>
      </c>
      <c r="H616" t="s">
        <v>18</v>
      </c>
      <c r="I616" t="s">
        <v>32</v>
      </c>
      <c r="J616">
        <f>orders[[#This Row],[Ship Date]]-orders[[#This Row],[Order Date]]</f>
        <v>2</v>
      </c>
      <c r="K616">
        <f>WEEKNUM(orders[[#This Row],[Order Date]])</f>
        <v>5</v>
      </c>
      <c r="L616" t="str" cm="1">
        <f t="array" ref="L616">_xlfn.IFS(orders[[#This Row],[Customer Gender]]="M","Male", orders[[#This Row],[Customer Gender]]="F","Female", orders[[#This Row],[Customer Gender]]="O","Other", TRUE,"Unknown")</f>
        <v>Male</v>
      </c>
      <c r="M616">
        <v>4</v>
      </c>
      <c r="N616">
        <v>26.5</v>
      </c>
      <c r="O616" s="5">
        <v>106</v>
      </c>
    </row>
    <row r="617" spans="1:15" x14ac:dyDescent="0.3">
      <c r="A617" t="s">
        <v>708</v>
      </c>
      <c r="B617" t="s">
        <v>16</v>
      </c>
      <c r="C617" s="7">
        <v>45683</v>
      </c>
      <c r="D617" s="7">
        <v>45684</v>
      </c>
      <c r="E617" t="s">
        <v>22</v>
      </c>
      <c r="F617" t="s">
        <v>69</v>
      </c>
      <c r="G617">
        <v>3</v>
      </c>
      <c r="H617" t="s">
        <v>18</v>
      </c>
      <c r="I617" t="s">
        <v>32</v>
      </c>
      <c r="J617">
        <f>orders[[#This Row],[Ship Date]]-orders[[#This Row],[Order Date]]</f>
        <v>1</v>
      </c>
      <c r="K617">
        <f>WEEKNUM(orders[[#This Row],[Order Date]])</f>
        <v>5</v>
      </c>
      <c r="L617" t="str" cm="1">
        <f t="array" ref="L617">_xlfn.IFS(orders[[#This Row],[Customer Gender]]="M","Male", orders[[#This Row],[Customer Gender]]="F","Female", orders[[#This Row],[Customer Gender]]="O","Other", TRUE,"Unknown")</f>
        <v>Male</v>
      </c>
      <c r="M617">
        <v>2</v>
      </c>
      <c r="N617">
        <v>34.6</v>
      </c>
      <c r="O617">
        <v>69.2</v>
      </c>
    </row>
    <row r="618" spans="1:15" x14ac:dyDescent="0.3">
      <c r="A618" t="s">
        <v>709</v>
      </c>
      <c r="B618" t="s">
        <v>43</v>
      </c>
      <c r="C618" s="7">
        <v>45683</v>
      </c>
      <c r="D618" s="7">
        <v>45684</v>
      </c>
      <c r="E618" t="s">
        <v>22</v>
      </c>
      <c r="F618" t="s">
        <v>39</v>
      </c>
      <c r="G618">
        <v>5</v>
      </c>
      <c r="H618" t="s">
        <v>18</v>
      </c>
      <c r="I618" t="s">
        <v>32</v>
      </c>
      <c r="J618">
        <f>orders[[#This Row],[Ship Date]]-orders[[#This Row],[Order Date]]</f>
        <v>1</v>
      </c>
      <c r="K618">
        <f>WEEKNUM(orders[[#This Row],[Order Date]])</f>
        <v>5</v>
      </c>
      <c r="L618" t="str" cm="1">
        <f t="array" ref="L618">_xlfn.IFS(orders[[#This Row],[Customer Gender]]="M","Male", orders[[#This Row],[Customer Gender]]="F","Female", orders[[#This Row],[Customer Gender]]="O","Other", TRUE,"Unknown")</f>
        <v>Male</v>
      </c>
      <c r="M618">
        <v>2</v>
      </c>
      <c r="N618">
        <v>58.2</v>
      </c>
      <c r="O618" s="5">
        <v>116.4</v>
      </c>
    </row>
    <row r="619" spans="1:15" x14ac:dyDescent="0.3">
      <c r="A619" t="s">
        <v>710</v>
      </c>
      <c r="B619" t="s">
        <v>41</v>
      </c>
      <c r="C619" s="7">
        <v>45684</v>
      </c>
      <c r="D619" s="7">
        <v>45685</v>
      </c>
      <c r="E619" t="s">
        <v>26</v>
      </c>
      <c r="F619" t="s">
        <v>39</v>
      </c>
      <c r="G619">
        <v>3</v>
      </c>
      <c r="H619" t="s">
        <v>18</v>
      </c>
      <c r="I619" t="s">
        <v>32</v>
      </c>
      <c r="J619">
        <f>orders[[#This Row],[Ship Date]]-orders[[#This Row],[Order Date]]</f>
        <v>1</v>
      </c>
      <c r="K619">
        <f>WEEKNUM(orders[[#This Row],[Order Date]])</f>
        <v>5</v>
      </c>
      <c r="L619" t="str" cm="1">
        <f t="array" ref="L619">_xlfn.IFS(orders[[#This Row],[Customer Gender]]="M","Male", orders[[#This Row],[Customer Gender]]="F","Female", orders[[#This Row],[Customer Gender]]="O","Other", TRUE,"Unknown")</f>
        <v>Female</v>
      </c>
      <c r="M619">
        <v>1</v>
      </c>
      <c r="N619">
        <v>30.2</v>
      </c>
      <c r="O619">
        <v>30.2</v>
      </c>
    </row>
    <row r="620" spans="1:15" x14ac:dyDescent="0.3">
      <c r="A620" t="s">
        <v>711</v>
      </c>
      <c r="B620" t="s">
        <v>21</v>
      </c>
      <c r="C620" s="7">
        <v>45684</v>
      </c>
      <c r="D620" s="7">
        <v>45685</v>
      </c>
      <c r="E620" t="s">
        <v>22</v>
      </c>
      <c r="F620" t="s">
        <v>17</v>
      </c>
      <c r="G620">
        <v>5</v>
      </c>
      <c r="H620" t="s">
        <v>18</v>
      </c>
      <c r="I620" t="s">
        <v>51</v>
      </c>
      <c r="J620">
        <f>orders[[#This Row],[Ship Date]]-orders[[#This Row],[Order Date]]</f>
        <v>1</v>
      </c>
      <c r="K620">
        <f>WEEKNUM(orders[[#This Row],[Order Date]])</f>
        <v>5</v>
      </c>
      <c r="L620" t="str" cm="1">
        <f t="array" ref="L620">_xlfn.IFS(orders[[#This Row],[Customer Gender]]="M","Male", orders[[#This Row],[Customer Gender]]="F","Female", orders[[#This Row],[Customer Gender]]="O","Other", TRUE,"Unknown")</f>
        <v>Male</v>
      </c>
      <c r="M620">
        <v>10</v>
      </c>
      <c r="N620">
        <v>53.2</v>
      </c>
      <c r="O620" s="5">
        <v>532</v>
      </c>
    </row>
    <row r="621" spans="1:15" x14ac:dyDescent="0.3">
      <c r="A621" t="s">
        <v>712</v>
      </c>
      <c r="B621" t="s">
        <v>68</v>
      </c>
      <c r="C621" s="7">
        <v>45684</v>
      </c>
      <c r="D621" s="7">
        <v>45684</v>
      </c>
      <c r="E621" t="s">
        <v>22</v>
      </c>
      <c r="F621" t="s">
        <v>34</v>
      </c>
      <c r="G621">
        <v>5</v>
      </c>
      <c r="H621" t="s">
        <v>18</v>
      </c>
      <c r="I621" t="s">
        <v>51</v>
      </c>
      <c r="J621">
        <f>orders[[#This Row],[Ship Date]]-orders[[#This Row],[Order Date]]</f>
        <v>0</v>
      </c>
      <c r="K621">
        <f>WEEKNUM(orders[[#This Row],[Order Date]])</f>
        <v>5</v>
      </c>
      <c r="L621" t="str" cm="1">
        <f t="array" ref="L621">_xlfn.IFS(orders[[#This Row],[Customer Gender]]="M","Male", orders[[#This Row],[Customer Gender]]="F","Female", orders[[#This Row],[Customer Gender]]="O","Other", TRUE,"Unknown")</f>
        <v>Male</v>
      </c>
      <c r="M621">
        <v>6</v>
      </c>
      <c r="N621">
        <v>51.1</v>
      </c>
      <c r="O621">
        <v>306.60000000000002</v>
      </c>
    </row>
    <row r="622" spans="1:15" x14ac:dyDescent="0.3">
      <c r="A622" t="s">
        <v>713</v>
      </c>
      <c r="B622" t="s">
        <v>21</v>
      </c>
      <c r="C622" s="7">
        <v>45684</v>
      </c>
      <c r="D622" s="7">
        <v>45688</v>
      </c>
      <c r="E622" t="s">
        <v>26</v>
      </c>
      <c r="F622" t="s">
        <v>34</v>
      </c>
      <c r="G622">
        <v>5</v>
      </c>
      <c r="H622" t="s">
        <v>18</v>
      </c>
      <c r="I622" t="s">
        <v>157</v>
      </c>
      <c r="J622">
        <f>orders[[#This Row],[Ship Date]]-orders[[#This Row],[Order Date]]</f>
        <v>4</v>
      </c>
      <c r="K622">
        <f>WEEKNUM(orders[[#This Row],[Order Date]])</f>
        <v>5</v>
      </c>
      <c r="L622" t="str" cm="1">
        <f t="array" ref="L622">_xlfn.IFS(orders[[#This Row],[Customer Gender]]="M","Male", orders[[#This Row],[Customer Gender]]="F","Female", orders[[#This Row],[Customer Gender]]="O","Other", TRUE,"Unknown")</f>
        <v>Female</v>
      </c>
      <c r="M622">
        <v>1</v>
      </c>
      <c r="N622">
        <v>105.4</v>
      </c>
      <c r="O622" s="5">
        <v>105.4</v>
      </c>
    </row>
    <row r="623" spans="1:15" x14ac:dyDescent="0.3">
      <c r="A623" t="s">
        <v>714</v>
      </c>
      <c r="B623" t="s">
        <v>41</v>
      </c>
      <c r="C623" s="7">
        <v>45684</v>
      </c>
      <c r="D623" s="7">
        <v>45684</v>
      </c>
      <c r="E623" t="s">
        <v>22</v>
      </c>
      <c r="F623" t="s">
        <v>17</v>
      </c>
      <c r="G623">
        <v>2</v>
      </c>
      <c r="H623" t="s">
        <v>18</v>
      </c>
      <c r="I623" t="s">
        <v>61</v>
      </c>
      <c r="J623">
        <f>orders[[#This Row],[Ship Date]]-orders[[#This Row],[Order Date]]</f>
        <v>0</v>
      </c>
      <c r="K623">
        <f>WEEKNUM(orders[[#This Row],[Order Date]])</f>
        <v>5</v>
      </c>
      <c r="L623" t="str" cm="1">
        <f t="array" ref="L623">_xlfn.IFS(orders[[#This Row],[Customer Gender]]="M","Male", orders[[#This Row],[Customer Gender]]="F","Female", orders[[#This Row],[Customer Gender]]="O","Other", TRUE,"Unknown")</f>
        <v>Male</v>
      </c>
      <c r="M623">
        <v>1</v>
      </c>
      <c r="N623">
        <v>57.7</v>
      </c>
      <c r="O623">
        <v>57.7</v>
      </c>
    </row>
    <row r="624" spans="1:15" x14ac:dyDescent="0.3">
      <c r="A624" t="s">
        <v>715</v>
      </c>
      <c r="B624" t="s">
        <v>122</v>
      </c>
      <c r="C624" s="7">
        <v>45684</v>
      </c>
      <c r="D624" s="7">
        <v>45689</v>
      </c>
      <c r="E624" t="s">
        <v>26</v>
      </c>
      <c r="F624" t="s">
        <v>17</v>
      </c>
      <c r="G624">
        <v>4</v>
      </c>
      <c r="H624" t="s">
        <v>18</v>
      </c>
      <c r="I624" t="s">
        <v>102</v>
      </c>
      <c r="J624">
        <f>orders[[#This Row],[Ship Date]]-orders[[#This Row],[Order Date]]</f>
        <v>5</v>
      </c>
      <c r="K624">
        <f>WEEKNUM(orders[[#This Row],[Order Date]])</f>
        <v>5</v>
      </c>
      <c r="L624" t="str" cm="1">
        <f t="array" ref="L624">_xlfn.IFS(orders[[#This Row],[Customer Gender]]="M","Male", orders[[#This Row],[Customer Gender]]="F","Female", orders[[#This Row],[Customer Gender]]="O","Other", TRUE,"Unknown")</f>
        <v>Female</v>
      </c>
      <c r="M624">
        <v>2</v>
      </c>
      <c r="N624">
        <v>72.400000000000006</v>
      </c>
      <c r="O624" s="5">
        <v>144.80000000000001</v>
      </c>
    </row>
    <row r="625" spans="1:15" x14ac:dyDescent="0.3">
      <c r="A625" t="s">
        <v>716</v>
      </c>
      <c r="B625" t="s">
        <v>38</v>
      </c>
      <c r="C625" s="7">
        <v>45684</v>
      </c>
      <c r="D625" s="7">
        <v>45685</v>
      </c>
      <c r="E625" t="s">
        <v>2517</v>
      </c>
      <c r="F625" t="s">
        <v>17</v>
      </c>
      <c r="G625">
        <v>5</v>
      </c>
      <c r="H625" t="s">
        <v>18</v>
      </c>
      <c r="I625" t="s">
        <v>76</v>
      </c>
      <c r="J625">
        <f>orders[[#This Row],[Ship Date]]-orders[[#This Row],[Order Date]]</f>
        <v>1</v>
      </c>
      <c r="K625">
        <f>WEEKNUM(orders[[#This Row],[Order Date]])</f>
        <v>5</v>
      </c>
      <c r="L625" t="str" cm="1">
        <f t="array" ref="L625">_xlfn.IFS(orders[[#This Row],[Customer Gender]]="M","Male", orders[[#This Row],[Customer Gender]]="F","Female", orders[[#This Row],[Customer Gender]]="O","Other", TRUE,"Unknown")</f>
        <v>Unknown</v>
      </c>
      <c r="M625">
        <v>2</v>
      </c>
      <c r="N625">
        <v>62.5</v>
      </c>
      <c r="O625">
        <v>125</v>
      </c>
    </row>
    <row r="626" spans="1:15" x14ac:dyDescent="0.3">
      <c r="A626" t="s">
        <v>717</v>
      </c>
      <c r="B626" t="s">
        <v>16</v>
      </c>
      <c r="C626" s="7">
        <v>45684</v>
      </c>
      <c r="D626" s="7">
        <v>45686</v>
      </c>
      <c r="E626" t="s">
        <v>26</v>
      </c>
      <c r="F626" t="s">
        <v>50</v>
      </c>
      <c r="G626">
        <v>5</v>
      </c>
      <c r="H626" t="s">
        <v>18</v>
      </c>
      <c r="I626" t="s">
        <v>107</v>
      </c>
      <c r="J626">
        <f>orders[[#This Row],[Ship Date]]-orders[[#This Row],[Order Date]]</f>
        <v>2</v>
      </c>
      <c r="K626">
        <f>WEEKNUM(orders[[#This Row],[Order Date]])</f>
        <v>5</v>
      </c>
      <c r="L626" t="str" cm="1">
        <f t="array" ref="L626">_xlfn.IFS(orders[[#This Row],[Customer Gender]]="M","Male", orders[[#This Row],[Customer Gender]]="F","Female", orders[[#This Row],[Customer Gender]]="O","Other", TRUE,"Unknown")</f>
        <v>Female</v>
      </c>
      <c r="M626">
        <v>22</v>
      </c>
      <c r="N626">
        <v>11.6</v>
      </c>
      <c r="O626" s="5">
        <v>255.2</v>
      </c>
    </row>
    <row r="627" spans="1:15" x14ac:dyDescent="0.3">
      <c r="A627" t="s">
        <v>718</v>
      </c>
      <c r="B627" t="s">
        <v>53</v>
      </c>
      <c r="C627" s="7">
        <v>45684</v>
      </c>
      <c r="D627" s="7">
        <v>45686</v>
      </c>
      <c r="E627" t="s">
        <v>26</v>
      </c>
      <c r="F627" t="s">
        <v>39</v>
      </c>
      <c r="G627">
        <v>5</v>
      </c>
      <c r="H627" t="s">
        <v>18</v>
      </c>
      <c r="I627" t="s">
        <v>107</v>
      </c>
      <c r="J627">
        <f>orders[[#This Row],[Ship Date]]-orders[[#This Row],[Order Date]]</f>
        <v>2</v>
      </c>
      <c r="K627">
        <f>WEEKNUM(orders[[#This Row],[Order Date]])</f>
        <v>5</v>
      </c>
      <c r="L627" t="str" cm="1">
        <f t="array" ref="L627">_xlfn.IFS(orders[[#This Row],[Customer Gender]]="M","Male", orders[[#This Row],[Customer Gender]]="F","Female", orders[[#This Row],[Customer Gender]]="O","Other", TRUE,"Unknown")</f>
        <v>Female</v>
      </c>
      <c r="M627">
        <v>10</v>
      </c>
      <c r="N627">
        <v>39.6</v>
      </c>
      <c r="O627">
        <v>396</v>
      </c>
    </row>
    <row r="628" spans="1:15" x14ac:dyDescent="0.3">
      <c r="A628" t="s">
        <v>719</v>
      </c>
      <c r="B628" t="s">
        <v>43</v>
      </c>
      <c r="C628" s="7">
        <v>45684</v>
      </c>
      <c r="D628" s="7">
        <v>45685</v>
      </c>
      <c r="E628" t="s">
        <v>26</v>
      </c>
      <c r="F628" t="s">
        <v>39</v>
      </c>
      <c r="G628">
        <v>4</v>
      </c>
      <c r="H628" t="s">
        <v>18</v>
      </c>
      <c r="I628" t="s">
        <v>107</v>
      </c>
      <c r="J628">
        <f>orders[[#This Row],[Ship Date]]-orders[[#This Row],[Order Date]]</f>
        <v>1</v>
      </c>
      <c r="K628">
        <f>WEEKNUM(orders[[#This Row],[Order Date]])</f>
        <v>5</v>
      </c>
      <c r="L628" t="str" cm="1">
        <f t="array" ref="L628">_xlfn.IFS(orders[[#This Row],[Customer Gender]]="M","Male", orders[[#This Row],[Customer Gender]]="F","Female", orders[[#This Row],[Customer Gender]]="O","Other", TRUE,"Unknown")</f>
        <v>Female</v>
      </c>
      <c r="M628">
        <v>2</v>
      </c>
      <c r="N628">
        <v>40.1</v>
      </c>
      <c r="O628" s="5">
        <v>80.2</v>
      </c>
    </row>
    <row r="629" spans="1:15" x14ac:dyDescent="0.3">
      <c r="A629" t="s">
        <v>720</v>
      </c>
      <c r="B629" t="s">
        <v>43</v>
      </c>
      <c r="C629" s="7">
        <v>45684</v>
      </c>
      <c r="D629" s="7">
        <v>45685</v>
      </c>
      <c r="E629" t="s">
        <v>26</v>
      </c>
      <c r="F629" t="s">
        <v>39</v>
      </c>
      <c r="G629">
        <v>4</v>
      </c>
      <c r="H629" t="s">
        <v>18</v>
      </c>
      <c r="I629" t="s">
        <v>114</v>
      </c>
      <c r="J629">
        <f>orders[[#This Row],[Ship Date]]-orders[[#This Row],[Order Date]]</f>
        <v>1</v>
      </c>
      <c r="K629">
        <f>WEEKNUM(orders[[#This Row],[Order Date]])</f>
        <v>5</v>
      </c>
      <c r="L629" t="str" cm="1">
        <f t="array" ref="L629">_xlfn.IFS(orders[[#This Row],[Customer Gender]]="M","Male", orders[[#This Row],[Customer Gender]]="F","Female", orders[[#This Row],[Customer Gender]]="O","Other", TRUE,"Unknown")</f>
        <v>Female</v>
      </c>
      <c r="M629">
        <v>3</v>
      </c>
      <c r="N629">
        <v>18.600000000000001</v>
      </c>
      <c r="O629">
        <v>55.800000000000004</v>
      </c>
    </row>
    <row r="630" spans="1:15" x14ac:dyDescent="0.3">
      <c r="A630" t="s">
        <v>721</v>
      </c>
      <c r="B630" t="s">
        <v>31</v>
      </c>
      <c r="C630" s="7">
        <v>45684</v>
      </c>
      <c r="D630" s="7">
        <v>45686</v>
      </c>
      <c r="E630" t="s">
        <v>26</v>
      </c>
      <c r="F630" t="s">
        <v>17</v>
      </c>
      <c r="G630">
        <v>3</v>
      </c>
      <c r="H630" t="s">
        <v>18</v>
      </c>
      <c r="I630" t="s">
        <v>114</v>
      </c>
      <c r="J630">
        <f>orders[[#This Row],[Ship Date]]-orders[[#This Row],[Order Date]]</f>
        <v>2</v>
      </c>
      <c r="K630">
        <f>WEEKNUM(orders[[#This Row],[Order Date]])</f>
        <v>5</v>
      </c>
      <c r="L630" t="str" cm="1">
        <f t="array" ref="L630">_xlfn.IFS(orders[[#This Row],[Customer Gender]]="M","Male", orders[[#This Row],[Customer Gender]]="F","Female", orders[[#This Row],[Customer Gender]]="O","Other", TRUE,"Unknown")</f>
        <v>Female</v>
      </c>
      <c r="M630">
        <v>1</v>
      </c>
      <c r="N630">
        <v>58.8</v>
      </c>
      <c r="O630" s="5">
        <v>58.8</v>
      </c>
    </row>
    <row r="631" spans="1:15" x14ac:dyDescent="0.3">
      <c r="A631" t="s">
        <v>722</v>
      </c>
      <c r="B631" t="s">
        <v>43</v>
      </c>
      <c r="C631" s="7">
        <v>45684</v>
      </c>
      <c r="D631" s="7">
        <v>45687</v>
      </c>
      <c r="E631" t="s">
        <v>22</v>
      </c>
      <c r="F631" t="s">
        <v>34</v>
      </c>
      <c r="G631">
        <v>5</v>
      </c>
      <c r="H631" t="s">
        <v>18</v>
      </c>
      <c r="I631" t="s">
        <v>114</v>
      </c>
      <c r="J631">
        <f>orders[[#This Row],[Ship Date]]-orders[[#This Row],[Order Date]]</f>
        <v>3</v>
      </c>
      <c r="K631">
        <f>WEEKNUM(orders[[#This Row],[Order Date]])</f>
        <v>5</v>
      </c>
      <c r="L631" t="str" cm="1">
        <f t="array" ref="L631">_xlfn.IFS(orders[[#This Row],[Customer Gender]]="M","Male", orders[[#This Row],[Customer Gender]]="F","Female", orders[[#This Row],[Customer Gender]]="O","Other", TRUE,"Unknown")</f>
        <v>Male</v>
      </c>
      <c r="M631">
        <v>2</v>
      </c>
      <c r="N631">
        <v>22.1</v>
      </c>
      <c r="O631">
        <v>44.2</v>
      </c>
    </row>
    <row r="632" spans="1:15" x14ac:dyDescent="0.3">
      <c r="A632" t="s">
        <v>723</v>
      </c>
      <c r="B632" t="s">
        <v>25</v>
      </c>
      <c r="C632" s="7">
        <v>45685</v>
      </c>
      <c r="D632" s="7">
        <v>45686</v>
      </c>
      <c r="E632" t="s">
        <v>26</v>
      </c>
      <c r="F632" t="s">
        <v>34</v>
      </c>
      <c r="G632">
        <v>3</v>
      </c>
      <c r="H632" t="s">
        <v>18</v>
      </c>
      <c r="I632" t="s">
        <v>146</v>
      </c>
      <c r="J632">
        <f>orders[[#This Row],[Ship Date]]-orders[[#This Row],[Order Date]]</f>
        <v>1</v>
      </c>
      <c r="K632">
        <f>WEEKNUM(orders[[#This Row],[Order Date]])</f>
        <v>5</v>
      </c>
      <c r="L632" t="str" cm="1">
        <f t="array" ref="L632">_xlfn.IFS(orders[[#This Row],[Customer Gender]]="M","Male", orders[[#This Row],[Customer Gender]]="F","Female", orders[[#This Row],[Customer Gender]]="O","Other", TRUE,"Unknown")</f>
        <v>Female</v>
      </c>
      <c r="M632">
        <v>1</v>
      </c>
      <c r="N632">
        <v>114.9</v>
      </c>
      <c r="O632" s="5">
        <v>114.9</v>
      </c>
    </row>
    <row r="633" spans="1:15" x14ac:dyDescent="0.3">
      <c r="A633" t="s">
        <v>724</v>
      </c>
      <c r="B633" t="s">
        <v>45</v>
      </c>
      <c r="C633" s="7">
        <v>45685</v>
      </c>
      <c r="D633" s="7">
        <v>45686</v>
      </c>
      <c r="E633" t="s">
        <v>22</v>
      </c>
      <c r="F633" t="s">
        <v>17</v>
      </c>
      <c r="G633">
        <v>5</v>
      </c>
      <c r="H633" t="s">
        <v>18</v>
      </c>
      <c r="I633" t="s">
        <v>32</v>
      </c>
      <c r="J633">
        <f>orders[[#This Row],[Ship Date]]-orders[[#This Row],[Order Date]]</f>
        <v>1</v>
      </c>
      <c r="K633">
        <f>WEEKNUM(orders[[#This Row],[Order Date]])</f>
        <v>5</v>
      </c>
      <c r="L633" t="str" cm="1">
        <f t="array" ref="L633">_xlfn.IFS(orders[[#This Row],[Customer Gender]]="M","Male", orders[[#This Row],[Customer Gender]]="F","Female", orders[[#This Row],[Customer Gender]]="O","Other", TRUE,"Unknown")</f>
        <v>Male</v>
      </c>
      <c r="M633">
        <v>5</v>
      </c>
      <c r="N633">
        <v>75.8</v>
      </c>
      <c r="O633">
        <v>379</v>
      </c>
    </row>
    <row r="634" spans="1:15" x14ac:dyDescent="0.3">
      <c r="A634" t="s">
        <v>725</v>
      </c>
      <c r="B634" t="s">
        <v>80</v>
      </c>
      <c r="C634" s="7">
        <v>45685</v>
      </c>
      <c r="D634" s="7">
        <v>45686</v>
      </c>
      <c r="E634" t="s">
        <v>22</v>
      </c>
      <c r="F634" t="s">
        <v>39</v>
      </c>
      <c r="G634">
        <v>5</v>
      </c>
      <c r="H634" t="s">
        <v>18</v>
      </c>
      <c r="I634" t="s">
        <v>32</v>
      </c>
      <c r="J634">
        <f>orders[[#This Row],[Ship Date]]-orders[[#This Row],[Order Date]]</f>
        <v>1</v>
      </c>
      <c r="K634">
        <f>WEEKNUM(orders[[#This Row],[Order Date]])</f>
        <v>5</v>
      </c>
      <c r="L634" t="str" cm="1">
        <f t="array" ref="L634">_xlfn.IFS(orders[[#This Row],[Customer Gender]]="M","Male", orders[[#This Row],[Customer Gender]]="F","Female", orders[[#This Row],[Customer Gender]]="O","Other", TRUE,"Unknown")</f>
        <v>Male</v>
      </c>
      <c r="M634">
        <v>5</v>
      </c>
      <c r="N634">
        <v>20.6</v>
      </c>
      <c r="O634" s="5">
        <v>103</v>
      </c>
    </row>
    <row r="635" spans="1:15" x14ac:dyDescent="0.3">
      <c r="A635" t="s">
        <v>726</v>
      </c>
      <c r="B635" t="s">
        <v>134</v>
      </c>
      <c r="C635" s="7">
        <v>45685</v>
      </c>
      <c r="D635" s="7">
        <v>45686</v>
      </c>
      <c r="E635" t="s">
        <v>26</v>
      </c>
      <c r="F635" t="s">
        <v>34</v>
      </c>
      <c r="G635">
        <v>3</v>
      </c>
      <c r="H635" t="s">
        <v>18</v>
      </c>
      <c r="I635" t="s">
        <v>32</v>
      </c>
      <c r="J635">
        <f>orders[[#This Row],[Ship Date]]-orders[[#This Row],[Order Date]]</f>
        <v>1</v>
      </c>
      <c r="K635">
        <f>WEEKNUM(orders[[#This Row],[Order Date]])</f>
        <v>5</v>
      </c>
      <c r="L635" t="str" cm="1">
        <f t="array" ref="L635">_xlfn.IFS(orders[[#This Row],[Customer Gender]]="M","Male", orders[[#This Row],[Customer Gender]]="F","Female", orders[[#This Row],[Customer Gender]]="O","Other", TRUE,"Unknown")</f>
        <v>Female</v>
      </c>
      <c r="M635">
        <v>3</v>
      </c>
      <c r="N635">
        <v>67.900000000000006</v>
      </c>
      <c r="O635">
        <v>203.70000000000002</v>
      </c>
    </row>
    <row r="636" spans="1:15" x14ac:dyDescent="0.3">
      <c r="A636" t="s">
        <v>727</v>
      </c>
      <c r="B636" t="s">
        <v>16</v>
      </c>
      <c r="C636" s="7">
        <v>45685</v>
      </c>
      <c r="D636" s="7">
        <v>45692</v>
      </c>
      <c r="E636" t="s">
        <v>26</v>
      </c>
      <c r="F636" t="s">
        <v>17</v>
      </c>
      <c r="G636">
        <v>5</v>
      </c>
      <c r="H636" t="s">
        <v>18</v>
      </c>
      <c r="I636" t="s">
        <v>32</v>
      </c>
      <c r="J636">
        <f>orders[[#This Row],[Ship Date]]-orders[[#This Row],[Order Date]]</f>
        <v>7</v>
      </c>
      <c r="K636">
        <f>WEEKNUM(orders[[#This Row],[Order Date]])</f>
        <v>5</v>
      </c>
      <c r="L636" t="str" cm="1">
        <f t="array" ref="L636">_xlfn.IFS(orders[[#This Row],[Customer Gender]]="M","Male", orders[[#This Row],[Customer Gender]]="F","Female", orders[[#This Row],[Customer Gender]]="O","Other", TRUE,"Unknown")</f>
        <v>Female</v>
      </c>
      <c r="M636">
        <v>5</v>
      </c>
      <c r="N636">
        <v>27</v>
      </c>
      <c r="O636" s="5">
        <v>135</v>
      </c>
    </row>
    <row r="637" spans="1:15" x14ac:dyDescent="0.3">
      <c r="A637" t="s">
        <v>728</v>
      </c>
      <c r="B637" t="s">
        <v>75</v>
      </c>
      <c r="C637" s="7">
        <v>45685</v>
      </c>
      <c r="D637" s="7">
        <v>45685</v>
      </c>
      <c r="E637" t="s">
        <v>22</v>
      </c>
      <c r="F637" t="s">
        <v>17</v>
      </c>
      <c r="G637">
        <v>3</v>
      </c>
      <c r="H637" t="s">
        <v>18</v>
      </c>
      <c r="I637" t="s">
        <v>32</v>
      </c>
      <c r="J637">
        <f>orders[[#This Row],[Ship Date]]-orders[[#This Row],[Order Date]]</f>
        <v>0</v>
      </c>
      <c r="K637">
        <f>WEEKNUM(orders[[#This Row],[Order Date]])</f>
        <v>5</v>
      </c>
      <c r="L637" t="str" cm="1">
        <f t="array" ref="L637">_xlfn.IFS(orders[[#This Row],[Customer Gender]]="M","Male", orders[[#This Row],[Customer Gender]]="F","Female", orders[[#This Row],[Customer Gender]]="O","Other", TRUE,"Unknown")</f>
        <v>Male</v>
      </c>
      <c r="M637">
        <v>1</v>
      </c>
      <c r="N637">
        <v>50.6</v>
      </c>
      <c r="O637">
        <v>50.6</v>
      </c>
    </row>
    <row r="638" spans="1:15" x14ac:dyDescent="0.3">
      <c r="A638" t="s">
        <v>729</v>
      </c>
      <c r="B638" t="s">
        <v>31</v>
      </c>
      <c r="C638" s="7">
        <v>45685</v>
      </c>
      <c r="D638" s="7">
        <v>45690</v>
      </c>
      <c r="E638" t="s">
        <v>22</v>
      </c>
      <c r="F638" t="s">
        <v>17</v>
      </c>
      <c r="G638">
        <v>4</v>
      </c>
      <c r="H638" t="s">
        <v>18</v>
      </c>
      <c r="I638" t="s">
        <v>32</v>
      </c>
      <c r="J638">
        <f>orders[[#This Row],[Ship Date]]-orders[[#This Row],[Order Date]]</f>
        <v>5</v>
      </c>
      <c r="K638">
        <f>WEEKNUM(orders[[#This Row],[Order Date]])</f>
        <v>5</v>
      </c>
      <c r="L638" t="str" cm="1">
        <f t="array" ref="L638">_xlfn.IFS(orders[[#This Row],[Customer Gender]]="M","Male", orders[[#This Row],[Customer Gender]]="F","Female", orders[[#This Row],[Customer Gender]]="O","Other", TRUE,"Unknown")</f>
        <v>Male</v>
      </c>
      <c r="M638">
        <v>5</v>
      </c>
      <c r="N638">
        <v>22.1</v>
      </c>
      <c r="O638" s="5">
        <v>110.5</v>
      </c>
    </row>
    <row r="639" spans="1:15" x14ac:dyDescent="0.3">
      <c r="A639" t="s">
        <v>730</v>
      </c>
      <c r="B639" t="s">
        <v>43</v>
      </c>
      <c r="C639" s="7">
        <v>45685</v>
      </c>
      <c r="D639" s="7">
        <v>45687</v>
      </c>
      <c r="E639" t="s">
        <v>26</v>
      </c>
      <c r="F639" t="s">
        <v>17</v>
      </c>
      <c r="G639">
        <v>4</v>
      </c>
      <c r="H639" t="s">
        <v>18</v>
      </c>
      <c r="I639" t="s">
        <v>32</v>
      </c>
      <c r="J639">
        <f>orders[[#This Row],[Ship Date]]-orders[[#This Row],[Order Date]]</f>
        <v>2</v>
      </c>
      <c r="K639">
        <f>WEEKNUM(orders[[#This Row],[Order Date]])</f>
        <v>5</v>
      </c>
      <c r="L639" t="str" cm="1">
        <f t="array" ref="L639">_xlfn.IFS(orders[[#This Row],[Customer Gender]]="M","Male", orders[[#This Row],[Customer Gender]]="F","Female", orders[[#This Row],[Customer Gender]]="O","Other", TRUE,"Unknown")</f>
        <v>Female</v>
      </c>
      <c r="M639">
        <v>3</v>
      </c>
      <c r="N639">
        <v>42.9</v>
      </c>
      <c r="O639">
        <v>128.69999999999999</v>
      </c>
    </row>
    <row r="640" spans="1:15" x14ac:dyDescent="0.3">
      <c r="A640" t="s">
        <v>731</v>
      </c>
      <c r="B640" t="s">
        <v>21</v>
      </c>
      <c r="C640" s="7">
        <v>45685</v>
      </c>
      <c r="D640" s="7">
        <v>45687</v>
      </c>
      <c r="E640" t="s">
        <v>26</v>
      </c>
      <c r="F640" t="s">
        <v>39</v>
      </c>
      <c r="G640">
        <v>4</v>
      </c>
      <c r="H640" t="s">
        <v>18</v>
      </c>
      <c r="I640" t="s">
        <v>32</v>
      </c>
      <c r="J640">
        <f>orders[[#This Row],[Ship Date]]-orders[[#This Row],[Order Date]]</f>
        <v>2</v>
      </c>
      <c r="K640">
        <f>WEEKNUM(orders[[#This Row],[Order Date]])</f>
        <v>5</v>
      </c>
      <c r="L640" t="str" cm="1">
        <f t="array" ref="L640">_xlfn.IFS(orders[[#This Row],[Customer Gender]]="M","Male", orders[[#This Row],[Customer Gender]]="F","Female", orders[[#This Row],[Customer Gender]]="O","Other", TRUE,"Unknown")</f>
        <v>Female</v>
      </c>
      <c r="M640">
        <v>11</v>
      </c>
      <c r="N640">
        <v>62.4</v>
      </c>
      <c r="O640" s="5">
        <v>686.4</v>
      </c>
    </row>
    <row r="641" spans="1:15" x14ac:dyDescent="0.3">
      <c r="A641" t="s">
        <v>732</v>
      </c>
      <c r="B641" t="s">
        <v>75</v>
      </c>
      <c r="C641" s="7">
        <v>45685</v>
      </c>
      <c r="D641" s="7">
        <v>45687</v>
      </c>
      <c r="E641" t="s">
        <v>26</v>
      </c>
      <c r="F641" t="s">
        <v>17</v>
      </c>
      <c r="G641">
        <v>5</v>
      </c>
      <c r="H641" t="s">
        <v>18</v>
      </c>
      <c r="I641" t="s">
        <v>32</v>
      </c>
      <c r="J641">
        <f>orders[[#This Row],[Ship Date]]-orders[[#This Row],[Order Date]]</f>
        <v>2</v>
      </c>
      <c r="K641">
        <f>WEEKNUM(orders[[#This Row],[Order Date]])</f>
        <v>5</v>
      </c>
      <c r="L641" t="str" cm="1">
        <f t="array" ref="L641">_xlfn.IFS(orders[[#This Row],[Customer Gender]]="M","Male", orders[[#This Row],[Customer Gender]]="F","Female", orders[[#This Row],[Customer Gender]]="O","Other", TRUE,"Unknown")</f>
        <v>Female</v>
      </c>
      <c r="M641">
        <v>9</v>
      </c>
      <c r="N641">
        <v>36.4</v>
      </c>
      <c r="O641">
        <v>327.59999999999997</v>
      </c>
    </row>
    <row r="642" spans="1:15" x14ac:dyDescent="0.3">
      <c r="A642" t="s">
        <v>733</v>
      </c>
      <c r="B642" t="s">
        <v>16</v>
      </c>
      <c r="C642" s="7">
        <v>45685</v>
      </c>
      <c r="D642" s="7">
        <v>45688</v>
      </c>
      <c r="E642" t="s">
        <v>22</v>
      </c>
      <c r="F642" t="s">
        <v>17</v>
      </c>
      <c r="G642">
        <v>4</v>
      </c>
      <c r="H642" t="s">
        <v>18</v>
      </c>
      <c r="I642" t="s">
        <v>32</v>
      </c>
      <c r="J642">
        <f>orders[[#This Row],[Ship Date]]-orders[[#This Row],[Order Date]]</f>
        <v>3</v>
      </c>
      <c r="K642">
        <f>WEEKNUM(orders[[#This Row],[Order Date]])</f>
        <v>5</v>
      </c>
      <c r="L642" t="str" cm="1">
        <f t="array" ref="L642">_xlfn.IFS(orders[[#This Row],[Customer Gender]]="M","Male", orders[[#This Row],[Customer Gender]]="F","Female", orders[[#This Row],[Customer Gender]]="O","Other", TRUE,"Unknown")</f>
        <v>Male</v>
      </c>
      <c r="M642">
        <v>2</v>
      </c>
      <c r="N642">
        <v>22.5</v>
      </c>
      <c r="O642" s="5">
        <v>45</v>
      </c>
    </row>
    <row r="643" spans="1:15" x14ac:dyDescent="0.3">
      <c r="A643" t="s">
        <v>734</v>
      </c>
      <c r="B643" t="s">
        <v>38</v>
      </c>
      <c r="C643" s="7">
        <v>45685</v>
      </c>
      <c r="D643" s="7">
        <v>45687</v>
      </c>
      <c r="E643" t="s">
        <v>26</v>
      </c>
      <c r="F643" t="s">
        <v>69</v>
      </c>
      <c r="G643">
        <v>4</v>
      </c>
      <c r="H643" t="s">
        <v>18</v>
      </c>
      <c r="I643" t="s">
        <v>32</v>
      </c>
      <c r="J643">
        <f>orders[[#This Row],[Ship Date]]-orders[[#This Row],[Order Date]]</f>
        <v>2</v>
      </c>
      <c r="K643">
        <f>WEEKNUM(orders[[#This Row],[Order Date]])</f>
        <v>5</v>
      </c>
      <c r="L643" t="str" cm="1">
        <f t="array" ref="L643">_xlfn.IFS(orders[[#This Row],[Customer Gender]]="M","Male", orders[[#This Row],[Customer Gender]]="F","Female", orders[[#This Row],[Customer Gender]]="O","Other", TRUE,"Unknown")</f>
        <v>Female</v>
      </c>
      <c r="M643">
        <v>4</v>
      </c>
      <c r="N643">
        <v>70.8</v>
      </c>
      <c r="O643">
        <v>283.2</v>
      </c>
    </row>
    <row r="644" spans="1:15" x14ac:dyDescent="0.3">
      <c r="A644" t="s">
        <v>735</v>
      </c>
      <c r="B644" t="s">
        <v>38</v>
      </c>
      <c r="C644" s="7">
        <v>45685</v>
      </c>
      <c r="D644" s="7">
        <v>45687</v>
      </c>
      <c r="E644" t="s">
        <v>22</v>
      </c>
      <c r="F644" t="s">
        <v>17</v>
      </c>
      <c r="G644">
        <v>3</v>
      </c>
      <c r="H644" t="s">
        <v>18</v>
      </c>
      <c r="I644" t="s">
        <v>48</v>
      </c>
      <c r="J644">
        <f>orders[[#This Row],[Ship Date]]-orders[[#This Row],[Order Date]]</f>
        <v>2</v>
      </c>
      <c r="K644">
        <f>WEEKNUM(orders[[#This Row],[Order Date]])</f>
        <v>5</v>
      </c>
      <c r="L644" t="str" cm="1">
        <f t="array" ref="L644">_xlfn.IFS(orders[[#This Row],[Customer Gender]]="M","Male", orders[[#This Row],[Customer Gender]]="F","Female", orders[[#This Row],[Customer Gender]]="O","Other", TRUE,"Unknown")</f>
        <v>Male</v>
      </c>
      <c r="M644">
        <v>5</v>
      </c>
      <c r="N644">
        <v>56.6</v>
      </c>
      <c r="O644" s="5">
        <v>283</v>
      </c>
    </row>
    <row r="645" spans="1:15" x14ac:dyDescent="0.3">
      <c r="A645" t="s">
        <v>736</v>
      </c>
      <c r="B645" t="s">
        <v>38</v>
      </c>
      <c r="C645" s="7">
        <v>45685</v>
      </c>
      <c r="D645" s="7">
        <v>45686</v>
      </c>
      <c r="E645" t="s">
        <v>26</v>
      </c>
      <c r="F645" t="s">
        <v>17</v>
      </c>
      <c r="G645">
        <v>4</v>
      </c>
      <c r="H645" t="s">
        <v>18</v>
      </c>
      <c r="I645" t="s">
        <v>54</v>
      </c>
      <c r="J645">
        <f>orders[[#This Row],[Ship Date]]-orders[[#This Row],[Order Date]]</f>
        <v>1</v>
      </c>
      <c r="K645">
        <f>WEEKNUM(orders[[#This Row],[Order Date]])</f>
        <v>5</v>
      </c>
      <c r="L645" t="str" cm="1">
        <f t="array" ref="L645">_xlfn.IFS(orders[[#This Row],[Customer Gender]]="M","Male", orders[[#This Row],[Customer Gender]]="F","Female", orders[[#This Row],[Customer Gender]]="O","Other", TRUE,"Unknown")</f>
        <v>Female</v>
      </c>
      <c r="M645">
        <v>2</v>
      </c>
      <c r="N645">
        <v>47.9</v>
      </c>
      <c r="O645">
        <v>95.8</v>
      </c>
    </row>
    <row r="646" spans="1:15" x14ac:dyDescent="0.3">
      <c r="A646" t="s">
        <v>737</v>
      </c>
      <c r="B646" t="s">
        <v>38</v>
      </c>
      <c r="C646" s="7">
        <v>45685</v>
      </c>
      <c r="D646" s="7">
        <v>45687</v>
      </c>
      <c r="E646" t="s">
        <v>26</v>
      </c>
      <c r="F646" t="s">
        <v>34</v>
      </c>
      <c r="G646">
        <v>4</v>
      </c>
      <c r="H646" t="s">
        <v>18</v>
      </c>
      <c r="I646" t="s">
        <v>54</v>
      </c>
      <c r="J646">
        <f>orders[[#This Row],[Ship Date]]-orders[[#This Row],[Order Date]]</f>
        <v>2</v>
      </c>
      <c r="K646">
        <f>WEEKNUM(orders[[#This Row],[Order Date]])</f>
        <v>5</v>
      </c>
      <c r="L646" t="str" cm="1">
        <f t="array" ref="L646">_xlfn.IFS(orders[[#This Row],[Customer Gender]]="M","Male", orders[[#This Row],[Customer Gender]]="F","Female", orders[[#This Row],[Customer Gender]]="O","Other", TRUE,"Unknown")</f>
        <v>Female</v>
      </c>
      <c r="M646">
        <v>8</v>
      </c>
      <c r="N646">
        <v>78.400000000000006</v>
      </c>
      <c r="O646" s="5">
        <v>627.20000000000005</v>
      </c>
    </row>
    <row r="647" spans="1:15" x14ac:dyDescent="0.3">
      <c r="A647" t="s">
        <v>738</v>
      </c>
      <c r="B647" t="s">
        <v>25</v>
      </c>
      <c r="C647" s="7">
        <v>45685</v>
      </c>
      <c r="D647" s="7">
        <v>45690</v>
      </c>
      <c r="E647" t="s">
        <v>26</v>
      </c>
      <c r="F647" t="s">
        <v>17</v>
      </c>
      <c r="G647">
        <v>5</v>
      </c>
      <c r="H647" t="s">
        <v>18</v>
      </c>
      <c r="I647" t="s">
        <v>54</v>
      </c>
      <c r="J647">
        <f>orders[[#This Row],[Ship Date]]-orders[[#This Row],[Order Date]]</f>
        <v>5</v>
      </c>
      <c r="K647">
        <f>WEEKNUM(orders[[#This Row],[Order Date]])</f>
        <v>5</v>
      </c>
      <c r="L647" t="str" cm="1">
        <f t="array" ref="L647">_xlfn.IFS(orders[[#This Row],[Customer Gender]]="M","Male", orders[[#This Row],[Customer Gender]]="F","Female", orders[[#This Row],[Customer Gender]]="O","Other", TRUE,"Unknown")</f>
        <v>Female</v>
      </c>
      <c r="M647">
        <v>14</v>
      </c>
      <c r="N647">
        <v>122.1</v>
      </c>
      <c r="O647">
        <v>1709.3999999999999</v>
      </c>
    </row>
    <row r="648" spans="1:15" x14ac:dyDescent="0.3">
      <c r="A648" t="s">
        <v>739</v>
      </c>
      <c r="B648" t="s">
        <v>25</v>
      </c>
      <c r="C648" s="7">
        <v>45686</v>
      </c>
      <c r="D648" s="7">
        <v>45686</v>
      </c>
      <c r="E648" t="s">
        <v>2517</v>
      </c>
      <c r="F648" t="s">
        <v>34</v>
      </c>
      <c r="G648">
        <v>5</v>
      </c>
      <c r="H648" t="s">
        <v>18</v>
      </c>
      <c r="I648" t="s">
        <v>58</v>
      </c>
      <c r="J648">
        <f>orders[[#This Row],[Ship Date]]-orders[[#This Row],[Order Date]]</f>
        <v>0</v>
      </c>
      <c r="K648">
        <f>WEEKNUM(orders[[#This Row],[Order Date]])</f>
        <v>5</v>
      </c>
      <c r="L648" t="str" cm="1">
        <f t="array" ref="L648">_xlfn.IFS(orders[[#This Row],[Customer Gender]]="M","Male", orders[[#This Row],[Customer Gender]]="F","Female", orders[[#This Row],[Customer Gender]]="O","Other", TRUE,"Unknown")</f>
        <v>Unknown</v>
      </c>
      <c r="M648">
        <v>2</v>
      </c>
      <c r="N648">
        <v>83.7</v>
      </c>
      <c r="O648" s="5">
        <v>167.4</v>
      </c>
    </row>
    <row r="649" spans="1:15" x14ac:dyDescent="0.3">
      <c r="A649" t="s">
        <v>740</v>
      </c>
      <c r="B649" t="s">
        <v>29</v>
      </c>
      <c r="C649" s="7">
        <v>45686</v>
      </c>
      <c r="D649" s="7">
        <v>45690</v>
      </c>
      <c r="E649" t="s">
        <v>26</v>
      </c>
      <c r="F649" t="s">
        <v>50</v>
      </c>
      <c r="G649">
        <v>5</v>
      </c>
      <c r="H649" t="s">
        <v>18</v>
      </c>
      <c r="I649" t="s">
        <v>58</v>
      </c>
      <c r="J649">
        <f>orders[[#This Row],[Ship Date]]-orders[[#This Row],[Order Date]]</f>
        <v>4</v>
      </c>
      <c r="K649">
        <f>WEEKNUM(orders[[#This Row],[Order Date]])</f>
        <v>5</v>
      </c>
      <c r="L649" t="str" cm="1">
        <f t="array" ref="L649">_xlfn.IFS(orders[[#This Row],[Customer Gender]]="M","Male", orders[[#This Row],[Customer Gender]]="F","Female", orders[[#This Row],[Customer Gender]]="O","Other", TRUE,"Unknown")</f>
        <v>Female</v>
      </c>
      <c r="M649">
        <v>4</v>
      </c>
      <c r="N649">
        <v>97.9</v>
      </c>
      <c r="O649">
        <v>391.6</v>
      </c>
    </row>
    <row r="650" spans="1:15" x14ac:dyDescent="0.3">
      <c r="A650" t="s">
        <v>741</v>
      </c>
      <c r="B650" t="s">
        <v>80</v>
      </c>
      <c r="C650" s="7">
        <v>45686</v>
      </c>
      <c r="D650" s="7">
        <v>45691</v>
      </c>
      <c r="E650" t="s">
        <v>26</v>
      </c>
      <c r="F650" t="s">
        <v>50</v>
      </c>
      <c r="G650">
        <v>4</v>
      </c>
      <c r="H650" t="s">
        <v>18</v>
      </c>
      <c r="I650" t="s">
        <v>61</v>
      </c>
      <c r="J650">
        <f>orders[[#This Row],[Ship Date]]-orders[[#This Row],[Order Date]]</f>
        <v>5</v>
      </c>
      <c r="K650">
        <f>WEEKNUM(orders[[#This Row],[Order Date]])</f>
        <v>5</v>
      </c>
      <c r="L650" t="str" cm="1">
        <f t="array" ref="L650">_xlfn.IFS(orders[[#This Row],[Customer Gender]]="M","Male", orders[[#This Row],[Customer Gender]]="F","Female", orders[[#This Row],[Customer Gender]]="O","Other", TRUE,"Unknown")</f>
        <v>Female</v>
      </c>
      <c r="M650">
        <v>1</v>
      </c>
      <c r="N650">
        <v>15</v>
      </c>
      <c r="O650" s="5">
        <v>15</v>
      </c>
    </row>
    <row r="651" spans="1:15" x14ac:dyDescent="0.3">
      <c r="A651" t="s">
        <v>742</v>
      </c>
      <c r="B651" t="s">
        <v>68</v>
      </c>
      <c r="C651" s="7">
        <v>45686</v>
      </c>
      <c r="D651" s="7">
        <v>45687</v>
      </c>
      <c r="E651" t="s">
        <v>22</v>
      </c>
      <c r="F651" t="s">
        <v>39</v>
      </c>
      <c r="G651">
        <v>3</v>
      </c>
      <c r="H651" t="s">
        <v>18</v>
      </c>
      <c r="I651" t="s">
        <v>61</v>
      </c>
      <c r="J651">
        <f>orders[[#This Row],[Ship Date]]-orders[[#This Row],[Order Date]]</f>
        <v>1</v>
      </c>
      <c r="K651">
        <f>WEEKNUM(orders[[#This Row],[Order Date]])</f>
        <v>5</v>
      </c>
      <c r="L651" t="str" cm="1">
        <f t="array" ref="L651">_xlfn.IFS(orders[[#This Row],[Customer Gender]]="M","Male", orders[[#This Row],[Customer Gender]]="F","Female", orders[[#This Row],[Customer Gender]]="O","Other", TRUE,"Unknown")</f>
        <v>Male</v>
      </c>
      <c r="M651">
        <v>3</v>
      </c>
      <c r="N651">
        <v>94.6</v>
      </c>
      <c r="O651">
        <v>283.79999999999995</v>
      </c>
    </row>
    <row r="652" spans="1:15" x14ac:dyDescent="0.3">
      <c r="A652" t="s">
        <v>743</v>
      </c>
      <c r="B652" t="s">
        <v>16</v>
      </c>
      <c r="C652" s="7">
        <v>45686</v>
      </c>
      <c r="D652" s="7">
        <v>45697</v>
      </c>
      <c r="E652" t="s">
        <v>26</v>
      </c>
      <c r="F652" t="s">
        <v>17</v>
      </c>
      <c r="G652">
        <v>5</v>
      </c>
      <c r="H652" t="s">
        <v>18</v>
      </c>
      <c r="I652" t="s">
        <v>61</v>
      </c>
      <c r="J652">
        <f>orders[[#This Row],[Ship Date]]-orders[[#This Row],[Order Date]]</f>
        <v>11</v>
      </c>
      <c r="K652">
        <f>WEEKNUM(orders[[#This Row],[Order Date]])</f>
        <v>5</v>
      </c>
      <c r="L652" t="str" cm="1">
        <f t="array" ref="L652">_xlfn.IFS(orders[[#This Row],[Customer Gender]]="M","Male", orders[[#This Row],[Customer Gender]]="F","Female", orders[[#This Row],[Customer Gender]]="O","Other", TRUE,"Unknown")</f>
        <v>Female</v>
      </c>
      <c r="M652">
        <v>6</v>
      </c>
      <c r="N652">
        <v>19.7</v>
      </c>
      <c r="O652" s="5">
        <v>118.19999999999999</v>
      </c>
    </row>
    <row r="653" spans="1:15" x14ac:dyDescent="0.3">
      <c r="A653" t="s">
        <v>744</v>
      </c>
      <c r="B653" t="s">
        <v>41</v>
      </c>
      <c r="C653" s="7">
        <v>45686</v>
      </c>
      <c r="D653" s="7">
        <v>45689</v>
      </c>
      <c r="E653" t="s">
        <v>26</v>
      </c>
      <c r="F653" t="s">
        <v>39</v>
      </c>
      <c r="G653">
        <v>4</v>
      </c>
      <c r="H653" t="s">
        <v>18</v>
      </c>
      <c r="I653" t="s">
        <v>102</v>
      </c>
      <c r="J653">
        <f>orders[[#This Row],[Ship Date]]-orders[[#This Row],[Order Date]]</f>
        <v>3</v>
      </c>
      <c r="K653">
        <f>WEEKNUM(orders[[#This Row],[Order Date]])</f>
        <v>5</v>
      </c>
      <c r="L653" t="str" cm="1">
        <f t="array" ref="L653">_xlfn.IFS(orders[[#This Row],[Customer Gender]]="M","Male", orders[[#This Row],[Customer Gender]]="F","Female", orders[[#This Row],[Customer Gender]]="O","Other", TRUE,"Unknown")</f>
        <v>Female</v>
      </c>
      <c r="M653">
        <v>1</v>
      </c>
      <c r="N653">
        <v>46.7</v>
      </c>
      <c r="O653">
        <v>46.7</v>
      </c>
    </row>
    <row r="654" spans="1:15" x14ac:dyDescent="0.3">
      <c r="A654" t="s">
        <v>745</v>
      </c>
      <c r="B654" t="s">
        <v>21</v>
      </c>
      <c r="C654" s="7">
        <v>45686</v>
      </c>
      <c r="D654" s="7">
        <v>45687</v>
      </c>
      <c r="E654" t="s">
        <v>22</v>
      </c>
      <c r="F654" t="s">
        <v>39</v>
      </c>
      <c r="G654">
        <v>5</v>
      </c>
      <c r="H654" t="s">
        <v>18</v>
      </c>
      <c r="I654" t="s">
        <v>102</v>
      </c>
      <c r="J654">
        <f>orders[[#This Row],[Ship Date]]-orders[[#This Row],[Order Date]]</f>
        <v>1</v>
      </c>
      <c r="K654">
        <f>WEEKNUM(orders[[#This Row],[Order Date]])</f>
        <v>5</v>
      </c>
      <c r="L654" t="str" cm="1">
        <f t="array" ref="L654">_xlfn.IFS(orders[[#This Row],[Customer Gender]]="M","Male", orders[[#This Row],[Customer Gender]]="F","Female", orders[[#This Row],[Customer Gender]]="O","Other", TRUE,"Unknown")</f>
        <v>Male</v>
      </c>
      <c r="M654">
        <v>4</v>
      </c>
      <c r="N654">
        <v>43</v>
      </c>
      <c r="O654" s="5">
        <v>172</v>
      </c>
    </row>
    <row r="655" spans="1:15" x14ac:dyDescent="0.3">
      <c r="A655" t="s">
        <v>746</v>
      </c>
      <c r="B655" t="s">
        <v>38</v>
      </c>
      <c r="C655" s="7">
        <v>45686</v>
      </c>
      <c r="D655" s="7">
        <v>45692</v>
      </c>
      <c r="E655" t="s">
        <v>26</v>
      </c>
      <c r="F655" t="s">
        <v>17</v>
      </c>
      <c r="G655">
        <v>4</v>
      </c>
      <c r="H655" t="s">
        <v>18</v>
      </c>
      <c r="I655" t="s">
        <v>71</v>
      </c>
      <c r="J655">
        <f>orders[[#This Row],[Ship Date]]-orders[[#This Row],[Order Date]]</f>
        <v>6</v>
      </c>
      <c r="K655">
        <f>WEEKNUM(orders[[#This Row],[Order Date]])</f>
        <v>5</v>
      </c>
      <c r="L655" t="str" cm="1">
        <f t="array" ref="L655">_xlfn.IFS(orders[[#This Row],[Customer Gender]]="M","Male", orders[[#This Row],[Customer Gender]]="F","Female", orders[[#This Row],[Customer Gender]]="O","Other", TRUE,"Unknown")</f>
        <v>Female</v>
      </c>
      <c r="M655">
        <v>3</v>
      </c>
      <c r="N655">
        <v>68.2</v>
      </c>
      <c r="O655">
        <v>204.60000000000002</v>
      </c>
    </row>
    <row r="656" spans="1:15" x14ac:dyDescent="0.3">
      <c r="A656" t="s">
        <v>747</v>
      </c>
      <c r="B656" t="s">
        <v>53</v>
      </c>
      <c r="C656" s="7">
        <v>45686</v>
      </c>
      <c r="D656" s="7">
        <v>45687</v>
      </c>
      <c r="E656" t="s">
        <v>22</v>
      </c>
      <c r="F656" t="s">
        <v>17</v>
      </c>
      <c r="G656">
        <v>5</v>
      </c>
      <c r="H656" t="s">
        <v>18</v>
      </c>
      <c r="I656" t="s">
        <v>73</v>
      </c>
      <c r="J656">
        <f>orders[[#This Row],[Ship Date]]-orders[[#This Row],[Order Date]]</f>
        <v>1</v>
      </c>
      <c r="K656">
        <f>WEEKNUM(orders[[#This Row],[Order Date]])</f>
        <v>5</v>
      </c>
      <c r="L656" t="str" cm="1">
        <f t="array" ref="L656">_xlfn.IFS(orders[[#This Row],[Customer Gender]]="M","Male", orders[[#This Row],[Customer Gender]]="F","Female", orders[[#This Row],[Customer Gender]]="O","Other", TRUE,"Unknown")</f>
        <v>Male</v>
      </c>
      <c r="M656">
        <v>10</v>
      </c>
      <c r="N656">
        <v>24.3</v>
      </c>
      <c r="O656" s="5">
        <v>243</v>
      </c>
    </row>
    <row r="657" spans="1:15" x14ac:dyDescent="0.3">
      <c r="A657" t="s">
        <v>748</v>
      </c>
      <c r="B657" t="s">
        <v>41</v>
      </c>
      <c r="C657" s="7">
        <v>45686</v>
      </c>
      <c r="D657" s="7">
        <v>45690</v>
      </c>
      <c r="E657" t="s">
        <v>26</v>
      </c>
      <c r="F657" t="s">
        <v>69</v>
      </c>
      <c r="G657">
        <v>5</v>
      </c>
      <c r="H657" t="s">
        <v>18</v>
      </c>
      <c r="I657" t="s">
        <v>76</v>
      </c>
      <c r="J657">
        <f>orders[[#This Row],[Ship Date]]-orders[[#This Row],[Order Date]]</f>
        <v>4</v>
      </c>
      <c r="K657">
        <f>WEEKNUM(orders[[#This Row],[Order Date]])</f>
        <v>5</v>
      </c>
      <c r="L657" t="str" cm="1">
        <f t="array" ref="L657">_xlfn.IFS(orders[[#This Row],[Customer Gender]]="M","Male", orders[[#This Row],[Customer Gender]]="F","Female", orders[[#This Row],[Customer Gender]]="O","Other", TRUE,"Unknown")</f>
        <v>Female</v>
      </c>
      <c r="M657">
        <v>2</v>
      </c>
      <c r="N657">
        <v>86.8</v>
      </c>
      <c r="O657">
        <v>173.6</v>
      </c>
    </row>
    <row r="658" spans="1:15" x14ac:dyDescent="0.3">
      <c r="A658" t="s">
        <v>749</v>
      </c>
      <c r="B658" t="s">
        <v>16</v>
      </c>
      <c r="C658" s="7">
        <v>45686</v>
      </c>
      <c r="D658" s="7">
        <v>45688</v>
      </c>
      <c r="E658" t="s">
        <v>22</v>
      </c>
      <c r="F658" t="s">
        <v>34</v>
      </c>
      <c r="G658">
        <v>4</v>
      </c>
      <c r="H658" t="s">
        <v>18</v>
      </c>
      <c r="I658" t="s">
        <v>76</v>
      </c>
      <c r="J658">
        <f>orders[[#This Row],[Ship Date]]-orders[[#This Row],[Order Date]]</f>
        <v>2</v>
      </c>
      <c r="K658">
        <f>WEEKNUM(orders[[#This Row],[Order Date]])</f>
        <v>5</v>
      </c>
      <c r="L658" t="str" cm="1">
        <f t="array" ref="L658">_xlfn.IFS(orders[[#This Row],[Customer Gender]]="M","Male", orders[[#This Row],[Customer Gender]]="F","Female", orders[[#This Row],[Customer Gender]]="O","Other", TRUE,"Unknown")</f>
        <v>Male</v>
      </c>
      <c r="M658">
        <v>2</v>
      </c>
      <c r="N658">
        <v>15.8</v>
      </c>
      <c r="O658" s="5">
        <v>31.6</v>
      </c>
    </row>
    <row r="659" spans="1:15" x14ac:dyDescent="0.3">
      <c r="A659" t="s">
        <v>750</v>
      </c>
      <c r="B659" t="s">
        <v>25</v>
      </c>
      <c r="C659" s="7">
        <v>45686</v>
      </c>
      <c r="D659" s="7">
        <v>45687</v>
      </c>
      <c r="E659" t="s">
        <v>22</v>
      </c>
      <c r="F659" t="s">
        <v>39</v>
      </c>
      <c r="G659">
        <v>4</v>
      </c>
      <c r="H659" t="s">
        <v>18</v>
      </c>
      <c r="I659" t="s">
        <v>76</v>
      </c>
      <c r="J659">
        <f>orders[[#This Row],[Ship Date]]-orders[[#This Row],[Order Date]]</f>
        <v>1</v>
      </c>
      <c r="K659">
        <f>WEEKNUM(orders[[#This Row],[Order Date]])</f>
        <v>5</v>
      </c>
      <c r="L659" t="str" cm="1">
        <f t="array" ref="L659">_xlfn.IFS(orders[[#This Row],[Customer Gender]]="M","Male", orders[[#This Row],[Customer Gender]]="F","Female", orders[[#This Row],[Customer Gender]]="O","Other", TRUE,"Unknown")</f>
        <v>Male</v>
      </c>
      <c r="M659">
        <v>4</v>
      </c>
      <c r="N659">
        <v>61.6</v>
      </c>
      <c r="O659">
        <v>246.4</v>
      </c>
    </row>
    <row r="660" spans="1:15" x14ac:dyDescent="0.3">
      <c r="A660" t="s">
        <v>751</v>
      </c>
      <c r="B660" t="s">
        <v>38</v>
      </c>
      <c r="C660" s="7">
        <v>45686</v>
      </c>
      <c r="D660" s="7">
        <v>45692</v>
      </c>
      <c r="E660" t="s">
        <v>26</v>
      </c>
      <c r="F660" t="s">
        <v>34</v>
      </c>
      <c r="G660">
        <v>5</v>
      </c>
      <c r="H660" t="s">
        <v>18</v>
      </c>
      <c r="I660" t="s">
        <v>607</v>
      </c>
      <c r="J660">
        <f>orders[[#This Row],[Ship Date]]-orders[[#This Row],[Order Date]]</f>
        <v>6</v>
      </c>
      <c r="K660">
        <f>WEEKNUM(orders[[#This Row],[Order Date]])</f>
        <v>5</v>
      </c>
      <c r="L660" t="str" cm="1">
        <f t="array" ref="L660">_xlfn.IFS(orders[[#This Row],[Customer Gender]]="M","Male", orders[[#This Row],[Customer Gender]]="F","Female", orders[[#This Row],[Customer Gender]]="O","Other", TRUE,"Unknown")</f>
        <v>Female</v>
      </c>
      <c r="M660">
        <v>3</v>
      </c>
      <c r="N660">
        <v>48.7</v>
      </c>
      <c r="O660" s="5">
        <v>146.10000000000002</v>
      </c>
    </row>
    <row r="661" spans="1:15" x14ac:dyDescent="0.3">
      <c r="A661" t="s">
        <v>752</v>
      </c>
      <c r="B661" t="s">
        <v>43</v>
      </c>
      <c r="C661" s="7">
        <v>45686</v>
      </c>
      <c r="D661" s="7">
        <v>45688</v>
      </c>
      <c r="E661" t="s">
        <v>26</v>
      </c>
      <c r="F661" t="s">
        <v>34</v>
      </c>
      <c r="G661">
        <v>5</v>
      </c>
      <c r="H661" t="s">
        <v>18</v>
      </c>
      <c r="I661" t="s">
        <v>114</v>
      </c>
      <c r="J661">
        <f>orders[[#This Row],[Ship Date]]-orders[[#This Row],[Order Date]]</f>
        <v>2</v>
      </c>
      <c r="K661">
        <f>WEEKNUM(orders[[#This Row],[Order Date]])</f>
        <v>5</v>
      </c>
      <c r="L661" t="str" cm="1">
        <f t="array" ref="L661">_xlfn.IFS(orders[[#This Row],[Customer Gender]]="M","Male", orders[[#This Row],[Customer Gender]]="F","Female", orders[[#This Row],[Customer Gender]]="O","Other", TRUE,"Unknown")</f>
        <v>Female</v>
      </c>
      <c r="M661">
        <v>4</v>
      </c>
      <c r="N661">
        <v>24.3</v>
      </c>
      <c r="O661">
        <v>97.2</v>
      </c>
    </row>
    <row r="662" spans="1:15" x14ac:dyDescent="0.3">
      <c r="A662" t="s">
        <v>753</v>
      </c>
      <c r="B662" t="s">
        <v>25</v>
      </c>
      <c r="C662" s="7">
        <v>45686</v>
      </c>
      <c r="D662" s="7">
        <v>45687</v>
      </c>
      <c r="E662" t="s">
        <v>26</v>
      </c>
      <c r="F662" t="s">
        <v>39</v>
      </c>
      <c r="G662">
        <v>4</v>
      </c>
      <c r="H662" t="s">
        <v>18</v>
      </c>
      <c r="I662" t="s">
        <v>586</v>
      </c>
      <c r="J662">
        <f>orders[[#This Row],[Ship Date]]-orders[[#This Row],[Order Date]]</f>
        <v>1</v>
      </c>
      <c r="K662">
        <f>WEEKNUM(orders[[#This Row],[Order Date]])</f>
        <v>5</v>
      </c>
      <c r="L662" t="str" cm="1">
        <f t="array" ref="L662">_xlfn.IFS(orders[[#This Row],[Customer Gender]]="M","Male", orders[[#This Row],[Customer Gender]]="F","Female", orders[[#This Row],[Customer Gender]]="O","Other", TRUE,"Unknown")</f>
        <v>Female</v>
      </c>
      <c r="M662">
        <v>2</v>
      </c>
      <c r="N662">
        <v>130.69999999999999</v>
      </c>
      <c r="O662" s="5">
        <v>261.39999999999998</v>
      </c>
    </row>
    <row r="663" spans="1:15" x14ac:dyDescent="0.3">
      <c r="A663" t="s">
        <v>754</v>
      </c>
      <c r="B663" t="s">
        <v>53</v>
      </c>
      <c r="C663" s="7">
        <v>45686</v>
      </c>
      <c r="D663" s="7">
        <v>45688</v>
      </c>
      <c r="E663" t="s">
        <v>22</v>
      </c>
      <c r="F663" t="s">
        <v>17</v>
      </c>
      <c r="G663">
        <v>4</v>
      </c>
      <c r="H663" t="s">
        <v>18</v>
      </c>
      <c r="I663" t="s">
        <v>32</v>
      </c>
      <c r="J663">
        <f>orders[[#This Row],[Ship Date]]-orders[[#This Row],[Order Date]]</f>
        <v>2</v>
      </c>
      <c r="K663">
        <f>WEEKNUM(orders[[#This Row],[Order Date]])</f>
        <v>5</v>
      </c>
      <c r="L663" t="str" cm="1">
        <f t="array" ref="L663">_xlfn.IFS(orders[[#This Row],[Customer Gender]]="M","Male", orders[[#This Row],[Customer Gender]]="F","Female", orders[[#This Row],[Customer Gender]]="O","Other", TRUE,"Unknown")</f>
        <v>Male</v>
      </c>
      <c r="M663">
        <v>1</v>
      </c>
      <c r="N663">
        <v>26</v>
      </c>
      <c r="O663">
        <v>26</v>
      </c>
    </row>
    <row r="664" spans="1:15" x14ac:dyDescent="0.3">
      <c r="A664" t="s">
        <v>755</v>
      </c>
      <c r="B664" t="s">
        <v>25</v>
      </c>
      <c r="C664" s="7">
        <v>45686</v>
      </c>
      <c r="D664" s="7">
        <v>45687</v>
      </c>
      <c r="E664" t="s">
        <v>26</v>
      </c>
      <c r="F664" t="s">
        <v>17</v>
      </c>
      <c r="G664">
        <v>4</v>
      </c>
      <c r="H664" t="s">
        <v>18</v>
      </c>
      <c r="I664" t="s">
        <v>32</v>
      </c>
      <c r="J664">
        <f>orders[[#This Row],[Ship Date]]-orders[[#This Row],[Order Date]]</f>
        <v>1</v>
      </c>
      <c r="K664">
        <f>WEEKNUM(orders[[#This Row],[Order Date]])</f>
        <v>5</v>
      </c>
      <c r="L664" t="str" cm="1">
        <f t="array" ref="L664">_xlfn.IFS(orders[[#This Row],[Customer Gender]]="M","Male", orders[[#This Row],[Customer Gender]]="F","Female", orders[[#This Row],[Customer Gender]]="O","Other", TRUE,"Unknown")</f>
        <v>Female</v>
      </c>
      <c r="M664">
        <v>5</v>
      </c>
      <c r="N664">
        <v>94.4</v>
      </c>
      <c r="O664" s="5">
        <v>472</v>
      </c>
    </row>
    <row r="665" spans="1:15" x14ac:dyDescent="0.3">
      <c r="A665" t="s">
        <v>756</v>
      </c>
      <c r="B665" t="s">
        <v>16</v>
      </c>
      <c r="C665" s="7">
        <v>45686</v>
      </c>
      <c r="D665" s="7">
        <v>45688</v>
      </c>
      <c r="E665" t="s">
        <v>22</v>
      </c>
      <c r="F665" t="s">
        <v>39</v>
      </c>
      <c r="G665">
        <v>5</v>
      </c>
      <c r="H665" t="s">
        <v>18</v>
      </c>
      <c r="I665" t="s">
        <v>32</v>
      </c>
      <c r="J665">
        <f>orders[[#This Row],[Ship Date]]-orders[[#This Row],[Order Date]]</f>
        <v>2</v>
      </c>
      <c r="K665">
        <f>WEEKNUM(orders[[#This Row],[Order Date]])</f>
        <v>5</v>
      </c>
      <c r="L665" t="str" cm="1">
        <f t="array" ref="L665">_xlfn.IFS(orders[[#This Row],[Customer Gender]]="M","Male", orders[[#This Row],[Customer Gender]]="F","Female", orders[[#This Row],[Customer Gender]]="O","Other", TRUE,"Unknown")</f>
        <v>Male</v>
      </c>
      <c r="M665">
        <v>6</v>
      </c>
      <c r="N665">
        <v>23.7</v>
      </c>
      <c r="O665">
        <v>142.19999999999999</v>
      </c>
    </row>
    <row r="666" spans="1:15" x14ac:dyDescent="0.3">
      <c r="A666" t="s">
        <v>757</v>
      </c>
      <c r="B666" t="s">
        <v>45</v>
      </c>
      <c r="C666" s="7">
        <v>45686</v>
      </c>
      <c r="D666" s="7">
        <v>45688</v>
      </c>
      <c r="E666" t="s">
        <v>22</v>
      </c>
      <c r="F666" t="s">
        <v>39</v>
      </c>
      <c r="G666">
        <v>4</v>
      </c>
      <c r="H666" t="s">
        <v>18</v>
      </c>
      <c r="I666" t="s">
        <v>32</v>
      </c>
      <c r="J666">
        <f>orders[[#This Row],[Ship Date]]-orders[[#This Row],[Order Date]]</f>
        <v>2</v>
      </c>
      <c r="K666">
        <f>WEEKNUM(orders[[#This Row],[Order Date]])</f>
        <v>5</v>
      </c>
      <c r="L666" t="str" cm="1">
        <f t="array" ref="L666">_xlfn.IFS(orders[[#This Row],[Customer Gender]]="M","Male", orders[[#This Row],[Customer Gender]]="F","Female", orders[[#This Row],[Customer Gender]]="O","Other", TRUE,"Unknown")</f>
        <v>Male</v>
      </c>
      <c r="M666">
        <v>12</v>
      </c>
      <c r="N666">
        <v>37.4</v>
      </c>
      <c r="O666" s="5">
        <v>448.79999999999995</v>
      </c>
    </row>
    <row r="667" spans="1:15" x14ac:dyDescent="0.3">
      <c r="A667" t="s">
        <v>758</v>
      </c>
      <c r="B667" t="s">
        <v>21</v>
      </c>
      <c r="C667" s="7">
        <v>45686</v>
      </c>
      <c r="D667" s="7">
        <v>45686</v>
      </c>
      <c r="E667" t="s">
        <v>26</v>
      </c>
      <c r="F667" t="s">
        <v>50</v>
      </c>
      <c r="G667">
        <v>3</v>
      </c>
      <c r="H667" t="s">
        <v>18</v>
      </c>
      <c r="I667" t="s">
        <v>32</v>
      </c>
      <c r="J667">
        <f>orders[[#This Row],[Ship Date]]-orders[[#This Row],[Order Date]]</f>
        <v>0</v>
      </c>
      <c r="K667">
        <f>WEEKNUM(orders[[#This Row],[Order Date]])</f>
        <v>5</v>
      </c>
      <c r="L667" t="str" cm="1">
        <f t="array" ref="L667">_xlfn.IFS(orders[[#This Row],[Customer Gender]]="M","Male", orders[[#This Row],[Customer Gender]]="F","Female", orders[[#This Row],[Customer Gender]]="O","Other", TRUE,"Unknown")</f>
        <v>Female</v>
      </c>
      <c r="M667">
        <v>36</v>
      </c>
      <c r="N667">
        <v>55.2</v>
      </c>
      <c r="O667">
        <v>1987.2</v>
      </c>
    </row>
    <row r="668" spans="1:15" x14ac:dyDescent="0.3">
      <c r="A668" t="s">
        <v>759</v>
      </c>
      <c r="B668" t="s">
        <v>25</v>
      </c>
      <c r="C668" s="7">
        <v>45686</v>
      </c>
      <c r="D668" s="7">
        <v>45688</v>
      </c>
      <c r="E668" t="s">
        <v>22</v>
      </c>
      <c r="F668" t="s">
        <v>17</v>
      </c>
      <c r="G668">
        <v>5</v>
      </c>
      <c r="H668" t="s">
        <v>18</v>
      </c>
      <c r="I668" t="s">
        <v>32</v>
      </c>
      <c r="J668">
        <f>orders[[#This Row],[Ship Date]]-orders[[#This Row],[Order Date]]</f>
        <v>2</v>
      </c>
      <c r="K668">
        <f>WEEKNUM(orders[[#This Row],[Order Date]])</f>
        <v>5</v>
      </c>
      <c r="L668" t="str" cm="1">
        <f t="array" ref="L668">_xlfn.IFS(orders[[#This Row],[Customer Gender]]="M","Male", orders[[#This Row],[Customer Gender]]="F","Female", orders[[#This Row],[Customer Gender]]="O","Other", TRUE,"Unknown")</f>
        <v>Male</v>
      </c>
      <c r="M668">
        <v>9</v>
      </c>
      <c r="N668">
        <v>57.1</v>
      </c>
      <c r="O668" s="5">
        <v>513.9</v>
      </c>
    </row>
    <row r="669" spans="1:15" x14ac:dyDescent="0.3">
      <c r="A669" t="s">
        <v>760</v>
      </c>
      <c r="B669" t="s">
        <v>68</v>
      </c>
      <c r="C669" s="7">
        <v>45686</v>
      </c>
      <c r="D669" s="7">
        <v>45687</v>
      </c>
      <c r="E669" t="s">
        <v>26</v>
      </c>
      <c r="F669" t="s">
        <v>39</v>
      </c>
      <c r="G669">
        <v>5</v>
      </c>
      <c r="H669" t="s">
        <v>18</v>
      </c>
      <c r="I669" t="s">
        <v>32</v>
      </c>
      <c r="J669">
        <f>orders[[#This Row],[Ship Date]]-orders[[#This Row],[Order Date]]</f>
        <v>1</v>
      </c>
      <c r="K669">
        <f>WEEKNUM(orders[[#This Row],[Order Date]])</f>
        <v>5</v>
      </c>
      <c r="L669" t="str" cm="1">
        <f t="array" ref="L669">_xlfn.IFS(orders[[#This Row],[Customer Gender]]="M","Male", orders[[#This Row],[Customer Gender]]="F","Female", orders[[#This Row],[Customer Gender]]="O","Other", TRUE,"Unknown")</f>
        <v>Female</v>
      </c>
      <c r="M669">
        <v>1</v>
      </c>
      <c r="N669">
        <v>55.3</v>
      </c>
      <c r="O669">
        <v>55.3</v>
      </c>
    </row>
    <row r="670" spans="1:15" x14ac:dyDescent="0.3">
      <c r="A670" t="s">
        <v>761</v>
      </c>
      <c r="B670" t="s">
        <v>122</v>
      </c>
      <c r="C670" s="7">
        <v>45686</v>
      </c>
      <c r="D670" s="7">
        <v>45687</v>
      </c>
      <c r="E670" t="s">
        <v>26</v>
      </c>
      <c r="F670" t="s">
        <v>69</v>
      </c>
      <c r="G670">
        <v>3</v>
      </c>
      <c r="H670" t="s">
        <v>18</v>
      </c>
      <c r="I670" t="s">
        <v>32</v>
      </c>
      <c r="J670">
        <f>orders[[#This Row],[Ship Date]]-orders[[#This Row],[Order Date]]</f>
        <v>1</v>
      </c>
      <c r="K670">
        <f>WEEKNUM(orders[[#This Row],[Order Date]])</f>
        <v>5</v>
      </c>
      <c r="L670" t="str" cm="1">
        <f t="array" ref="L670">_xlfn.IFS(orders[[#This Row],[Customer Gender]]="M","Male", orders[[#This Row],[Customer Gender]]="F","Female", orders[[#This Row],[Customer Gender]]="O","Other", TRUE,"Unknown")</f>
        <v>Female</v>
      </c>
      <c r="M670">
        <v>7</v>
      </c>
      <c r="N670">
        <v>23.9</v>
      </c>
      <c r="O670" s="5">
        <v>167.29999999999998</v>
      </c>
    </row>
    <row r="671" spans="1:15" x14ac:dyDescent="0.3">
      <c r="A671" t="s">
        <v>762</v>
      </c>
      <c r="B671" t="s">
        <v>16</v>
      </c>
      <c r="C671" s="7">
        <v>45686</v>
      </c>
      <c r="D671" s="7">
        <v>45693</v>
      </c>
      <c r="E671" t="s">
        <v>26</v>
      </c>
      <c r="F671" t="s">
        <v>39</v>
      </c>
      <c r="G671">
        <v>4</v>
      </c>
      <c r="H671" t="s">
        <v>18</v>
      </c>
      <c r="I671" t="s">
        <v>32</v>
      </c>
      <c r="J671">
        <f>orders[[#This Row],[Ship Date]]-orders[[#This Row],[Order Date]]</f>
        <v>7</v>
      </c>
      <c r="K671">
        <f>WEEKNUM(orders[[#This Row],[Order Date]])</f>
        <v>5</v>
      </c>
      <c r="L671" t="str" cm="1">
        <f t="array" ref="L671">_xlfn.IFS(orders[[#This Row],[Customer Gender]]="M","Male", orders[[#This Row],[Customer Gender]]="F","Female", orders[[#This Row],[Customer Gender]]="O","Other", TRUE,"Unknown")</f>
        <v>Female</v>
      </c>
      <c r="M671">
        <v>1</v>
      </c>
      <c r="N671">
        <v>34.1</v>
      </c>
      <c r="O671">
        <v>34.1</v>
      </c>
    </row>
    <row r="672" spans="1:15" x14ac:dyDescent="0.3">
      <c r="A672" t="s">
        <v>763</v>
      </c>
      <c r="B672" t="s">
        <v>68</v>
      </c>
      <c r="C672" s="7">
        <v>45686</v>
      </c>
      <c r="D672" s="7">
        <v>45697</v>
      </c>
      <c r="E672" t="s">
        <v>26</v>
      </c>
      <c r="F672" t="s">
        <v>17</v>
      </c>
      <c r="G672">
        <v>4</v>
      </c>
      <c r="H672" t="s">
        <v>18</v>
      </c>
      <c r="I672" t="s">
        <v>32</v>
      </c>
      <c r="J672">
        <f>orders[[#This Row],[Ship Date]]-orders[[#This Row],[Order Date]]</f>
        <v>11</v>
      </c>
      <c r="K672">
        <f>WEEKNUM(orders[[#This Row],[Order Date]])</f>
        <v>5</v>
      </c>
      <c r="L672" t="str" cm="1">
        <f t="array" ref="L672">_xlfn.IFS(orders[[#This Row],[Customer Gender]]="M","Male", orders[[#This Row],[Customer Gender]]="F","Female", orders[[#This Row],[Customer Gender]]="O","Other", TRUE,"Unknown")</f>
        <v>Female</v>
      </c>
      <c r="M672">
        <v>4</v>
      </c>
      <c r="N672">
        <v>38.5</v>
      </c>
      <c r="O672" s="5">
        <v>154</v>
      </c>
    </row>
    <row r="673" spans="1:15" x14ac:dyDescent="0.3">
      <c r="A673" t="s">
        <v>764</v>
      </c>
      <c r="B673" t="s">
        <v>41</v>
      </c>
      <c r="C673" s="7">
        <v>45686</v>
      </c>
      <c r="D673" s="7">
        <v>45692</v>
      </c>
      <c r="E673" t="s">
        <v>26</v>
      </c>
      <c r="F673" t="s">
        <v>17</v>
      </c>
      <c r="G673">
        <v>5</v>
      </c>
      <c r="H673" t="s">
        <v>18</v>
      </c>
      <c r="I673" t="s">
        <v>32</v>
      </c>
      <c r="J673">
        <f>orders[[#This Row],[Ship Date]]-orders[[#This Row],[Order Date]]</f>
        <v>6</v>
      </c>
      <c r="K673">
        <f>WEEKNUM(orders[[#This Row],[Order Date]])</f>
        <v>5</v>
      </c>
      <c r="L673" t="str" cm="1">
        <f t="array" ref="L673">_xlfn.IFS(orders[[#This Row],[Customer Gender]]="M","Male", orders[[#This Row],[Customer Gender]]="F","Female", orders[[#This Row],[Customer Gender]]="O","Other", TRUE,"Unknown")</f>
        <v>Female</v>
      </c>
      <c r="M673">
        <v>2</v>
      </c>
      <c r="N673">
        <v>105</v>
      </c>
      <c r="O673">
        <v>210</v>
      </c>
    </row>
    <row r="674" spans="1:15" x14ac:dyDescent="0.3">
      <c r="A674" t="s">
        <v>765</v>
      </c>
      <c r="B674" t="s">
        <v>43</v>
      </c>
      <c r="C674" s="7">
        <v>45686</v>
      </c>
      <c r="D674" s="7">
        <v>45688</v>
      </c>
      <c r="E674" t="s">
        <v>26</v>
      </c>
      <c r="F674" t="s">
        <v>17</v>
      </c>
      <c r="G674">
        <v>5</v>
      </c>
      <c r="H674" t="s">
        <v>18</v>
      </c>
      <c r="I674" t="s">
        <v>32</v>
      </c>
      <c r="J674">
        <f>orders[[#This Row],[Ship Date]]-orders[[#This Row],[Order Date]]</f>
        <v>2</v>
      </c>
      <c r="K674">
        <f>WEEKNUM(orders[[#This Row],[Order Date]])</f>
        <v>5</v>
      </c>
      <c r="L674" t="str" cm="1">
        <f t="array" ref="L674">_xlfn.IFS(orders[[#This Row],[Customer Gender]]="M","Male", orders[[#This Row],[Customer Gender]]="F","Female", orders[[#This Row],[Customer Gender]]="O","Other", TRUE,"Unknown")</f>
        <v>Female</v>
      </c>
      <c r="M674">
        <v>5</v>
      </c>
      <c r="N674">
        <v>45.2</v>
      </c>
      <c r="O674" s="5">
        <v>226</v>
      </c>
    </row>
    <row r="675" spans="1:15" x14ac:dyDescent="0.3">
      <c r="A675" t="s">
        <v>766</v>
      </c>
      <c r="B675" t="s">
        <v>134</v>
      </c>
      <c r="C675" s="7">
        <v>45686</v>
      </c>
      <c r="D675" s="7">
        <v>45686</v>
      </c>
      <c r="E675" t="s">
        <v>2517</v>
      </c>
      <c r="F675" t="s">
        <v>17</v>
      </c>
      <c r="G675">
        <v>3</v>
      </c>
      <c r="H675" t="s">
        <v>18</v>
      </c>
      <c r="I675" t="s">
        <v>32</v>
      </c>
      <c r="J675">
        <f>orders[[#This Row],[Ship Date]]-orders[[#This Row],[Order Date]]</f>
        <v>0</v>
      </c>
      <c r="K675">
        <f>WEEKNUM(orders[[#This Row],[Order Date]])</f>
        <v>5</v>
      </c>
      <c r="L675" t="str" cm="1">
        <f t="array" ref="L675">_xlfn.IFS(orders[[#This Row],[Customer Gender]]="M","Male", orders[[#This Row],[Customer Gender]]="F","Female", orders[[#This Row],[Customer Gender]]="O","Other", TRUE,"Unknown")</f>
        <v>Unknown</v>
      </c>
      <c r="M675">
        <v>3</v>
      </c>
      <c r="N675">
        <v>24.8</v>
      </c>
      <c r="O675">
        <v>74.400000000000006</v>
      </c>
    </row>
    <row r="676" spans="1:15" x14ac:dyDescent="0.3">
      <c r="A676" t="s">
        <v>767</v>
      </c>
      <c r="B676" t="s">
        <v>66</v>
      </c>
      <c r="C676" s="7">
        <v>45686</v>
      </c>
      <c r="D676" s="7">
        <v>45693</v>
      </c>
      <c r="E676" t="s">
        <v>26</v>
      </c>
      <c r="F676" t="s">
        <v>34</v>
      </c>
      <c r="G676">
        <v>5</v>
      </c>
      <c r="H676" t="s">
        <v>18</v>
      </c>
      <c r="I676" t="s">
        <v>54</v>
      </c>
      <c r="J676">
        <f>orders[[#This Row],[Ship Date]]-orders[[#This Row],[Order Date]]</f>
        <v>7</v>
      </c>
      <c r="K676">
        <f>WEEKNUM(orders[[#This Row],[Order Date]])</f>
        <v>5</v>
      </c>
      <c r="L676" t="str" cm="1">
        <f t="array" ref="L676">_xlfn.IFS(orders[[#This Row],[Customer Gender]]="M","Male", orders[[#This Row],[Customer Gender]]="F","Female", orders[[#This Row],[Customer Gender]]="O","Other", TRUE,"Unknown")</f>
        <v>Female</v>
      </c>
      <c r="M676">
        <v>4</v>
      </c>
      <c r="N676">
        <v>43.8</v>
      </c>
      <c r="O676" s="5">
        <v>175.2</v>
      </c>
    </row>
    <row r="677" spans="1:15" x14ac:dyDescent="0.3">
      <c r="A677" t="s">
        <v>768</v>
      </c>
      <c r="B677" t="s">
        <v>21</v>
      </c>
      <c r="C677" s="7">
        <v>45686</v>
      </c>
      <c r="D677" s="7">
        <v>45688</v>
      </c>
      <c r="E677" t="s">
        <v>26</v>
      </c>
      <c r="F677" t="s">
        <v>69</v>
      </c>
      <c r="G677">
        <v>3</v>
      </c>
      <c r="H677" t="s">
        <v>18</v>
      </c>
      <c r="I677" t="s">
        <v>54</v>
      </c>
      <c r="J677">
        <f>orders[[#This Row],[Ship Date]]-orders[[#This Row],[Order Date]]</f>
        <v>2</v>
      </c>
      <c r="K677">
        <f>WEEKNUM(orders[[#This Row],[Order Date]])</f>
        <v>5</v>
      </c>
      <c r="L677" t="str" cm="1">
        <f t="array" ref="L677">_xlfn.IFS(orders[[#This Row],[Customer Gender]]="M","Male", orders[[#This Row],[Customer Gender]]="F","Female", orders[[#This Row],[Customer Gender]]="O","Other", TRUE,"Unknown")</f>
        <v>Female</v>
      </c>
      <c r="M677">
        <v>1</v>
      </c>
      <c r="N677">
        <v>75</v>
      </c>
      <c r="O677">
        <v>75</v>
      </c>
    </row>
    <row r="678" spans="1:15" x14ac:dyDescent="0.3">
      <c r="A678" t="s">
        <v>769</v>
      </c>
      <c r="B678" t="s">
        <v>25</v>
      </c>
      <c r="C678" s="7">
        <v>45686</v>
      </c>
      <c r="D678" s="7">
        <v>45687</v>
      </c>
      <c r="E678" t="s">
        <v>22</v>
      </c>
      <c r="F678" t="s">
        <v>39</v>
      </c>
      <c r="G678">
        <v>4</v>
      </c>
      <c r="H678" t="s">
        <v>18</v>
      </c>
      <c r="I678" t="s">
        <v>54</v>
      </c>
      <c r="J678">
        <f>orders[[#This Row],[Ship Date]]-orders[[#This Row],[Order Date]]</f>
        <v>1</v>
      </c>
      <c r="K678">
        <f>WEEKNUM(orders[[#This Row],[Order Date]])</f>
        <v>5</v>
      </c>
      <c r="L678" t="str" cm="1">
        <f t="array" ref="L678">_xlfn.IFS(orders[[#This Row],[Customer Gender]]="M","Male", orders[[#This Row],[Customer Gender]]="F","Female", orders[[#This Row],[Customer Gender]]="O","Other", TRUE,"Unknown")</f>
        <v>Male</v>
      </c>
      <c r="M678">
        <v>1</v>
      </c>
      <c r="N678">
        <v>169.9</v>
      </c>
      <c r="O678" s="5">
        <v>169.9</v>
      </c>
    </row>
    <row r="679" spans="1:15" x14ac:dyDescent="0.3">
      <c r="A679" t="s">
        <v>770</v>
      </c>
      <c r="B679" t="s">
        <v>45</v>
      </c>
      <c r="C679" s="7">
        <v>45686</v>
      </c>
      <c r="D679" s="7">
        <v>45688</v>
      </c>
      <c r="E679" t="s">
        <v>26</v>
      </c>
      <c r="F679" t="s">
        <v>69</v>
      </c>
      <c r="G679">
        <v>3</v>
      </c>
      <c r="H679" t="s">
        <v>18</v>
      </c>
      <c r="I679" t="s">
        <v>54</v>
      </c>
      <c r="J679">
        <f>orders[[#This Row],[Ship Date]]-orders[[#This Row],[Order Date]]</f>
        <v>2</v>
      </c>
      <c r="K679">
        <f>WEEKNUM(orders[[#This Row],[Order Date]])</f>
        <v>5</v>
      </c>
      <c r="L679" t="str" cm="1">
        <f t="array" ref="L679">_xlfn.IFS(orders[[#This Row],[Customer Gender]]="M","Male", orders[[#This Row],[Customer Gender]]="F","Female", orders[[#This Row],[Customer Gender]]="O","Other", TRUE,"Unknown")</f>
        <v>Female</v>
      </c>
      <c r="M679">
        <v>2</v>
      </c>
      <c r="N679">
        <v>72.2</v>
      </c>
      <c r="O679">
        <v>144.4</v>
      </c>
    </row>
    <row r="680" spans="1:15" x14ac:dyDescent="0.3">
      <c r="A680" t="s">
        <v>771</v>
      </c>
      <c r="B680" t="s">
        <v>16</v>
      </c>
      <c r="C680" s="7">
        <v>45687</v>
      </c>
      <c r="D680" s="7">
        <v>45690</v>
      </c>
      <c r="E680" t="s">
        <v>26</v>
      </c>
      <c r="F680" t="s">
        <v>39</v>
      </c>
      <c r="G680">
        <v>3</v>
      </c>
      <c r="H680" t="s">
        <v>18</v>
      </c>
      <c r="I680" t="s">
        <v>58</v>
      </c>
      <c r="J680">
        <f>orders[[#This Row],[Ship Date]]-orders[[#This Row],[Order Date]]</f>
        <v>3</v>
      </c>
      <c r="K680">
        <f>WEEKNUM(orders[[#This Row],[Order Date]])</f>
        <v>5</v>
      </c>
      <c r="L680" t="str" cm="1">
        <f t="array" ref="L680">_xlfn.IFS(orders[[#This Row],[Customer Gender]]="M","Male", orders[[#This Row],[Customer Gender]]="F","Female", orders[[#This Row],[Customer Gender]]="O","Other", TRUE,"Unknown")</f>
        <v>Female</v>
      </c>
      <c r="M680">
        <v>1</v>
      </c>
      <c r="N680">
        <v>20</v>
      </c>
      <c r="O680" s="5">
        <v>20</v>
      </c>
    </row>
    <row r="681" spans="1:15" x14ac:dyDescent="0.3">
      <c r="A681" t="s">
        <v>772</v>
      </c>
      <c r="B681" t="s">
        <v>45</v>
      </c>
      <c r="C681" s="7">
        <v>45687</v>
      </c>
      <c r="D681" s="7">
        <v>45689</v>
      </c>
      <c r="E681" t="s">
        <v>26</v>
      </c>
      <c r="F681" t="s">
        <v>50</v>
      </c>
      <c r="G681">
        <v>5</v>
      </c>
      <c r="H681" t="s">
        <v>18</v>
      </c>
      <c r="I681" t="s">
        <v>61</v>
      </c>
      <c r="J681">
        <f>orders[[#This Row],[Ship Date]]-orders[[#This Row],[Order Date]]</f>
        <v>2</v>
      </c>
      <c r="K681">
        <f>WEEKNUM(orders[[#This Row],[Order Date]])</f>
        <v>5</v>
      </c>
      <c r="L681" t="str" cm="1">
        <f t="array" ref="L681">_xlfn.IFS(orders[[#This Row],[Customer Gender]]="M","Male", orders[[#This Row],[Customer Gender]]="F","Female", orders[[#This Row],[Customer Gender]]="O","Other", TRUE,"Unknown")</f>
        <v>Female</v>
      </c>
      <c r="M681">
        <v>2</v>
      </c>
      <c r="N681">
        <v>40.799999999999997</v>
      </c>
      <c r="O681">
        <v>81.599999999999994</v>
      </c>
    </row>
    <row r="682" spans="1:15" x14ac:dyDescent="0.3">
      <c r="A682" t="s">
        <v>773</v>
      </c>
      <c r="B682" t="s">
        <v>53</v>
      </c>
      <c r="C682" s="7">
        <v>45687</v>
      </c>
      <c r="D682" s="7">
        <v>45691</v>
      </c>
      <c r="E682" t="s">
        <v>26</v>
      </c>
      <c r="F682" t="s">
        <v>17</v>
      </c>
      <c r="G682">
        <v>4</v>
      </c>
      <c r="H682" t="s">
        <v>18</v>
      </c>
      <c r="I682" t="s">
        <v>61</v>
      </c>
      <c r="J682">
        <f>orders[[#This Row],[Ship Date]]-orders[[#This Row],[Order Date]]</f>
        <v>4</v>
      </c>
      <c r="K682">
        <f>WEEKNUM(orders[[#This Row],[Order Date]])</f>
        <v>5</v>
      </c>
      <c r="L682" t="str" cm="1">
        <f t="array" ref="L682">_xlfn.IFS(orders[[#This Row],[Customer Gender]]="M","Male", orders[[#This Row],[Customer Gender]]="F","Female", orders[[#This Row],[Customer Gender]]="O","Other", TRUE,"Unknown")</f>
        <v>Female</v>
      </c>
      <c r="M682">
        <v>4</v>
      </c>
      <c r="N682">
        <v>58</v>
      </c>
      <c r="O682" s="5">
        <v>232</v>
      </c>
    </row>
    <row r="683" spans="1:15" x14ac:dyDescent="0.3">
      <c r="A683" t="s">
        <v>774</v>
      </c>
      <c r="B683" t="s">
        <v>68</v>
      </c>
      <c r="C683" s="7">
        <v>45687</v>
      </c>
      <c r="D683" s="7">
        <v>45688</v>
      </c>
      <c r="E683" t="s">
        <v>26</v>
      </c>
      <c r="F683" t="s">
        <v>34</v>
      </c>
      <c r="G683">
        <v>5</v>
      </c>
      <c r="H683" t="s">
        <v>18</v>
      </c>
      <c r="I683" t="s">
        <v>61</v>
      </c>
      <c r="J683">
        <f>orders[[#This Row],[Ship Date]]-orders[[#This Row],[Order Date]]</f>
        <v>1</v>
      </c>
      <c r="K683">
        <f>WEEKNUM(orders[[#This Row],[Order Date]])</f>
        <v>5</v>
      </c>
      <c r="L683" t="str" cm="1">
        <f t="array" ref="L683">_xlfn.IFS(orders[[#This Row],[Customer Gender]]="M","Male", orders[[#This Row],[Customer Gender]]="F","Female", orders[[#This Row],[Customer Gender]]="O","Other", TRUE,"Unknown")</f>
        <v>Female</v>
      </c>
      <c r="M683">
        <v>2</v>
      </c>
      <c r="N683">
        <v>43.1</v>
      </c>
      <c r="O683">
        <v>86.2</v>
      </c>
    </row>
    <row r="684" spans="1:15" x14ac:dyDescent="0.3">
      <c r="A684" t="s">
        <v>775</v>
      </c>
      <c r="B684" t="s">
        <v>38</v>
      </c>
      <c r="C684" s="7">
        <v>45687</v>
      </c>
      <c r="D684" s="7">
        <v>45689</v>
      </c>
      <c r="E684" t="s">
        <v>22</v>
      </c>
      <c r="F684" t="s">
        <v>17</v>
      </c>
      <c r="G684">
        <v>5</v>
      </c>
      <c r="H684" t="s">
        <v>18</v>
      </c>
      <c r="I684" t="s">
        <v>61</v>
      </c>
      <c r="J684">
        <f>orders[[#This Row],[Ship Date]]-orders[[#This Row],[Order Date]]</f>
        <v>2</v>
      </c>
      <c r="K684">
        <f>WEEKNUM(orders[[#This Row],[Order Date]])</f>
        <v>5</v>
      </c>
      <c r="L684" t="str" cm="1">
        <f t="array" ref="L684">_xlfn.IFS(orders[[#This Row],[Customer Gender]]="M","Male", orders[[#This Row],[Customer Gender]]="F","Female", orders[[#This Row],[Customer Gender]]="O","Other", TRUE,"Unknown")</f>
        <v>Male</v>
      </c>
      <c r="M684">
        <v>9</v>
      </c>
      <c r="N684">
        <v>74.7</v>
      </c>
      <c r="O684" s="5">
        <v>672.30000000000007</v>
      </c>
    </row>
    <row r="685" spans="1:15" x14ac:dyDescent="0.3">
      <c r="A685" t="s">
        <v>776</v>
      </c>
      <c r="B685" t="s">
        <v>38</v>
      </c>
      <c r="C685" s="7">
        <v>45687</v>
      </c>
      <c r="D685" s="7">
        <v>45687</v>
      </c>
      <c r="E685" t="s">
        <v>22</v>
      </c>
      <c r="F685" t="s">
        <v>34</v>
      </c>
      <c r="G685">
        <v>4</v>
      </c>
      <c r="H685" t="s">
        <v>18</v>
      </c>
      <c r="I685" t="s">
        <v>61</v>
      </c>
      <c r="J685">
        <f>orders[[#This Row],[Ship Date]]-orders[[#This Row],[Order Date]]</f>
        <v>0</v>
      </c>
      <c r="K685">
        <f>WEEKNUM(orders[[#This Row],[Order Date]])</f>
        <v>5</v>
      </c>
      <c r="L685" t="str" cm="1">
        <f t="array" ref="L685">_xlfn.IFS(orders[[#This Row],[Customer Gender]]="M","Male", orders[[#This Row],[Customer Gender]]="F","Female", orders[[#This Row],[Customer Gender]]="O","Other", TRUE,"Unknown")</f>
        <v>Male</v>
      </c>
      <c r="M685">
        <v>1</v>
      </c>
      <c r="N685">
        <v>128.19999999999999</v>
      </c>
      <c r="O685">
        <v>128.19999999999999</v>
      </c>
    </row>
    <row r="686" spans="1:15" x14ac:dyDescent="0.3">
      <c r="A686" t="s">
        <v>777</v>
      </c>
      <c r="B686" t="s">
        <v>80</v>
      </c>
      <c r="C686" s="7">
        <v>45687</v>
      </c>
      <c r="D686" s="7">
        <v>45688</v>
      </c>
      <c r="E686" t="s">
        <v>22</v>
      </c>
      <c r="F686" t="s">
        <v>34</v>
      </c>
      <c r="G686">
        <v>4</v>
      </c>
      <c r="H686" t="s">
        <v>18</v>
      </c>
      <c r="I686" t="s">
        <v>61</v>
      </c>
      <c r="J686">
        <f>orders[[#This Row],[Ship Date]]-orders[[#This Row],[Order Date]]</f>
        <v>1</v>
      </c>
      <c r="K686">
        <f>WEEKNUM(orders[[#This Row],[Order Date]])</f>
        <v>5</v>
      </c>
      <c r="L686" t="str" cm="1">
        <f t="array" ref="L686">_xlfn.IFS(orders[[#This Row],[Customer Gender]]="M","Male", orders[[#This Row],[Customer Gender]]="F","Female", orders[[#This Row],[Customer Gender]]="O","Other", TRUE,"Unknown")</f>
        <v>Male</v>
      </c>
      <c r="M686">
        <v>4</v>
      </c>
      <c r="N686">
        <v>26.7</v>
      </c>
      <c r="O686" s="5">
        <v>106.8</v>
      </c>
    </row>
    <row r="687" spans="1:15" x14ac:dyDescent="0.3">
      <c r="A687" t="s">
        <v>778</v>
      </c>
      <c r="B687" t="s">
        <v>134</v>
      </c>
      <c r="C687" s="7">
        <v>45687</v>
      </c>
      <c r="D687" s="7">
        <v>45688</v>
      </c>
      <c r="E687" t="s">
        <v>26</v>
      </c>
      <c r="F687" t="s">
        <v>39</v>
      </c>
      <c r="G687">
        <v>4</v>
      </c>
      <c r="H687" t="s">
        <v>18</v>
      </c>
      <c r="I687" t="s">
        <v>102</v>
      </c>
      <c r="J687">
        <f>orders[[#This Row],[Ship Date]]-orders[[#This Row],[Order Date]]</f>
        <v>1</v>
      </c>
      <c r="K687">
        <f>WEEKNUM(orders[[#This Row],[Order Date]])</f>
        <v>5</v>
      </c>
      <c r="L687" t="str" cm="1">
        <f t="array" ref="L687">_xlfn.IFS(orders[[#This Row],[Customer Gender]]="M","Male", orders[[#This Row],[Customer Gender]]="F","Female", orders[[#This Row],[Customer Gender]]="O","Other", TRUE,"Unknown")</f>
        <v>Female</v>
      </c>
      <c r="M687">
        <v>6</v>
      </c>
      <c r="N687">
        <v>31.5</v>
      </c>
      <c r="O687">
        <v>189</v>
      </c>
    </row>
    <row r="688" spans="1:15" x14ac:dyDescent="0.3">
      <c r="A688" t="s">
        <v>779</v>
      </c>
      <c r="B688" t="s">
        <v>29</v>
      </c>
      <c r="C688" s="7">
        <v>45687</v>
      </c>
      <c r="D688" s="7">
        <v>45688</v>
      </c>
      <c r="E688" t="s">
        <v>26</v>
      </c>
      <c r="F688" t="s">
        <v>17</v>
      </c>
      <c r="G688">
        <v>5</v>
      </c>
      <c r="H688" t="s">
        <v>18</v>
      </c>
      <c r="I688" t="s">
        <v>71</v>
      </c>
      <c r="J688">
        <f>orders[[#This Row],[Ship Date]]-orders[[#This Row],[Order Date]]</f>
        <v>1</v>
      </c>
      <c r="K688">
        <f>WEEKNUM(orders[[#This Row],[Order Date]])</f>
        <v>5</v>
      </c>
      <c r="L688" t="str" cm="1">
        <f t="array" ref="L688">_xlfn.IFS(orders[[#This Row],[Customer Gender]]="M","Male", orders[[#This Row],[Customer Gender]]="F","Female", orders[[#This Row],[Customer Gender]]="O","Other", TRUE,"Unknown")</f>
        <v>Female</v>
      </c>
      <c r="M688">
        <v>7</v>
      </c>
      <c r="N688">
        <v>64.7</v>
      </c>
      <c r="O688" s="5">
        <v>452.90000000000003</v>
      </c>
    </row>
    <row r="689" spans="1:15" x14ac:dyDescent="0.3">
      <c r="A689" t="s">
        <v>780</v>
      </c>
      <c r="B689" t="s">
        <v>36</v>
      </c>
      <c r="C689" s="7">
        <v>45687</v>
      </c>
      <c r="D689" s="7">
        <v>45690</v>
      </c>
      <c r="E689" t="s">
        <v>26</v>
      </c>
      <c r="F689" t="s">
        <v>50</v>
      </c>
      <c r="G689">
        <v>4</v>
      </c>
      <c r="H689" t="s">
        <v>18</v>
      </c>
      <c r="I689" t="s">
        <v>76</v>
      </c>
      <c r="J689">
        <f>orders[[#This Row],[Ship Date]]-orders[[#This Row],[Order Date]]</f>
        <v>3</v>
      </c>
      <c r="K689">
        <f>WEEKNUM(orders[[#This Row],[Order Date]])</f>
        <v>5</v>
      </c>
      <c r="L689" t="str" cm="1">
        <f t="array" ref="L689">_xlfn.IFS(orders[[#This Row],[Customer Gender]]="M","Male", orders[[#This Row],[Customer Gender]]="F","Female", orders[[#This Row],[Customer Gender]]="O","Other", TRUE,"Unknown")</f>
        <v>Female</v>
      </c>
      <c r="M689">
        <v>2</v>
      </c>
      <c r="N689">
        <v>55.6</v>
      </c>
      <c r="O689">
        <v>111.2</v>
      </c>
    </row>
    <row r="690" spans="1:15" x14ac:dyDescent="0.3">
      <c r="A690" t="s">
        <v>781</v>
      </c>
      <c r="B690" t="s">
        <v>29</v>
      </c>
      <c r="C690" s="7">
        <v>45687</v>
      </c>
      <c r="D690" s="7">
        <v>45688</v>
      </c>
      <c r="E690" t="s">
        <v>26</v>
      </c>
      <c r="F690" t="s">
        <v>50</v>
      </c>
      <c r="G690">
        <v>4</v>
      </c>
      <c r="H690" t="s">
        <v>18</v>
      </c>
      <c r="I690" t="s">
        <v>76</v>
      </c>
      <c r="J690">
        <f>orders[[#This Row],[Ship Date]]-orders[[#This Row],[Order Date]]</f>
        <v>1</v>
      </c>
      <c r="K690">
        <f>WEEKNUM(orders[[#This Row],[Order Date]])</f>
        <v>5</v>
      </c>
      <c r="L690" t="str" cm="1">
        <f t="array" ref="L690">_xlfn.IFS(orders[[#This Row],[Customer Gender]]="M","Male", orders[[#This Row],[Customer Gender]]="F","Female", orders[[#This Row],[Customer Gender]]="O","Other", TRUE,"Unknown")</f>
        <v>Female</v>
      </c>
      <c r="M690">
        <v>2</v>
      </c>
      <c r="N690">
        <v>36.200000000000003</v>
      </c>
      <c r="O690" s="5">
        <v>72.400000000000006</v>
      </c>
    </row>
    <row r="691" spans="1:15" x14ac:dyDescent="0.3">
      <c r="A691" t="s">
        <v>782</v>
      </c>
      <c r="B691" t="s">
        <v>16</v>
      </c>
      <c r="C691" s="7">
        <v>45687</v>
      </c>
      <c r="D691" s="7">
        <v>45688</v>
      </c>
      <c r="E691" t="s">
        <v>2517</v>
      </c>
      <c r="F691" t="s">
        <v>34</v>
      </c>
      <c r="G691">
        <v>3</v>
      </c>
      <c r="H691" t="s">
        <v>18</v>
      </c>
      <c r="I691" t="s">
        <v>109</v>
      </c>
      <c r="J691">
        <f>orders[[#This Row],[Ship Date]]-orders[[#This Row],[Order Date]]</f>
        <v>1</v>
      </c>
      <c r="K691">
        <f>WEEKNUM(orders[[#This Row],[Order Date]])</f>
        <v>5</v>
      </c>
      <c r="L691" t="str" cm="1">
        <f t="array" ref="L691">_xlfn.IFS(orders[[#This Row],[Customer Gender]]="M","Male", orders[[#This Row],[Customer Gender]]="F","Female", orders[[#This Row],[Customer Gender]]="O","Other", TRUE,"Unknown")</f>
        <v>Unknown</v>
      </c>
      <c r="M691">
        <v>1</v>
      </c>
      <c r="N691">
        <v>26.6</v>
      </c>
      <c r="O691">
        <v>26.6</v>
      </c>
    </row>
    <row r="692" spans="1:15" x14ac:dyDescent="0.3">
      <c r="A692" t="s">
        <v>783</v>
      </c>
      <c r="B692" t="s">
        <v>53</v>
      </c>
      <c r="C692" s="7">
        <v>45687</v>
      </c>
      <c r="D692" s="7">
        <v>45689</v>
      </c>
      <c r="E692" t="s">
        <v>22</v>
      </c>
      <c r="F692" t="s">
        <v>17</v>
      </c>
      <c r="G692">
        <v>4</v>
      </c>
      <c r="H692" t="s">
        <v>18</v>
      </c>
      <c r="I692" t="s">
        <v>291</v>
      </c>
      <c r="J692">
        <f>orders[[#This Row],[Ship Date]]-orders[[#This Row],[Order Date]]</f>
        <v>2</v>
      </c>
      <c r="K692">
        <f>WEEKNUM(orders[[#This Row],[Order Date]])</f>
        <v>5</v>
      </c>
      <c r="L692" t="str" cm="1">
        <f t="array" ref="L692">_xlfn.IFS(orders[[#This Row],[Customer Gender]]="M","Male", orders[[#This Row],[Customer Gender]]="F","Female", orders[[#This Row],[Customer Gender]]="O","Other", TRUE,"Unknown")</f>
        <v>Male</v>
      </c>
      <c r="M692">
        <v>4</v>
      </c>
      <c r="N692">
        <v>31.5</v>
      </c>
      <c r="O692" s="5">
        <v>126</v>
      </c>
    </row>
    <row r="693" spans="1:15" x14ac:dyDescent="0.3">
      <c r="A693" t="s">
        <v>784</v>
      </c>
      <c r="B693" t="s">
        <v>53</v>
      </c>
      <c r="C693" s="7">
        <v>45687</v>
      </c>
      <c r="D693" s="7">
        <v>45689</v>
      </c>
      <c r="E693" t="s">
        <v>26</v>
      </c>
      <c r="F693" t="s">
        <v>34</v>
      </c>
      <c r="G693">
        <v>5</v>
      </c>
      <c r="H693" t="s">
        <v>18</v>
      </c>
      <c r="I693" t="s">
        <v>81</v>
      </c>
      <c r="J693">
        <f>orders[[#This Row],[Ship Date]]-orders[[#This Row],[Order Date]]</f>
        <v>2</v>
      </c>
      <c r="K693">
        <f>WEEKNUM(orders[[#This Row],[Order Date]])</f>
        <v>5</v>
      </c>
      <c r="L693" t="str" cm="1">
        <f t="array" ref="L693">_xlfn.IFS(orders[[#This Row],[Customer Gender]]="M","Male", orders[[#This Row],[Customer Gender]]="F","Female", orders[[#This Row],[Customer Gender]]="O","Other", TRUE,"Unknown")</f>
        <v>Female</v>
      </c>
      <c r="M693">
        <v>1</v>
      </c>
      <c r="N693">
        <v>27</v>
      </c>
      <c r="O693">
        <v>27</v>
      </c>
    </row>
    <row r="694" spans="1:15" x14ac:dyDescent="0.3">
      <c r="A694" t="s">
        <v>785</v>
      </c>
      <c r="B694" t="s">
        <v>31</v>
      </c>
      <c r="C694" s="7">
        <v>45687</v>
      </c>
      <c r="D694" s="7">
        <v>45690</v>
      </c>
      <c r="E694" t="s">
        <v>22</v>
      </c>
      <c r="F694" t="s">
        <v>50</v>
      </c>
      <c r="G694">
        <v>4</v>
      </c>
      <c r="H694" t="s">
        <v>18</v>
      </c>
      <c r="I694" t="s">
        <v>114</v>
      </c>
      <c r="J694">
        <f>orders[[#This Row],[Ship Date]]-orders[[#This Row],[Order Date]]</f>
        <v>3</v>
      </c>
      <c r="K694">
        <f>WEEKNUM(orders[[#This Row],[Order Date]])</f>
        <v>5</v>
      </c>
      <c r="L694" t="str" cm="1">
        <f t="array" ref="L694">_xlfn.IFS(orders[[#This Row],[Customer Gender]]="M","Male", orders[[#This Row],[Customer Gender]]="F","Female", orders[[#This Row],[Customer Gender]]="O","Other", TRUE,"Unknown")</f>
        <v>Male</v>
      </c>
      <c r="M694">
        <v>1</v>
      </c>
      <c r="N694">
        <v>32</v>
      </c>
      <c r="O694" s="5">
        <v>32</v>
      </c>
    </row>
    <row r="695" spans="1:15" x14ac:dyDescent="0.3">
      <c r="A695" t="s">
        <v>786</v>
      </c>
      <c r="B695" t="s">
        <v>21</v>
      </c>
      <c r="C695" s="7">
        <v>45687</v>
      </c>
      <c r="D695" s="7">
        <v>45689</v>
      </c>
      <c r="E695" t="s">
        <v>22</v>
      </c>
      <c r="F695" t="s">
        <v>39</v>
      </c>
      <c r="G695">
        <v>3</v>
      </c>
      <c r="H695" t="s">
        <v>18</v>
      </c>
      <c r="I695" t="s">
        <v>23</v>
      </c>
      <c r="J695">
        <f>orders[[#This Row],[Ship Date]]-orders[[#This Row],[Order Date]]</f>
        <v>2</v>
      </c>
      <c r="K695">
        <f>WEEKNUM(orders[[#This Row],[Order Date]])</f>
        <v>5</v>
      </c>
      <c r="L695" t="str" cm="1">
        <f t="array" ref="L695">_xlfn.IFS(orders[[#This Row],[Customer Gender]]="M","Male", orders[[#This Row],[Customer Gender]]="F","Female", orders[[#This Row],[Customer Gender]]="O","Other", TRUE,"Unknown")</f>
        <v>Male</v>
      </c>
      <c r="M695">
        <v>3</v>
      </c>
      <c r="N695">
        <v>48.1</v>
      </c>
      <c r="O695">
        <v>144.30000000000001</v>
      </c>
    </row>
    <row r="696" spans="1:15" x14ac:dyDescent="0.3">
      <c r="A696" t="s">
        <v>787</v>
      </c>
      <c r="B696" t="s">
        <v>45</v>
      </c>
      <c r="C696" s="7">
        <v>45687</v>
      </c>
      <c r="D696" s="7">
        <v>45688</v>
      </c>
      <c r="E696" t="s">
        <v>22</v>
      </c>
      <c r="F696" t="s">
        <v>34</v>
      </c>
      <c r="G696">
        <v>3</v>
      </c>
      <c r="H696" t="s">
        <v>18</v>
      </c>
      <c r="I696" t="s">
        <v>146</v>
      </c>
      <c r="J696">
        <f>orders[[#This Row],[Ship Date]]-orders[[#This Row],[Order Date]]</f>
        <v>1</v>
      </c>
      <c r="K696">
        <f>WEEKNUM(orders[[#This Row],[Order Date]])</f>
        <v>5</v>
      </c>
      <c r="L696" t="str" cm="1">
        <f t="array" ref="L696">_xlfn.IFS(orders[[#This Row],[Customer Gender]]="M","Male", orders[[#This Row],[Customer Gender]]="F","Female", orders[[#This Row],[Customer Gender]]="O","Other", TRUE,"Unknown")</f>
        <v>Male</v>
      </c>
      <c r="M696">
        <v>2</v>
      </c>
      <c r="N696">
        <v>43.4</v>
      </c>
      <c r="O696" s="5">
        <v>86.8</v>
      </c>
    </row>
    <row r="697" spans="1:15" x14ac:dyDescent="0.3">
      <c r="A697" t="s">
        <v>788</v>
      </c>
      <c r="B697" t="s">
        <v>38</v>
      </c>
      <c r="C697" s="7">
        <v>45687</v>
      </c>
      <c r="D697" s="7">
        <v>45690</v>
      </c>
      <c r="E697" t="s">
        <v>26</v>
      </c>
      <c r="F697" t="s">
        <v>50</v>
      </c>
      <c r="G697">
        <v>4</v>
      </c>
      <c r="H697" t="s">
        <v>18</v>
      </c>
      <c r="I697" t="s">
        <v>146</v>
      </c>
      <c r="J697">
        <f>orders[[#This Row],[Ship Date]]-orders[[#This Row],[Order Date]]</f>
        <v>3</v>
      </c>
      <c r="K697">
        <f>WEEKNUM(orders[[#This Row],[Order Date]])</f>
        <v>5</v>
      </c>
      <c r="L697" t="str" cm="1">
        <f t="array" ref="L697">_xlfn.IFS(orders[[#This Row],[Customer Gender]]="M","Male", orders[[#This Row],[Customer Gender]]="F","Female", orders[[#This Row],[Customer Gender]]="O","Other", TRUE,"Unknown")</f>
        <v>Female</v>
      </c>
      <c r="M697">
        <v>2</v>
      </c>
      <c r="N697">
        <v>42.6</v>
      </c>
      <c r="O697">
        <v>85.2</v>
      </c>
    </row>
    <row r="698" spans="1:15" x14ac:dyDescent="0.3">
      <c r="A698" t="s">
        <v>789</v>
      </c>
      <c r="B698" t="s">
        <v>43</v>
      </c>
      <c r="C698" s="7">
        <v>45687</v>
      </c>
      <c r="D698" s="7">
        <v>45688</v>
      </c>
      <c r="E698" t="s">
        <v>26</v>
      </c>
      <c r="F698" t="s">
        <v>17</v>
      </c>
      <c r="G698">
        <v>4</v>
      </c>
      <c r="H698" t="s">
        <v>18</v>
      </c>
      <c r="I698" t="s">
        <v>333</v>
      </c>
      <c r="J698">
        <f>orders[[#This Row],[Ship Date]]-orders[[#This Row],[Order Date]]</f>
        <v>1</v>
      </c>
      <c r="K698">
        <f>WEEKNUM(orders[[#This Row],[Order Date]])</f>
        <v>5</v>
      </c>
      <c r="L698" t="str" cm="1">
        <f t="array" ref="L698">_xlfn.IFS(orders[[#This Row],[Customer Gender]]="M","Male", orders[[#This Row],[Customer Gender]]="F","Female", orders[[#This Row],[Customer Gender]]="O","Other", TRUE,"Unknown")</f>
        <v>Female</v>
      </c>
      <c r="M698">
        <v>2</v>
      </c>
      <c r="N698">
        <v>15.9</v>
      </c>
      <c r="O698" s="5">
        <v>31.8</v>
      </c>
    </row>
    <row r="699" spans="1:15" x14ac:dyDescent="0.3">
      <c r="A699" t="s">
        <v>790</v>
      </c>
      <c r="B699" t="s">
        <v>45</v>
      </c>
      <c r="C699" s="7">
        <v>45687</v>
      </c>
      <c r="D699" s="7">
        <v>45688</v>
      </c>
      <c r="E699" t="s">
        <v>22</v>
      </c>
      <c r="F699" t="s">
        <v>34</v>
      </c>
      <c r="G699">
        <v>4</v>
      </c>
      <c r="H699" t="s">
        <v>18</v>
      </c>
      <c r="I699" t="s">
        <v>32</v>
      </c>
      <c r="J699">
        <f>orders[[#This Row],[Ship Date]]-orders[[#This Row],[Order Date]]</f>
        <v>1</v>
      </c>
      <c r="K699">
        <f>WEEKNUM(orders[[#This Row],[Order Date]])</f>
        <v>5</v>
      </c>
      <c r="L699" t="str" cm="1">
        <f t="array" ref="L699">_xlfn.IFS(orders[[#This Row],[Customer Gender]]="M","Male", orders[[#This Row],[Customer Gender]]="F","Female", orders[[#This Row],[Customer Gender]]="O","Other", TRUE,"Unknown")</f>
        <v>Male</v>
      </c>
      <c r="M699">
        <v>2</v>
      </c>
      <c r="N699">
        <v>63.2</v>
      </c>
      <c r="O699">
        <v>126.4</v>
      </c>
    </row>
    <row r="700" spans="1:15" x14ac:dyDescent="0.3">
      <c r="A700" t="s">
        <v>791</v>
      </c>
      <c r="B700" t="s">
        <v>41</v>
      </c>
      <c r="C700" s="7">
        <v>45687</v>
      </c>
      <c r="D700" s="7">
        <v>45689</v>
      </c>
      <c r="E700" t="s">
        <v>2517</v>
      </c>
      <c r="F700" t="s">
        <v>69</v>
      </c>
      <c r="G700">
        <v>3</v>
      </c>
      <c r="H700" t="s">
        <v>18</v>
      </c>
      <c r="I700" t="s">
        <v>32</v>
      </c>
      <c r="J700">
        <f>orders[[#This Row],[Ship Date]]-orders[[#This Row],[Order Date]]</f>
        <v>2</v>
      </c>
      <c r="K700">
        <f>WEEKNUM(orders[[#This Row],[Order Date]])</f>
        <v>5</v>
      </c>
      <c r="L700" t="str" cm="1">
        <f t="array" ref="L700">_xlfn.IFS(orders[[#This Row],[Customer Gender]]="M","Male", orders[[#This Row],[Customer Gender]]="F","Female", orders[[#This Row],[Customer Gender]]="O","Other", TRUE,"Unknown")</f>
        <v>Unknown</v>
      </c>
      <c r="M700">
        <v>4</v>
      </c>
      <c r="N700">
        <v>64.8</v>
      </c>
      <c r="O700" s="5">
        <v>259.2</v>
      </c>
    </row>
    <row r="701" spans="1:15" x14ac:dyDescent="0.3">
      <c r="A701" t="s">
        <v>792</v>
      </c>
      <c r="B701" t="s">
        <v>41</v>
      </c>
      <c r="C701" s="7">
        <v>45687</v>
      </c>
      <c r="D701" s="7">
        <v>45688</v>
      </c>
      <c r="E701" t="s">
        <v>22</v>
      </c>
      <c r="F701" t="s">
        <v>17</v>
      </c>
      <c r="G701">
        <v>4</v>
      </c>
      <c r="H701" t="s">
        <v>18</v>
      </c>
      <c r="I701" t="s">
        <v>32</v>
      </c>
      <c r="J701">
        <f>orders[[#This Row],[Ship Date]]-orders[[#This Row],[Order Date]]</f>
        <v>1</v>
      </c>
      <c r="K701">
        <f>WEEKNUM(orders[[#This Row],[Order Date]])</f>
        <v>5</v>
      </c>
      <c r="L701" t="str" cm="1">
        <f t="array" ref="L701">_xlfn.IFS(orders[[#This Row],[Customer Gender]]="M","Male", orders[[#This Row],[Customer Gender]]="F","Female", orders[[#This Row],[Customer Gender]]="O","Other", TRUE,"Unknown")</f>
        <v>Male</v>
      </c>
      <c r="M701">
        <v>3</v>
      </c>
      <c r="N701">
        <v>79.8</v>
      </c>
      <c r="O701">
        <v>239.39999999999998</v>
      </c>
    </row>
    <row r="702" spans="1:15" x14ac:dyDescent="0.3">
      <c r="A702" t="s">
        <v>793</v>
      </c>
      <c r="B702" t="s">
        <v>45</v>
      </c>
      <c r="C702" s="7">
        <v>45687</v>
      </c>
      <c r="D702" s="7">
        <v>45689</v>
      </c>
      <c r="E702" t="s">
        <v>26</v>
      </c>
      <c r="F702" t="s">
        <v>69</v>
      </c>
      <c r="G702">
        <v>5</v>
      </c>
      <c r="H702" t="s">
        <v>18</v>
      </c>
      <c r="I702" t="s">
        <v>32</v>
      </c>
      <c r="J702">
        <f>orders[[#This Row],[Ship Date]]-orders[[#This Row],[Order Date]]</f>
        <v>2</v>
      </c>
      <c r="K702">
        <f>WEEKNUM(orders[[#This Row],[Order Date]])</f>
        <v>5</v>
      </c>
      <c r="L702" t="str" cm="1">
        <f t="array" ref="L702">_xlfn.IFS(orders[[#This Row],[Customer Gender]]="M","Male", orders[[#This Row],[Customer Gender]]="F","Female", orders[[#This Row],[Customer Gender]]="O","Other", TRUE,"Unknown")</f>
        <v>Female</v>
      </c>
      <c r="M702">
        <v>1</v>
      </c>
      <c r="N702">
        <v>54.4</v>
      </c>
      <c r="O702" s="5">
        <v>54.4</v>
      </c>
    </row>
    <row r="703" spans="1:15" x14ac:dyDescent="0.3">
      <c r="A703" t="s">
        <v>794</v>
      </c>
      <c r="B703" t="s">
        <v>38</v>
      </c>
      <c r="C703" s="7">
        <v>45687</v>
      </c>
      <c r="D703" s="7">
        <v>45688</v>
      </c>
      <c r="E703" t="s">
        <v>22</v>
      </c>
      <c r="F703" t="s">
        <v>34</v>
      </c>
      <c r="G703">
        <v>4</v>
      </c>
      <c r="H703" t="s">
        <v>18</v>
      </c>
      <c r="I703" t="s">
        <v>32</v>
      </c>
      <c r="J703">
        <f>orders[[#This Row],[Ship Date]]-orders[[#This Row],[Order Date]]</f>
        <v>1</v>
      </c>
      <c r="K703">
        <f>WEEKNUM(orders[[#This Row],[Order Date]])</f>
        <v>5</v>
      </c>
      <c r="L703" t="str" cm="1">
        <f t="array" ref="L703">_xlfn.IFS(orders[[#This Row],[Customer Gender]]="M","Male", orders[[#This Row],[Customer Gender]]="F","Female", orders[[#This Row],[Customer Gender]]="O","Other", TRUE,"Unknown")</f>
        <v>Male</v>
      </c>
      <c r="M703">
        <v>1</v>
      </c>
      <c r="N703">
        <v>87.3</v>
      </c>
      <c r="O703">
        <v>87.3</v>
      </c>
    </row>
    <row r="704" spans="1:15" x14ac:dyDescent="0.3">
      <c r="A704" t="s">
        <v>795</v>
      </c>
      <c r="B704" t="s">
        <v>43</v>
      </c>
      <c r="C704" s="7">
        <v>45687</v>
      </c>
      <c r="D704" s="7">
        <v>45687</v>
      </c>
      <c r="E704" t="s">
        <v>22</v>
      </c>
      <c r="F704" t="s">
        <v>34</v>
      </c>
      <c r="G704">
        <v>4</v>
      </c>
      <c r="H704" t="s">
        <v>18</v>
      </c>
      <c r="I704" t="s">
        <v>32</v>
      </c>
      <c r="J704">
        <f>orders[[#This Row],[Ship Date]]-orders[[#This Row],[Order Date]]</f>
        <v>0</v>
      </c>
      <c r="K704">
        <f>WEEKNUM(orders[[#This Row],[Order Date]])</f>
        <v>5</v>
      </c>
      <c r="L704" t="str" cm="1">
        <f t="array" ref="L704">_xlfn.IFS(orders[[#This Row],[Customer Gender]]="M","Male", orders[[#This Row],[Customer Gender]]="F","Female", orders[[#This Row],[Customer Gender]]="O","Other", TRUE,"Unknown")</f>
        <v>Male</v>
      </c>
      <c r="M704">
        <v>4</v>
      </c>
      <c r="N704">
        <v>32.4</v>
      </c>
      <c r="O704" s="5">
        <v>129.6</v>
      </c>
    </row>
    <row r="705" spans="1:15" x14ac:dyDescent="0.3">
      <c r="A705" t="s">
        <v>796</v>
      </c>
      <c r="B705" t="s">
        <v>25</v>
      </c>
      <c r="C705" s="7">
        <v>45687</v>
      </c>
      <c r="D705" s="7">
        <v>45691</v>
      </c>
      <c r="E705" t="s">
        <v>22</v>
      </c>
      <c r="F705" t="s">
        <v>17</v>
      </c>
      <c r="G705">
        <v>5</v>
      </c>
      <c r="H705" t="s">
        <v>18</v>
      </c>
      <c r="I705" t="s">
        <v>32</v>
      </c>
      <c r="J705">
        <f>orders[[#This Row],[Ship Date]]-orders[[#This Row],[Order Date]]</f>
        <v>4</v>
      </c>
      <c r="K705">
        <f>WEEKNUM(orders[[#This Row],[Order Date]])</f>
        <v>5</v>
      </c>
      <c r="L705" t="str" cm="1">
        <f t="array" ref="L705">_xlfn.IFS(orders[[#This Row],[Customer Gender]]="M","Male", orders[[#This Row],[Customer Gender]]="F","Female", orders[[#This Row],[Customer Gender]]="O","Other", TRUE,"Unknown")</f>
        <v>Male</v>
      </c>
      <c r="M705">
        <v>1</v>
      </c>
      <c r="N705">
        <v>177.4</v>
      </c>
      <c r="O705">
        <v>177.4</v>
      </c>
    </row>
    <row r="706" spans="1:15" x14ac:dyDescent="0.3">
      <c r="A706" t="s">
        <v>797</v>
      </c>
      <c r="B706" t="s">
        <v>41</v>
      </c>
      <c r="C706" s="7">
        <v>45687</v>
      </c>
      <c r="D706" s="7">
        <v>45688</v>
      </c>
      <c r="E706" t="s">
        <v>22</v>
      </c>
      <c r="F706" t="s">
        <v>50</v>
      </c>
      <c r="G706">
        <v>3</v>
      </c>
      <c r="H706" t="s">
        <v>18</v>
      </c>
      <c r="I706" t="s">
        <v>32</v>
      </c>
      <c r="J706">
        <f>orders[[#This Row],[Ship Date]]-orders[[#This Row],[Order Date]]</f>
        <v>1</v>
      </c>
      <c r="K706">
        <f>WEEKNUM(orders[[#This Row],[Order Date]])</f>
        <v>5</v>
      </c>
      <c r="L706" t="str" cm="1">
        <f t="array" ref="L706">_xlfn.IFS(orders[[#This Row],[Customer Gender]]="M","Male", orders[[#This Row],[Customer Gender]]="F","Female", orders[[#This Row],[Customer Gender]]="O","Other", TRUE,"Unknown")</f>
        <v>Male</v>
      </c>
      <c r="M706">
        <v>2</v>
      </c>
      <c r="N706">
        <v>70.099999999999994</v>
      </c>
      <c r="O706" s="5">
        <v>140.19999999999999</v>
      </c>
    </row>
    <row r="707" spans="1:15" x14ac:dyDescent="0.3">
      <c r="A707" t="s">
        <v>798</v>
      </c>
      <c r="B707" t="s">
        <v>45</v>
      </c>
      <c r="C707" s="7">
        <v>45687</v>
      </c>
      <c r="D707" s="7">
        <v>45688</v>
      </c>
      <c r="E707" t="s">
        <v>26</v>
      </c>
      <c r="F707" t="s">
        <v>17</v>
      </c>
      <c r="G707">
        <v>4</v>
      </c>
      <c r="H707" t="s">
        <v>18</v>
      </c>
      <c r="I707" t="s">
        <v>32</v>
      </c>
      <c r="J707">
        <f>orders[[#This Row],[Ship Date]]-orders[[#This Row],[Order Date]]</f>
        <v>1</v>
      </c>
      <c r="K707">
        <f>WEEKNUM(orders[[#This Row],[Order Date]])</f>
        <v>5</v>
      </c>
      <c r="L707" t="str" cm="1">
        <f t="array" ref="L707">_xlfn.IFS(orders[[#This Row],[Customer Gender]]="M","Male", orders[[#This Row],[Customer Gender]]="F","Female", orders[[#This Row],[Customer Gender]]="O","Other", TRUE,"Unknown")</f>
        <v>Female</v>
      </c>
      <c r="M707">
        <v>6</v>
      </c>
      <c r="N707">
        <v>51.1</v>
      </c>
      <c r="O707">
        <v>306.60000000000002</v>
      </c>
    </row>
    <row r="708" spans="1:15" x14ac:dyDescent="0.3">
      <c r="A708" t="s">
        <v>799</v>
      </c>
      <c r="B708" t="s">
        <v>25</v>
      </c>
      <c r="C708" s="7">
        <v>45687</v>
      </c>
      <c r="D708" s="7">
        <v>45689</v>
      </c>
      <c r="E708" t="s">
        <v>22</v>
      </c>
      <c r="F708" t="s">
        <v>50</v>
      </c>
      <c r="G708">
        <v>5</v>
      </c>
      <c r="H708" t="s">
        <v>18</v>
      </c>
      <c r="I708" t="s">
        <v>185</v>
      </c>
      <c r="J708">
        <f>orders[[#This Row],[Ship Date]]-orders[[#This Row],[Order Date]]</f>
        <v>2</v>
      </c>
      <c r="K708">
        <f>WEEKNUM(orders[[#This Row],[Order Date]])</f>
        <v>5</v>
      </c>
      <c r="L708" t="str" cm="1">
        <f t="array" ref="L708">_xlfn.IFS(orders[[#This Row],[Customer Gender]]="M","Male", orders[[#This Row],[Customer Gender]]="F","Female", orders[[#This Row],[Customer Gender]]="O","Other", TRUE,"Unknown")</f>
        <v>Male</v>
      </c>
      <c r="M708">
        <v>5</v>
      </c>
      <c r="N708">
        <v>79.900000000000006</v>
      </c>
      <c r="O708" s="5">
        <v>399.5</v>
      </c>
    </row>
    <row r="709" spans="1:15" x14ac:dyDescent="0.3">
      <c r="A709" t="s">
        <v>800</v>
      </c>
      <c r="B709" t="s">
        <v>38</v>
      </c>
      <c r="C709" s="7">
        <v>45688</v>
      </c>
      <c r="D709" s="7">
        <v>45693</v>
      </c>
      <c r="E709" t="s">
        <v>22</v>
      </c>
      <c r="F709" t="s">
        <v>17</v>
      </c>
      <c r="G709">
        <v>5</v>
      </c>
      <c r="H709" t="s">
        <v>18</v>
      </c>
      <c r="I709" t="s">
        <v>801</v>
      </c>
      <c r="J709">
        <f>orders[[#This Row],[Ship Date]]-orders[[#This Row],[Order Date]]</f>
        <v>5</v>
      </c>
      <c r="K709">
        <f>WEEKNUM(orders[[#This Row],[Order Date]])</f>
        <v>5</v>
      </c>
      <c r="L709" t="str" cm="1">
        <f t="array" ref="L709">_xlfn.IFS(orders[[#This Row],[Customer Gender]]="M","Male", orders[[#This Row],[Customer Gender]]="F","Female", orders[[#This Row],[Customer Gender]]="O","Other", TRUE,"Unknown")</f>
        <v>Male</v>
      </c>
      <c r="M709">
        <v>1</v>
      </c>
      <c r="N709">
        <v>57.6</v>
      </c>
      <c r="O709">
        <v>57.6</v>
      </c>
    </row>
    <row r="710" spans="1:15" x14ac:dyDescent="0.3">
      <c r="A710" t="s">
        <v>802</v>
      </c>
      <c r="B710" t="s">
        <v>43</v>
      </c>
      <c r="C710" s="7">
        <v>45688</v>
      </c>
      <c r="D710" s="7">
        <v>45692</v>
      </c>
      <c r="E710" t="s">
        <v>22</v>
      </c>
      <c r="F710" t="s">
        <v>39</v>
      </c>
      <c r="G710">
        <v>4</v>
      </c>
      <c r="H710" t="s">
        <v>18</v>
      </c>
      <c r="I710" t="s">
        <v>187</v>
      </c>
      <c r="J710">
        <f>orders[[#This Row],[Ship Date]]-orders[[#This Row],[Order Date]]</f>
        <v>4</v>
      </c>
      <c r="K710">
        <f>WEEKNUM(orders[[#This Row],[Order Date]])</f>
        <v>5</v>
      </c>
      <c r="L710" t="str" cm="1">
        <f t="array" ref="L710">_xlfn.IFS(orders[[#This Row],[Customer Gender]]="M","Male", orders[[#This Row],[Customer Gender]]="F","Female", orders[[#This Row],[Customer Gender]]="O","Other", TRUE,"Unknown")</f>
        <v>Male</v>
      </c>
      <c r="M710">
        <v>10</v>
      </c>
      <c r="N710">
        <v>59.7</v>
      </c>
      <c r="O710" s="5">
        <v>597</v>
      </c>
    </row>
    <row r="711" spans="1:15" x14ac:dyDescent="0.3">
      <c r="A711" t="s">
        <v>803</v>
      </c>
      <c r="B711" t="s">
        <v>43</v>
      </c>
      <c r="C711" s="7">
        <v>45688</v>
      </c>
      <c r="D711" s="7">
        <v>45690</v>
      </c>
      <c r="E711" t="s">
        <v>22</v>
      </c>
      <c r="F711" t="s">
        <v>34</v>
      </c>
      <c r="G711">
        <v>4</v>
      </c>
      <c r="H711" t="s">
        <v>18</v>
      </c>
      <c r="I711" t="s">
        <v>54</v>
      </c>
      <c r="J711">
        <f>orders[[#This Row],[Ship Date]]-orders[[#This Row],[Order Date]]</f>
        <v>2</v>
      </c>
      <c r="K711">
        <f>WEEKNUM(orders[[#This Row],[Order Date]])</f>
        <v>5</v>
      </c>
      <c r="L711" t="str" cm="1">
        <f t="array" ref="L711">_xlfn.IFS(orders[[#This Row],[Customer Gender]]="M","Male", orders[[#This Row],[Customer Gender]]="F","Female", orders[[#This Row],[Customer Gender]]="O","Other", TRUE,"Unknown")</f>
        <v>Male</v>
      </c>
      <c r="M711">
        <v>5</v>
      </c>
      <c r="N711">
        <v>30</v>
      </c>
      <c r="O711">
        <v>150</v>
      </c>
    </row>
    <row r="712" spans="1:15" x14ac:dyDescent="0.3">
      <c r="A712" t="s">
        <v>804</v>
      </c>
      <c r="B712" t="s">
        <v>53</v>
      </c>
      <c r="C712" s="7">
        <v>45688</v>
      </c>
      <c r="D712" s="7">
        <v>45690</v>
      </c>
      <c r="E712" t="s">
        <v>2517</v>
      </c>
      <c r="F712" t="s">
        <v>39</v>
      </c>
      <c r="G712">
        <v>3</v>
      </c>
      <c r="H712" t="s">
        <v>18</v>
      </c>
      <c r="I712" t="s">
        <v>54</v>
      </c>
      <c r="J712">
        <f>orders[[#This Row],[Ship Date]]-orders[[#This Row],[Order Date]]</f>
        <v>2</v>
      </c>
      <c r="K712">
        <f>WEEKNUM(orders[[#This Row],[Order Date]])</f>
        <v>5</v>
      </c>
      <c r="L712" t="str" cm="1">
        <f t="array" ref="L712">_xlfn.IFS(orders[[#This Row],[Customer Gender]]="M","Male", orders[[#This Row],[Customer Gender]]="F","Female", orders[[#This Row],[Customer Gender]]="O","Other", TRUE,"Unknown")</f>
        <v>Unknown</v>
      </c>
      <c r="M712">
        <v>2</v>
      </c>
      <c r="N712">
        <v>69.2</v>
      </c>
      <c r="O712" s="5">
        <v>138.4</v>
      </c>
    </row>
    <row r="713" spans="1:15" x14ac:dyDescent="0.3">
      <c r="A713" t="s">
        <v>805</v>
      </c>
      <c r="B713" t="s">
        <v>16</v>
      </c>
      <c r="C713" s="7">
        <v>45688</v>
      </c>
      <c r="D713" s="7">
        <v>45689</v>
      </c>
      <c r="E713" t="s">
        <v>26</v>
      </c>
      <c r="F713" t="s">
        <v>17</v>
      </c>
      <c r="G713">
        <v>5</v>
      </c>
      <c r="H713" t="s">
        <v>18</v>
      </c>
      <c r="I713" t="s">
        <v>54</v>
      </c>
      <c r="J713">
        <f>orders[[#This Row],[Ship Date]]-orders[[#This Row],[Order Date]]</f>
        <v>1</v>
      </c>
      <c r="K713">
        <f>WEEKNUM(orders[[#This Row],[Order Date]])</f>
        <v>5</v>
      </c>
      <c r="L713" t="str" cm="1">
        <f t="array" ref="L713">_xlfn.IFS(orders[[#This Row],[Customer Gender]]="M","Male", orders[[#This Row],[Customer Gender]]="F","Female", orders[[#This Row],[Customer Gender]]="O","Other", TRUE,"Unknown")</f>
        <v>Female</v>
      </c>
      <c r="M713">
        <v>8</v>
      </c>
      <c r="N713">
        <v>10.9</v>
      </c>
      <c r="O713">
        <v>87.2</v>
      </c>
    </row>
    <row r="714" spans="1:15" x14ac:dyDescent="0.3">
      <c r="A714" t="s">
        <v>806</v>
      </c>
      <c r="B714" t="s">
        <v>127</v>
      </c>
      <c r="C714" s="7">
        <v>45688</v>
      </c>
      <c r="D714" s="7">
        <v>45692</v>
      </c>
      <c r="E714" t="s">
        <v>22</v>
      </c>
      <c r="F714" t="s">
        <v>34</v>
      </c>
      <c r="G714">
        <v>5</v>
      </c>
      <c r="H714" t="s">
        <v>18</v>
      </c>
      <c r="I714" t="s">
        <v>54</v>
      </c>
      <c r="J714">
        <f>orders[[#This Row],[Ship Date]]-orders[[#This Row],[Order Date]]</f>
        <v>4</v>
      </c>
      <c r="K714">
        <f>WEEKNUM(orders[[#This Row],[Order Date]])</f>
        <v>5</v>
      </c>
      <c r="L714" t="str" cm="1">
        <f t="array" ref="L714">_xlfn.IFS(orders[[#This Row],[Customer Gender]]="M","Male", orders[[#This Row],[Customer Gender]]="F","Female", orders[[#This Row],[Customer Gender]]="O","Other", TRUE,"Unknown")</f>
        <v>Male</v>
      </c>
      <c r="M714">
        <v>2</v>
      </c>
      <c r="N714">
        <v>48.6</v>
      </c>
      <c r="O714" s="5">
        <v>97.2</v>
      </c>
    </row>
    <row r="715" spans="1:15" x14ac:dyDescent="0.3">
      <c r="A715" t="s">
        <v>807</v>
      </c>
      <c r="B715" t="s">
        <v>25</v>
      </c>
      <c r="C715" s="7">
        <v>45688</v>
      </c>
      <c r="D715" s="7">
        <v>45691</v>
      </c>
      <c r="E715" t="s">
        <v>26</v>
      </c>
      <c r="F715" t="s">
        <v>34</v>
      </c>
      <c r="G715">
        <v>5</v>
      </c>
      <c r="H715" t="s">
        <v>18</v>
      </c>
      <c r="I715" t="s">
        <v>58</v>
      </c>
      <c r="J715">
        <f>orders[[#This Row],[Ship Date]]-orders[[#This Row],[Order Date]]</f>
        <v>3</v>
      </c>
      <c r="K715">
        <f>WEEKNUM(orders[[#This Row],[Order Date]])</f>
        <v>5</v>
      </c>
      <c r="L715" t="str" cm="1">
        <f t="array" ref="L715">_xlfn.IFS(orders[[#This Row],[Customer Gender]]="M","Male", orders[[#This Row],[Customer Gender]]="F","Female", orders[[#This Row],[Customer Gender]]="O","Other", TRUE,"Unknown")</f>
        <v>Female</v>
      </c>
      <c r="M715">
        <v>2</v>
      </c>
      <c r="N715">
        <v>61.1</v>
      </c>
      <c r="O715">
        <v>122.2</v>
      </c>
    </row>
    <row r="716" spans="1:15" x14ac:dyDescent="0.3">
      <c r="A716" t="s">
        <v>808</v>
      </c>
      <c r="B716" t="s">
        <v>43</v>
      </c>
      <c r="C716" s="7">
        <v>45688</v>
      </c>
      <c r="D716" s="7">
        <v>45689</v>
      </c>
      <c r="E716" t="s">
        <v>22</v>
      </c>
      <c r="F716" t="s">
        <v>50</v>
      </c>
      <c r="G716">
        <v>5</v>
      </c>
      <c r="H716" t="s">
        <v>18</v>
      </c>
      <c r="I716" t="s">
        <v>61</v>
      </c>
      <c r="J716">
        <f>orders[[#This Row],[Ship Date]]-orders[[#This Row],[Order Date]]</f>
        <v>1</v>
      </c>
      <c r="K716">
        <f>WEEKNUM(orders[[#This Row],[Order Date]])</f>
        <v>5</v>
      </c>
      <c r="L716" t="str" cm="1">
        <f t="array" ref="L716">_xlfn.IFS(orders[[#This Row],[Customer Gender]]="M","Male", orders[[#This Row],[Customer Gender]]="F","Female", orders[[#This Row],[Customer Gender]]="O","Other", TRUE,"Unknown")</f>
        <v>Male</v>
      </c>
      <c r="M716">
        <v>2</v>
      </c>
      <c r="N716">
        <v>23.2</v>
      </c>
      <c r="O716" s="5">
        <v>46.4</v>
      </c>
    </row>
    <row r="717" spans="1:15" x14ac:dyDescent="0.3">
      <c r="A717" t="s">
        <v>809</v>
      </c>
      <c r="B717" t="s">
        <v>68</v>
      </c>
      <c r="C717" s="7">
        <v>45688</v>
      </c>
      <c r="D717" s="7">
        <v>45689</v>
      </c>
      <c r="E717" t="s">
        <v>22</v>
      </c>
      <c r="F717" t="s">
        <v>17</v>
      </c>
      <c r="G717">
        <v>4</v>
      </c>
      <c r="H717" t="s">
        <v>18</v>
      </c>
      <c r="I717" t="s">
        <v>61</v>
      </c>
      <c r="J717">
        <f>orders[[#This Row],[Ship Date]]-orders[[#This Row],[Order Date]]</f>
        <v>1</v>
      </c>
      <c r="K717">
        <f>WEEKNUM(orders[[#This Row],[Order Date]])</f>
        <v>5</v>
      </c>
      <c r="L717" t="str" cm="1">
        <f t="array" ref="L717">_xlfn.IFS(orders[[#This Row],[Customer Gender]]="M","Male", orders[[#This Row],[Customer Gender]]="F","Female", orders[[#This Row],[Customer Gender]]="O","Other", TRUE,"Unknown")</f>
        <v>Male</v>
      </c>
      <c r="M717">
        <v>4</v>
      </c>
      <c r="N717">
        <v>55.8</v>
      </c>
      <c r="O717">
        <v>223.2</v>
      </c>
    </row>
    <row r="718" spans="1:15" x14ac:dyDescent="0.3">
      <c r="A718" t="s">
        <v>810</v>
      </c>
      <c r="B718" t="s">
        <v>45</v>
      </c>
      <c r="C718" s="7">
        <v>45688</v>
      </c>
      <c r="D718" s="7">
        <v>45689</v>
      </c>
      <c r="E718" t="s">
        <v>26</v>
      </c>
      <c r="F718" t="s">
        <v>17</v>
      </c>
      <c r="G718">
        <v>5</v>
      </c>
      <c r="H718" t="s">
        <v>18</v>
      </c>
      <c r="I718" t="s">
        <v>61</v>
      </c>
      <c r="J718">
        <f>orders[[#This Row],[Ship Date]]-orders[[#This Row],[Order Date]]</f>
        <v>1</v>
      </c>
      <c r="K718">
        <f>WEEKNUM(orders[[#This Row],[Order Date]])</f>
        <v>5</v>
      </c>
      <c r="L718" t="str" cm="1">
        <f t="array" ref="L718">_xlfn.IFS(orders[[#This Row],[Customer Gender]]="M","Male", orders[[#This Row],[Customer Gender]]="F","Female", orders[[#This Row],[Customer Gender]]="O","Other", TRUE,"Unknown")</f>
        <v>Female</v>
      </c>
      <c r="M718">
        <v>4</v>
      </c>
      <c r="N718">
        <v>24.8</v>
      </c>
      <c r="O718" s="5">
        <v>99.2</v>
      </c>
    </row>
    <row r="719" spans="1:15" x14ac:dyDescent="0.3">
      <c r="A719" t="s">
        <v>811</v>
      </c>
      <c r="B719" t="s">
        <v>53</v>
      </c>
      <c r="C719" s="7">
        <v>45688</v>
      </c>
      <c r="D719" s="7">
        <v>45688</v>
      </c>
      <c r="E719" t="s">
        <v>22</v>
      </c>
      <c r="F719" t="s">
        <v>39</v>
      </c>
      <c r="G719">
        <v>5</v>
      </c>
      <c r="H719" t="s">
        <v>18</v>
      </c>
      <c r="I719" t="s">
        <v>61</v>
      </c>
      <c r="J719">
        <f>orders[[#This Row],[Ship Date]]-orders[[#This Row],[Order Date]]</f>
        <v>0</v>
      </c>
      <c r="K719">
        <f>WEEKNUM(orders[[#This Row],[Order Date]])</f>
        <v>5</v>
      </c>
      <c r="L719" t="str" cm="1">
        <f t="array" ref="L719">_xlfn.IFS(orders[[#This Row],[Customer Gender]]="M","Male", orders[[#This Row],[Customer Gender]]="F","Female", orders[[#This Row],[Customer Gender]]="O","Other", TRUE,"Unknown")</f>
        <v>Male</v>
      </c>
      <c r="M719">
        <v>2</v>
      </c>
      <c r="N719">
        <v>27.9</v>
      </c>
      <c r="O719">
        <v>55.8</v>
      </c>
    </row>
    <row r="720" spans="1:15" x14ac:dyDescent="0.3">
      <c r="A720" t="s">
        <v>812</v>
      </c>
      <c r="B720" t="s">
        <v>53</v>
      </c>
      <c r="C720" s="7">
        <v>45688</v>
      </c>
      <c r="D720" s="7">
        <v>45688</v>
      </c>
      <c r="E720" t="s">
        <v>26</v>
      </c>
      <c r="F720" t="s">
        <v>50</v>
      </c>
      <c r="G720">
        <v>4</v>
      </c>
      <c r="H720" t="s">
        <v>18</v>
      </c>
      <c r="I720" t="s">
        <v>61</v>
      </c>
      <c r="J720">
        <f>orders[[#This Row],[Ship Date]]-orders[[#This Row],[Order Date]]</f>
        <v>0</v>
      </c>
      <c r="K720">
        <f>WEEKNUM(orders[[#This Row],[Order Date]])</f>
        <v>5</v>
      </c>
      <c r="L720" t="str" cm="1">
        <f t="array" ref="L720">_xlfn.IFS(orders[[#This Row],[Customer Gender]]="M","Male", orders[[#This Row],[Customer Gender]]="F","Female", orders[[#This Row],[Customer Gender]]="O","Other", TRUE,"Unknown")</f>
        <v>Female</v>
      </c>
      <c r="M720">
        <v>6</v>
      </c>
      <c r="N720">
        <v>51.1</v>
      </c>
      <c r="O720" s="5">
        <v>306.60000000000002</v>
      </c>
    </row>
    <row r="721" spans="1:15" x14ac:dyDescent="0.3">
      <c r="A721" t="s">
        <v>813</v>
      </c>
      <c r="B721" t="s">
        <v>134</v>
      </c>
      <c r="C721" s="7">
        <v>45688</v>
      </c>
      <c r="D721" s="7">
        <v>45689</v>
      </c>
      <c r="E721" t="s">
        <v>22</v>
      </c>
      <c r="F721" t="s">
        <v>69</v>
      </c>
      <c r="G721">
        <v>5</v>
      </c>
      <c r="H721" t="s">
        <v>18</v>
      </c>
      <c r="I721" t="s">
        <v>102</v>
      </c>
      <c r="J721">
        <f>orders[[#This Row],[Ship Date]]-orders[[#This Row],[Order Date]]</f>
        <v>1</v>
      </c>
      <c r="K721">
        <f>WEEKNUM(orders[[#This Row],[Order Date]])</f>
        <v>5</v>
      </c>
      <c r="L721" t="str" cm="1">
        <f t="array" ref="L721">_xlfn.IFS(orders[[#This Row],[Customer Gender]]="M","Male", orders[[#This Row],[Customer Gender]]="F","Female", orders[[#This Row],[Customer Gender]]="O","Other", TRUE,"Unknown")</f>
        <v>Male</v>
      </c>
      <c r="M721">
        <v>11</v>
      </c>
      <c r="N721">
        <v>32.700000000000003</v>
      </c>
      <c r="O721">
        <v>359.70000000000005</v>
      </c>
    </row>
    <row r="722" spans="1:15" x14ac:dyDescent="0.3">
      <c r="A722" t="s">
        <v>814</v>
      </c>
      <c r="B722" t="s">
        <v>43</v>
      </c>
      <c r="C722" s="7">
        <v>45688</v>
      </c>
      <c r="D722" s="7">
        <v>45688</v>
      </c>
      <c r="E722" t="s">
        <v>22</v>
      </c>
      <c r="F722" t="s">
        <v>17</v>
      </c>
      <c r="G722">
        <v>5</v>
      </c>
      <c r="H722" t="s">
        <v>18</v>
      </c>
      <c r="I722" t="s">
        <v>200</v>
      </c>
      <c r="J722">
        <f>orders[[#This Row],[Ship Date]]-orders[[#This Row],[Order Date]]</f>
        <v>0</v>
      </c>
      <c r="K722">
        <f>WEEKNUM(orders[[#This Row],[Order Date]])</f>
        <v>5</v>
      </c>
      <c r="L722" t="str" cm="1">
        <f t="array" ref="L722">_xlfn.IFS(orders[[#This Row],[Customer Gender]]="M","Male", orders[[#This Row],[Customer Gender]]="F","Female", orders[[#This Row],[Customer Gender]]="O","Other", TRUE,"Unknown")</f>
        <v>Male</v>
      </c>
      <c r="M722">
        <v>4</v>
      </c>
      <c r="N722">
        <v>22.5</v>
      </c>
      <c r="O722" s="5">
        <v>90</v>
      </c>
    </row>
    <row r="723" spans="1:15" x14ac:dyDescent="0.3">
      <c r="A723" t="s">
        <v>815</v>
      </c>
      <c r="B723" t="s">
        <v>16</v>
      </c>
      <c r="C723" s="7">
        <v>45688</v>
      </c>
      <c r="D723" s="7">
        <v>45689</v>
      </c>
      <c r="E723" t="s">
        <v>26</v>
      </c>
      <c r="F723" t="s">
        <v>39</v>
      </c>
      <c r="G723">
        <v>4</v>
      </c>
      <c r="H723" t="s">
        <v>18</v>
      </c>
      <c r="I723" t="s">
        <v>428</v>
      </c>
      <c r="J723">
        <f>orders[[#This Row],[Ship Date]]-orders[[#This Row],[Order Date]]</f>
        <v>1</v>
      </c>
      <c r="K723">
        <f>WEEKNUM(orders[[#This Row],[Order Date]])</f>
        <v>5</v>
      </c>
      <c r="L723" t="str" cm="1">
        <f t="array" ref="L723">_xlfn.IFS(orders[[#This Row],[Customer Gender]]="M","Male", orders[[#This Row],[Customer Gender]]="F","Female", orders[[#This Row],[Customer Gender]]="O","Other", TRUE,"Unknown")</f>
        <v>Female</v>
      </c>
      <c r="M723">
        <v>7</v>
      </c>
      <c r="N723">
        <v>14.6</v>
      </c>
      <c r="O723">
        <v>102.2</v>
      </c>
    </row>
    <row r="724" spans="1:15" x14ac:dyDescent="0.3">
      <c r="A724" t="s">
        <v>816</v>
      </c>
      <c r="B724" t="s">
        <v>36</v>
      </c>
      <c r="C724" s="7">
        <v>45688</v>
      </c>
      <c r="D724" s="7">
        <v>45691</v>
      </c>
      <c r="E724" t="s">
        <v>22</v>
      </c>
      <c r="F724" t="s">
        <v>17</v>
      </c>
      <c r="G724">
        <v>4</v>
      </c>
      <c r="H724" t="s">
        <v>18</v>
      </c>
      <c r="I724" t="s">
        <v>73</v>
      </c>
      <c r="J724">
        <f>orders[[#This Row],[Ship Date]]-orders[[#This Row],[Order Date]]</f>
        <v>3</v>
      </c>
      <c r="K724">
        <f>WEEKNUM(orders[[#This Row],[Order Date]])</f>
        <v>5</v>
      </c>
      <c r="L724" t="str" cm="1">
        <f t="array" ref="L724">_xlfn.IFS(orders[[#This Row],[Customer Gender]]="M","Male", orders[[#This Row],[Customer Gender]]="F","Female", orders[[#This Row],[Customer Gender]]="O","Other", TRUE,"Unknown")</f>
        <v>Male</v>
      </c>
      <c r="M724">
        <v>3</v>
      </c>
      <c r="N724">
        <v>32.5</v>
      </c>
      <c r="O724" s="5">
        <v>97.5</v>
      </c>
    </row>
    <row r="725" spans="1:15" x14ac:dyDescent="0.3">
      <c r="A725" t="s">
        <v>817</v>
      </c>
      <c r="B725" t="s">
        <v>145</v>
      </c>
      <c r="C725" s="7">
        <v>45688</v>
      </c>
      <c r="D725" s="7">
        <v>45691</v>
      </c>
      <c r="E725" t="s">
        <v>22</v>
      </c>
      <c r="F725" t="s">
        <v>17</v>
      </c>
      <c r="G725">
        <v>5</v>
      </c>
      <c r="H725" t="s">
        <v>18</v>
      </c>
      <c r="I725" t="s">
        <v>76</v>
      </c>
      <c r="J725">
        <f>orders[[#This Row],[Ship Date]]-orders[[#This Row],[Order Date]]</f>
        <v>3</v>
      </c>
      <c r="K725">
        <f>WEEKNUM(orders[[#This Row],[Order Date]])</f>
        <v>5</v>
      </c>
      <c r="L725" t="str" cm="1">
        <f t="array" ref="L725">_xlfn.IFS(orders[[#This Row],[Customer Gender]]="M","Male", orders[[#This Row],[Customer Gender]]="F","Female", orders[[#This Row],[Customer Gender]]="O","Other", TRUE,"Unknown")</f>
        <v>Male</v>
      </c>
      <c r="M725">
        <v>1</v>
      </c>
      <c r="N725">
        <v>78.099999999999994</v>
      </c>
      <c r="O725">
        <v>78.099999999999994</v>
      </c>
    </row>
    <row r="726" spans="1:15" x14ac:dyDescent="0.3">
      <c r="A726" t="s">
        <v>818</v>
      </c>
      <c r="B726" t="s">
        <v>68</v>
      </c>
      <c r="C726" s="7">
        <v>45688</v>
      </c>
      <c r="D726" s="7">
        <v>45688</v>
      </c>
      <c r="E726" t="s">
        <v>22</v>
      </c>
      <c r="F726" t="s">
        <v>34</v>
      </c>
      <c r="G726">
        <v>2</v>
      </c>
      <c r="H726" t="s">
        <v>18</v>
      </c>
      <c r="I726" t="s">
        <v>81</v>
      </c>
      <c r="J726">
        <f>orders[[#This Row],[Ship Date]]-orders[[#This Row],[Order Date]]</f>
        <v>0</v>
      </c>
      <c r="K726">
        <f>WEEKNUM(orders[[#This Row],[Order Date]])</f>
        <v>5</v>
      </c>
      <c r="L726" t="str" cm="1">
        <f t="array" ref="L726">_xlfn.IFS(orders[[#This Row],[Customer Gender]]="M","Male", orders[[#This Row],[Customer Gender]]="F","Female", orders[[#This Row],[Customer Gender]]="O","Other", TRUE,"Unknown")</f>
        <v>Male</v>
      </c>
      <c r="M726">
        <v>6</v>
      </c>
      <c r="N726">
        <v>110.2</v>
      </c>
      <c r="O726" s="5">
        <v>661.2</v>
      </c>
    </row>
    <row r="727" spans="1:15" x14ac:dyDescent="0.3">
      <c r="A727" t="s">
        <v>819</v>
      </c>
      <c r="B727" t="s">
        <v>38</v>
      </c>
      <c r="C727" s="7">
        <v>45688</v>
      </c>
      <c r="D727" s="7">
        <v>45690</v>
      </c>
      <c r="E727" t="s">
        <v>26</v>
      </c>
      <c r="F727" t="s">
        <v>50</v>
      </c>
      <c r="G727">
        <v>4</v>
      </c>
      <c r="H727" t="s">
        <v>18</v>
      </c>
      <c r="I727" t="s">
        <v>114</v>
      </c>
      <c r="J727">
        <f>orders[[#This Row],[Ship Date]]-orders[[#This Row],[Order Date]]</f>
        <v>2</v>
      </c>
      <c r="K727">
        <f>WEEKNUM(orders[[#This Row],[Order Date]])</f>
        <v>5</v>
      </c>
      <c r="L727" t="str" cm="1">
        <f t="array" ref="L727">_xlfn.IFS(orders[[#This Row],[Customer Gender]]="M","Male", orders[[#This Row],[Customer Gender]]="F","Female", orders[[#This Row],[Customer Gender]]="O","Other", TRUE,"Unknown")</f>
        <v>Female</v>
      </c>
      <c r="M727">
        <v>3</v>
      </c>
      <c r="N727">
        <v>86.3</v>
      </c>
      <c r="O727">
        <v>258.89999999999998</v>
      </c>
    </row>
    <row r="728" spans="1:15" x14ac:dyDescent="0.3">
      <c r="A728" t="s">
        <v>820</v>
      </c>
      <c r="B728" t="s">
        <v>21</v>
      </c>
      <c r="C728" s="7">
        <v>45688</v>
      </c>
      <c r="D728" s="7">
        <v>45690</v>
      </c>
      <c r="E728" t="s">
        <v>88</v>
      </c>
      <c r="F728" t="s">
        <v>50</v>
      </c>
      <c r="G728">
        <v>2</v>
      </c>
      <c r="H728" t="s">
        <v>18</v>
      </c>
      <c r="I728" t="s">
        <v>586</v>
      </c>
      <c r="J728">
        <f>orders[[#This Row],[Ship Date]]-orders[[#This Row],[Order Date]]</f>
        <v>2</v>
      </c>
      <c r="K728">
        <f>WEEKNUM(orders[[#This Row],[Order Date]])</f>
        <v>5</v>
      </c>
      <c r="L728" t="str" cm="1">
        <f t="array" ref="L728">_xlfn.IFS(orders[[#This Row],[Customer Gender]]="M","Male", orders[[#This Row],[Customer Gender]]="F","Female", orders[[#This Row],[Customer Gender]]="O","Other", TRUE,"Unknown")</f>
        <v>Other</v>
      </c>
      <c r="M728">
        <v>6</v>
      </c>
      <c r="N728">
        <v>73.599999999999994</v>
      </c>
      <c r="O728" s="5">
        <v>441.59999999999997</v>
      </c>
    </row>
    <row r="729" spans="1:15" x14ac:dyDescent="0.3">
      <c r="A729" t="s">
        <v>821</v>
      </c>
      <c r="B729" t="s">
        <v>38</v>
      </c>
      <c r="C729" s="7">
        <v>45688</v>
      </c>
      <c r="D729" s="7">
        <v>45690</v>
      </c>
      <c r="E729" t="s">
        <v>26</v>
      </c>
      <c r="F729" t="s">
        <v>17</v>
      </c>
      <c r="G729">
        <v>5</v>
      </c>
      <c r="H729" t="s">
        <v>18</v>
      </c>
      <c r="I729" t="s">
        <v>32</v>
      </c>
      <c r="J729">
        <f>orders[[#This Row],[Ship Date]]-orders[[#This Row],[Order Date]]</f>
        <v>2</v>
      </c>
      <c r="K729">
        <f>WEEKNUM(orders[[#This Row],[Order Date]])</f>
        <v>5</v>
      </c>
      <c r="L729" t="str" cm="1">
        <f t="array" ref="L729">_xlfn.IFS(orders[[#This Row],[Customer Gender]]="M","Male", orders[[#This Row],[Customer Gender]]="F","Female", orders[[#This Row],[Customer Gender]]="O","Other", TRUE,"Unknown")</f>
        <v>Female</v>
      </c>
      <c r="M729">
        <v>13</v>
      </c>
      <c r="N729">
        <v>67.7</v>
      </c>
      <c r="O729">
        <v>880.1</v>
      </c>
    </row>
    <row r="730" spans="1:15" x14ac:dyDescent="0.3">
      <c r="A730" t="s">
        <v>822</v>
      </c>
      <c r="B730" t="s">
        <v>41</v>
      </c>
      <c r="C730" s="7">
        <v>45688</v>
      </c>
      <c r="D730" s="7">
        <v>45689</v>
      </c>
      <c r="E730" t="s">
        <v>26</v>
      </c>
      <c r="F730" t="s">
        <v>39</v>
      </c>
      <c r="G730">
        <v>2</v>
      </c>
      <c r="H730" t="s">
        <v>18</v>
      </c>
      <c r="I730" t="s">
        <v>32</v>
      </c>
      <c r="J730">
        <f>orders[[#This Row],[Ship Date]]-orders[[#This Row],[Order Date]]</f>
        <v>1</v>
      </c>
      <c r="K730">
        <f>WEEKNUM(orders[[#This Row],[Order Date]])</f>
        <v>5</v>
      </c>
      <c r="L730" t="str" cm="1">
        <f t="array" ref="L730">_xlfn.IFS(orders[[#This Row],[Customer Gender]]="M","Male", orders[[#This Row],[Customer Gender]]="F","Female", orders[[#This Row],[Customer Gender]]="O","Other", TRUE,"Unknown")</f>
        <v>Female</v>
      </c>
      <c r="M730">
        <v>6</v>
      </c>
      <c r="N730">
        <v>142.19999999999999</v>
      </c>
      <c r="O730" s="5">
        <v>853.19999999999993</v>
      </c>
    </row>
    <row r="731" spans="1:15" x14ac:dyDescent="0.3">
      <c r="A731" t="s">
        <v>823</v>
      </c>
      <c r="B731" t="s">
        <v>21</v>
      </c>
      <c r="C731" s="7">
        <v>45688</v>
      </c>
      <c r="D731" s="7">
        <v>45690</v>
      </c>
      <c r="E731" t="s">
        <v>26</v>
      </c>
      <c r="F731" t="s">
        <v>34</v>
      </c>
      <c r="G731">
        <v>5</v>
      </c>
      <c r="H731" t="s">
        <v>18</v>
      </c>
      <c r="I731" t="s">
        <v>32</v>
      </c>
      <c r="J731">
        <f>orders[[#This Row],[Ship Date]]-orders[[#This Row],[Order Date]]</f>
        <v>2</v>
      </c>
      <c r="K731">
        <f>WEEKNUM(orders[[#This Row],[Order Date]])</f>
        <v>5</v>
      </c>
      <c r="L731" t="str" cm="1">
        <f t="array" ref="L731">_xlfn.IFS(orders[[#This Row],[Customer Gender]]="M","Male", orders[[#This Row],[Customer Gender]]="F","Female", orders[[#This Row],[Customer Gender]]="O","Other", TRUE,"Unknown")</f>
        <v>Female</v>
      </c>
      <c r="M731">
        <v>9</v>
      </c>
      <c r="N731">
        <v>45.8</v>
      </c>
      <c r="O731">
        <v>412.2</v>
      </c>
    </row>
    <row r="732" spans="1:15" x14ac:dyDescent="0.3">
      <c r="A732" t="s">
        <v>824</v>
      </c>
      <c r="B732" t="s">
        <v>53</v>
      </c>
      <c r="C732" s="7">
        <v>45689</v>
      </c>
      <c r="D732" s="7">
        <v>45692</v>
      </c>
      <c r="E732" t="s">
        <v>26</v>
      </c>
      <c r="F732" t="s">
        <v>50</v>
      </c>
      <c r="G732">
        <v>5</v>
      </c>
      <c r="H732" t="s">
        <v>18</v>
      </c>
      <c r="I732" t="s">
        <v>32</v>
      </c>
      <c r="J732">
        <f>orders[[#This Row],[Ship Date]]-orders[[#This Row],[Order Date]]</f>
        <v>3</v>
      </c>
      <c r="K732">
        <f>WEEKNUM(orders[[#This Row],[Order Date]])</f>
        <v>5</v>
      </c>
      <c r="L732" t="str" cm="1">
        <f t="array" ref="L732">_xlfn.IFS(orders[[#This Row],[Customer Gender]]="M","Male", orders[[#This Row],[Customer Gender]]="F","Female", orders[[#This Row],[Customer Gender]]="O","Other", TRUE,"Unknown")</f>
        <v>Female</v>
      </c>
      <c r="M732">
        <v>2</v>
      </c>
      <c r="N732">
        <v>24.2</v>
      </c>
      <c r="O732" s="5">
        <v>48.4</v>
      </c>
    </row>
    <row r="733" spans="1:15" x14ac:dyDescent="0.3">
      <c r="A733" t="s">
        <v>825</v>
      </c>
      <c r="B733" t="s">
        <v>25</v>
      </c>
      <c r="C733" s="7">
        <v>45689</v>
      </c>
      <c r="D733" s="7">
        <v>45690</v>
      </c>
      <c r="E733" t="s">
        <v>88</v>
      </c>
      <c r="F733" t="s">
        <v>39</v>
      </c>
      <c r="G733">
        <v>5</v>
      </c>
      <c r="H733" t="s">
        <v>18</v>
      </c>
      <c r="I733" t="s">
        <v>32</v>
      </c>
      <c r="J733">
        <f>orders[[#This Row],[Ship Date]]-orders[[#This Row],[Order Date]]</f>
        <v>1</v>
      </c>
      <c r="K733">
        <f>WEEKNUM(orders[[#This Row],[Order Date]])</f>
        <v>5</v>
      </c>
      <c r="L733" t="str" cm="1">
        <f t="array" ref="L733">_xlfn.IFS(orders[[#This Row],[Customer Gender]]="M","Male", orders[[#This Row],[Customer Gender]]="F","Female", orders[[#This Row],[Customer Gender]]="O","Other", TRUE,"Unknown")</f>
        <v>Other</v>
      </c>
      <c r="M733">
        <v>3</v>
      </c>
      <c r="N733">
        <v>144.9</v>
      </c>
      <c r="O733">
        <v>434.70000000000005</v>
      </c>
    </row>
    <row r="734" spans="1:15" x14ac:dyDescent="0.3">
      <c r="A734" t="s">
        <v>826</v>
      </c>
      <c r="B734" t="s">
        <v>66</v>
      </c>
      <c r="C734" s="7">
        <v>45689</v>
      </c>
      <c r="D734" s="7">
        <v>45692</v>
      </c>
      <c r="E734" t="s">
        <v>26</v>
      </c>
      <c r="F734" t="s">
        <v>39</v>
      </c>
      <c r="G734">
        <v>4</v>
      </c>
      <c r="H734" t="s">
        <v>18</v>
      </c>
      <c r="I734" t="s">
        <v>157</v>
      </c>
      <c r="J734">
        <f>orders[[#This Row],[Ship Date]]-orders[[#This Row],[Order Date]]</f>
        <v>3</v>
      </c>
      <c r="K734">
        <f>WEEKNUM(orders[[#This Row],[Order Date]])</f>
        <v>5</v>
      </c>
      <c r="L734" t="str" cm="1">
        <f t="array" ref="L734">_xlfn.IFS(orders[[#This Row],[Customer Gender]]="M","Male", orders[[#This Row],[Customer Gender]]="F","Female", orders[[#This Row],[Customer Gender]]="O","Other", TRUE,"Unknown")</f>
        <v>Female</v>
      </c>
      <c r="M734">
        <v>5</v>
      </c>
      <c r="N734">
        <v>32.799999999999997</v>
      </c>
      <c r="O734" s="5">
        <v>164</v>
      </c>
    </row>
    <row r="735" spans="1:15" x14ac:dyDescent="0.3">
      <c r="A735" t="s">
        <v>827</v>
      </c>
      <c r="B735" t="s">
        <v>41</v>
      </c>
      <c r="C735" s="7">
        <v>45689</v>
      </c>
      <c r="D735" s="7">
        <v>45689</v>
      </c>
      <c r="E735" t="s">
        <v>26</v>
      </c>
      <c r="F735" t="s">
        <v>17</v>
      </c>
      <c r="G735">
        <v>3</v>
      </c>
      <c r="H735" t="s">
        <v>18</v>
      </c>
      <c r="I735" t="s">
        <v>54</v>
      </c>
      <c r="J735">
        <f>orders[[#This Row],[Ship Date]]-orders[[#This Row],[Order Date]]</f>
        <v>0</v>
      </c>
      <c r="K735">
        <f>WEEKNUM(orders[[#This Row],[Order Date]])</f>
        <v>5</v>
      </c>
      <c r="L735" t="str" cm="1">
        <f t="array" ref="L735">_xlfn.IFS(orders[[#This Row],[Customer Gender]]="M","Male", orders[[#This Row],[Customer Gender]]="F","Female", orders[[#This Row],[Customer Gender]]="O","Other", TRUE,"Unknown")</f>
        <v>Female</v>
      </c>
      <c r="M735">
        <v>10</v>
      </c>
      <c r="N735">
        <v>35.700000000000003</v>
      </c>
      <c r="O735">
        <v>357</v>
      </c>
    </row>
    <row r="736" spans="1:15" x14ac:dyDescent="0.3">
      <c r="A736" t="s">
        <v>828</v>
      </c>
      <c r="B736" t="s">
        <v>45</v>
      </c>
      <c r="C736" s="7">
        <v>45689</v>
      </c>
      <c r="D736" s="7">
        <v>45690</v>
      </c>
      <c r="E736" t="s">
        <v>26</v>
      </c>
      <c r="F736" t="s">
        <v>39</v>
      </c>
      <c r="G736">
        <v>4</v>
      </c>
      <c r="H736" t="s">
        <v>18</v>
      </c>
      <c r="I736" t="s">
        <v>54</v>
      </c>
      <c r="J736">
        <f>orders[[#This Row],[Ship Date]]-orders[[#This Row],[Order Date]]</f>
        <v>1</v>
      </c>
      <c r="K736">
        <f>WEEKNUM(orders[[#This Row],[Order Date]])</f>
        <v>5</v>
      </c>
      <c r="L736" t="str" cm="1">
        <f t="array" ref="L736">_xlfn.IFS(orders[[#This Row],[Customer Gender]]="M","Male", orders[[#This Row],[Customer Gender]]="F","Female", orders[[#This Row],[Customer Gender]]="O","Other", TRUE,"Unknown")</f>
        <v>Female</v>
      </c>
      <c r="M736">
        <v>2</v>
      </c>
      <c r="N736">
        <v>54.6</v>
      </c>
      <c r="O736" s="5">
        <v>109.2</v>
      </c>
    </row>
    <row r="737" spans="1:15" x14ac:dyDescent="0.3">
      <c r="A737" t="s">
        <v>829</v>
      </c>
      <c r="B737" t="s">
        <v>43</v>
      </c>
      <c r="C737" s="7">
        <v>45689</v>
      </c>
      <c r="D737" s="7">
        <v>45692</v>
      </c>
      <c r="E737" t="s">
        <v>2517</v>
      </c>
      <c r="F737" t="s">
        <v>17</v>
      </c>
      <c r="G737">
        <v>3</v>
      </c>
      <c r="H737" t="s">
        <v>18</v>
      </c>
      <c r="I737" t="s">
        <v>54</v>
      </c>
      <c r="J737">
        <f>orders[[#This Row],[Ship Date]]-orders[[#This Row],[Order Date]]</f>
        <v>3</v>
      </c>
      <c r="K737">
        <f>WEEKNUM(orders[[#This Row],[Order Date]])</f>
        <v>5</v>
      </c>
      <c r="L737" t="str" cm="1">
        <f t="array" ref="L737">_xlfn.IFS(orders[[#This Row],[Customer Gender]]="M","Male", orders[[#This Row],[Customer Gender]]="F","Female", orders[[#This Row],[Customer Gender]]="O","Other", TRUE,"Unknown")</f>
        <v>Unknown</v>
      </c>
      <c r="M737">
        <v>2</v>
      </c>
      <c r="N737">
        <v>35.700000000000003</v>
      </c>
      <c r="O737">
        <v>71.400000000000006</v>
      </c>
    </row>
    <row r="738" spans="1:15" x14ac:dyDescent="0.3">
      <c r="A738" t="s">
        <v>830</v>
      </c>
      <c r="B738" t="s">
        <v>53</v>
      </c>
      <c r="C738" s="7">
        <v>45689</v>
      </c>
      <c r="D738" s="7">
        <v>45689</v>
      </c>
      <c r="E738" t="s">
        <v>26</v>
      </c>
      <c r="F738" t="s">
        <v>17</v>
      </c>
      <c r="G738">
        <v>1</v>
      </c>
      <c r="H738" t="s">
        <v>18</v>
      </c>
      <c r="I738" t="s">
        <v>54</v>
      </c>
      <c r="J738">
        <f>orders[[#This Row],[Ship Date]]-orders[[#This Row],[Order Date]]</f>
        <v>0</v>
      </c>
      <c r="K738">
        <f>WEEKNUM(orders[[#This Row],[Order Date]])</f>
        <v>5</v>
      </c>
      <c r="L738" t="str" cm="1">
        <f t="array" ref="L738">_xlfn.IFS(orders[[#This Row],[Customer Gender]]="M","Male", orders[[#This Row],[Customer Gender]]="F","Female", orders[[#This Row],[Customer Gender]]="O","Other", TRUE,"Unknown")</f>
        <v>Female</v>
      </c>
      <c r="M738">
        <v>2</v>
      </c>
      <c r="N738">
        <v>52.4</v>
      </c>
      <c r="O738" s="5">
        <v>104.8</v>
      </c>
    </row>
    <row r="739" spans="1:15" x14ac:dyDescent="0.3">
      <c r="A739" t="s">
        <v>831</v>
      </c>
      <c r="B739" t="s">
        <v>43</v>
      </c>
      <c r="C739" s="7">
        <v>45689</v>
      </c>
      <c r="D739" s="7">
        <v>45690</v>
      </c>
      <c r="E739" t="s">
        <v>2517</v>
      </c>
      <c r="F739" t="s">
        <v>17</v>
      </c>
      <c r="G739">
        <v>3</v>
      </c>
      <c r="H739" t="s">
        <v>18</v>
      </c>
      <c r="I739" t="s">
        <v>61</v>
      </c>
      <c r="J739">
        <f>orders[[#This Row],[Ship Date]]-orders[[#This Row],[Order Date]]</f>
        <v>1</v>
      </c>
      <c r="K739">
        <f>WEEKNUM(orders[[#This Row],[Order Date]])</f>
        <v>5</v>
      </c>
      <c r="L739" t="str" cm="1">
        <f t="array" ref="L739">_xlfn.IFS(orders[[#This Row],[Customer Gender]]="M","Male", orders[[#This Row],[Customer Gender]]="F","Female", orders[[#This Row],[Customer Gender]]="O","Other", TRUE,"Unknown")</f>
        <v>Unknown</v>
      </c>
      <c r="M739">
        <v>14</v>
      </c>
      <c r="N739">
        <v>16.2</v>
      </c>
      <c r="O739">
        <v>226.79999999999998</v>
      </c>
    </row>
    <row r="740" spans="1:15" x14ac:dyDescent="0.3">
      <c r="A740" t="s">
        <v>832</v>
      </c>
      <c r="B740" t="s">
        <v>38</v>
      </c>
      <c r="C740" s="7">
        <v>45689</v>
      </c>
      <c r="D740" s="7">
        <v>45690</v>
      </c>
      <c r="E740" t="s">
        <v>26</v>
      </c>
      <c r="F740" t="s">
        <v>17</v>
      </c>
      <c r="G740">
        <v>4</v>
      </c>
      <c r="H740" t="s">
        <v>18</v>
      </c>
      <c r="I740" t="s">
        <v>61</v>
      </c>
      <c r="J740">
        <f>orders[[#This Row],[Ship Date]]-orders[[#This Row],[Order Date]]</f>
        <v>1</v>
      </c>
      <c r="K740">
        <f>WEEKNUM(orders[[#This Row],[Order Date]])</f>
        <v>5</v>
      </c>
      <c r="L740" t="str" cm="1">
        <f t="array" ref="L740">_xlfn.IFS(orders[[#This Row],[Customer Gender]]="M","Male", orders[[#This Row],[Customer Gender]]="F","Female", orders[[#This Row],[Customer Gender]]="O","Other", TRUE,"Unknown")</f>
        <v>Female</v>
      </c>
      <c r="M740">
        <v>47</v>
      </c>
      <c r="N740">
        <v>42.8</v>
      </c>
      <c r="O740" s="5">
        <v>2011.6</v>
      </c>
    </row>
    <row r="741" spans="1:15" x14ac:dyDescent="0.3">
      <c r="A741" t="s">
        <v>833</v>
      </c>
      <c r="B741" t="s">
        <v>38</v>
      </c>
      <c r="C741" s="7">
        <v>45689</v>
      </c>
      <c r="D741" s="7">
        <v>45692</v>
      </c>
      <c r="E741" t="s">
        <v>26</v>
      </c>
      <c r="F741" t="s">
        <v>69</v>
      </c>
      <c r="G741">
        <v>4</v>
      </c>
      <c r="H741" t="s">
        <v>18</v>
      </c>
      <c r="I741" t="s">
        <v>61</v>
      </c>
      <c r="J741">
        <f>orders[[#This Row],[Ship Date]]-orders[[#This Row],[Order Date]]</f>
        <v>3</v>
      </c>
      <c r="K741">
        <f>WEEKNUM(orders[[#This Row],[Order Date]])</f>
        <v>5</v>
      </c>
      <c r="L741" t="str" cm="1">
        <f t="array" ref="L741">_xlfn.IFS(orders[[#This Row],[Customer Gender]]="M","Male", orders[[#This Row],[Customer Gender]]="F","Female", orders[[#This Row],[Customer Gender]]="O","Other", TRUE,"Unknown")</f>
        <v>Female</v>
      </c>
      <c r="M741">
        <v>9</v>
      </c>
      <c r="N741">
        <v>144.4</v>
      </c>
      <c r="O741">
        <v>1299.6000000000001</v>
      </c>
    </row>
    <row r="742" spans="1:15" x14ac:dyDescent="0.3">
      <c r="A742" t="s">
        <v>834</v>
      </c>
      <c r="B742" t="s">
        <v>29</v>
      </c>
      <c r="C742" s="7">
        <v>45689</v>
      </c>
      <c r="D742" s="7">
        <v>45693</v>
      </c>
      <c r="E742" t="s">
        <v>26</v>
      </c>
      <c r="F742" t="s">
        <v>39</v>
      </c>
      <c r="G742">
        <v>5</v>
      </c>
      <c r="H742" t="s">
        <v>18</v>
      </c>
      <c r="I742" t="s">
        <v>76</v>
      </c>
      <c r="J742">
        <f>orders[[#This Row],[Ship Date]]-orders[[#This Row],[Order Date]]</f>
        <v>4</v>
      </c>
      <c r="K742">
        <f>WEEKNUM(orders[[#This Row],[Order Date]])</f>
        <v>5</v>
      </c>
      <c r="L742" t="str" cm="1">
        <f t="array" ref="L742">_xlfn.IFS(orders[[#This Row],[Customer Gender]]="M","Male", orders[[#This Row],[Customer Gender]]="F","Female", orders[[#This Row],[Customer Gender]]="O","Other", TRUE,"Unknown")</f>
        <v>Female</v>
      </c>
      <c r="M742">
        <v>36</v>
      </c>
      <c r="N742">
        <v>30.6</v>
      </c>
      <c r="O742" s="5">
        <v>1101.6000000000001</v>
      </c>
    </row>
    <row r="743" spans="1:15" x14ac:dyDescent="0.3">
      <c r="A743" t="s">
        <v>835</v>
      </c>
      <c r="B743" t="s">
        <v>25</v>
      </c>
      <c r="C743" s="7">
        <v>45689</v>
      </c>
      <c r="D743" s="7">
        <v>45690</v>
      </c>
      <c r="E743" t="s">
        <v>22</v>
      </c>
      <c r="F743" t="s">
        <v>17</v>
      </c>
      <c r="G743">
        <v>4</v>
      </c>
      <c r="H743" t="s">
        <v>18</v>
      </c>
      <c r="I743" t="s">
        <v>109</v>
      </c>
      <c r="J743">
        <f>orders[[#This Row],[Ship Date]]-orders[[#This Row],[Order Date]]</f>
        <v>1</v>
      </c>
      <c r="K743">
        <f>WEEKNUM(orders[[#This Row],[Order Date]])</f>
        <v>5</v>
      </c>
      <c r="L743" t="str" cm="1">
        <f t="array" ref="L743">_xlfn.IFS(orders[[#This Row],[Customer Gender]]="M","Male", orders[[#This Row],[Customer Gender]]="F","Female", orders[[#This Row],[Customer Gender]]="O","Other", TRUE,"Unknown")</f>
        <v>Male</v>
      </c>
      <c r="M743">
        <v>2</v>
      </c>
      <c r="N743">
        <v>117.5</v>
      </c>
      <c r="O743">
        <v>235</v>
      </c>
    </row>
    <row r="744" spans="1:15" x14ac:dyDescent="0.3">
      <c r="A744" t="s">
        <v>836</v>
      </c>
      <c r="B744" t="s">
        <v>38</v>
      </c>
      <c r="C744" s="7">
        <v>45689</v>
      </c>
      <c r="D744" s="7">
        <v>45690</v>
      </c>
      <c r="E744" t="s">
        <v>26</v>
      </c>
      <c r="F744" t="s">
        <v>39</v>
      </c>
      <c r="G744">
        <v>5</v>
      </c>
      <c r="H744" t="s">
        <v>18</v>
      </c>
      <c r="I744" t="s">
        <v>114</v>
      </c>
      <c r="J744">
        <f>orders[[#This Row],[Ship Date]]-orders[[#This Row],[Order Date]]</f>
        <v>1</v>
      </c>
      <c r="K744">
        <f>WEEKNUM(orders[[#This Row],[Order Date]])</f>
        <v>5</v>
      </c>
      <c r="L744" t="str" cm="1">
        <f t="array" ref="L744">_xlfn.IFS(orders[[#This Row],[Customer Gender]]="M","Male", orders[[#This Row],[Customer Gender]]="F","Female", orders[[#This Row],[Customer Gender]]="O","Other", TRUE,"Unknown")</f>
        <v>Female</v>
      </c>
      <c r="M744">
        <v>2</v>
      </c>
      <c r="N744">
        <v>105.7</v>
      </c>
      <c r="O744" s="5">
        <v>211.4</v>
      </c>
    </row>
    <row r="745" spans="1:15" x14ac:dyDescent="0.3">
      <c r="A745" t="s">
        <v>837</v>
      </c>
      <c r="B745" t="s">
        <v>29</v>
      </c>
      <c r="C745" s="7">
        <v>45689</v>
      </c>
      <c r="D745" s="7">
        <v>45690</v>
      </c>
      <c r="E745" t="s">
        <v>2517</v>
      </c>
      <c r="F745" t="s">
        <v>69</v>
      </c>
      <c r="G745">
        <v>5</v>
      </c>
      <c r="H745" t="s">
        <v>18</v>
      </c>
      <c r="I745" t="s">
        <v>114</v>
      </c>
      <c r="J745">
        <f>orders[[#This Row],[Ship Date]]-orders[[#This Row],[Order Date]]</f>
        <v>1</v>
      </c>
      <c r="K745">
        <f>WEEKNUM(orders[[#This Row],[Order Date]])</f>
        <v>5</v>
      </c>
      <c r="L745" t="str" cm="1">
        <f t="array" ref="L745">_xlfn.IFS(orders[[#This Row],[Customer Gender]]="M","Male", orders[[#This Row],[Customer Gender]]="F","Female", orders[[#This Row],[Customer Gender]]="O","Other", TRUE,"Unknown")</f>
        <v>Unknown</v>
      </c>
      <c r="M745">
        <v>3</v>
      </c>
      <c r="N745">
        <v>133.69999999999999</v>
      </c>
      <c r="O745">
        <v>401.09999999999997</v>
      </c>
    </row>
    <row r="746" spans="1:15" x14ac:dyDescent="0.3">
      <c r="A746" t="s">
        <v>838</v>
      </c>
      <c r="B746" t="s">
        <v>31</v>
      </c>
      <c r="C746" s="7">
        <v>45690</v>
      </c>
      <c r="D746" s="7">
        <v>45698</v>
      </c>
      <c r="E746" t="s">
        <v>26</v>
      </c>
      <c r="F746" t="s">
        <v>17</v>
      </c>
      <c r="G746">
        <v>3</v>
      </c>
      <c r="H746" t="s">
        <v>18</v>
      </c>
      <c r="I746" t="s">
        <v>114</v>
      </c>
      <c r="J746">
        <f>orders[[#This Row],[Ship Date]]-orders[[#This Row],[Order Date]]</f>
        <v>8</v>
      </c>
      <c r="K746">
        <f>WEEKNUM(orders[[#This Row],[Order Date]])</f>
        <v>6</v>
      </c>
      <c r="L746" t="str" cm="1">
        <f t="array" ref="L746">_xlfn.IFS(orders[[#This Row],[Customer Gender]]="M","Male", orders[[#This Row],[Customer Gender]]="F","Female", orders[[#This Row],[Customer Gender]]="O","Other", TRUE,"Unknown")</f>
        <v>Female</v>
      </c>
      <c r="M746">
        <v>5</v>
      </c>
      <c r="N746">
        <v>46.8</v>
      </c>
      <c r="O746" s="5">
        <v>234</v>
      </c>
    </row>
    <row r="747" spans="1:15" x14ac:dyDescent="0.3">
      <c r="A747" t="s">
        <v>839</v>
      </c>
      <c r="B747" t="s">
        <v>53</v>
      </c>
      <c r="C747" s="7">
        <v>45690</v>
      </c>
      <c r="D747" s="7">
        <v>45692</v>
      </c>
      <c r="E747" t="s">
        <v>26</v>
      </c>
      <c r="F747" t="s">
        <v>17</v>
      </c>
      <c r="G747">
        <v>4</v>
      </c>
      <c r="H747" t="s">
        <v>18</v>
      </c>
      <c r="I747" t="s">
        <v>23</v>
      </c>
      <c r="J747">
        <f>orders[[#This Row],[Ship Date]]-orders[[#This Row],[Order Date]]</f>
        <v>2</v>
      </c>
      <c r="K747">
        <f>WEEKNUM(orders[[#This Row],[Order Date]])</f>
        <v>6</v>
      </c>
      <c r="L747" t="str" cm="1">
        <f t="array" ref="L747">_xlfn.IFS(orders[[#This Row],[Customer Gender]]="M","Male", orders[[#This Row],[Customer Gender]]="F","Female", orders[[#This Row],[Customer Gender]]="O","Other", TRUE,"Unknown")</f>
        <v>Female</v>
      </c>
      <c r="M747">
        <v>3</v>
      </c>
      <c r="N747">
        <v>58.4</v>
      </c>
      <c r="O747">
        <v>175.2</v>
      </c>
    </row>
    <row r="748" spans="1:15" x14ac:dyDescent="0.3">
      <c r="A748" t="s">
        <v>840</v>
      </c>
      <c r="B748" t="s">
        <v>38</v>
      </c>
      <c r="C748" s="7">
        <v>45690</v>
      </c>
      <c r="D748" s="7">
        <v>45694</v>
      </c>
      <c r="E748" t="s">
        <v>22</v>
      </c>
      <c r="F748" t="s">
        <v>34</v>
      </c>
      <c r="G748">
        <v>5</v>
      </c>
      <c r="H748" t="s">
        <v>18</v>
      </c>
      <c r="I748" t="s">
        <v>146</v>
      </c>
      <c r="J748">
        <f>orders[[#This Row],[Ship Date]]-orders[[#This Row],[Order Date]]</f>
        <v>4</v>
      </c>
      <c r="K748">
        <f>WEEKNUM(orders[[#This Row],[Order Date]])</f>
        <v>6</v>
      </c>
      <c r="L748" t="str" cm="1">
        <f t="array" ref="L748">_xlfn.IFS(orders[[#This Row],[Customer Gender]]="M","Male", orders[[#This Row],[Customer Gender]]="F","Female", orders[[#This Row],[Customer Gender]]="O","Other", TRUE,"Unknown")</f>
        <v>Male</v>
      </c>
      <c r="M748">
        <v>9</v>
      </c>
      <c r="N748">
        <v>65.099999999999994</v>
      </c>
      <c r="O748" s="5">
        <v>585.9</v>
      </c>
    </row>
    <row r="749" spans="1:15" x14ac:dyDescent="0.3">
      <c r="A749" t="s">
        <v>841</v>
      </c>
      <c r="B749" t="s">
        <v>43</v>
      </c>
      <c r="C749" s="7">
        <v>45690</v>
      </c>
      <c r="D749" s="7">
        <v>45693</v>
      </c>
      <c r="E749" t="s">
        <v>26</v>
      </c>
      <c r="F749" t="s">
        <v>17</v>
      </c>
      <c r="G749">
        <v>2</v>
      </c>
      <c r="H749" t="s">
        <v>18</v>
      </c>
      <c r="I749" t="s">
        <v>146</v>
      </c>
      <c r="J749">
        <f>orders[[#This Row],[Ship Date]]-orders[[#This Row],[Order Date]]</f>
        <v>3</v>
      </c>
      <c r="K749">
        <f>WEEKNUM(orders[[#This Row],[Order Date]])</f>
        <v>6</v>
      </c>
      <c r="L749" t="str" cm="1">
        <f t="array" ref="L749">_xlfn.IFS(orders[[#This Row],[Customer Gender]]="M","Male", orders[[#This Row],[Customer Gender]]="F","Female", orders[[#This Row],[Customer Gender]]="O","Other", TRUE,"Unknown")</f>
        <v>Female</v>
      </c>
      <c r="M749">
        <v>1</v>
      </c>
      <c r="N749">
        <v>18.600000000000001</v>
      </c>
      <c r="O749">
        <v>18.600000000000001</v>
      </c>
    </row>
    <row r="750" spans="1:15" x14ac:dyDescent="0.3">
      <c r="A750" t="s">
        <v>842</v>
      </c>
      <c r="B750" t="s">
        <v>21</v>
      </c>
      <c r="C750" s="7">
        <v>45690</v>
      </c>
      <c r="D750" s="7">
        <v>45692</v>
      </c>
      <c r="E750" t="s">
        <v>22</v>
      </c>
      <c r="F750" t="s">
        <v>34</v>
      </c>
      <c r="G750">
        <v>4</v>
      </c>
      <c r="H750" t="s">
        <v>18</v>
      </c>
      <c r="I750" t="s">
        <v>32</v>
      </c>
      <c r="J750">
        <f>orders[[#This Row],[Ship Date]]-orders[[#This Row],[Order Date]]</f>
        <v>2</v>
      </c>
      <c r="K750">
        <f>WEEKNUM(orders[[#This Row],[Order Date]])</f>
        <v>6</v>
      </c>
      <c r="L750" t="str" cm="1">
        <f t="array" ref="L750">_xlfn.IFS(orders[[#This Row],[Customer Gender]]="M","Male", orders[[#This Row],[Customer Gender]]="F","Female", orders[[#This Row],[Customer Gender]]="O","Other", TRUE,"Unknown")</f>
        <v>Male</v>
      </c>
      <c r="M750">
        <v>11</v>
      </c>
      <c r="N750">
        <v>92.3</v>
      </c>
      <c r="O750" s="5">
        <v>1015.3</v>
      </c>
    </row>
    <row r="751" spans="1:15" x14ac:dyDescent="0.3">
      <c r="A751" t="s">
        <v>843</v>
      </c>
      <c r="B751" t="s">
        <v>38</v>
      </c>
      <c r="C751" s="7">
        <v>45690</v>
      </c>
      <c r="D751" s="7">
        <v>45691</v>
      </c>
      <c r="E751" t="s">
        <v>2517</v>
      </c>
      <c r="F751" t="s">
        <v>69</v>
      </c>
      <c r="G751">
        <v>2</v>
      </c>
      <c r="H751" t="s">
        <v>18</v>
      </c>
      <c r="I751" t="s">
        <v>32</v>
      </c>
      <c r="J751">
        <f>orders[[#This Row],[Ship Date]]-orders[[#This Row],[Order Date]]</f>
        <v>1</v>
      </c>
      <c r="K751">
        <f>WEEKNUM(orders[[#This Row],[Order Date]])</f>
        <v>6</v>
      </c>
      <c r="L751" t="str" cm="1">
        <f t="array" ref="L751">_xlfn.IFS(orders[[#This Row],[Customer Gender]]="M","Male", orders[[#This Row],[Customer Gender]]="F","Female", orders[[#This Row],[Customer Gender]]="O","Other", TRUE,"Unknown")</f>
        <v>Unknown</v>
      </c>
      <c r="M751">
        <v>3</v>
      </c>
      <c r="N751">
        <v>81.7</v>
      </c>
      <c r="O751">
        <v>245.10000000000002</v>
      </c>
    </row>
    <row r="752" spans="1:15" x14ac:dyDescent="0.3">
      <c r="A752" t="s">
        <v>844</v>
      </c>
      <c r="B752" t="s">
        <v>43</v>
      </c>
      <c r="C752" s="7">
        <v>45690</v>
      </c>
      <c r="D752" s="7">
        <v>45692</v>
      </c>
      <c r="E752" t="s">
        <v>22</v>
      </c>
      <c r="F752" t="s">
        <v>17</v>
      </c>
      <c r="G752">
        <v>3</v>
      </c>
      <c r="H752" t="s">
        <v>18</v>
      </c>
      <c r="I752" t="s">
        <v>32</v>
      </c>
      <c r="J752">
        <f>orders[[#This Row],[Ship Date]]-orders[[#This Row],[Order Date]]</f>
        <v>2</v>
      </c>
      <c r="K752">
        <f>WEEKNUM(orders[[#This Row],[Order Date]])</f>
        <v>6</v>
      </c>
      <c r="L752" t="str" cm="1">
        <f t="array" ref="L752">_xlfn.IFS(orders[[#This Row],[Customer Gender]]="M","Male", orders[[#This Row],[Customer Gender]]="F","Female", orders[[#This Row],[Customer Gender]]="O","Other", TRUE,"Unknown")</f>
        <v>Male</v>
      </c>
      <c r="M752">
        <v>2</v>
      </c>
      <c r="N752">
        <v>40.9</v>
      </c>
      <c r="O752" s="5">
        <v>81.8</v>
      </c>
    </row>
    <row r="753" spans="1:15" x14ac:dyDescent="0.3">
      <c r="A753" t="s">
        <v>845</v>
      </c>
      <c r="B753" t="s">
        <v>38</v>
      </c>
      <c r="C753" s="7">
        <v>45690</v>
      </c>
      <c r="D753" s="7">
        <v>45696</v>
      </c>
      <c r="E753" t="s">
        <v>26</v>
      </c>
      <c r="F753" t="s">
        <v>17</v>
      </c>
      <c r="G753">
        <v>3</v>
      </c>
      <c r="H753" t="s">
        <v>18</v>
      </c>
      <c r="I753" t="s">
        <v>32</v>
      </c>
      <c r="J753">
        <f>orders[[#This Row],[Ship Date]]-orders[[#This Row],[Order Date]]</f>
        <v>6</v>
      </c>
      <c r="K753">
        <f>WEEKNUM(orders[[#This Row],[Order Date]])</f>
        <v>6</v>
      </c>
      <c r="L753" t="str" cm="1">
        <f t="array" ref="L753">_xlfn.IFS(orders[[#This Row],[Customer Gender]]="M","Male", orders[[#This Row],[Customer Gender]]="F","Female", orders[[#This Row],[Customer Gender]]="O","Other", TRUE,"Unknown")</f>
        <v>Female</v>
      </c>
      <c r="M753">
        <v>4</v>
      </c>
      <c r="N753">
        <v>43.2</v>
      </c>
      <c r="O753">
        <v>172.8</v>
      </c>
    </row>
    <row r="754" spans="1:15" x14ac:dyDescent="0.3">
      <c r="A754" t="s">
        <v>846</v>
      </c>
      <c r="B754" t="s">
        <v>43</v>
      </c>
      <c r="C754" s="7">
        <v>45690</v>
      </c>
      <c r="D754" s="7">
        <v>45693</v>
      </c>
      <c r="E754" t="s">
        <v>22</v>
      </c>
      <c r="F754" t="s">
        <v>39</v>
      </c>
      <c r="G754">
        <v>3</v>
      </c>
      <c r="H754" t="s">
        <v>18</v>
      </c>
      <c r="I754" t="s">
        <v>32</v>
      </c>
      <c r="J754">
        <f>orders[[#This Row],[Ship Date]]-orders[[#This Row],[Order Date]]</f>
        <v>3</v>
      </c>
      <c r="K754">
        <f>WEEKNUM(orders[[#This Row],[Order Date]])</f>
        <v>6</v>
      </c>
      <c r="L754" t="str" cm="1">
        <f t="array" ref="L754">_xlfn.IFS(orders[[#This Row],[Customer Gender]]="M","Male", orders[[#This Row],[Customer Gender]]="F","Female", orders[[#This Row],[Customer Gender]]="O","Other", TRUE,"Unknown")</f>
        <v>Male</v>
      </c>
      <c r="M754">
        <v>11</v>
      </c>
      <c r="N754">
        <v>25.8</v>
      </c>
      <c r="O754" s="5">
        <v>283.8</v>
      </c>
    </row>
    <row r="755" spans="1:15" x14ac:dyDescent="0.3">
      <c r="A755" t="s">
        <v>847</v>
      </c>
      <c r="B755" t="s">
        <v>122</v>
      </c>
      <c r="C755" s="7">
        <v>45690</v>
      </c>
      <c r="D755" s="7">
        <v>45691</v>
      </c>
      <c r="E755" t="s">
        <v>22</v>
      </c>
      <c r="F755" t="s">
        <v>17</v>
      </c>
      <c r="G755">
        <v>4</v>
      </c>
      <c r="H755" t="s">
        <v>18</v>
      </c>
      <c r="I755" t="s">
        <v>32</v>
      </c>
      <c r="J755">
        <f>orders[[#This Row],[Ship Date]]-orders[[#This Row],[Order Date]]</f>
        <v>1</v>
      </c>
      <c r="K755">
        <f>WEEKNUM(orders[[#This Row],[Order Date]])</f>
        <v>6</v>
      </c>
      <c r="L755" t="str" cm="1">
        <f t="array" ref="L755">_xlfn.IFS(orders[[#This Row],[Customer Gender]]="M","Male", orders[[#This Row],[Customer Gender]]="F","Female", orders[[#This Row],[Customer Gender]]="O","Other", TRUE,"Unknown")</f>
        <v>Male</v>
      </c>
      <c r="M755">
        <v>4</v>
      </c>
      <c r="N755">
        <v>36.4</v>
      </c>
      <c r="O755">
        <v>145.6</v>
      </c>
    </row>
    <row r="756" spans="1:15" x14ac:dyDescent="0.3">
      <c r="A756" t="s">
        <v>848</v>
      </c>
      <c r="B756" t="s">
        <v>53</v>
      </c>
      <c r="C756" s="7">
        <v>45690</v>
      </c>
      <c r="D756" s="7">
        <v>45691</v>
      </c>
      <c r="E756" t="s">
        <v>26</v>
      </c>
      <c r="F756" t="s">
        <v>39</v>
      </c>
      <c r="G756">
        <v>4</v>
      </c>
      <c r="H756" t="s">
        <v>18</v>
      </c>
      <c r="I756" t="s">
        <v>58</v>
      </c>
      <c r="J756">
        <f>orders[[#This Row],[Ship Date]]-orders[[#This Row],[Order Date]]</f>
        <v>1</v>
      </c>
      <c r="K756">
        <f>WEEKNUM(orders[[#This Row],[Order Date]])</f>
        <v>6</v>
      </c>
      <c r="L756" t="str" cm="1">
        <f t="array" ref="L756">_xlfn.IFS(orders[[#This Row],[Customer Gender]]="M","Male", orders[[#This Row],[Customer Gender]]="F","Female", orders[[#This Row],[Customer Gender]]="O","Other", TRUE,"Unknown")</f>
        <v>Female</v>
      </c>
      <c r="M756">
        <v>1</v>
      </c>
      <c r="N756">
        <v>59.1</v>
      </c>
      <c r="O756" s="5">
        <v>59.1</v>
      </c>
    </row>
    <row r="757" spans="1:15" x14ac:dyDescent="0.3">
      <c r="A757" t="s">
        <v>849</v>
      </c>
      <c r="B757" t="s">
        <v>25</v>
      </c>
      <c r="C757" s="7">
        <v>45690</v>
      </c>
      <c r="D757" s="7">
        <v>45692</v>
      </c>
      <c r="E757" t="s">
        <v>22</v>
      </c>
      <c r="F757" t="s">
        <v>69</v>
      </c>
      <c r="G757">
        <v>4</v>
      </c>
      <c r="H757" t="s">
        <v>18</v>
      </c>
      <c r="I757" t="s">
        <v>107</v>
      </c>
      <c r="J757">
        <f>orders[[#This Row],[Ship Date]]-orders[[#This Row],[Order Date]]</f>
        <v>2</v>
      </c>
      <c r="K757">
        <f>WEEKNUM(orders[[#This Row],[Order Date]])</f>
        <v>6</v>
      </c>
      <c r="L757" t="str" cm="1">
        <f t="array" ref="L757">_xlfn.IFS(orders[[#This Row],[Customer Gender]]="M","Male", orders[[#This Row],[Customer Gender]]="F","Female", orders[[#This Row],[Customer Gender]]="O","Other", TRUE,"Unknown")</f>
        <v>Male</v>
      </c>
      <c r="M757">
        <v>17</v>
      </c>
      <c r="N757">
        <v>74.5</v>
      </c>
      <c r="O757">
        <v>1266.5</v>
      </c>
    </row>
    <row r="758" spans="1:15" x14ac:dyDescent="0.3">
      <c r="A758" t="s">
        <v>850</v>
      </c>
      <c r="B758" t="s">
        <v>36</v>
      </c>
      <c r="C758" s="7">
        <v>45690</v>
      </c>
      <c r="D758" s="7">
        <v>45691</v>
      </c>
      <c r="E758" t="s">
        <v>26</v>
      </c>
      <c r="F758" t="s">
        <v>17</v>
      </c>
      <c r="G758">
        <v>3</v>
      </c>
      <c r="H758" t="s">
        <v>18</v>
      </c>
      <c r="I758" t="s">
        <v>109</v>
      </c>
      <c r="J758">
        <f>orders[[#This Row],[Ship Date]]-orders[[#This Row],[Order Date]]</f>
        <v>1</v>
      </c>
      <c r="K758">
        <f>WEEKNUM(orders[[#This Row],[Order Date]])</f>
        <v>6</v>
      </c>
      <c r="L758" t="str" cm="1">
        <f t="array" ref="L758">_xlfn.IFS(orders[[#This Row],[Customer Gender]]="M","Male", orders[[#This Row],[Customer Gender]]="F","Female", orders[[#This Row],[Customer Gender]]="O","Other", TRUE,"Unknown")</f>
        <v>Female</v>
      </c>
      <c r="M758">
        <v>1</v>
      </c>
      <c r="N758">
        <v>72.8</v>
      </c>
      <c r="O758" s="5">
        <v>72.8</v>
      </c>
    </row>
    <row r="759" spans="1:15" x14ac:dyDescent="0.3">
      <c r="A759" t="s">
        <v>851</v>
      </c>
      <c r="B759" t="s">
        <v>38</v>
      </c>
      <c r="C759" s="7">
        <v>45690</v>
      </c>
      <c r="D759" s="7">
        <v>45693</v>
      </c>
      <c r="E759" t="s">
        <v>26</v>
      </c>
      <c r="F759" t="s">
        <v>17</v>
      </c>
      <c r="G759">
        <v>4</v>
      </c>
      <c r="H759" t="s">
        <v>18</v>
      </c>
      <c r="I759" t="s">
        <v>81</v>
      </c>
      <c r="J759">
        <f>orders[[#This Row],[Ship Date]]-orders[[#This Row],[Order Date]]</f>
        <v>3</v>
      </c>
      <c r="K759">
        <f>WEEKNUM(orders[[#This Row],[Order Date]])</f>
        <v>6</v>
      </c>
      <c r="L759" t="str" cm="1">
        <f t="array" ref="L759">_xlfn.IFS(orders[[#This Row],[Customer Gender]]="M","Male", orders[[#This Row],[Customer Gender]]="F","Female", orders[[#This Row],[Customer Gender]]="O","Other", TRUE,"Unknown")</f>
        <v>Female</v>
      </c>
      <c r="M759">
        <v>4</v>
      </c>
      <c r="N759">
        <v>137.30000000000001</v>
      </c>
      <c r="O759">
        <v>549.20000000000005</v>
      </c>
    </row>
    <row r="760" spans="1:15" x14ac:dyDescent="0.3">
      <c r="A760" t="s">
        <v>852</v>
      </c>
      <c r="B760" t="s">
        <v>21</v>
      </c>
      <c r="C760" s="7">
        <v>45690</v>
      </c>
      <c r="D760" s="7">
        <v>45695</v>
      </c>
      <c r="E760" t="s">
        <v>26</v>
      </c>
      <c r="F760" t="s">
        <v>17</v>
      </c>
      <c r="G760">
        <v>3</v>
      </c>
      <c r="H760" t="s">
        <v>18</v>
      </c>
      <c r="I760" t="s">
        <v>114</v>
      </c>
      <c r="J760">
        <f>orders[[#This Row],[Ship Date]]-orders[[#This Row],[Order Date]]</f>
        <v>5</v>
      </c>
      <c r="K760">
        <f>WEEKNUM(orders[[#This Row],[Order Date]])</f>
        <v>6</v>
      </c>
      <c r="L760" t="str" cm="1">
        <f t="array" ref="L760">_xlfn.IFS(orders[[#This Row],[Customer Gender]]="M","Male", orders[[#This Row],[Customer Gender]]="F","Female", orders[[#This Row],[Customer Gender]]="O","Other", TRUE,"Unknown")</f>
        <v>Female</v>
      </c>
      <c r="M760">
        <v>3</v>
      </c>
      <c r="N760">
        <v>48.7</v>
      </c>
      <c r="O760" s="5">
        <v>146.10000000000002</v>
      </c>
    </row>
    <row r="761" spans="1:15" x14ac:dyDescent="0.3">
      <c r="A761" t="s">
        <v>853</v>
      </c>
      <c r="B761" t="s">
        <v>38</v>
      </c>
      <c r="C761" s="7">
        <v>45690</v>
      </c>
      <c r="D761" s="7">
        <v>45694</v>
      </c>
      <c r="E761" t="s">
        <v>22</v>
      </c>
      <c r="F761" t="s">
        <v>34</v>
      </c>
      <c r="G761">
        <v>2</v>
      </c>
      <c r="H761" t="s">
        <v>18</v>
      </c>
      <c r="I761" t="s">
        <v>27</v>
      </c>
      <c r="J761">
        <f>orders[[#This Row],[Ship Date]]-orders[[#This Row],[Order Date]]</f>
        <v>4</v>
      </c>
      <c r="K761">
        <f>WEEKNUM(orders[[#This Row],[Order Date]])</f>
        <v>6</v>
      </c>
      <c r="L761" t="str" cm="1">
        <f t="array" ref="L761">_xlfn.IFS(orders[[#This Row],[Customer Gender]]="M","Male", orders[[#This Row],[Customer Gender]]="F","Female", orders[[#This Row],[Customer Gender]]="O","Other", TRUE,"Unknown")</f>
        <v>Male</v>
      </c>
      <c r="M761">
        <v>4</v>
      </c>
      <c r="N761">
        <v>53.7</v>
      </c>
      <c r="O761">
        <v>214.8</v>
      </c>
    </row>
    <row r="762" spans="1:15" x14ac:dyDescent="0.3">
      <c r="A762" t="s">
        <v>854</v>
      </c>
      <c r="B762" t="s">
        <v>25</v>
      </c>
      <c r="C762" s="7">
        <v>45690</v>
      </c>
      <c r="D762" s="7">
        <v>45692</v>
      </c>
      <c r="E762" t="s">
        <v>26</v>
      </c>
      <c r="F762" t="s">
        <v>17</v>
      </c>
      <c r="G762">
        <v>3</v>
      </c>
      <c r="H762" t="s">
        <v>18</v>
      </c>
      <c r="I762" t="s">
        <v>27</v>
      </c>
      <c r="J762">
        <f>orders[[#This Row],[Ship Date]]-orders[[#This Row],[Order Date]]</f>
        <v>2</v>
      </c>
      <c r="K762">
        <f>WEEKNUM(orders[[#This Row],[Order Date]])</f>
        <v>6</v>
      </c>
      <c r="L762" t="str" cm="1">
        <f t="array" ref="L762">_xlfn.IFS(orders[[#This Row],[Customer Gender]]="M","Male", orders[[#This Row],[Customer Gender]]="F","Female", orders[[#This Row],[Customer Gender]]="O","Other", TRUE,"Unknown")</f>
        <v>Female</v>
      </c>
      <c r="M762">
        <v>7</v>
      </c>
      <c r="N762">
        <v>100.9</v>
      </c>
      <c r="O762" s="5">
        <v>706.30000000000007</v>
      </c>
    </row>
    <row r="763" spans="1:15" x14ac:dyDescent="0.3">
      <c r="A763" t="s">
        <v>855</v>
      </c>
      <c r="B763" t="s">
        <v>53</v>
      </c>
      <c r="C763" s="7">
        <v>45690</v>
      </c>
      <c r="D763" s="7">
        <v>45694</v>
      </c>
      <c r="E763" t="s">
        <v>22</v>
      </c>
      <c r="F763" t="s">
        <v>50</v>
      </c>
      <c r="G763">
        <v>5</v>
      </c>
      <c r="H763" t="s">
        <v>18</v>
      </c>
      <c r="I763" t="s">
        <v>146</v>
      </c>
      <c r="J763">
        <f>orders[[#This Row],[Ship Date]]-orders[[#This Row],[Order Date]]</f>
        <v>4</v>
      </c>
      <c r="K763">
        <f>WEEKNUM(orders[[#This Row],[Order Date]])</f>
        <v>6</v>
      </c>
      <c r="L763" t="str" cm="1">
        <f t="array" ref="L763">_xlfn.IFS(orders[[#This Row],[Customer Gender]]="M","Male", orders[[#This Row],[Customer Gender]]="F","Female", orders[[#This Row],[Customer Gender]]="O","Other", TRUE,"Unknown")</f>
        <v>Male</v>
      </c>
      <c r="M763">
        <v>2</v>
      </c>
      <c r="N763">
        <v>41.8</v>
      </c>
      <c r="O763">
        <v>83.6</v>
      </c>
    </row>
    <row r="764" spans="1:15" x14ac:dyDescent="0.3">
      <c r="A764" t="s">
        <v>856</v>
      </c>
      <c r="B764" t="s">
        <v>31</v>
      </c>
      <c r="C764" s="7">
        <v>45690</v>
      </c>
      <c r="D764" s="7">
        <v>45692</v>
      </c>
      <c r="E764" t="s">
        <v>22</v>
      </c>
      <c r="F764" t="s">
        <v>39</v>
      </c>
      <c r="G764">
        <v>3</v>
      </c>
      <c r="H764" t="s">
        <v>18</v>
      </c>
      <c r="I764" t="s">
        <v>32</v>
      </c>
      <c r="J764">
        <f>orders[[#This Row],[Ship Date]]-orders[[#This Row],[Order Date]]</f>
        <v>2</v>
      </c>
      <c r="K764">
        <f>WEEKNUM(orders[[#This Row],[Order Date]])</f>
        <v>6</v>
      </c>
      <c r="L764" t="str" cm="1">
        <f t="array" ref="L764">_xlfn.IFS(orders[[#This Row],[Customer Gender]]="M","Male", orders[[#This Row],[Customer Gender]]="F","Female", orders[[#This Row],[Customer Gender]]="O","Other", TRUE,"Unknown")</f>
        <v>Male</v>
      </c>
      <c r="M764">
        <v>8</v>
      </c>
      <c r="N764">
        <v>28.5</v>
      </c>
      <c r="O764" s="5">
        <v>228</v>
      </c>
    </row>
    <row r="765" spans="1:15" x14ac:dyDescent="0.3">
      <c r="A765" t="s">
        <v>857</v>
      </c>
      <c r="B765" t="s">
        <v>41</v>
      </c>
      <c r="C765" s="7">
        <v>45690</v>
      </c>
      <c r="D765" s="7">
        <v>45693</v>
      </c>
      <c r="E765" t="s">
        <v>26</v>
      </c>
      <c r="F765" t="s">
        <v>17</v>
      </c>
      <c r="G765">
        <v>5</v>
      </c>
      <c r="H765" t="s">
        <v>18</v>
      </c>
      <c r="I765" t="s">
        <v>32</v>
      </c>
      <c r="J765">
        <f>orders[[#This Row],[Ship Date]]-orders[[#This Row],[Order Date]]</f>
        <v>3</v>
      </c>
      <c r="K765">
        <f>WEEKNUM(orders[[#This Row],[Order Date]])</f>
        <v>6</v>
      </c>
      <c r="L765" t="str" cm="1">
        <f t="array" ref="L765">_xlfn.IFS(orders[[#This Row],[Customer Gender]]="M","Male", orders[[#This Row],[Customer Gender]]="F","Female", orders[[#This Row],[Customer Gender]]="O","Other", TRUE,"Unknown")</f>
        <v>Female</v>
      </c>
      <c r="M765">
        <v>4</v>
      </c>
      <c r="N765">
        <v>88.9</v>
      </c>
      <c r="O765">
        <v>355.6</v>
      </c>
    </row>
    <row r="766" spans="1:15" x14ac:dyDescent="0.3">
      <c r="A766" t="s">
        <v>858</v>
      </c>
      <c r="B766" t="s">
        <v>38</v>
      </c>
      <c r="C766" s="7">
        <v>45690</v>
      </c>
      <c r="D766" s="7">
        <v>45699</v>
      </c>
      <c r="E766" t="s">
        <v>26</v>
      </c>
      <c r="F766" t="s">
        <v>17</v>
      </c>
      <c r="G766">
        <v>5</v>
      </c>
      <c r="H766" t="s">
        <v>18</v>
      </c>
      <c r="I766" t="s">
        <v>32</v>
      </c>
      <c r="J766">
        <f>orders[[#This Row],[Ship Date]]-orders[[#This Row],[Order Date]]</f>
        <v>9</v>
      </c>
      <c r="K766">
        <f>WEEKNUM(orders[[#This Row],[Order Date]])</f>
        <v>6</v>
      </c>
      <c r="L766" t="str" cm="1">
        <f t="array" ref="L766">_xlfn.IFS(orders[[#This Row],[Customer Gender]]="M","Male", orders[[#This Row],[Customer Gender]]="F","Female", orders[[#This Row],[Customer Gender]]="O","Other", TRUE,"Unknown")</f>
        <v>Female</v>
      </c>
      <c r="M766">
        <v>1</v>
      </c>
      <c r="N766">
        <v>62.5</v>
      </c>
      <c r="O766" s="5">
        <v>62.5</v>
      </c>
    </row>
    <row r="767" spans="1:15" x14ac:dyDescent="0.3">
      <c r="A767" t="s">
        <v>859</v>
      </c>
      <c r="B767" t="s">
        <v>21</v>
      </c>
      <c r="C767" s="7">
        <v>45690</v>
      </c>
      <c r="D767" s="7">
        <v>45691</v>
      </c>
      <c r="E767" t="s">
        <v>22</v>
      </c>
      <c r="F767" t="s">
        <v>17</v>
      </c>
      <c r="G767">
        <v>5</v>
      </c>
      <c r="H767" t="s">
        <v>18</v>
      </c>
      <c r="I767" t="s">
        <v>32</v>
      </c>
      <c r="J767">
        <f>orders[[#This Row],[Ship Date]]-orders[[#This Row],[Order Date]]</f>
        <v>1</v>
      </c>
      <c r="K767">
        <f>WEEKNUM(orders[[#This Row],[Order Date]])</f>
        <v>6</v>
      </c>
      <c r="L767" t="str" cm="1">
        <f t="array" ref="L767">_xlfn.IFS(orders[[#This Row],[Customer Gender]]="M","Male", orders[[#This Row],[Customer Gender]]="F","Female", orders[[#This Row],[Customer Gender]]="O","Other", TRUE,"Unknown")</f>
        <v>Male</v>
      </c>
      <c r="M767">
        <v>3</v>
      </c>
      <c r="N767">
        <v>46.9</v>
      </c>
      <c r="O767">
        <v>140.69999999999999</v>
      </c>
    </row>
    <row r="768" spans="1:15" x14ac:dyDescent="0.3">
      <c r="A768" t="s">
        <v>860</v>
      </c>
      <c r="B768" t="s">
        <v>43</v>
      </c>
      <c r="C768" s="7">
        <v>45690</v>
      </c>
      <c r="D768" s="7">
        <v>45704</v>
      </c>
      <c r="E768" t="s">
        <v>22</v>
      </c>
      <c r="F768" t="s">
        <v>34</v>
      </c>
      <c r="G768">
        <v>4</v>
      </c>
      <c r="H768" t="s">
        <v>18</v>
      </c>
      <c r="I768" t="s">
        <v>32</v>
      </c>
      <c r="J768">
        <f>orders[[#This Row],[Ship Date]]-orders[[#This Row],[Order Date]]</f>
        <v>14</v>
      </c>
      <c r="K768">
        <f>WEEKNUM(orders[[#This Row],[Order Date]])</f>
        <v>6</v>
      </c>
      <c r="L768" t="str" cm="1">
        <f t="array" ref="L768">_xlfn.IFS(orders[[#This Row],[Customer Gender]]="M","Male", orders[[#This Row],[Customer Gender]]="F","Female", orders[[#This Row],[Customer Gender]]="O","Other", TRUE,"Unknown")</f>
        <v>Male</v>
      </c>
      <c r="M768">
        <v>3</v>
      </c>
      <c r="N768">
        <v>45</v>
      </c>
      <c r="O768" s="5">
        <v>135</v>
      </c>
    </row>
    <row r="769" spans="1:15" x14ac:dyDescent="0.3">
      <c r="A769" t="s">
        <v>861</v>
      </c>
      <c r="B769" t="s">
        <v>38</v>
      </c>
      <c r="C769" s="7">
        <v>45690</v>
      </c>
      <c r="D769" s="7">
        <v>45692</v>
      </c>
      <c r="E769" t="s">
        <v>22</v>
      </c>
      <c r="F769" t="s">
        <v>69</v>
      </c>
      <c r="G769">
        <v>5</v>
      </c>
      <c r="H769" t="s">
        <v>18</v>
      </c>
      <c r="I769" t="s">
        <v>32</v>
      </c>
      <c r="J769">
        <f>orders[[#This Row],[Ship Date]]-orders[[#This Row],[Order Date]]</f>
        <v>2</v>
      </c>
      <c r="K769">
        <f>WEEKNUM(orders[[#This Row],[Order Date]])</f>
        <v>6</v>
      </c>
      <c r="L769" t="str" cm="1">
        <f t="array" ref="L769">_xlfn.IFS(orders[[#This Row],[Customer Gender]]="M","Male", orders[[#This Row],[Customer Gender]]="F","Female", orders[[#This Row],[Customer Gender]]="O","Other", TRUE,"Unknown")</f>
        <v>Male</v>
      </c>
      <c r="M769">
        <v>3</v>
      </c>
      <c r="N769">
        <v>45.2</v>
      </c>
      <c r="O769">
        <v>135.60000000000002</v>
      </c>
    </row>
    <row r="770" spans="1:15" x14ac:dyDescent="0.3">
      <c r="A770" t="s">
        <v>862</v>
      </c>
      <c r="B770" t="s">
        <v>31</v>
      </c>
      <c r="C770" s="7">
        <v>45690</v>
      </c>
      <c r="D770" s="7">
        <v>45691</v>
      </c>
      <c r="E770" t="s">
        <v>26</v>
      </c>
      <c r="F770" t="s">
        <v>17</v>
      </c>
      <c r="G770">
        <v>5</v>
      </c>
      <c r="H770" t="s">
        <v>18</v>
      </c>
      <c r="I770" t="s">
        <v>32</v>
      </c>
      <c r="J770">
        <f>orders[[#This Row],[Ship Date]]-orders[[#This Row],[Order Date]]</f>
        <v>1</v>
      </c>
      <c r="K770">
        <f>WEEKNUM(orders[[#This Row],[Order Date]])</f>
        <v>6</v>
      </c>
      <c r="L770" t="str" cm="1">
        <f t="array" ref="L770">_xlfn.IFS(orders[[#This Row],[Customer Gender]]="M","Male", orders[[#This Row],[Customer Gender]]="F","Female", orders[[#This Row],[Customer Gender]]="O","Other", TRUE,"Unknown")</f>
        <v>Female</v>
      </c>
      <c r="M770">
        <v>2</v>
      </c>
      <c r="N770">
        <v>60.1</v>
      </c>
      <c r="O770" s="5">
        <v>120.2</v>
      </c>
    </row>
    <row r="771" spans="1:15" x14ac:dyDescent="0.3">
      <c r="A771" t="s">
        <v>863</v>
      </c>
      <c r="B771" t="s">
        <v>68</v>
      </c>
      <c r="C771" s="7">
        <v>45690</v>
      </c>
      <c r="D771" s="7">
        <v>45692</v>
      </c>
      <c r="E771" t="s">
        <v>26</v>
      </c>
      <c r="F771" t="s">
        <v>17</v>
      </c>
      <c r="G771">
        <v>4</v>
      </c>
      <c r="H771" t="s">
        <v>18</v>
      </c>
      <c r="I771" t="s">
        <v>32</v>
      </c>
      <c r="J771">
        <f>orders[[#This Row],[Ship Date]]-orders[[#This Row],[Order Date]]</f>
        <v>2</v>
      </c>
      <c r="K771">
        <f>WEEKNUM(orders[[#This Row],[Order Date]])</f>
        <v>6</v>
      </c>
      <c r="L771" t="str" cm="1">
        <f t="array" ref="L771">_xlfn.IFS(orders[[#This Row],[Customer Gender]]="M","Male", orders[[#This Row],[Customer Gender]]="F","Female", orders[[#This Row],[Customer Gender]]="O","Other", TRUE,"Unknown")</f>
        <v>Female</v>
      </c>
      <c r="M771">
        <v>4</v>
      </c>
      <c r="N771">
        <v>118.7</v>
      </c>
      <c r="O771">
        <v>474.8</v>
      </c>
    </row>
    <row r="772" spans="1:15" x14ac:dyDescent="0.3">
      <c r="A772" t="s">
        <v>864</v>
      </c>
      <c r="B772" t="s">
        <v>45</v>
      </c>
      <c r="C772" s="7">
        <v>45690</v>
      </c>
      <c r="D772" s="7">
        <v>45699</v>
      </c>
      <c r="E772" t="s">
        <v>26</v>
      </c>
      <c r="F772" t="s">
        <v>34</v>
      </c>
      <c r="G772">
        <v>4</v>
      </c>
      <c r="H772" t="s">
        <v>18</v>
      </c>
      <c r="I772" t="s">
        <v>32</v>
      </c>
      <c r="J772">
        <f>orders[[#This Row],[Ship Date]]-orders[[#This Row],[Order Date]]</f>
        <v>9</v>
      </c>
      <c r="K772">
        <f>WEEKNUM(orders[[#This Row],[Order Date]])</f>
        <v>6</v>
      </c>
      <c r="L772" t="str" cm="1">
        <f t="array" ref="L772">_xlfn.IFS(orders[[#This Row],[Customer Gender]]="M","Male", orders[[#This Row],[Customer Gender]]="F","Female", orders[[#This Row],[Customer Gender]]="O","Other", TRUE,"Unknown")</f>
        <v>Female</v>
      </c>
      <c r="M772">
        <v>1</v>
      </c>
      <c r="N772">
        <v>57.8</v>
      </c>
      <c r="O772" s="5">
        <v>57.8</v>
      </c>
    </row>
    <row r="773" spans="1:15" x14ac:dyDescent="0.3">
      <c r="A773" t="s">
        <v>865</v>
      </c>
      <c r="B773" t="s">
        <v>31</v>
      </c>
      <c r="C773" s="7">
        <v>45690</v>
      </c>
      <c r="D773" s="7">
        <v>45691</v>
      </c>
      <c r="E773" t="s">
        <v>22</v>
      </c>
      <c r="F773" t="s">
        <v>34</v>
      </c>
      <c r="G773">
        <v>3</v>
      </c>
      <c r="H773" t="s">
        <v>18</v>
      </c>
      <c r="I773" t="s">
        <v>32</v>
      </c>
      <c r="J773">
        <f>orders[[#This Row],[Ship Date]]-orders[[#This Row],[Order Date]]</f>
        <v>1</v>
      </c>
      <c r="K773">
        <f>WEEKNUM(orders[[#This Row],[Order Date]])</f>
        <v>6</v>
      </c>
      <c r="L773" t="str" cm="1">
        <f t="array" ref="L773">_xlfn.IFS(orders[[#This Row],[Customer Gender]]="M","Male", orders[[#This Row],[Customer Gender]]="F","Female", orders[[#This Row],[Customer Gender]]="O","Other", TRUE,"Unknown")</f>
        <v>Male</v>
      </c>
      <c r="M773">
        <v>1</v>
      </c>
      <c r="N773">
        <v>19.5</v>
      </c>
      <c r="O773">
        <v>19.5</v>
      </c>
    </row>
    <row r="774" spans="1:15" x14ac:dyDescent="0.3">
      <c r="A774" t="s">
        <v>866</v>
      </c>
      <c r="B774" t="s">
        <v>68</v>
      </c>
      <c r="C774" s="7">
        <v>45690</v>
      </c>
      <c r="D774" s="7">
        <v>45691</v>
      </c>
      <c r="E774" t="s">
        <v>22</v>
      </c>
      <c r="F774" t="s">
        <v>17</v>
      </c>
      <c r="G774">
        <v>3</v>
      </c>
      <c r="H774" t="s">
        <v>18</v>
      </c>
      <c r="I774" t="s">
        <v>32</v>
      </c>
      <c r="J774">
        <f>orders[[#This Row],[Ship Date]]-orders[[#This Row],[Order Date]]</f>
        <v>1</v>
      </c>
      <c r="K774">
        <f>WEEKNUM(orders[[#This Row],[Order Date]])</f>
        <v>6</v>
      </c>
      <c r="L774" t="str" cm="1">
        <f t="array" ref="L774">_xlfn.IFS(orders[[#This Row],[Customer Gender]]="M","Male", orders[[#This Row],[Customer Gender]]="F","Female", orders[[#This Row],[Customer Gender]]="O","Other", TRUE,"Unknown")</f>
        <v>Male</v>
      </c>
      <c r="M774">
        <v>1</v>
      </c>
      <c r="N774">
        <v>42.6</v>
      </c>
      <c r="O774" s="5">
        <v>42.6</v>
      </c>
    </row>
    <row r="775" spans="1:15" x14ac:dyDescent="0.3">
      <c r="A775" t="s">
        <v>867</v>
      </c>
      <c r="B775" t="s">
        <v>38</v>
      </c>
      <c r="C775" s="7">
        <v>45690</v>
      </c>
      <c r="D775" s="7">
        <v>45691</v>
      </c>
      <c r="E775" t="s">
        <v>26</v>
      </c>
      <c r="F775" t="s">
        <v>50</v>
      </c>
      <c r="G775">
        <v>5</v>
      </c>
      <c r="H775" t="s">
        <v>18</v>
      </c>
      <c r="I775" t="s">
        <v>363</v>
      </c>
      <c r="J775">
        <f>orders[[#This Row],[Ship Date]]-orders[[#This Row],[Order Date]]</f>
        <v>1</v>
      </c>
      <c r="K775">
        <f>WEEKNUM(orders[[#This Row],[Order Date]])</f>
        <v>6</v>
      </c>
      <c r="L775" t="str" cm="1">
        <f t="array" ref="L775">_xlfn.IFS(orders[[#This Row],[Customer Gender]]="M","Male", orders[[#This Row],[Customer Gender]]="F","Female", orders[[#This Row],[Customer Gender]]="O","Other", TRUE,"Unknown")</f>
        <v>Female</v>
      </c>
      <c r="M775">
        <v>2</v>
      </c>
      <c r="N775">
        <v>74.8</v>
      </c>
      <c r="O775">
        <v>149.6</v>
      </c>
    </row>
    <row r="776" spans="1:15" x14ac:dyDescent="0.3">
      <c r="A776" t="s">
        <v>868</v>
      </c>
      <c r="B776" t="s">
        <v>43</v>
      </c>
      <c r="C776" s="7">
        <v>45690</v>
      </c>
      <c r="D776" s="7">
        <v>45691</v>
      </c>
      <c r="E776" t="s">
        <v>22</v>
      </c>
      <c r="F776" t="s">
        <v>39</v>
      </c>
      <c r="G776">
        <v>2</v>
      </c>
      <c r="H776" t="s">
        <v>18</v>
      </c>
      <c r="I776" t="s">
        <v>97</v>
      </c>
      <c r="J776">
        <f>orders[[#This Row],[Ship Date]]-orders[[#This Row],[Order Date]]</f>
        <v>1</v>
      </c>
      <c r="K776">
        <f>WEEKNUM(orders[[#This Row],[Order Date]])</f>
        <v>6</v>
      </c>
      <c r="L776" t="str" cm="1">
        <f t="array" ref="L776">_xlfn.IFS(orders[[#This Row],[Customer Gender]]="M","Male", orders[[#This Row],[Customer Gender]]="F","Female", orders[[#This Row],[Customer Gender]]="O","Other", TRUE,"Unknown")</f>
        <v>Male</v>
      </c>
      <c r="M776">
        <v>3</v>
      </c>
      <c r="N776">
        <v>32.5</v>
      </c>
      <c r="O776" s="5">
        <v>97.5</v>
      </c>
    </row>
    <row r="777" spans="1:15" x14ac:dyDescent="0.3">
      <c r="A777" t="s">
        <v>869</v>
      </c>
      <c r="B777" t="s">
        <v>25</v>
      </c>
      <c r="C777" s="7">
        <v>45690</v>
      </c>
      <c r="D777" s="7">
        <v>45690</v>
      </c>
      <c r="E777" t="s">
        <v>26</v>
      </c>
      <c r="F777" t="s">
        <v>34</v>
      </c>
      <c r="G777">
        <v>5</v>
      </c>
      <c r="H777" t="s">
        <v>18</v>
      </c>
      <c r="I777" t="s">
        <v>187</v>
      </c>
      <c r="J777">
        <f>orders[[#This Row],[Ship Date]]-orders[[#This Row],[Order Date]]</f>
        <v>0</v>
      </c>
      <c r="K777">
        <f>WEEKNUM(orders[[#This Row],[Order Date]])</f>
        <v>6</v>
      </c>
      <c r="L777" t="str" cm="1">
        <f t="array" ref="L777">_xlfn.IFS(orders[[#This Row],[Customer Gender]]="M","Male", orders[[#This Row],[Customer Gender]]="F","Female", orders[[#This Row],[Customer Gender]]="O","Other", TRUE,"Unknown")</f>
        <v>Female</v>
      </c>
      <c r="M777">
        <v>3</v>
      </c>
      <c r="N777">
        <v>60.5</v>
      </c>
      <c r="O777">
        <v>181.5</v>
      </c>
    </row>
    <row r="778" spans="1:15" x14ac:dyDescent="0.3">
      <c r="A778" t="s">
        <v>870</v>
      </c>
      <c r="B778" t="s">
        <v>21</v>
      </c>
      <c r="C778" s="7">
        <v>45690</v>
      </c>
      <c r="D778" s="7">
        <v>45692</v>
      </c>
      <c r="E778" t="s">
        <v>2517</v>
      </c>
      <c r="F778" t="s">
        <v>39</v>
      </c>
      <c r="G778">
        <v>4</v>
      </c>
      <c r="H778" t="s">
        <v>18</v>
      </c>
      <c r="I778" t="s">
        <v>187</v>
      </c>
      <c r="J778">
        <f>orders[[#This Row],[Ship Date]]-orders[[#This Row],[Order Date]]</f>
        <v>2</v>
      </c>
      <c r="K778">
        <f>WEEKNUM(orders[[#This Row],[Order Date]])</f>
        <v>6</v>
      </c>
      <c r="L778" t="str" cm="1">
        <f t="array" ref="L778">_xlfn.IFS(orders[[#This Row],[Customer Gender]]="M","Male", orders[[#This Row],[Customer Gender]]="F","Female", orders[[#This Row],[Customer Gender]]="O","Other", TRUE,"Unknown")</f>
        <v>Unknown</v>
      </c>
      <c r="M778">
        <v>7</v>
      </c>
      <c r="N778">
        <v>57.2</v>
      </c>
      <c r="O778" s="5">
        <v>400.40000000000003</v>
      </c>
    </row>
    <row r="779" spans="1:15" x14ac:dyDescent="0.3">
      <c r="A779" t="s">
        <v>871</v>
      </c>
      <c r="B779" t="s">
        <v>127</v>
      </c>
      <c r="C779" s="7">
        <v>45690</v>
      </c>
      <c r="D779" s="7">
        <v>45691</v>
      </c>
      <c r="E779" t="s">
        <v>26</v>
      </c>
      <c r="F779" t="s">
        <v>34</v>
      </c>
      <c r="G779">
        <v>3</v>
      </c>
      <c r="H779" t="s">
        <v>18</v>
      </c>
      <c r="I779" t="s">
        <v>51</v>
      </c>
      <c r="J779">
        <f>orders[[#This Row],[Ship Date]]-orders[[#This Row],[Order Date]]</f>
        <v>1</v>
      </c>
      <c r="K779">
        <f>WEEKNUM(orders[[#This Row],[Order Date]])</f>
        <v>6</v>
      </c>
      <c r="L779" t="str" cm="1">
        <f t="array" ref="L779">_xlfn.IFS(orders[[#This Row],[Customer Gender]]="M","Male", orders[[#This Row],[Customer Gender]]="F","Female", orders[[#This Row],[Customer Gender]]="O","Other", TRUE,"Unknown")</f>
        <v>Female</v>
      </c>
      <c r="M779">
        <v>2</v>
      </c>
      <c r="N779">
        <v>112</v>
      </c>
      <c r="O779">
        <v>224</v>
      </c>
    </row>
    <row r="780" spans="1:15" x14ac:dyDescent="0.3">
      <c r="A780" t="s">
        <v>872</v>
      </c>
      <c r="B780" t="s">
        <v>41</v>
      </c>
      <c r="C780" s="7">
        <v>45690</v>
      </c>
      <c r="D780" s="7">
        <v>45691</v>
      </c>
      <c r="E780" t="s">
        <v>88</v>
      </c>
      <c r="F780" t="s">
        <v>39</v>
      </c>
      <c r="G780">
        <v>3</v>
      </c>
      <c r="H780" t="s">
        <v>18</v>
      </c>
      <c r="I780" t="s">
        <v>54</v>
      </c>
      <c r="J780">
        <f>orders[[#This Row],[Ship Date]]-orders[[#This Row],[Order Date]]</f>
        <v>1</v>
      </c>
      <c r="K780">
        <f>WEEKNUM(orders[[#This Row],[Order Date]])</f>
        <v>6</v>
      </c>
      <c r="L780" t="str" cm="1">
        <f t="array" ref="L780">_xlfn.IFS(orders[[#This Row],[Customer Gender]]="M","Male", orders[[#This Row],[Customer Gender]]="F","Female", orders[[#This Row],[Customer Gender]]="O","Other", TRUE,"Unknown")</f>
        <v>Other</v>
      </c>
      <c r="M780">
        <v>10</v>
      </c>
      <c r="N780">
        <v>49</v>
      </c>
      <c r="O780" s="5">
        <v>490</v>
      </c>
    </row>
    <row r="781" spans="1:15" x14ac:dyDescent="0.3">
      <c r="A781" t="s">
        <v>873</v>
      </c>
      <c r="B781" t="s">
        <v>16</v>
      </c>
      <c r="C781" s="7">
        <v>45690</v>
      </c>
      <c r="D781" s="7">
        <v>45694</v>
      </c>
      <c r="E781" t="s">
        <v>26</v>
      </c>
      <c r="F781" t="s">
        <v>50</v>
      </c>
      <c r="G781">
        <v>4</v>
      </c>
      <c r="H781" t="s">
        <v>18</v>
      </c>
      <c r="I781" t="s">
        <v>54</v>
      </c>
      <c r="J781">
        <f>orders[[#This Row],[Ship Date]]-orders[[#This Row],[Order Date]]</f>
        <v>4</v>
      </c>
      <c r="K781">
        <f>WEEKNUM(orders[[#This Row],[Order Date]])</f>
        <v>6</v>
      </c>
      <c r="L781" t="str" cm="1">
        <f t="array" ref="L781">_xlfn.IFS(orders[[#This Row],[Customer Gender]]="M","Male", orders[[#This Row],[Customer Gender]]="F","Female", orders[[#This Row],[Customer Gender]]="O","Other", TRUE,"Unknown")</f>
        <v>Female</v>
      </c>
      <c r="M781">
        <v>2</v>
      </c>
      <c r="N781">
        <v>33.700000000000003</v>
      </c>
      <c r="O781">
        <v>67.400000000000006</v>
      </c>
    </row>
    <row r="782" spans="1:15" x14ac:dyDescent="0.3">
      <c r="A782" t="s">
        <v>874</v>
      </c>
      <c r="B782" t="s">
        <v>31</v>
      </c>
      <c r="C782" s="7">
        <v>45690</v>
      </c>
      <c r="D782" s="7">
        <v>45693</v>
      </c>
      <c r="E782" t="s">
        <v>26</v>
      </c>
      <c r="F782" t="s">
        <v>17</v>
      </c>
      <c r="G782">
        <v>5</v>
      </c>
      <c r="H782" t="s">
        <v>18</v>
      </c>
      <c r="I782" t="s">
        <v>54</v>
      </c>
      <c r="J782">
        <f>orders[[#This Row],[Ship Date]]-orders[[#This Row],[Order Date]]</f>
        <v>3</v>
      </c>
      <c r="K782">
        <f>WEEKNUM(orders[[#This Row],[Order Date]])</f>
        <v>6</v>
      </c>
      <c r="L782" t="str" cm="1">
        <f t="array" ref="L782">_xlfn.IFS(orders[[#This Row],[Customer Gender]]="M","Male", orders[[#This Row],[Customer Gender]]="F","Female", orders[[#This Row],[Customer Gender]]="O","Other", TRUE,"Unknown")</f>
        <v>Female</v>
      </c>
      <c r="M782">
        <v>3</v>
      </c>
      <c r="N782">
        <v>35.6</v>
      </c>
      <c r="O782" s="5">
        <v>106.80000000000001</v>
      </c>
    </row>
    <row r="783" spans="1:15" x14ac:dyDescent="0.3">
      <c r="A783" t="s">
        <v>875</v>
      </c>
      <c r="B783" t="s">
        <v>31</v>
      </c>
      <c r="C783" s="7">
        <v>45691</v>
      </c>
      <c r="D783" s="7">
        <v>45691</v>
      </c>
      <c r="E783" t="s">
        <v>26</v>
      </c>
      <c r="F783" t="s">
        <v>17</v>
      </c>
      <c r="G783">
        <v>3</v>
      </c>
      <c r="H783" t="s">
        <v>18</v>
      </c>
      <c r="I783" t="s">
        <v>58</v>
      </c>
      <c r="J783">
        <f>orders[[#This Row],[Ship Date]]-orders[[#This Row],[Order Date]]</f>
        <v>0</v>
      </c>
      <c r="K783">
        <f>WEEKNUM(orders[[#This Row],[Order Date]])</f>
        <v>6</v>
      </c>
      <c r="L783" t="str" cm="1">
        <f t="array" ref="L783">_xlfn.IFS(orders[[#This Row],[Customer Gender]]="M","Male", orders[[#This Row],[Customer Gender]]="F","Female", orders[[#This Row],[Customer Gender]]="O","Other", TRUE,"Unknown")</f>
        <v>Female</v>
      </c>
      <c r="M783">
        <v>35</v>
      </c>
      <c r="N783">
        <v>30.4</v>
      </c>
      <c r="O783">
        <v>1064</v>
      </c>
    </row>
    <row r="784" spans="1:15" x14ac:dyDescent="0.3">
      <c r="A784" t="s">
        <v>876</v>
      </c>
      <c r="B784" t="s">
        <v>53</v>
      </c>
      <c r="C784" s="7">
        <v>45691</v>
      </c>
      <c r="D784" s="7">
        <v>45692</v>
      </c>
      <c r="E784" t="s">
        <v>22</v>
      </c>
      <c r="F784" t="s">
        <v>69</v>
      </c>
      <c r="G784">
        <v>4</v>
      </c>
      <c r="H784" t="s">
        <v>18</v>
      </c>
      <c r="I784" t="s">
        <v>61</v>
      </c>
      <c r="J784">
        <f>orders[[#This Row],[Ship Date]]-orders[[#This Row],[Order Date]]</f>
        <v>1</v>
      </c>
      <c r="K784">
        <f>WEEKNUM(orders[[#This Row],[Order Date]])</f>
        <v>6</v>
      </c>
      <c r="L784" t="str" cm="1">
        <f t="array" ref="L784">_xlfn.IFS(orders[[#This Row],[Customer Gender]]="M","Male", orders[[#This Row],[Customer Gender]]="F","Female", orders[[#This Row],[Customer Gender]]="O","Other", TRUE,"Unknown")</f>
        <v>Male</v>
      </c>
      <c r="M784">
        <v>12</v>
      </c>
      <c r="N784">
        <v>50.2</v>
      </c>
      <c r="O784" s="5">
        <v>602.40000000000009</v>
      </c>
    </row>
    <row r="785" spans="1:15" x14ac:dyDescent="0.3">
      <c r="A785" t="s">
        <v>877</v>
      </c>
      <c r="B785" t="s">
        <v>21</v>
      </c>
      <c r="C785" s="7">
        <v>45691</v>
      </c>
      <c r="D785" s="7">
        <v>45693</v>
      </c>
      <c r="E785" t="s">
        <v>26</v>
      </c>
      <c r="F785" t="s">
        <v>17</v>
      </c>
      <c r="G785">
        <v>4</v>
      </c>
      <c r="H785" t="s">
        <v>18</v>
      </c>
      <c r="I785" t="s">
        <v>61</v>
      </c>
      <c r="J785">
        <f>orders[[#This Row],[Ship Date]]-orders[[#This Row],[Order Date]]</f>
        <v>2</v>
      </c>
      <c r="K785">
        <f>WEEKNUM(orders[[#This Row],[Order Date]])</f>
        <v>6</v>
      </c>
      <c r="L785" t="str" cm="1">
        <f t="array" ref="L785">_xlfn.IFS(orders[[#This Row],[Customer Gender]]="M","Male", orders[[#This Row],[Customer Gender]]="F","Female", orders[[#This Row],[Customer Gender]]="O","Other", TRUE,"Unknown")</f>
        <v>Female</v>
      </c>
      <c r="M785">
        <v>2</v>
      </c>
      <c r="N785">
        <v>43.7</v>
      </c>
      <c r="O785">
        <v>87.4</v>
      </c>
    </row>
    <row r="786" spans="1:15" x14ac:dyDescent="0.3">
      <c r="A786" t="s">
        <v>878</v>
      </c>
      <c r="B786" t="s">
        <v>53</v>
      </c>
      <c r="C786" s="7">
        <v>45691</v>
      </c>
      <c r="D786" s="7">
        <v>45692</v>
      </c>
      <c r="E786" t="s">
        <v>26</v>
      </c>
      <c r="F786" t="s">
        <v>39</v>
      </c>
      <c r="G786">
        <v>3</v>
      </c>
      <c r="H786" t="s">
        <v>18</v>
      </c>
      <c r="I786" t="s">
        <v>61</v>
      </c>
      <c r="J786">
        <f>orders[[#This Row],[Ship Date]]-orders[[#This Row],[Order Date]]</f>
        <v>1</v>
      </c>
      <c r="K786">
        <f>WEEKNUM(orders[[#This Row],[Order Date]])</f>
        <v>6</v>
      </c>
      <c r="L786" t="str" cm="1">
        <f t="array" ref="L786">_xlfn.IFS(orders[[#This Row],[Customer Gender]]="M","Male", orders[[#This Row],[Customer Gender]]="F","Female", orders[[#This Row],[Customer Gender]]="O","Other", TRUE,"Unknown")</f>
        <v>Female</v>
      </c>
      <c r="M786">
        <v>1</v>
      </c>
      <c r="N786">
        <v>33.299999999999997</v>
      </c>
      <c r="O786" s="5">
        <v>33.299999999999997</v>
      </c>
    </row>
    <row r="787" spans="1:15" x14ac:dyDescent="0.3">
      <c r="A787" t="s">
        <v>879</v>
      </c>
      <c r="B787" t="s">
        <v>43</v>
      </c>
      <c r="C787" s="7">
        <v>45691</v>
      </c>
      <c r="D787" s="7">
        <v>45693</v>
      </c>
      <c r="E787" t="s">
        <v>26</v>
      </c>
      <c r="F787" t="s">
        <v>69</v>
      </c>
      <c r="G787">
        <v>5</v>
      </c>
      <c r="H787" t="s">
        <v>18</v>
      </c>
      <c r="I787" t="s">
        <v>61</v>
      </c>
      <c r="J787">
        <f>orders[[#This Row],[Ship Date]]-orders[[#This Row],[Order Date]]</f>
        <v>2</v>
      </c>
      <c r="K787">
        <f>WEEKNUM(orders[[#This Row],[Order Date]])</f>
        <v>6</v>
      </c>
      <c r="L787" t="str" cm="1">
        <f t="array" ref="L787">_xlfn.IFS(orders[[#This Row],[Customer Gender]]="M","Male", orders[[#This Row],[Customer Gender]]="F","Female", orders[[#This Row],[Customer Gender]]="O","Other", TRUE,"Unknown")</f>
        <v>Female</v>
      </c>
      <c r="M787">
        <v>4</v>
      </c>
      <c r="N787">
        <v>15.1</v>
      </c>
      <c r="O787">
        <v>60.4</v>
      </c>
    </row>
    <row r="788" spans="1:15" x14ac:dyDescent="0.3">
      <c r="A788" t="s">
        <v>880</v>
      </c>
      <c r="B788" t="s">
        <v>38</v>
      </c>
      <c r="C788" s="7">
        <v>45691</v>
      </c>
      <c r="D788" s="7">
        <v>45692</v>
      </c>
      <c r="E788" t="s">
        <v>26</v>
      </c>
      <c r="F788" t="s">
        <v>50</v>
      </c>
      <c r="G788">
        <v>2</v>
      </c>
      <c r="H788" t="s">
        <v>18</v>
      </c>
      <c r="I788" t="s">
        <v>61</v>
      </c>
      <c r="J788">
        <f>orders[[#This Row],[Ship Date]]-orders[[#This Row],[Order Date]]</f>
        <v>1</v>
      </c>
      <c r="K788">
        <f>WEEKNUM(orders[[#This Row],[Order Date]])</f>
        <v>6</v>
      </c>
      <c r="L788" t="str" cm="1">
        <f t="array" ref="L788">_xlfn.IFS(orders[[#This Row],[Customer Gender]]="M","Male", orders[[#This Row],[Customer Gender]]="F","Female", orders[[#This Row],[Customer Gender]]="O","Other", TRUE,"Unknown")</f>
        <v>Female</v>
      </c>
      <c r="M788">
        <v>5</v>
      </c>
      <c r="N788">
        <v>118.2</v>
      </c>
      <c r="O788" s="5">
        <v>591</v>
      </c>
    </row>
    <row r="789" spans="1:15" x14ac:dyDescent="0.3">
      <c r="A789" t="s">
        <v>881</v>
      </c>
      <c r="B789" t="s">
        <v>53</v>
      </c>
      <c r="C789" s="7">
        <v>45691</v>
      </c>
      <c r="D789" s="7">
        <v>45693</v>
      </c>
      <c r="E789" t="s">
        <v>26</v>
      </c>
      <c r="F789" t="s">
        <v>39</v>
      </c>
      <c r="G789">
        <v>3</v>
      </c>
      <c r="H789" t="s">
        <v>18</v>
      </c>
      <c r="I789" t="s">
        <v>61</v>
      </c>
      <c r="J789">
        <f>orders[[#This Row],[Ship Date]]-orders[[#This Row],[Order Date]]</f>
        <v>2</v>
      </c>
      <c r="K789">
        <f>WEEKNUM(orders[[#This Row],[Order Date]])</f>
        <v>6</v>
      </c>
      <c r="L789" t="str" cm="1">
        <f t="array" ref="L789">_xlfn.IFS(orders[[#This Row],[Customer Gender]]="M","Male", orders[[#This Row],[Customer Gender]]="F","Female", orders[[#This Row],[Customer Gender]]="O","Other", TRUE,"Unknown")</f>
        <v>Female</v>
      </c>
      <c r="M789">
        <v>3</v>
      </c>
      <c r="N789">
        <v>28.9</v>
      </c>
      <c r="O789">
        <v>86.699999999999989</v>
      </c>
    </row>
    <row r="790" spans="1:15" x14ac:dyDescent="0.3">
      <c r="A790" t="s">
        <v>882</v>
      </c>
      <c r="B790" t="s">
        <v>31</v>
      </c>
      <c r="C790" s="7">
        <v>45691</v>
      </c>
      <c r="D790" s="7">
        <v>45692</v>
      </c>
      <c r="E790" t="s">
        <v>22</v>
      </c>
      <c r="F790" t="s">
        <v>17</v>
      </c>
      <c r="G790">
        <v>3</v>
      </c>
      <c r="H790" t="s">
        <v>18</v>
      </c>
      <c r="I790" t="s">
        <v>61</v>
      </c>
      <c r="J790">
        <f>orders[[#This Row],[Ship Date]]-orders[[#This Row],[Order Date]]</f>
        <v>1</v>
      </c>
      <c r="K790">
        <f>WEEKNUM(orders[[#This Row],[Order Date]])</f>
        <v>6</v>
      </c>
      <c r="L790" t="str" cm="1">
        <f t="array" ref="L790">_xlfn.IFS(orders[[#This Row],[Customer Gender]]="M","Male", orders[[#This Row],[Customer Gender]]="F","Female", orders[[#This Row],[Customer Gender]]="O","Other", TRUE,"Unknown")</f>
        <v>Male</v>
      </c>
      <c r="M790">
        <v>3</v>
      </c>
      <c r="N790">
        <v>55.6</v>
      </c>
      <c r="O790" s="5">
        <v>166.8</v>
      </c>
    </row>
    <row r="791" spans="1:15" x14ac:dyDescent="0.3">
      <c r="A791" t="s">
        <v>883</v>
      </c>
      <c r="B791" t="s">
        <v>45</v>
      </c>
      <c r="C791" s="7">
        <v>45691</v>
      </c>
      <c r="D791" s="7">
        <v>45693</v>
      </c>
      <c r="E791" t="s">
        <v>26</v>
      </c>
      <c r="F791" t="s">
        <v>17</v>
      </c>
      <c r="G791">
        <v>3</v>
      </c>
      <c r="H791" t="s">
        <v>18</v>
      </c>
      <c r="I791" t="s">
        <v>61</v>
      </c>
      <c r="J791">
        <f>orders[[#This Row],[Ship Date]]-orders[[#This Row],[Order Date]]</f>
        <v>2</v>
      </c>
      <c r="K791">
        <f>WEEKNUM(orders[[#This Row],[Order Date]])</f>
        <v>6</v>
      </c>
      <c r="L791" t="str" cm="1">
        <f t="array" ref="L791">_xlfn.IFS(orders[[#This Row],[Customer Gender]]="M","Male", orders[[#This Row],[Customer Gender]]="F","Female", orders[[#This Row],[Customer Gender]]="O","Other", TRUE,"Unknown")</f>
        <v>Female</v>
      </c>
      <c r="M791">
        <v>4</v>
      </c>
      <c r="N791">
        <v>25.6</v>
      </c>
      <c r="O791">
        <v>102.4</v>
      </c>
    </row>
    <row r="792" spans="1:15" x14ac:dyDescent="0.3">
      <c r="A792" t="s">
        <v>884</v>
      </c>
      <c r="B792" t="s">
        <v>41</v>
      </c>
      <c r="C792" s="7">
        <v>45691</v>
      </c>
      <c r="D792" s="7">
        <v>45692</v>
      </c>
      <c r="E792" t="s">
        <v>22</v>
      </c>
      <c r="F792" t="s">
        <v>17</v>
      </c>
      <c r="G792">
        <v>4</v>
      </c>
      <c r="H792" t="s">
        <v>18</v>
      </c>
      <c r="I792" t="s">
        <v>102</v>
      </c>
      <c r="J792">
        <f>orders[[#This Row],[Ship Date]]-orders[[#This Row],[Order Date]]</f>
        <v>1</v>
      </c>
      <c r="K792">
        <f>WEEKNUM(orders[[#This Row],[Order Date]])</f>
        <v>6</v>
      </c>
      <c r="L792" t="str" cm="1">
        <f t="array" ref="L792">_xlfn.IFS(orders[[#This Row],[Customer Gender]]="M","Male", orders[[#This Row],[Customer Gender]]="F","Female", orders[[#This Row],[Customer Gender]]="O","Other", TRUE,"Unknown")</f>
        <v>Male</v>
      </c>
      <c r="M792">
        <v>3</v>
      </c>
      <c r="N792">
        <v>31.3</v>
      </c>
      <c r="O792" s="5">
        <v>93.9</v>
      </c>
    </row>
    <row r="793" spans="1:15" x14ac:dyDescent="0.3">
      <c r="A793" t="s">
        <v>885</v>
      </c>
      <c r="B793" t="s">
        <v>16</v>
      </c>
      <c r="C793" s="7">
        <v>45691</v>
      </c>
      <c r="D793" s="7">
        <v>45695</v>
      </c>
      <c r="E793" t="s">
        <v>22</v>
      </c>
      <c r="F793" t="s">
        <v>17</v>
      </c>
      <c r="G793">
        <v>4</v>
      </c>
      <c r="H793" t="s">
        <v>18</v>
      </c>
      <c r="I793" t="s">
        <v>102</v>
      </c>
      <c r="J793">
        <f>orders[[#This Row],[Ship Date]]-orders[[#This Row],[Order Date]]</f>
        <v>4</v>
      </c>
      <c r="K793">
        <f>WEEKNUM(orders[[#This Row],[Order Date]])</f>
        <v>6</v>
      </c>
      <c r="L793" t="str" cm="1">
        <f t="array" ref="L793">_xlfn.IFS(orders[[#This Row],[Customer Gender]]="M","Male", orders[[#This Row],[Customer Gender]]="F","Female", orders[[#This Row],[Customer Gender]]="O","Other", TRUE,"Unknown")</f>
        <v>Male</v>
      </c>
      <c r="M793">
        <v>3</v>
      </c>
      <c r="N793">
        <v>22.1</v>
      </c>
      <c r="O793">
        <v>66.300000000000011</v>
      </c>
    </row>
    <row r="794" spans="1:15" x14ac:dyDescent="0.3">
      <c r="A794" t="s">
        <v>886</v>
      </c>
      <c r="B794" t="s">
        <v>25</v>
      </c>
      <c r="C794" s="7">
        <v>45691</v>
      </c>
      <c r="D794" s="7">
        <v>45692</v>
      </c>
      <c r="E794" t="s">
        <v>22</v>
      </c>
      <c r="F794" t="s">
        <v>34</v>
      </c>
      <c r="G794">
        <v>4</v>
      </c>
      <c r="H794" t="s">
        <v>18</v>
      </c>
      <c r="I794" t="s">
        <v>76</v>
      </c>
      <c r="J794">
        <f>orders[[#This Row],[Ship Date]]-orders[[#This Row],[Order Date]]</f>
        <v>1</v>
      </c>
      <c r="K794">
        <f>WEEKNUM(orders[[#This Row],[Order Date]])</f>
        <v>6</v>
      </c>
      <c r="L794" t="str" cm="1">
        <f t="array" ref="L794">_xlfn.IFS(orders[[#This Row],[Customer Gender]]="M","Male", orders[[#This Row],[Customer Gender]]="F","Female", orders[[#This Row],[Customer Gender]]="O","Other", TRUE,"Unknown")</f>
        <v>Male</v>
      </c>
      <c r="M794">
        <v>14</v>
      </c>
      <c r="N794">
        <v>99.4</v>
      </c>
      <c r="O794" s="5">
        <v>1391.6000000000001</v>
      </c>
    </row>
    <row r="795" spans="1:15" x14ac:dyDescent="0.3">
      <c r="A795" t="s">
        <v>887</v>
      </c>
      <c r="B795" t="s">
        <v>41</v>
      </c>
      <c r="C795" s="7">
        <v>45691</v>
      </c>
      <c r="D795" s="7">
        <v>45692</v>
      </c>
      <c r="E795" t="s">
        <v>26</v>
      </c>
      <c r="F795" t="s">
        <v>17</v>
      </c>
      <c r="G795">
        <v>4</v>
      </c>
      <c r="H795" t="s">
        <v>18</v>
      </c>
      <c r="I795" t="s">
        <v>76</v>
      </c>
      <c r="J795">
        <f>orders[[#This Row],[Ship Date]]-orders[[#This Row],[Order Date]]</f>
        <v>1</v>
      </c>
      <c r="K795">
        <f>WEEKNUM(orders[[#This Row],[Order Date]])</f>
        <v>6</v>
      </c>
      <c r="L795" t="str" cm="1">
        <f t="array" ref="L795">_xlfn.IFS(orders[[#This Row],[Customer Gender]]="M","Male", orders[[#This Row],[Customer Gender]]="F","Female", orders[[#This Row],[Customer Gender]]="O","Other", TRUE,"Unknown")</f>
        <v>Female</v>
      </c>
      <c r="M795">
        <v>6</v>
      </c>
      <c r="N795">
        <v>66.599999999999994</v>
      </c>
      <c r="O795">
        <v>399.59999999999997</v>
      </c>
    </row>
    <row r="796" spans="1:15" x14ac:dyDescent="0.3">
      <c r="A796" t="s">
        <v>888</v>
      </c>
      <c r="B796" t="s">
        <v>43</v>
      </c>
      <c r="C796" s="7">
        <v>45691</v>
      </c>
      <c r="D796" s="7">
        <v>45694</v>
      </c>
      <c r="E796" t="s">
        <v>22</v>
      </c>
      <c r="F796" t="s">
        <v>17</v>
      </c>
      <c r="G796">
        <v>4</v>
      </c>
      <c r="H796" t="s">
        <v>18</v>
      </c>
      <c r="I796" t="s">
        <v>76</v>
      </c>
      <c r="J796">
        <f>orders[[#This Row],[Ship Date]]-orders[[#This Row],[Order Date]]</f>
        <v>3</v>
      </c>
      <c r="K796">
        <f>WEEKNUM(orders[[#This Row],[Order Date]])</f>
        <v>6</v>
      </c>
      <c r="L796" t="str" cm="1">
        <f t="array" ref="L796">_xlfn.IFS(orders[[#This Row],[Customer Gender]]="M","Male", orders[[#This Row],[Customer Gender]]="F","Female", orders[[#This Row],[Customer Gender]]="O","Other", TRUE,"Unknown")</f>
        <v>Male</v>
      </c>
      <c r="M796">
        <v>2</v>
      </c>
      <c r="N796">
        <v>22.6</v>
      </c>
      <c r="O796" s="5">
        <v>45.2</v>
      </c>
    </row>
    <row r="797" spans="1:15" x14ac:dyDescent="0.3">
      <c r="A797" t="s">
        <v>889</v>
      </c>
      <c r="B797" t="s">
        <v>25</v>
      </c>
      <c r="C797" s="7">
        <v>45691</v>
      </c>
      <c r="D797" s="7">
        <v>45692</v>
      </c>
      <c r="E797" t="s">
        <v>26</v>
      </c>
      <c r="F797" t="s">
        <v>17</v>
      </c>
      <c r="G797">
        <v>2</v>
      </c>
      <c r="H797" t="s">
        <v>18</v>
      </c>
      <c r="I797" t="s">
        <v>81</v>
      </c>
      <c r="J797">
        <f>orders[[#This Row],[Ship Date]]-orders[[#This Row],[Order Date]]</f>
        <v>1</v>
      </c>
      <c r="K797">
        <f>WEEKNUM(orders[[#This Row],[Order Date]])</f>
        <v>6</v>
      </c>
      <c r="L797" t="str" cm="1">
        <f t="array" ref="L797">_xlfn.IFS(orders[[#This Row],[Customer Gender]]="M","Male", orders[[#This Row],[Customer Gender]]="F","Female", orders[[#This Row],[Customer Gender]]="O","Other", TRUE,"Unknown")</f>
        <v>Female</v>
      </c>
      <c r="M797">
        <v>18</v>
      </c>
      <c r="N797">
        <v>66.8</v>
      </c>
      <c r="O797">
        <v>1202.3999999999999</v>
      </c>
    </row>
    <row r="798" spans="1:15" x14ac:dyDescent="0.3">
      <c r="A798" t="s">
        <v>890</v>
      </c>
      <c r="B798" t="s">
        <v>16</v>
      </c>
      <c r="C798" s="7">
        <v>45691</v>
      </c>
      <c r="D798" s="7">
        <v>45698</v>
      </c>
      <c r="E798" t="s">
        <v>22</v>
      </c>
      <c r="F798" t="s">
        <v>34</v>
      </c>
      <c r="G798">
        <v>2</v>
      </c>
      <c r="H798" t="s">
        <v>18</v>
      </c>
      <c r="I798" t="s">
        <v>23</v>
      </c>
      <c r="J798">
        <f>orders[[#This Row],[Ship Date]]-orders[[#This Row],[Order Date]]</f>
        <v>7</v>
      </c>
      <c r="K798">
        <f>WEEKNUM(orders[[#This Row],[Order Date]])</f>
        <v>6</v>
      </c>
      <c r="L798" t="str" cm="1">
        <f t="array" ref="L798">_xlfn.IFS(orders[[#This Row],[Customer Gender]]="M","Male", orders[[#This Row],[Customer Gender]]="F","Female", orders[[#This Row],[Customer Gender]]="O","Other", TRUE,"Unknown")</f>
        <v>Male</v>
      </c>
      <c r="M798">
        <v>4</v>
      </c>
      <c r="N798">
        <v>20.8</v>
      </c>
      <c r="O798" s="5">
        <v>83.2</v>
      </c>
    </row>
    <row r="799" spans="1:15" x14ac:dyDescent="0.3">
      <c r="A799" t="s">
        <v>891</v>
      </c>
      <c r="B799" t="s">
        <v>25</v>
      </c>
      <c r="C799" s="7">
        <v>45691</v>
      </c>
      <c r="D799" s="7">
        <v>45692</v>
      </c>
      <c r="E799" t="s">
        <v>26</v>
      </c>
      <c r="F799" t="s">
        <v>69</v>
      </c>
      <c r="G799">
        <v>5</v>
      </c>
      <c r="H799" t="s">
        <v>18</v>
      </c>
      <c r="I799" t="s">
        <v>32</v>
      </c>
      <c r="J799">
        <f>orders[[#This Row],[Ship Date]]-orders[[#This Row],[Order Date]]</f>
        <v>1</v>
      </c>
      <c r="K799">
        <f>WEEKNUM(orders[[#This Row],[Order Date]])</f>
        <v>6</v>
      </c>
      <c r="L799" t="str" cm="1">
        <f t="array" ref="L799">_xlfn.IFS(orders[[#This Row],[Customer Gender]]="M","Male", orders[[#This Row],[Customer Gender]]="F","Female", orders[[#This Row],[Customer Gender]]="O","Other", TRUE,"Unknown")</f>
        <v>Female</v>
      </c>
      <c r="M799">
        <v>7</v>
      </c>
      <c r="N799">
        <v>102.5</v>
      </c>
      <c r="O799">
        <v>717.5</v>
      </c>
    </row>
    <row r="800" spans="1:15" x14ac:dyDescent="0.3">
      <c r="A800" t="s">
        <v>892</v>
      </c>
      <c r="B800" t="s">
        <v>16</v>
      </c>
      <c r="C800" s="7">
        <v>45691</v>
      </c>
      <c r="D800" s="7">
        <v>45695</v>
      </c>
      <c r="E800" t="s">
        <v>26</v>
      </c>
      <c r="F800" t="s">
        <v>17</v>
      </c>
      <c r="G800">
        <v>4</v>
      </c>
      <c r="H800" t="s">
        <v>18</v>
      </c>
      <c r="I800" t="s">
        <v>32</v>
      </c>
      <c r="J800">
        <f>orders[[#This Row],[Ship Date]]-orders[[#This Row],[Order Date]]</f>
        <v>4</v>
      </c>
      <c r="K800">
        <f>WEEKNUM(orders[[#This Row],[Order Date]])</f>
        <v>6</v>
      </c>
      <c r="L800" t="str" cm="1">
        <f t="array" ref="L800">_xlfn.IFS(orders[[#This Row],[Customer Gender]]="M","Male", orders[[#This Row],[Customer Gender]]="F","Female", orders[[#This Row],[Customer Gender]]="O","Other", TRUE,"Unknown")</f>
        <v>Female</v>
      </c>
      <c r="M800">
        <v>18</v>
      </c>
      <c r="N800">
        <v>24.8</v>
      </c>
      <c r="O800" s="5">
        <v>446.40000000000003</v>
      </c>
    </row>
    <row r="801" spans="1:15" x14ac:dyDescent="0.3">
      <c r="A801" t="s">
        <v>893</v>
      </c>
      <c r="B801" t="s">
        <v>31</v>
      </c>
      <c r="C801" s="7">
        <v>45691</v>
      </c>
      <c r="D801" s="7">
        <v>45692</v>
      </c>
      <c r="E801" t="s">
        <v>26</v>
      </c>
      <c r="F801" t="s">
        <v>50</v>
      </c>
      <c r="G801">
        <v>4</v>
      </c>
      <c r="H801" t="s">
        <v>18</v>
      </c>
      <c r="I801" t="s">
        <v>32</v>
      </c>
      <c r="J801">
        <f>orders[[#This Row],[Ship Date]]-orders[[#This Row],[Order Date]]</f>
        <v>1</v>
      </c>
      <c r="K801">
        <f>WEEKNUM(orders[[#This Row],[Order Date]])</f>
        <v>6</v>
      </c>
      <c r="L801" t="str" cm="1">
        <f t="array" ref="L801">_xlfn.IFS(orders[[#This Row],[Customer Gender]]="M","Male", orders[[#This Row],[Customer Gender]]="F","Female", orders[[#This Row],[Customer Gender]]="O","Other", TRUE,"Unknown")</f>
        <v>Female</v>
      </c>
      <c r="M801">
        <v>31</v>
      </c>
      <c r="N801">
        <v>31.4</v>
      </c>
      <c r="O801">
        <v>973.4</v>
      </c>
    </row>
    <row r="802" spans="1:15" x14ac:dyDescent="0.3">
      <c r="A802" t="s">
        <v>894</v>
      </c>
      <c r="B802" t="s">
        <v>45</v>
      </c>
      <c r="C802" s="7">
        <v>45691</v>
      </c>
      <c r="D802" s="7">
        <v>45694</v>
      </c>
      <c r="E802" t="s">
        <v>22</v>
      </c>
      <c r="F802" t="s">
        <v>34</v>
      </c>
      <c r="G802">
        <v>5</v>
      </c>
      <c r="H802" t="s">
        <v>18</v>
      </c>
      <c r="I802" t="s">
        <v>544</v>
      </c>
      <c r="J802">
        <f>orders[[#This Row],[Ship Date]]-orders[[#This Row],[Order Date]]</f>
        <v>3</v>
      </c>
      <c r="K802">
        <f>WEEKNUM(orders[[#This Row],[Order Date]])</f>
        <v>6</v>
      </c>
      <c r="L802" t="str" cm="1">
        <f t="array" ref="L802">_xlfn.IFS(orders[[#This Row],[Customer Gender]]="M","Male", orders[[#This Row],[Customer Gender]]="F","Female", orders[[#This Row],[Customer Gender]]="O","Other", TRUE,"Unknown")</f>
        <v>Male</v>
      </c>
      <c r="M802">
        <v>5</v>
      </c>
      <c r="N802">
        <v>59.3</v>
      </c>
      <c r="O802" s="5">
        <v>296.5</v>
      </c>
    </row>
    <row r="803" spans="1:15" x14ac:dyDescent="0.3">
      <c r="A803" t="s">
        <v>895</v>
      </c>
      <c r="B803" t="s">
        <v>66</v>
      </c>
      <c r="C803" s="7">
        <v>45691</v>
      </c>
      <c r="D803" s="7">
        <v>45694</v>
      </c>
      <c r="E803" t="s">
        <v>22</v>
      </c>
      <c r="F803" t="s">
        <v>34</v>
      </c>
      <c r="G803">
        <v>4</v>
      </c>
      <c r="H803" t="s">
        <v>18</v>
      </c>
      <c r="I803" t="s">
        <v>54</v>
      </c>
      <c r="J803">
        <f>orders[[#This Row],[Ship Date]]-orders[[#This Row],[Order Date]]</f>
        <v>3</v>
      </c>
      <c r="K803">
        <f>WEEKNUM(orders[[#This Row],[Order Date]])</f>
        <v>6</v>
      </c>
      <c r="L803" t="str" cm="1">
        <f t="array" ref="L803">_xlfn.IFS(orders[[#This Row],[Customer Gender]]="M","Male", orders[[#This Row],[Customer Gender]]="F","Female", orders[[#This Row],[Customer Gender]]="O","Other", TRUE,"Unknown")</f>
        <v>Male</v>
      </c>
      <c r="M803">
        <v>6</v>
      </c>
      <c r="N803">
        <v>39</v>
      </c>
      <c r="O803">
        <v>234</v>
      </c>
    </row>
    <row r="804" spans="1:15" x14ac:dyDescent="0.3">
      <c r="A804" t="s">
        <v>896</v>
      </c>
      <c r="B804" t="s">
        <v>36</v>
      </c>
      <c r="C804" s="7">
        <v>45691</v>
      </c>
      <c r="D804" s="7">
        <v>45693</v>
      </c>
      <c r="E804" t="s">
        <v>26</v>
      </c>
      <c r="F804" t="s">
        <v>34</v>
      </c>
      <c r="G804">
        <v>4</v>
      </c>
      <c r="H804" t="s">
        <v>18</v>
      </c>
      <c r="I804" t="s">
        <v>54</v>
      </c>
      <c r="J804">
        <f>orders[[#This Row],[Ship Date]]-orders[[#This Row],[Order Date]]</f>
        <v>2</v>
      </c>
      <c r="K804">
        <f>WEEKNUM(orders[[#This Row],[Order Date]])</f>
        <v>6</v>
      </c>
      <c r="L804" t="str" cm="1">
        <f t="array" ref="L804">_xlfn.IFS(orders[[#This Row],[Customer Gender]]="M","Male", orders[[#This Row],[Customer Gender]]="F","Female", orders[[#This Row],[Customer Gender]]="O","Other", TRUE,"Unknown")</f>
        <v>Female</v>
      </c>
      <c r="M804">
        <v>6</v>
      </c>
      <c r="N804">
        <v>98.6</v>
      </c>
      <c r="O804" s="5">
        <v>591.59999999999991</v>
      </c>
    </row>
    <row r="805" spans="1:15" x14ac:dyDescent="0.3">
      <c r="A805" t="s">
        <v>897</v>
      </c>
      <c r="B805" t="s">
        <v>43</v>
      </c>
      <c r="C805" s="7">
        <v>45692</v>
      </c>
      <c r="D805" s="7">
        <v>45693</v>
      </c>
      <c r="E805" t="s">
        <v>22</v>
      </c>
      <c r="F805" t="s">
        <v>50</v>
      </c>
      <c r="G805">
        <v>5</v>
      </c>
      <c r="H805" t="s">
        <v>18</v>
      </c>
      <c r="I805" t="s">
        <v>61</v>
      </c>
      <c r="J805">
        <f>orders[[#This Row],[Ship Date]]-orders[[#This Row],[Order Date]]</f>
        <v>1</v>
      </c>
      <c r="K805">
        <f>WEEKNUM(orders[[#This Row],[Order Date]])</f>
        <v>6</v>
      </c>
      <c r="L805" t="str" cm="1">
        <f t="array" ref="L805">_xlfn.IFS(orders[[#This Row],[Customer Gender]]="M","Male", orders[[#This Row],[Customer Gender]]="F","Female", orders[[#This Row],[Customer Gender]]="O","Other", TRUE,"Unknown")</f>
        <v>Male</v>
      </c>
      <c r="M805">
        <v>1</v>
      </c>
      <c r="N805">
        <v>20</v>
      </c>
      <c r="O805">
        <v>20</v>
      </c>
    </row>
    <row r="806" spans="1:15" x14ac:dyDescent="0.3">
      <c r="A806" t="s">
        <v>898</v>
      </c>
      <c r="B806" t="s">
        <v>21</v>
      </c>
      <c r="C806" s="7">
        <v>45692</v>
      </c>
      <c r="D806" s="7">
        <v>45694</v>
      </c>
      <c r="E806" t="s">
        <v>26</v>
      </c>
      <c r="F806" t="s">
        <v>17</v>
      </c>
      <c r="G806">
        <v>5</v>
      </c>
      <c r="H806" t="s">
        <v>18</v>
      </c>
      <c r="I806" t="s">
        <v>61</v>
      </c>
      <c r="J806">
        <f>orders[[#This Row],[Ship Date]]-orders[[#This Row],[Order Date]]</f>
        <v>2</v>
      </c>
      <c r="K806">
        <f>WEEKNUM(orders[[#This Row],[Order Date]])</f>
        <v>6</v>
      </c>
      <c r="L806" t="str" cm="1">
        <f t="array" ref="L806">_xlfn.IFS(orders[[#This Row],[Customer Gender]]="M","Male", orders[[#This Row],[Customer Gender]]="F","Female", orders[[#This Row],[Customer Gender]]="O","Other", TRUE,"Unknown")</f>
        <v>Female</v>
      </c>
      <c r="M806">
        <v>2</v>
      </c>
      <c r="N806">
        <v>42.9</v>
      </c>
      <c r="O806" s="5">
        <v>85.8</v>
      </c>
    </row>
    <row r="807" spans="1:15" x14ac:dyDescent="0.3">
      <c r="A807" t="s">
        <v>899</v>
      </c>
      <c r="B807" t="s">
        <v>41</v>
      </c>
      <c r="C807" s="7">
        <v>45692</v>
      </c>
      <c r="D807" s="7">
        <v>45694</v>
      </c>
      <c r="E807" t="s">
        <v>26</v>
      </c>
      <c r="F807" t="s">
        <v>39</v>
      </c>
      <c r="G807">
        <v>3</v>
      </c>
      <c r="H807" t="s">
        <v>18</v>
      </c>
      <c r="I807" t="s">
        <v>61</v>
      </c>
      <c r="J807">
        <f>orders[[#This Row],[Ship Date]]-orders[[#This Row],[Order Date]]</f>
        <v>2</v>
      </c>
      <c r="K807">
        <f>WEEKNUM(orders[[#This Row],[Order Date]])</f>
        <v>6</v>
      </c>
      <c r="L807" t="str" cm="1">
        <f t="array" ref="L807">_xlfn.IFS(orders[[#This Row],[Customer Gender]]="M","Male", orders[[#This Row],[Customer Gender]]="F","Female", orders[[#This Row],[Customer Gender]]="O","Other", TRUE,"Unknown")</f>
        <v>Female</v>
      </c>
      <c r="M807">
        <v>7</v>
      </c>
      <c r="N807">
        <v>55.6</v>
      </c>
      <c r="O807">
        <v>389.2</v>
      </c>
    </row>
    <row r="808" spans="1:15" x14ac:dyDescent="0.3">
      <c r="A808" t="s">
        <v>900</v>
      </c>
      <c r="B808" t="s">
        <v>43</v>
      </c>
      <c r="C808" s="7">
        <v>45692</v>
      </c>
      <c r="D808" s="7">
        <v>45697</v>
      </c>
      <c r="E808" t="s">
        <v>26</v>
      </c>
      <c r="F808" t="s">
        <v>17</v>
      </c>
      <c r="G808">
        <v>4</v>
      </c>
      <c r="H808" t="s">
        <v>18</v>
      </c>
      <c r="I808" t="s">
        <v>428</v>
      </c>
      <c r="J808">
        <f>orders[[#This Row],[Ship Date]]-orders[[#This Row],[Order Date]]</f>
        <v>5</v>
      </c>
      <c r="K808">
        <f>WEEKNUM(orders[[#This Row],[Order Date]])</f>
        <v>6</v>
      </c>
      <c r="L808" t="str" cm="1">
        <f t="array" ref="L808">_xlfn.IFS(orders[[#This Row],[Customer Gender]]="M","Male", orders[[#This Row],[Customer Gender]]="F","Female", orders[[#This Row],[Customer Gender]]="O","Other", TRUE,"Unknown")</f>
        <v>Female</v>
      </c>
      <c r="M808">
        <v>4</v>
      </c>
      <c r="N808">
        <v>19.2</v>
      </c>
      <c r="O808" s="5">
        <v>76.8</v>
      </c>
    </row>
    <row r="809" spans="1:15" x14ac:dyDescent="0.3">
      <c r="A809" t="s">
        <v>901</v>
      </c>
      <c r="B809" t="s">
        <v>36</v>
      </c>
      <c r="C809" s="7">
        <v>45692</v>
      </c>
      <c r="D809" s="7">
        <v>45694</v>
      </c>
      <c r="E809" t="s">
        <v>22</v>
      </c>
      <c r="F809" t="s">
        <v>34</v>
      </c>
      <c r="G809">
        <v>4</v>
      </c>
      <c r="H809" t="s">
        <v>18</v>
      </c>
      <c r="I809" t="s">
        <v>107</v>
      </c>
      <c r="J809">
        <f>orders[[#This Row],[Ship Date]]-orders[[#This Row],[Order Date]]</f>
        <v>2</v>
      </c>
      <c r="K809">
        <f>WEEKNUM(orders[[#This Row],[Order Date]])</f>
        <v>6</v>
      </c>
      <c r="L809" t="str" cm="1">
        <f t="array" ref="L809">_xlfn.IFS(orders[[#This Row],[Customer Gender]]="M","Male", orders[[#This Row],[Customer Gender]]="F","Female", orders[[#This Row],[Customer Gender]]="O","Other", TRUE,"Unknown")</f>
        <v>Male</v>
      </c>
      <c r="M809">
        <v>2</v>
      </c>
      <c r="N809">
        <v>28.8</v>
      </c>
      <c r="O809">
        <v>57.6</v>
      </c>
    </row>
    <row r="810" spans="1:15" x14ac:dyDescent="0.3">
      <c r="A810" t="s">
        <v>902</v>
      </c>
      <c r="B810" t="s">
        <v>31</v>
      </c>
      <c r="C810" s="7">
        <v>45692</v>
      </c>
      <c r="D810" s="7">
        <v>45694</v>
      </c>
      <c r="E810" t="s">
        <v>26</v>
      </c>
      <c r="F810" t="s">
        <v>39</v>
      </c>
      <c r="G810">
        <v>2</v>
      </c>
      <c r="H810" t="s">
        <v>18</v>
      </c>
      <c r="I810" t="s">
        <v>112</v>
      </c>
      <c r="J810">
        <f>orders[[#This Row],[Ship Date]]-orders[[#This Row],[Order Date]]</f>
        <v>2</v>
      </c>
      <c r="K810">
        <f>WEEKNUM(orders[[#This Row],[Order Date]])</f>
        <v>6</v>
      </c>
      <c r="L810" t="str" cm="1">
        <f t="array" ref="L810">_xlfn.IFS(orders[[#This Row],[Customer Gender]]="M","Male", orders[[#This Row],[Customer Gender]]="F","Female", orders[[#This Row],[Customer Gender]]="O","Other", TRUE,"Unknown")</f>
        <v>Female</v>
      </c>
      <c r="M810">
        <v>1</v>
      </c>
      <c r="N810">
        <v>29.7</v>
      </c>
      <c r="O810" s="5">
        <v>29.7</v>
      </c>
    </row>
    <row r="811" spans="1:15" x14ac:dyDescent="0.3">
      <c r="A811" t="s">
        <v>903</v>
      </c>
      <c r="B811" t="s">
        <v>38</v>
      </c>
      <c r="C811" s="7">
        <v>45692</v>
      </c>
      <c r="D811" s="7">
        <v>45693</v>
      </c>
      <c r="E811" t="s">
        <v>2517</v>
      </c>
      <c r="F811" t="s">
        <v>17</v>
      </c>
      <c r="G811">
        <v>5</v>
      </c>
      <c r="H811" t="s">
        <v>18</v>
      </c>
      <c r="I811" t="s">
        <v>114</v>
      </c>
      <c r="J811">
        <f>orders[[#This Row],[Ship Date]]-orders[[#This Row],[Order Date]]</f>
        <v>1</v>
      </c>
      <c r="K811">
        <f>WEEKNUM(orders[[#This Row],[Order Date]])</f>
        <v>6</v>
      </c>
      <c r="L811" t="str" cm="1">
        <f t="array" ref="L811">_xlfn.IFS(orders[[#This Row],[Customer Gender]]="M","Male", orders[[#This Row],[Customer Gender]]="F","Female", orders[[#This Row],[Customer Gender]]="O","Other", TRUE,"Unknown")</f>
        <v>Unknown</v>
      </c>
      <c r="M811">
        <v>6</v>
      </c>
      <c r="N811">
        <v>63.3</v>
      </c>
      <c r="O811">
        <v>379.79999999999995</v>
      </c>
    </row>
    <row r="812" spans="1:15" x14ac:dyDescent="0.3">
      <c r="A812" t="s">
        <v>904</v>
      </c>
      <c r="B812" t="s">
        <v>31</v>
      </c>
      <c r="C812" s="7">
        <v>45692</v>
      </c>
      <c r="D812" s="7">
        <v>45693</v>
      </c>
      <c r="E812" t="s">
        <v>26</v>
      </c>
      <c r="F812" t="s">
        <v>17</v>
      </c>
      <c r="G812">
        <v>5</v>
      </c>
      <c r="H812" t="s">
        <v>18</v>
      </c>
      <c r="I812" t="s">
        <v>114</v>
      </c>
      <c r="J812">
        <f>orders[[#This Row],[Ship Date]]-orders[[#This Row],[Order Date]]</f>
        <v>1</v>
      </c>
      <c r="K812">
        <f>WEEKNUM(orders[[#This Row],[Order Date]])</f>
        <v>6</v>
      </c>
      <c r="L812" t="str" cm="1">
        <f t="array" ref="L812">_xlfn.IFS(orders[[#This Row],[Customer Gender]]="M","Male", orders[[#This Row],[Customer Gender]]="F","Female", orders[[#This Row],[Customer Gender]]="O","Other", TRUE,"Unknown")</f>
        <v>Female</v>
      </c>
      <c r="M812">
        <v>1</v>
      </c>
      <c r="N812">
        <v>46</v>
      </c>
      <c r="O812" s="5">
        <v>46</v>
      </c>
    </row>
    <row r="813" spans="1:15" x14ac:dyDescent="0.3">
      <c r="A813" t="s">
        <v>905</v>
      </c>
      <c r="B813" t="s">
        <v>66</v>
      </c>
      <c r="C813" s="7">
        <v>45692</v>
      </c>
      <c r="D813" s="7">
        <v>45694</v>
      </c>
      <c r="E813" t="s">
        <v>26</v>
      </c>
      <c r="F813" t="s">
        <v>34</v>
      </c>
      <c r="G813">
        <v>5</v>
      </c>
      <c r="H813" t="s">
        <v>18</v>
      </c>
      <c r="I813" t="s">
        <v>114</v>
      </c>
      <c r="J813">
        <f>orders[[#This Row],[Ship Date]]-orders[[#This Row],[Order Date]]</f>
        <v>2</v>
      </c>
      <c r="K813">
        <f>WEEKNUM(orders[[#This Row],[Order Date]])</f>
        <v>6</v>
      </c>
      <c r="L813" t="str" cm="1">
        <f t="array" ref="L813">_xlfn.IFS(orders[[#This Row],[Customer Gender]]="M","Male", orders[[#This Row],[Customer Gender]]="F","Female", orders[[#This Row],[Customer Gender]]="O","Other", TRUE,"Unknown")</f>
        <v>Female</v>
      </c>
      <c r="M813">
        <v>3</v>
      </c>
      <c r="N813">
        <v>38</v>
      </c>
      <c r="O813">
        <v>114</v>
      </c>
    </row>
    <row r="814" spans="1:15" x14ac:dyDescent="0.3">
      <c r="A814" t="s">
        <v>906</v>
      </c>
      <c r="B814" t="s">
        <v>53</v>
      </c>
      <c r="C814" s="7">
        <v>45692</v>
      </c>
      <c r="D814" s="7">
        <v>45694</v>
      </c>
      <c r="E814" t="s">
        <v>26</v>
      </c>
      <c r="F814" t="s">
        <v>17</v>
      </c>
      <c r="G814">
        <v>3</v>
      </c>
      <c r="H814" t="s">
        <v>18</v>
      </c>
      <c r="I814" t="s">
        <v>114</v>
      </c>
      <c r="J814">
        <f>orders[[#This Row],[Ship Date]]-orders[[#This Row],[Order Date]]</f>
        <v>2</v>
      </c>
      <c r="K814">
        <f>WEEKNUM(orders[[#This Row],[Order Date]])</f>
        <v>6</v>
      </c>
      <c r="L814" t="str" cm="1">
        <f t="array" ref="L814">_xlfn.IFS(orders[[#This Row],[Customer Gender]]="M","Male", orders[[#This Row],[Customer Gender]]="F","Female", orders[[#This Row],[Customer Gender]]="O","Other", TRUE,"Unknown")</f>
        <v>Female</v>
      </c>
      <c r="M814">
        <v>13</v>
      </c>
      <c r="N814">
        <v>34.6</v>
      </c>
      <c r="O814" s="5">
        <v>449.8</v>
      </c>
    </row>
    <row r="815" spans="1:15" x14ac:dyDescent="0.3">
      <c r="A815" t="s">
        <v>907</v>
      </c>
      <c r="B815" t="s">
        <v>29</v>
      </c>
      <c r="C815" s="7">
        <v>45692</v>
      </c>
      <c r="D815" s="7">
        <v>45693</v>
      </c>
      <c r="E815" t="s">
        <v>26</v>
      </c>
      <c r="F815" t="s">
        <v>69</v>
      </c>
      <c r="G815">
        <v>3</v>
      </c>
      <c r="H815" t="s">
        <v>18</v>
      </c>
      <c r="I815" t="s">
        <v>114</v>
      </c>
      <c r="J815">
        <f>orders[[#This Row],[Ship Date]]-orders[[#This Row],[Order Date]]</f>
        <v>1</v>
      </c>
      <c r="K815">
        <f>WEEKNUM(orders[[#This Row],[Order Date]])</f>
        <v>6</v>
      </c>
      <c r="L815" t="str" cm="1">
        <f t="array" ref="L815">_xlfn.IFS(orders[[#This Row],[Customer Gender]]="M","Male", orders[[#This Row],[Customer Gender]]="F","Female", orders[[#This Row],[Customer Gender]]="O","Other", TRUE,"Unknown")</f>
        <v>Female</v>
      </c>
      <c r="M815">
        <v>10</v>
      </c>
      <c r="N815">
        <v>79.7</v>
      </c>
      <c r="O815">
        <v>797</v>
      </c>
    </row>
    <row r="816" spans="1:15" x14ac:dyDescent="0.3">
      <c r="A816" t="s">
        <v>908</v>
      </c>
      <c r="B816" t="s">
        <v>43</v>
      </c>
      <c r="C816" s="7">
        <v>45692</v>
      </c>
      <c r="D816" s="7">
        <v>45696</v>
      </c>
      <c r="E816" t="s">
        <v>22</v>
      </c>
      <c r="F816" t="s">
        <v>50</v>
      </c>
      <c r="G816">
        <v>4</v>
      </c>
      <c r="H816" t="s">
        <v>18</v>
      </c>
      <c r="I816" t="s">
        <v>23</v>
      </c>
      <c r="J816">
        <f>orders[[#This Row],[Ship Date]]-orders[[#This Row],[Order Date]]</f>
        <v>4</v>
      </c>
      <c r="K816">
        <f>WEEKNUM(orders[[#This Row],[Order Date]])</f>
        <v>6</v>
      </c>
      <c r="L816" t="str" cm="1">
        <f t="array" ref="L816">_xlfn.IFS(orders[[#This Row],[Customer Gender]]="M","Male", orders[[#This Row],[Customer Gender]]="F","Female", orders[[#This Row],[Customer Gender]]="O","Other", TRUE,"Unknown")</f>
        <v>Male</v>
      </c>
      <c r="M816">
        <v>8</v>
      </c>
      <c r="N816">
        <v>30.5</v>
      </c>
      <c r="O816" s="5">
        <v>244</v>
      </c>
    </row>
    <row r="817" spans="1:15" x14ac:dyDescent="0.3">
      <c r="A817" t="s">
        <v>909</v>
      </c>
      <c r="B817" t="s">
        <v>16</v>
      </c>
      <c r="C817" s="7">
        <v>45692</v>
      </c>
      <c r="D817" s="7">
        <v>45693</v>
      </c>
      <c r="E817" t="s">
        <v>26</v>
      </c>
      <c r="F817" t="s">
        <v>17</v>
      </c>
      <c r="G817">
        <v>4</v>
      </c>
      <c r="H817" t="s">
        <v>18</v>
      </c>
      <c r="I817" t="s">
        <v>27</v>
      </c>
      <c r="J817">
        <f>orders[[#This Row],[Ship Date]]-orders[[#This Row],[Order Date]]</f>
        <v>1</v>
      </c>
      <c r="K817">
        <f>WEEKNUM(orders[[#This Row],[Order Date]])</f>
        <v>6</v>
      </c>
      <c r="L817" t="str" cm="1">
        <f t="array" ref="L817">_xlfn.IFS(orders[[#This Row],[Customer Gender]]="M","Male", orders[[#This Row],[Customer Gender]]="F","Female", orders[[#This Row],[Customer Gender]]="O","Other", TRUE,"Unknown")</f>
        <v>Female</v>
      </c>
      <c r="M817">
        <v>2</v>
      </c>
      <c r="N817">
        <v>20.8</v>
      </c>
      <c r="O817">
        <v>41.6</v>
      </c>
    </row>
    <row r="818" spans="1:15" x14ac:dyDescent="0.3">
      <c r="A818" t="s">
        <v>910</v>
      </c>
      <c r="B818" t="s">
        <v>66</v>
      </c>
      <c r="C818" s="7">
        <v>45692</v>
      </c>
      <c r="D818" s="7">
        <v>45696</v>
      </c>
      <c r="E818" t="s">
        <v>26</v>
      </c>
      <c r="F818" t="s">
        <v>39</v>
      </c>
      <c r="G818">
        <v>5</v>
      </c>
      <c r="H818" t="s">
        <v>18</v>
      </c>
      <c r="I818" t="s">
        <v>27</v>
      </c>
      <c r="J818">
        <f>orders[[#This Row],[Ship Date]]-orders[[#This Row],[Order Date]]</f>
        <v>4</v>
      </c>
      <c r="K818">
        <f>WEEKNUM(orders[[#This Row],[Order Date]])</f>
        <v>6</v>
      </c>
      <c r="L818" t="str" cm="1">
        <f t="array" ref="L818">_xlfn.IFS(orders[[#This Row],[Customer Gender]]="M","Male", orders[[#This Row],[Customer Gender]]="F","Female", orders[[#This Row],[Customer Gender]]="O","Other", TRUE,"Unknown")</f>
        <v>Female</v>
      </c>
      <c r="M818">
        <v>7</v>
      </c>
      <c r="N818">
        <v>48.5</v>
      </c>
      <c r="O818" s="5">
        <v>339.5</v>
      </c>
    </row>
    <row r="819" spans="1:15" x14ac:dyDescent="0.3">
      <c r="A819" t="s">
        <v>911</v>
      </c>
      <c r="B819" t="s">
        <v>25</v>
      </c>
      <c r="C819" s="7">
        <v>45692</v>
      </c>
      <c r="D819" s="7">
        <v>45696</v>
      </c>
      <c r="E819" t="s">
        <v>26</v>
      </c>
      <c r="F819" t="s">
        <v>69</v>
      </c>
      <c r="G819">
        <v>4</v>
      </c>
      <c r="H819" t="s">
        <v>18</v>
      </c>
      <c r="I819" t="s">
        <v>146</v>
      </c>
      <c r="J819">
        <f>orders[[#This Row],[Ship Date]]-orders[[#This Row],[Order Date]]</f>
        <v>4</v>
      </c>
      <c r="K819">
        <f>WEEKNUM(orders[[#This Row],[Order Date]])</f>
        <v>6</v>
      </c>
      <c r="L819" t="str" cm="1">
        <f t="array" ref="L819">_xlfn.IFS(orders[[#This Row],[Customer Gender]]="M","Male", orders[[#This Row],[Customer Gender]]="F","Female", orders[[#This Row],[Customer Gender]]="O","Other", TRUE,"Unknown")</f>
        <v>Female</v>
      </c>
      <c r="M819">
        <v>4</v>
      </c>
      <c r="N819">
        <v>61.8</v>
      </c>
      <c r="O819">
        <v>247.2</v>
      </c>
    </row>
    <row r="820" spans="1:15" x14ac:dyDescent="0.3">
      <c r="A820" t="s">
        <v>912</v>
      </c>
      <c r="B820" t="s">
        <v>53</v>
      </c>
      <c r="C820" s="7">
        <v>45692</v>
      </c>
      <c r="D820" s="7">
        <v>45693</v>
      </c>
      <c r="E820" t="s">
        <v>88</v>
      </c>
      <c r="F820" t="s">
        <v>39</v>
      </c>
      <c r="G820">
        <v>4</v>
      </c>
      <c r="H820" t="s">
        <v>18</v>
      </c>
      <c r="I820" t="s">
        <v>32</v>
      </c>
      <c r="J820">
        <f>orders[[#This Row],[Ship Date]]-orders[[#This Row],[Order Date]]</f>
        <v>1</v>
      </c>
      <c r="K820">
        <f>WEEKNUM(orders[[#This Row],[Order Date]])</f>
        <v>6</v>
      </c>
      <c r="L820" t="str" cm="1">
        <f t="array" ref="L820">_xlfn.IFS(orders[[#This Row],[Customer Gender]]="M","Male", orders[[#This Row],[Customer Gender]]="F","Female", orders[[#This Row],[Customer Gender]]="O","Other", TRUE,"Unknown")</f>
        <v>Other</v>
      </c>
      <c r="M820">
        <v>1</v>
      </c>
      <c r="N820">
        <v>46.1</v>
      </c>
      <c r="O820" s="5">
        <v>46.1</v>
      </c>
    </row>
    <row r="821" spans="1:15" x14ac:dyDescent="0.3">
      <c r="A821" t="s">
        <v>913</v>
      </c>
      <c r="B821" t="s">
        <v>31</v>
      </c>
      <c r="C821" s="7">
        <v>45692</v>
      </c>
      <c r="D821" s="7">
        <v>45693</v>
      </c>
      <c r="E821" t="s">
        <v>26</v>
      </c>
      <c r="F821" t="s">
        <v>17</v>
      </c>
      <c r="G821">
        <v>4</v>
      </c>
      <c r="H821" t="s">
        <v>18</v>
      </c>
      <c r="I821" t="s">
        <v>32</v>
      </c>
      <c r="J821">
        <f>orders[[#This Row],[Ship Date]]-orders[[#This Row],[Order Date]]</f>
        <v>1</v>
      </c>
      <c r="K821">
        <f>WEEKNUM(orders[[#This Row],[Order Date]])</f>
        <v>6</v>
      </c>
      <c r="L821" t="str" cm="1">
        <f t="array" ref="L821">_xlfn.IFS(orders[[#This Row],[Customer Gender]]="M","Male", orders[[#This Row],[Customer Gender]]="F","Female", orders[[#This Row],[Customer Gender]]="O","Other", TRUE,"Unknown")</f>
        <v>Female</v>
      </c>
      <c r="M821">
        <v>6</v>
      </c>
      <c r="N821">
        <v>44</v>
      </c>
      <c r="O821">
        <v>264</v>
      </c>
    </row>
    <row r="822" spans="1:15" x14ac:dyDescent="0.3">
      <c r="A822" t="s">
        <v>914</v>
      </c>
      <c r="B822" t="s">
        <v>145</v>
      </c>
      <c r="C822" s="7">
        <v>45692</v>
      </c>
      <c r="D822" s="7">
        <v>45698</v>
      </c>
      <c r="E822" t="s">
        <v>26</v>
      </c>
      <c r="F822" t="s">
        <v>50</v>
      </c>
      <c r="G822">
        <v>5</v>
      </c>
      <c r="H822" t="s">
        <v>18</v>
      </c>
      <c r="I822" t="s">
        <v>32</v>
      </c>
      <c r="J822">
        <f>orders[[#This Row],[Ship Date]]-orders[[#This Row],[Order Date]]</f>
        <v>6</v>
      </c>
      <c r="K822">
        <f>WEEKNUM(orders[[#This Row],[Order Date]])</f>
        <v>6</v>
      </c>
      <c r="L822" t="str" cm="1">
        <f t="array" ref="L822">_xlfn.IFS(orders[[#This Row],[Customer Gender]]="M","Male", orders[[#This Row],[Customer Gender]]="F","Female", orders[[#This Row],[Customer Gender]]="O","Other", TRUE,"Unknown")</f>
        <v>Female</v>
      </c>
      <c r="M822">
        <v>2</v>
      </c>
      <c r="N822">
        <v>95.7</v>
      </c>
      <c r="O822" s="5">
        <v>191.4</v>
      </c>
    </row>
    <row r="823" spans="1:15" x14ac:dyDescent="0.3">
      <c r="A823" t="s">
        <v>915</v>
      </c>
      <c r="B823" t="s">
        <v>41</v>
      </c>
      <c r="C823" s="7">
        <v>45692</v>
      </c>
      <c r="D823" s="7">
        <v>45695</v>
      </c>
      <c r="E823" t="s">
        <v>26</v>
      </c>
      <c r="F823" t="s">
        <v>17</v>
      </c>
      <c r="G823">
        <v>4</v>
      </c>
      <c r="H823" t="s">
        <v>18</v>
      </c>
      <c r="I823" t="s">
        <v>32</v>
      </c>
      <c r="J823">
        <f>orders[[#This Row],[Ship Date]]-orders[[#This Row],[Order Date]]</f>
        <v>3</v>
      </c>
      <c r="K823">
        <f>WEEKNUM(orders[[#This Row],[Order Date]])</f>
        <v>6</v>
      </c>
      <c r="L823" t="str" cm="1">
        <f t="array" ref="L823">_xlfn.IFS(orders[[#This Row],[Customer Gender]]="M","Male", orders[[#This Row],[Customer Gender]]="F","Female", orders[[#This Row],[Customer Gender]]="O","Other", TRUE,"Unknown")</f>
        <v>Female</v>
      </c>
      <c r="M823">
        <v>5</v>
      </c>
      <c r="N823">
        <v>46.4</v>
      </c>
      <c r="O823">
        <v>232</v>
      </c>
    </row>
    <row r="824" spans="1:15" x14ac:dyDescent="0.3">
      <c r="A824" t="s">
        <v>916</v>
      </c>
      <c r="B824" t="s">
        <v>38</v>
      </c>
      <c r="C824" s="7">
        <v>45692</v>
      </c>
      <c r="D824" s="7">
        <v>45694</v>
      </c>
      <c r="E824" t="s">
        <v>26</v>
      </c>
      <c r="F824" t="s">
        <v>17</v>
      </c>
      <c r="G824">
        <v>5</v>
      </c>
      <c r="H824" t="s">
        <v>18</v>
      </c>
      <c r="I824" t="s">
        <v>32</v>
      </c>
      <c r="J824">
        <f>orders[[#This Row],[Ship Date]]-orders[[#This Row],[Order Date]]</f>
        <v>2</v>
      </c>
      <c r="K824">
        <f>WEEKNUM(orders[[#This Row],[Order Date]])</f>
        <v>6</v>
      </c>
      <c r="L824" t="str" cm="1">
        <f t="array" ref="L824">_xlfn.IFS(orders[[#This Row],[Customer Gender]]="M","Male", orders[[#This Row],[Customer Gender]]="F","Female", orders[[#This Row],[Customer Gender]]="O","Other", TRUE,"Unknown")</f>
        <v>Female</v>
      </c>
      <c r="M824">
        <v>2</v>
      </c>
      <c r="N824">
        <v>47.2</v>
      </c>
      <c r="O824" s="5">
        <v>94.4</v>
      </c>
    </row>
    <row r="825" spans="1:15" x14ac:dyDescent="0.3">
      <c r="A825" t="s">
        <v>917</v>
      </c>
      <c r="B825" t="s">
        <v>41</v>
      </c>
      <c r="C825" s="7">
        <v>45692</v>
      </c>
      <c r="D825" s="7">
        <v>45693</v>
      </c>
      <c r="E825" t="s">
        <v>26</v>
      </c>
      <c r="F825" t="s">
        <v>39</v>
      </c>
      <c r="G825">
        <v>3</v>
      </c>
      <c r="H825" t="s">
        <v>18</v>
      </c>
      <c r="I825" t="s">
        <v>32</v>
      </c>
      <c r="J825">
        <f>orders[[#This Row],[Ship Date]]-orders[[#This Row],[Order Date]]</f>
        <v>1</v>
      </c>
      <c r="K825">
        <f>WEEKNUM(orders[[#This Row],[Order Date]])</f>
        <v>6</v>
      </c>
      <c r="L825" t="str" cm="1">
        <f t="array" ref="L825">_xlfn.IFS(orders[[#This Row],[Customer Gender]]="M","Male", orders[[#This Row],[Customer Gender]]="F","Female", orders[[#This Row],[Customer Gender]]="O","Other", TRUE,"Unknown")</f>
        <v>Female</v>
      </c>
      <c r="M825">
        <v>2</v>
      </c>
      <c r="N825">
        <v>58.6</v>
      </c>
      <c r="O825">
        <v>117.2</v>
      </c>
    </row>
    <row r="826" spans="1:15" x14ac:dyDescent="0.3">
      <c r="A826" t="s">
        <v>918</v>
      </c>
      <c r="B826" t="s">
        <v>31</v>
      </c>
      <c r="C826" s="7">
        <v>45692</v>
      </c>
      <c r="D826" s="7">
        <v>45693</v>
      </c>
      <c r="E826" t="s">
        <v>22</v>
      </c>
      <c r="F826" t="s">
        <v>17</v>
      </c>
      <c r="G826">
        <v>5</v>
      </c>
      <c r="H826" t="s">
        <v>18</v>
      </c>
      <c r="I826" t="s">
        <v>32</v>
      </c>
      <c r="J826">
        <f>orders[[#This Row],[Ship Date]]-orders[[#This Row],[Order Date]]</f>
        <v>1</v>
      </c>
      <c r="K826">
        <f>WEEKNUM(orders[[#This Row],[Order Date]])</f>
        <v>6</v>
      </c>
      <c r="L826" t="str" cm="1">
        <f t="array" ref="L826">_xlfn.IFS(orders[[#This Row],[Customer Gender]]="M","Male", orders[[#This Row],[Customer Gender]]="F","Female", orders[[#This Row],[Customer Gender]]="O","Other", TRUE,"Unknown")</f>
        <v>Male</v>
      </c>
      <c r="M826">
        <v>3</v>
      </c>
      <c r="N826">
        <v>57</v>
      </c>
      <c r="O826" s="5">
        <v>171</v>
      </c>
    </row>
    <row r="827" spans="1:15" x14ac:dyDescent="0.3">
      <c r="A827" t="s">
        <v>919</v>
      </c>
      <c r="B827" t="s">
        <v>43</v>
      </c>
      <c r="C827" s="7">
        <v>45692</v>
      </c>
      <c r="D827" s="7">
        <v>45696</v>
      </c>
      <c r="E827" t="s">
        <v>22</v>
      </c>
      <c r="F827" t="s">
        <v>39</v>
      </c>
      <c r="G827">
        <v>4</v>
      </c>
      <c r="H827" t="s">
        <v>18</v>
      </c>
      <c r="I827" t="s">
        <v>32</v>
      </c>
      <c r="J827">
        <f>orders[[#This Row],[Ship Date]]-orders[[#This Row],[Order Date]]</f>
        <v>4</v>
      </c>
      <c r="K827">
        <f>WEEKNUM(orders[[#This Row],[Order Date]])</f>
        <v>6</v>
      </c>
      <c r="L827" t="str" cm="1">
        <f t="array" ref="L827">_xlfn.IFS(orders[[#This Row],[Customer Gender]]="M","Male", orders[[#This Row],[Customer Gender]]="F","Female", orders[[#This Row],[Customer Gender]]="O","Other", TRUE,"Unknown")</f>
        <v>Male</v>
      </c>
      <c r="M827">
        <v>4</v>
      </c>
      <c r="N827">
        <v>28.9</v>
      </c>
      <c r="O827">
        <v>115.6</v>
      </c>
    </row>
    <row r="828" spans="1:15" x14ac:dyDescent="0.3">
      <c r="A828" t="s">
        <v>920</v>
      </c>
      <c r="B828" t="s">
        <v>68</v>
      </c>
      <c r="C828" s="7">
        <v>45692</v>
      </c>
      <c r="D828" s="7">
        <v>45696</v>
      </c>
      <c r="E828" t="s">
        <v>2517</v>
      </c>
      <c r="F828" t="s">
        <v>34</v>
      </c>
      <c r="G828">
        <v>3</v>
      </c>
      <c r="H828" t="s">
        <v>18</v>
      </c>
      <c r="I828" t="s">
        <v>32</v>
      </c>
      <c r="J828">
        <f>orders[[#This Row],[Ship Date]]-orders[[#This Row],[Order Date]]</f>
        <v>4</v>
      </c>
      <c r="K828">
        <f>WEEKNUM(orders[[#This Row],[Order Date]])</f>
        <v>6</v>
      </c>
      <c r="L828" t="str" cm="1">
        <f t="array" ref="L828">_xlfn.IFS(orders[[#This Row],[Customer Gender]]="M","Male", orders[[#This Row],[Customer Gender]]="F","Female", orders[[#This Row],[Customer Gender]]="O","Other", TRUE,"Unknown")</f>
        <v>Unknown</v>
      </c>
      <c r="M828">
        <v>5</v>
      </c>
      <c r="N828">
        <v>60.7</v>
      </c>
      <c r="O828" s="5">
        <v>303.5</v>
      </c>
    </row>
    <row r="829" spans="1:15" x14ac:dyDescent="0.3">
      <c r="A829" t="s">
        <v>921</v>
      </c>
      <c r="B829" t="s">
        <v>38</v>
      </c>
      <c r="C829" s="7">
        <v>45692</v>
      </c>
      <c r="D829" s="7">
        <v>45696</v>
      </c>
      <c r="E829" t="s">
        <v>22</v>
      </c>
      <c r="F829" t="s">
        <v>17</v>
      </c>
      <c r="G829">
        <v>3</v>
      </c>
      <c r="H829" t="s">
        <v>18</v>
      </c>
      <c r="I829" t="s">
        <v>32</v>
      </c>
      <c r="J829">
        <f>orders[[#This Row],[Ship Date]]-orders[[#This Row],[Order Date]]</f>
        <v>4</v>
      </c>
      <c r="K829">
        <f>WEEKNUM(orders[[#This Row],[Order Date]])</f>
        <v>6</v>
      </c>
      <c r="L829" t="str" cm="1">
        <f t="array" ref="L829">_xlfn.IFS(orders[[#This Row],[Customer Gender]]="M","Male", orders[[#This Row],[Customer Gender]]="F","Female", orders[[#This Row],[Customer Gender]]="O","Other", TRUE,"Unknown")</f>
        <v>Male</v>
      </c>
      <c r="M829">
        <v>5</v>
      </c>
      <c r="N829">
        <v>60.8</v>
      </c>
      <c r="O829">
        <v>304</v>
      </c>
    </row>
    <row r="830" spans="1:15" x14ac:dyDescent="0.3">
      <c r="A830" t="s">
        <v>922</v>
      </c>
      <c r="B830" t="s">
        <v>38</v>
      </c>
      <c r="C830" s="7">
        <v>45692</v>
      </c>
      <c r="D830" s="7">
        <v>45693</v>
      </c>
      <c r="E830" t="s">
        <v>26</v>
      </c>
      <c r="F830" t="s">
        <v>50</v>
      </c>
      <c r="G830">
        <v>4</v>
      </c>
      <c r="H830" t="s">
        <v>18</v>
      </c>
      <c r="I830" t="s">
        <v>32</v>
      </c>
      <c r="J830">
        <f>orders[[#This Row],[Ship Date]]-orders[[#This Row],[Order Date]]</f>
        <v>1</v>
      </c>
      <c r="K830">
        <f>WEEKNUM(orders[[#This Row],[Order Date]])</f>
        <v>6</v>
      </c>
      <c r="L830" t="str" cm="1">
        <f t="array" ref="L830">_xlfn.IFS(orders[[#This Row],[Customer Gender]]="M","Male", orders[[#This Row],[Customer Gender]]="F","Female", orders[[#This Row],[Customer Gender]]="O","Other", TRUE,"Unknown")</f>
        <v>Female</v>
      </c>
      <c r="M830">
        <v>5</v>
      </c>
      <c r="N830">
        <v>64.599999999999994</v>
      </c>
      <c r="O830" s="5">
        <v>323</v>
      </c>
    </row>
    <row r="831" spans="1:15" x14ac:dyDescent="0.3">
      <c r="A831" t="s">
        <v>923</v>
      </c>
      <c r="B831" t="s">
        <v>43</v>
      </c>
      <c r="C831" s="7">
        <v>45692</v>
      </c>
      <c r="D831" s="7">
        <v>45695</v>
      </c>
      <c r="E831" t="s">
        <v>22</v>
      </c>
      <c r="F831" t="s">
        <v>34</v>
      </c>
      <c r="G831">
        <v>5</v>
      </c>
      <c r="H831" t="s">
        <v>18</v>
      </c>
      <c r="I831" t="s">
        <v>48</v>
      </c>
      <c r="J831">
        <f>orders[[#This Row],[Ship Date]]-orders[[#This Row],[Order Date]]</f>
        <v>3</v>
      </c>
      <c r="K831">
        <f>WEEKNUM(orders[[#This Row],[Order Date]])</f>
        <v>6</v>
      </c>
      <c r="L831" t="str" cm="1">
        <f t="array" ref="L831">_xlfn.IFS(orders[[#This Row],[Customer Gender]]="M","Male", orders[[#This Row],[Customer Gender]]="F","Female", orders[[#This Row],[Customer Gender]]="O","Other", TRUE,"Unknown")</f>
        <v>Male</v>
      </c>
      <c r="M831">
        <v>1</v>
      </c>
      <c r="N831">
        <v>21.9</v>
      </c>
      <c r="O831">
        <v>21.9</v>
      </c>
    </row>
    <row r="832" spans="1:15" x14ac:dyDescent="0.3">
      <c r="A832" t="s">
        <v>924</v>
      </c>
      <c r="B832" t="s">
        <v>31</v>
      </c>
      <c r="C832" s="7">
        <v>45692</v>
      </c>
      <c r="D832" s="7">
        <v>45694</v>
      </c>
      <c r="E832" t="s">
        <v>26</v>
      </c>
      <c r="F832" t="s">
        <v>17</v>
      </c>
      <c r="G832">
        <v>4</v>
      </c>
      <c r="H832" t="s">
        <v>18</v>
      </c>
      <c r="I832" t="s">
        <v>157</v>
      </c>
      <c r="J832">
        <f>orders[[#This Row],[Ship Date]]-orders[[#This Row],[Order Date]]</f>
        <v>2</v>
      </c>
      <c r="K832">
        <f>WEEKNUM(orders[[#This Row],[Order Date]])</f>
        <v>6</v>
      </c>
      <c r="L832" t="str" cm="1">
        <f t="array" ref="L832">_xlfn.IFS(orders[[#This Row],[Customer Gender]]="M","Male", orders[[#This Row],[Customer Gender]]="F","Female", orders[[#This Row],[Customer Gender]]="O","Other", TRUE,"Unknown")</f>
        <v>Female</v>
      </c>
      <c r="M832">
        <v>12</v>
      </c>
      <c r="N832">
        <v>33.4</v>
      </c>
      <c r="O832" s="5">
        <v>400.79999999999995</v>
      </c>
    </row>
    <row r="833" spans="1:15" x14ac:dyDescent="0.3">
      <c r="A833" t="s">
        <v>925</v>
      </c>
      <c r="B833" t="s">
        <v>25</v>
      </c>
      <c r="C833" s="7">
        <v>45692</v>
      </c>
      <c r="D833" s="7">
        <v>45693</v>
      </c>
      <c r="E833" t="s">
        <v>2517</v>
      </c>
      <c r="F833" t="s">
        <v>17</v>
      </c>
      <c r="G833">
        <v>4</v>
      </c>
      <c r="H833" t="s">
        <v>18</v>
      </c>
      <c r="I833" t="s">
        <v>54</v>
      </c>
      <c r="J833">
        <f>orders[[#This Row],[Ship Date]]-orders[[#This Row],[Order Date]]</f>
        <v>1</v>
      </c>
      <c r="K833">
        <f>WEEKNUM(orders[[#This Row],[Order Date]])</f>
        <v>6</v>
      </c>
      <c r="L833" t="str" cm="1">
        <f t="array" ref="L833">_xlfn.IFS(orders[[#This Row],[Customer Gender]]="M","Male", orders[[#This Row],[Customer Gender]]="F","Female", orders[[#This Row],[Customer Gender]]="O","Other", TRUE,"Unknown")</f>
        <v>Unknown</v>
      </c>
      <c r="M833">
        <v>1</v>
      </c>
      <c r="N833">
        <v>51.7</v>
      </c>
      <c r="O833">
        <v>51.7</v>
      </c>
    </row>
    <row r="834" spans="1:15" x14ac:dyDescent="0.3">
      <c r="A834" t="s">
        <v>926</v>
      </c>
      <c r="B834" t="s">
        <v>21</v>
      </c>
      <c r="C834" s="7">
        <v>45692</v>
      </c>
      <c r="D834" s="7">
        <v>45693</v>
      </c>
      <c r="E834" t="s">
        <v>26</v>
      </c>
      <c r="F834" t="s">
        <v>34</v>
      </c>
      <c r="G834">
        <v>3</v>
      </c>
      <c r="H834" t="s">
        <v>18</v>
      </c>
      <c r="I834" t="s">
        <v>54</v>
      </c>
      <c r="J834">
        <f>orders[[#This Row],[Ship Date]]-orders[[#This Row],[Order Date]]</f>
        <v>1</v>
      </c>
      <c r="K834">
        <f>WEEKNUM(orders[[#This Row],[Order Date]])</f>
        <v>6</v>
      </c>
      <c r="L834" t="str" cm="1">
        <f t="array" ref="L834">_xlfn.IFS(orders[[#This Row],[Customer Gender]]="M","Male", orders[[#This Row],[Customer Gender]]="F","Female", orders[[#This Row],[Customer Gender]]="O","Other", TRUE,"Unknown")</f>
        <v>Female</v>
      </c>
      <c r="M834">
        <v>4</v>
      </c>
      <c r="N834">
        <v>84.9</v>
      </c>
      <c r="O834" s="5">
        <v>339.6</v>
      </c>
    </row>
    <row r="835" spans="1:15" x14ac:dyDescent="0.3">
      <c r="A835" t="s">
        <v>927</v>
      </c>
      <c r="B835" t="s">
        <v>21</v>
      </c>
      <c r="C835" s="7">
        <v>45692</v>
      </c>
      <c r="D835" s="7">
        <v>45693</v>
      </c>
      <c r="E835" t="s">
        <v>26</v>
      </c>
      <c r="F835" t="s">
        <v>39</v>
      </c>
      <c r="G835">
        <v>5</v>
      </c>
      <c r="H835" t="s">
        <v>18</v>
      </c>
      <c r="I835" t="s">
        <v>58</v>
      </c>
      <c r="J835">
        <f>orders[[#This Row],[Ship Date]]-orders[[#This Row],[Order Date]]</f>
        <v>1</v>
      </c>
      <c r="K835">
        <f>WEEKNUM(orders[[#This Row],[Order Date]])</f>
        <v>6</v>
      </c>
      <c r="L835" t="str" cm="1">
        <f t="array" ref="L835">_xlfn.IFS(orders[[#This Row],[Customer Gender]]="M","Male", orders[[#This Row],[Customer Gender]]="F","Female", orders[[#This Row],[Customer Gender]]="O","Other", TRUE,"Unknown")</f>
        <v>Female</v>
      </c>
      <c r="M835">
        <v>11</v>
      </c>
      <c r="N835">
        <v>62.3</v>
      </c>
      <c r="O835">
        <v>685.3</v>
      </c>
    </row>
    <row r="836" spans="1:15" x14ac:dyDescent="0.3">
      <c r="A836" t="s">
        <v>928</v>
      </c>
      <c r="B836" t="s">
        <v>31</v>
      </c>
      <c r="C836" s="7">
        <v>45692</v>
      </c>
      <c r="D836" s="7">
        <v>45694</v>
      </c>
      <c r="E836" t="s">
        <v>22</v>
      </c>
      <c r="F836" t="s">
        <v>39</v>
      </c>
      <c r="G836">
        <v>5</v>
      </c>
      <c r="H836" t="s">
        <v>18</v>
      </c>
      <c r="I836" t="s">
        <v>61</v>
      </c>
      <c r="J836">
        <f>orders[[#This Row],[Ship Date]]-orders[[#This Row],[Order Date]]</f>
        <v>2</v>
      </c>
      <c r="K836">
        <f>WEEKNUM(orders[[#This Row],[Order Date]])</f>
        <v>6</v>
      </c>
      <c r="L836" t="str" cm="1">
        <f t="array" ref="L836">_xlfn.IFS(orders[[#This Row],[Customer Gender]]="M","Male", orders[[#This Row],[Customer Gender]]="F","Female", orders[[#This Row],[Customer Gender]]="O","Other", TRUE,"Unknown")</f>
        <v>Male</v>
      </c>
      <c r="M836">
        <v>1</v>
      </c>
      <c r="N836">
        <v>50.7</v>
      </c>
      <c r="O836" s="5">
        <v>50.7</v>
      </c>
    </row>
    <row r="837" spans="1:15" x14ac:dyDescent="0.3">
      <c r="A837" t="s">
        <v>929</v>
      </c>
      <c r="B837" t="s">
        <v>145</v>
      </c>
      <c r="C837" s="7">
        <v>45692</v>
      </c>
      <c r="D837" s="7">
        <v>45693</v>
      </c>
      <c r="E837" t="s">
        <v>22</v>
      </c>
      <c r="F837" t="s">
        <v>69</v>
      </c>
      <c r="G837">
        <v>3</v>
      </c>
      <c r="H837" t="s">
        <v>18</v>
      </c>
      <c r="I837" t="s">
        <v>61</v>
      </c>
      <c r="J837">
        <f>orders[[#This Row],[Ship Date]]-orders[[#This Row],[Order Date]]</f>
        <v>1</v>
      </c>
      <c r="K837">
        <f>WEEKNUM(orders[[#This Row],[Order Date]])</f>
        <v>6</v>
      </c>
      <c r="L837" t="str" cm="1">
        <f t="array" ref="L837">_xlfn.IFS(orders[[#This Row],[Customer Gender]]="M","Male", orders[[#This Row],[Customer Gender]]="F","Female", orders[[#This Row],[Customer Gender]]="O","Other", TRUE,"Unknown")</f>
        <v>Male</v>
      </c>
      <c r="M837">
        <v>1</v>
      </c>
      <c r="N837">
        <v>39.5</v>
      </c>
      <c r="O837">
        <v>39.5</v>
      </c>
    </row>
    <row r="838" spans="1:15" x14ac:dyDescent="0.3">
      <c r="A838" t="s">
        <v>930</v>
      </c>
      <c r="B838" t="s">
        <v>68</v>
      </c>
      <c r="C838" s="7">
        <v>45692</v>
      </c>
      <c r="D838" s="7">
        <v>45693</v>
      </c>
      <c r="E838" t="s">
        <v>2517</v>
      </c>
      <c r="F838" t="s">
        <v>69</v>
      </c>
      <c r="G838">
        <v>5</v>
      </c>
      <c r="H838" t="s">
        <v>18</v>
      </c>
      <c r="I838" t="s">
        <v>61</v>
      </c>
      <c r="J838">
        <f>orders[[#This Row],[Ship Date]]-orders[[#This Row],[Order Date]]</f>
        <v>1</v>
      </c>
      <c r="K838">
        <f>WEEKNUM(orders[[#This Row],[Order Date]])</f>
        <v>6</v>
      </c>
      <c r="L838" t="str" cm="1">
        <f t="array" ref="L838">_xlfn.IFS(orders[[#This Row],[Customer Gender]]="M","Male", orders[[#This Row],[Customer Gender]]="F","Female", orders[[#This Row],[Customer Gender]]="O","Other", TRUE,"Unknown")</f>
        <v>Unknown</v>
      </c>
      <c r="M838">
        <v>3</v>
      </c>
      <c r="N838">
        <v>30.9</v>
      </c>
      <c r="O838" s="5">
        <v>92.699999999999989</v>
      </c>
    </row>
    <row r="839" spans="1:15" x14ac:dyDescent="0.3">
      <c r="A839" t="s">
        <v>931</v>
      </c>
      <c r="B839" t="s">
        <v>21</v>
      </c>
      <c r="C839" s="7">
        <v>45692</v>
      </c>
      <c r="D839" s="7">
        <v>45695</v>
      </c>
      <c r="E839" t="s">
        <v>26</v>
      </c>
      <c r="F839" t="s">
        <v>17</v>
      </c>
      <c r="G839">
        <v>5</v>
      </c>
      <c r="H839" t="s">
        <v>18</v>
      </c>
      <c r="I839" t="s">
        <v>61</v>
      </c>
      <c r="J839">
        <f>orders[[#This Row],[Ship Date]]-orders[[#This Row],[Order Date]]</f>
        <v>3</v>
      </c>
      <c r="K839">
        <f>WEEKNUM(orders[[#This Row],[Order Date]])</f>
        <v>6</v>
      </c>
      <c r="L839" t="str" cm="1">
        <f t="array" ref="L839">_xlfn.IFS(orders[[#This Row],[Customer Gender]]="M","Male", orders[[#This Row],[Customer Gender]]="F","Female", orders[[#This Row],[Customer Gender]]="O","Other", TRUE,"Unknown")</f>
        <v>Female</v>
      </c>
      <c r="M839">
        <v>7</v>
      </c>
      <c r="N839">
        <v>36.4</v>
      </c>
      <c r="O839">
        <v>254.79999999999998</v>
      </c>
    </row>
    <row r="840" spans="1:15" x14ac:dyDescent="0.3">
      <c r="A840" t="s">
        <v>932</v>
      </c>
      <c r="B840" t="s">
        <v>38</v>
      </c>
      <c r="C840" s="7">
        <v>45692</v>
      </c>
      <c r="D840" s="7">
        <v>45702</v>
      </c>
      <c r="E840" t="s">
        <v>26</v>
      </c>
      <c r="F840" t="s">
        <v>17</v>
      </c>
      <c r="G840">
        <v>4</v>
      </c>
      <c r="H840" t="s">
        <v>18</v>
      </c>
      <c r="I840" t="s">
        <v>61</v>
      </c>
      <c r="J840">
        <f>orders[[#This Row],[Ship Date]]-orders[[#This Row],[Order Date]]</f>
        <v>10</v>
      </c>
      <c r="K840">
        <f>WEEKNUM(orders[[#This Row],[Order Date]])</f>
        <v>6</v>
      </c>
      <c r="L840" t="str" cm="1">
        <f t="array" ref="L840">_xlfn.IFS(orders[[#This Row],[Customer Gender]]="M","Male", orders[[#This Row],[Customer Gender]]="F","Female", orders[[#This Row],[Customer Gender]]="O","Other", TRUE,"Unknown")</f>
        <v>Female</v>
      </c>
      <c r="M840">
        <v>8</v>
      </c>
      <c r="N840">
        <v>105.6</v>
      </c>
      <c r="O840" s="5">
        <v>844.8</v>
      </c>
    </row>
    <row r="841" spans="1:15" x14ac:dyDescent="0.3">
      <c r="A841" t="s">
        <v>933</v>
      </c>
      <c r="B841" t="s">
        <v>43</v>
      </c>
      <c r="C841" s="7">
        <v>45692</v>
      </c>
      <c r="D841" s="7">
        <v>45693</v>
      </c>
      <c r="E841" t="s">
        <v>26</v>
      </c>
      <c r="F841" t="s">
        <v>17</v>
      </c>
      <c r="G841">
        <v>5</v>
      </c>
      <c r="H841" t="s">
        <v>18</v>
      </c>
      <c r="I841" t="s">
        <v>102</v>
      </c>
      <c r="J841">
        <f>orders[[#This Row],[Ship Date]]-orders[[#This Row],[Order Date]]</f>
        <v>1</v>
      </c>
      <c r="K841">
        <f>WEEKNUM(orders[[#This Row],[Order Date]])</f>
        <v>6</v>
      </c>
      <c r="L841" t="str" cm="1">
        <f t="array" ref="L841">_xlfn.IFS(orders[[#This Row],[Customer Gender]]="M","Male", orders[[#This Row],[Customer Gender]]="F","Female", orders[[#This Row],[Customer Gender]]="O","Other", TRUE,"Unknown")</f>
        <v>Female</v>
      </c>
      <c r="M841">
        <v>2</v>
      </c>
      <c r="N841">
        <v>22.1</v>
      </c>
      <c r="O841">
        <v>44.2</v>
      </c>
    </row>
    <row r="842" spans="1:15" x14ac:dyDescent="0.3">
      <c r="A842" t="s">
        <v>934</v>
      </c>
      <c r="B842" t="s">
        <v>16</v>
      </c>
      <c r="C842" s="7">
        <v>45692</v>
      </c>
      <c r="D842" s="7">
        <v>45693</v>
      </c>
      <c r="E842" t="s">
        <v>26</v>
      </c>
      <c r="F842" t="s">
        <v>39</v>
      </c>
      <c r="G842">
        <v>4</v>
      </c>
      <c r="H842" t="s">
        <v>18</v>
      </c>
      <c r="I842" t="s">
        <v>102</v>
      </c>
      <c r="J842">
        <f>orders[[#This Row],[Ship Date]]-orders[[#This Row],[Order Date]]</f>
        <v>1</v>
      </c>
      <c r="K842">
        <f>WEEKNUM(orders[[#This Row],[Order Date]])</f>
        <v>6</v>
      </c>
      <c r="L842" t="str" cm="1">
        <f t="array" ref="L842">_xlfn.IFS(orders[[#This Row],[Customer Gender]]="M","Male", orders[[#This Row],[Customer Gender]]="F","Female", orders[[#This Row],[Customer Gender]]="O","Other", TRUE,"Unknown")</f>
        <v>Female</v>
      </c>
      <c r="M842">
        <v>3</v>
      </c>
      <c r="N842">
        <v>22.6</v>
      </c>
      <c r="O842" s="5">
        <v>67.800000000000011</v>
      </c>
    </row>
    <row r="843" spans="1:15" x14ac:dyDescent="0.3">
      <c r="A843" t="s">
        <v>935</v>
      </c>
      <c r="B843" t="s">
        <v>53</v>
      </c>
      <c r="C843" s="7">
        <v>45692</v>
      </c>
      <c r="D843" s="7">
        <v>45692</v>
      </c>
      <c r="E843" t="s">
        <v>26</v>
      </c>
      <c r="F843" t="s">
        <v>39</v>
      </c>
      <c r="G843">
        <v>4</v>
      </c>
      <c r="H843" t="s">
        <v>18</v>
      </c>
      <c r="I843" t="s">
        <v>71</v>
      </c>
      <c r="J843">
        <f>orders[[#This Row],[Ship Date]]-orders[[#This Row],[Order Date]]</f>
        <v>0</v>
      </c>
      <c r="K843">
        <f>WEEKNUM(orders[[#This Row],[Order Date]])</f>
        <v>6</v>
      </c>
      <c r="L843" t="str" cm="1">
        <f t="array" ref="L843">_xlfn.IFS(orders[[#This Row],[Customer Gender]]="M","Male", orders[[#This Row],[Customer Gender]]="F","Female", orders[[#This Row],[Customer Gender]]="O","Other", TRUE,"Unknown")</f>
        <v>Female</v>
      </c>
      <c r="M843">
        <v>6</v>
      </c>
      <c r="N843">
        <v>26.3</v>
      </c>
      <c r="O843">
        <v>157.80000000000001</v>
      </c>
    </row>
    <row r="844" spans="1:15" x14ac:dyDescent="0.3">
      <c r="A844" t="s">
        <v>936</v>
      </c>
      <c r="B844" t="s">
        <v>21</v>
      </c>
      <c r="C844" s="7">
        <v>45692</v>
      </c>
      <c r="D844" s="7">
        <v>45693</v>
      </c>
      <c r="E844" t="s">
        <v>26</v>
      </c>
      <c r="F844" t="s">
        <v>17</v>
      </c>
      <c r="G844">
        <v>5</v>
      </c>
      <c r="H844" t="s">
        <v>18</v>
      </c>
      <c r="I844" t="s">
        <v>76</v>
      </c>
      <c r="J844">
        <f>orders[[#This Row],[Ship Date]]-orders[[#This Row],[Order Date]]</f>
        <v>1</v>
      </c>
      <c r="K844">
        <f>WEEKNUM(orders[[#This Row],[Order Date]])</f>
        <v>6</v>
      </c>
      <c r="L844" t="str" cm="1">
        <f t="array" ref="L844">_xlfn.IFS(orders[[#This Row],[Customer Gender]]="M","Male", orders[[#This Row],[Customer Gender]]="F","Female", orders[[#This Row],[Customer Gender]]="O","Other", TRUE,"Unknown")</f>
        <v>Female</v>
      </c>
      <c r="M844">
        <v>4</v>
      </c>
      <c r="N844">
        <v>37.799999999999997</v>
      </c>
      <c r="O844" s="5">
        <v>151.19999999999999</v>
      </c>
    </row>
    <row r="845" spans="1:15" x14ac:dyDescent="0.3">
      <c r="A845" t="s">
        <v>937</v>
      </c>
      <c r="B845" t="s">
        <v>38</v>
      </c>
      <c r="C845" s="7">
        <v>45692</v>
      </c>
      <c r="D845" s="7">
        <v>45695</v>
      </c>
      <c r="E845" t="s">
        <v>26</v>
      </c>
      <c r="F845" t="s">
        <v>69</v>
      </c>
      <c r="G845">
        <v>3</v>
      </c>
      <c r="H845" t="s">
        <v>18</v>
      </c>
      <c r="I845" t="s">
        <v>107</v>
      </c>
      <c r="J845">
        <f>orders[[#This Row],[Ship Date]]-orders[[#This Row],[Order Date]]</f>
        <v>3</v>
      </c>
      <c r="K845">
        <f>WEEKNUM(orders[[#This Row],[Order Date]])</f>
        <v>6</v>
      </c>
      <c r="L845" t="str" cm="1">
        <f t="array" ref="L845">_xlfn.IFS(orders[[#This Row],[Customer Gender]]="M","Male", orders[[#This Row],[Customer Gender]]="F","Female", orders[[#This Row],[Customer Gender]]="O","Other", TRUE,"Unknown")</f>
        <v>Female</v>
      </c>
      <c r="M845">
        <v>17</v>
      </c>
      <c r="N845">
        <v>96</v>
      </c>
      <c r="O845">
        <v>1632</v>
      </c>
    </row>
    <row r="846" spans="1:15" x14ac:dyDescent="0.3">
      <c r="A846" t="s">
        <v>938</v>
      </c>
      <c r="B846" t="s">
        <v>21</v>
      </c>
      <c r="C846" s="7">
        <v>45692</v>
      </c>
      <c r="D846" s="7">
        <v>45695</v>
      </c>
      <c r="E846" t="s">
        <v>26</v>
      </c>
      <c r="F846" t="s">
        <v>39</v>
      </c>
      <c r="G846">
        <v>3</v>
      </c>
      <c r="H846" t="s">
        <v>18</v>
      </c>
      <c r="I846" t="s">
        <v>109</v>
      </c>
      <c r="J846">
        <f>orders[[#This Row],[Ship Date]]-orders[[#This Row],[Order Date]]</f>
        <v>3</v>
      </c>
      <c r="K846">
        <f>WEEKNUM(orders[[#This Row],[Order Date]])</f>
        <v>6</v>
      </c>
      <c r="L846" t="str" cm="1">
        <f t="array" ref="L846">_xlfn.IFS(orders[[#This Row],[Customer Gender]]="M","Male", orders[[#This Row],[Customer Gender]]="F","Female", orders[[#This Row],[Customer Gender]]="O","Other", TRUE,"Unknown")</f>
        <v>Female</v>
      </c>
      <c r="M846">
        <v>1</v>
      </c>
      <c r="N846">
        <v>83.6</v>
      </c>
      <c r="O846" s="5">
        <v>83.6</v>
      </c>
    </row>
    <row r="847" spans="1:15" x14ac:dyDescent="0.3">
      <c r="A847" t="s">
        <v>939</v>
      </c>
      <c r="B847" t="s">
        <v>25</v>
      </c>
      <c r="C847" s="7">
        <v>45692</v>
      </c>
      <c r="D847" s="7">
        <v>45693</v>
      </c>
      <c r="E847" t="s">
        <v>26</v>
      </c>
      <c r="F847" t="s">
        <v>17</v>
      </c>
      <c r="G847">
        <v>4</v>
      </c>
      <c r="H847" t="s">
        <v>18</v>
      </c>
      <c r="I847" t="s">
        <v>114</v>
      </c>
      <c r="J847">
        <f>orders[[#This Row],[Ship Date]]-orders[[#This Row],[Order Date]]</f>
        <v>1</v>
      </c>
      <c r="K847">
        <f>WEEKNUM(orders[[#This Row],[Order Date]])</f>
        <v>6</v>
      </c>
      <c r="L847" t="str" cm="1">
        <f t="array" ref="L847">_xlfn.IFS(orders[[#This Row],[Customer Gender]]="M","Male", orders[[#This Row],[Customer Gender]]="F","Female", orders[[#This Row],[Customer Gender]]="O","Other", TRUE,"Unknown")</f>
        <v>Female</v>
      </c>
      <c r="M847">
        <v>6</v>
      </c>
      <c r="N847">
        <v>72.599999999999994</v>
      </c>
      <c r="O847">
        <v>435.59999999999997</v>
      </c>
    </row>
    <row r="848" spans="1:15" x14ac:dyDescent="0.3">
      <c r="A848" t="s">
        <v>940</v>
      </c>
      <c r="B848" t="s">
        <v>36</v>
      </c>
      <c r="C848" s="7">
        <v>45693</v>
      </c>
      <c r="D848" s="7">
        <v>45699</v>
      </c>
      <c r="E848" t="s">
        <v>22</v>
      </c>
      <c r="F848" t="s">
        <v>17</v>
      </c>
      <c r="G848">
        <v>5</v>
      </c>
      <c r="H848" t="s">
        <v>18</v>
      </c>
      <c r="I848" t="s">
        <v>114</v>
      </c>
      <c r="J848">
        <f>orders[[#This Row],[Ship Date]]-orders[[#This Row],[Order Date]]</f>
        <v>6</v>
      </c>
      <c r="K848">
        <f>WEEKNUM(orders[[#This Row],[Order Date]])</f>
        <v>6</v>
      </c>
      <c r="L848" t="str" cm="1">
        <f t="array" ref="L848">_xlfn.IFS(orders[[#This Row],[Customer Gender]]="M","Male", orders[[#This Row],[Customer Gender]]="F","Female", orders[[#This Row],[Customer Gender]]="O","Other", TRUE,"Unknown")</f>
        <v>Male</v>
      </c>
      <c r="M848">
        <v>20</v>
      </c>
      <c r="N848">
        <v>69.099999999999994</v>
      </c>
      <c r="O848" s="5">
        <v>1382</v>
      </c>
    </row>
    <row r="849" spans="1:15" x14ac:dyDescent="0.3">
      <c r="A849" t="s">
        <v>941</v>
      </c>
      <c r="B849" t="s">
        <v>31</v>
      </c>
      <c r="C849" s="7">
        <v>45693</v>
      </c>
      <c r="D849" s="7">
        <v>45695</v>
      </c>
      <c r="E849" t="s">
        <v>26</v>
      </c>
      <c r="F849" t="s">
        <v>34</v>
      </c>
      <c r="G849">
        <v>5</v>
      </c>
      <c r="H849" t="s">
        <v>18</v>
      </c>
      <c r="I849" t="s">
        <v>114</v>
      </c>
      <c r="J849">
        <f>orders[[#This Row],[Ship Date]]-orders[[#This Row],[Order Date]]</f>
        <v>2</v>
      </c>
      <c r="K849">
        <f>WEEKNUM(orders[[#This Row],[Order Date]])</f>
        <v>6</v>
      </c>
      <c r="L849" t="str" cm="1">
        <f t="array" ref="L849">_xlfn.IFS(orders[[#This Row],[Customer Gender]]="M","Male", orders[[#This Row],[Customer Gender]]="F","Female", orders[[#This Row],[Customer Gender]]="O","Other", TRUE,"Unknown")</f>
        <v>Female</v>
      </c>
      <c r="M849">
        <v>2</v>
      </c>
      <c r="N849">
        <v>22.6</v>
      </c>
      <c r="O849">
        <v>45.2</v>
      </c>
    </row>
    <row r="850" spans="1:15" x14ac:dyDescent="0.3">
      <c r="A850" t="s">
        <v>942</v>
      </c>
      <c r="B850" t="s">
        <v>38</v>
      </c>
      <c r="C850" s="7">
        <v>45693</v>
      </c>
      <c r="D850" s="7">
        <v>45697</v>
      </c>
      <c r="E850" t="s">
        <v>22</v>
      </c>
      <c r="F850" t="s">
        <v>69</v>
      </c>
      <c r="G850">
        <v>5</v>
      </c>
      <c r="H850" t="s">
        <v>18</v>
      </c>
      <c r="I850" t="s">
        <v>114</v>
      </c>
      <c r="J850">
        <f>orders[[#This Row],[Ship Date]]-orders[[#This Row],[Order Date]]</f>
        <v>4</v>
      </c>
      <c r="K850">
        <f>WEEKNUM(orders[[#This Row],[Order Date]])</f>
        <v>6</v>
      </c>
      <c r="L850" t="str" cm="1">
        <f t="array" ref="L850">_xlfn.IFS(orders[[#This Row],[Customer Gender]]="M","Male", orders[[#This Row],[Customer Gender]]="F","Female", orders[[#This Row],[Customer Gender]]="O","Other", TRUE,"Unknown")</f>
        <v>Male</v>
      </c>
      <c r="M850">
        <v>2</v>
      </c>
      <c r="N850">
        <v>45.3</v>
      </c>
      <c r="O850" s="5">
        <v>90.6</v>
      </c>
    </row>
    <row r="851" spans="1:15" x14ac:dyDescent="0.3">
      <c r="A851" t="s">
        <v>943</v>
      </c>
      <c r="B851" t="s">
        <v>25</v>
      </c>
      <c r="C851" s="7">
        <v>45693</v>
      </c>
      <c r="D851" s="7">
        <v>45694</v>
      </c>
      <c r="E851" t="s">
        <v>26</v>
      </c>
      <c r="F851" t="s">
        <v>34</v>
      </c>
      <c r="G851">
        <v>4</v>
      </c>
      <c r="H851" t="s">
        <v>18</v>
      </c>
      <c r="I851" t="s">
        <v>23</v>
      </c>
      <c r="J851">
        <f>orders[[#This Row],[Ship Date]]-orders[[#This Row],[Order Date]]</f>
        <v>1</v>
      </c>
      <c r="K851">
        <f>WEEKNUM(orders[[#This Row],[Order Date]])</f>
        <v>6</v>
      </c>
      <c r="L851" t="str" cm="1">
        <f t="array" ref="L851">_xlfn.IFS(orders[[#This Row],[Customer Gender]]="M","Male", orders[[#This Row],[Customer Gender]]="F","Female", orders[[#This Row],[Customer Gender]]="O","Other", TRUE,"Unknown")</f>
        <v>Female</v>
      </c>
      <c r="M851">
        <v>2</v>
      </c>
      <c r="N851">
        <v>115.1</v>
      </c>
      <c r="O851">
        <v>230.2</v>
      </c>
    </row>
    <row r="852" spans="1:15" x14ac:dyDescent="0.3">
      <c r="A852" t="s">
        <v>944</v>
      </c>
      <c r="B852" t="s">
        <v>145</v>
      </c>
      <c r="C852" s="7">
        <v>45693</v>
      </c>
      <c r="D852" s="7">
        <v>45695</v>
      </c>
      <c r="E852" t="s">
        <v>22</v>
      </c>
      <c r="F852" t="s">
        <v>39</v>
      </c>
      <c r="G852">
        <v>2</v>
      </c>
      <c r="H852" t="s">
        <v>18</v>
      </c>
      <c r="I852" t="s">
        <v>23</v>
      </c>
      <c r="J852">
        <f>orders[[#This Row],[Ship Date]]-orders[[#This Row],[Order Date]]</f>
        <v>2</v>
      </c>
      <c r="K852">
        <f>WEEKNUM(orders[[#This Row],[Order Date]])</f>
        <v>6</v>
      </c>
      <c r="L852" t="str" cm="1">
        <f t="array" ref="L852">_xlfn.IFS(orders[[#This Row],[Customer Gender]]="M","Male", orders[[#This Row],[Customer Gender]]="F","Female", orders[[#This Row],[Customer Gender]]="O","Other", TRUE,"Unknown")</f>
        <v>Male</v>
      </c>
      <c r="M852">
        <v>4</v>
      </c>
      <c r="N852">
        <v>79</v>
      </c>
      <c r="O852" s="5">
        <v>316</v>
      </c>
    </row>
    <row r="853" spans="1:15" x14ac:dyDescent="0.3">
      <c r="A853" t="s">
        <v>945</v>
      </c>
      <c r="B853" t="s">
        <v>38</v>
      </c>
      <c r="C853" s="7">
        <v>45693</v>
      </c>
      <c r="D853" s="7">
        <v>45694</v>
      </c>
      <c r="E853" t="s">
        <v>26</v>
      </c>
      <c r="F853" t="s">
        <v>17</v>
      </c>
      <c r="G853">
        <v>4</v>
      </c>
      <c r="H853" t="s">
        <v>18</v>
      </c>
      <c r="I853" t="s">
        <v>436</v>
      </c>
      <c r="J853">
        <f>orders[[#This Row],[Ship Date]]-orders[[#This Row],[Order Date]]</f>
        <v>1</v>
      </c>
      <c r="K853">
        <f>WEEKNUM(orders[[#This Row],[Order Date]])</f>
        <v>6</v>
      </c>
      <c r="L853" t="str" cm="1">
        <f t="array" ref="L853">_xlfn.IFS(orders[[#This Row],[Customer Gender]]="M","Male", orders[[#This Row],[Customer Gender]]="F","Female", orders[[#This Row],[Customer Gender]]="O","Other", TRUE,"Unknown")</f>
        <v>Female</v>
      </c>
      <c r="M853">
        <v>5</v>
      </c>
      <c r="N853">
        <v>52.8</v>
      </c>
      <c r="O853">
        <v>264</v>
      </c>
    </row>
    <row r="854" spans="1:15" x14ac:dyDescent="0.3">
      <c r="A854" t="s">
        <v>946</v>
      </c>
      <c r="B854" t="s">
        <v>43</v>
      </c>
      <c r="C854" s="7">
        <v>45693</v>
      </c>
      <c r="D854" s="7">
        <v>45694</v>
      </c>
      <c r="E854" t="s">
        <v>22</v>
      </c>
      <c r="F854" t="s">
        <v>50</v>
      </c>
      <c r="G854">
        <v>5</v>
      </c>
      <c r="H854" t="s">
        <v>18</v>
      </c>
      <c r="I854" t="s">
        <v>586</v>
      </c>
      <c r="J854">
        <f>orders[[#This Row],[Ship Date]]-orders[[#This Row],[Order Date]]</f>
        <v>1</v>
      </c>
      <c r="K854">
        <f>WEEKNUM(orders[[#This Row],[Order Date]])</f>
        <v>6</v>
      </c>
      <c r="L854" t="str" cm="1">
        <f t="array" ref="L854">_xlfn.IFS(orders[[#This Row],[Customer Gender]]="M","Male", orders[[#This Row],[Customer Gender]]="F","Female", orders[[#This Row],[Customer Gender]]="O","Other", TRUE,"Unknown")</f>
        <v>Male</v>
      </c>
      <c r="M854">
        <v>2</v>
      </c>
      <c r="N854">
        <v>34.1</v>
      </c>
      <c r="O854" s="5">
        <v>68.2</v>
      </c>
    </row>
    <row r="855" spans="1:15" x14ac:dyDescent="0.3">
      <c r="A855" t="s">
        <v>947</v>
      </c>
      <c r="B855" t="s">
        <v>38</v>
      </c>
      <c r="C855" s="7">
        <v>45693</v>
      </c>
      <c r="D855" s="7">
        <v>45693</v>
      </c>
      <c r="E855" t="s">
        <v>26</v>
      </c>
      <c r="F855" t="s">
        <v>17</v>
      </c>
      <c r="G855">
        <v>5</v>
      </c>
      <c r="H855" t="s">
        <v>18</v>
      </c>
      <c r="I855" t="s">
        <v>948</v>
      </c>
      <c r="J855">
        <f>orders[[#This Row],[Ship Date]]-orders[[#This Row],[Order Date]]</f>
        <v>0</v>
      </c>
      <c r="K855">
        <f>WEEKNUM(orders[[#This Row],[Order Date]])</f>
        <v>6</v>
      </c>
      <c r="L855" t="str" cm="1">
        <f t="array" ref="L855">_xlfn.IFS(orders[[#This Row],[Customer Gender]]="M","Male", orders[[#This Row],[Customer Gender]]="F","Female", orders[[#This Row],[Customer Gender]]="O","Other", TRUE,"Unknown")</f>
        <v>Female</v>
      </c>
      <c r="M855">
        <v>5</v>
      </c>
      <c r="N855">
        <v>107.9</v>
      </c>
      <c r="O855">
        <v>539.5</v>
      </c>
    </row>
    <row r="856" spans="1:15" x14ac:dyDescent="0.3">
      <c r="A856" t="s">
        <v>949</v>
      </c>
      <c r="B856" t="s">
        <v>43</v>
      </c>
      <c r="C856" s="7">
        <v>45693</v>
      </c>
      <c r="D856" s="7">
        <v>45693</v>
      </c>
      <c r="E856" t="s">
        <v>22</v>
      </c>
      <c r="F856" t="s">
        <v>39</v>
      </c>
      <c r="G856">
        <v>5</v>
      </c>
      <c r="H856" t="s">
        <v>18</v>
      </c>
      <c r="I856" t="s">
        <v>32</v>
      </c>
      <c r="J856">
        <f>orders[[#This Row],[Ship Date]]-orders[[#This Row],[Order Date]]</f>
        <v>0</v>
      </c>
      <c r="K856">
        <f>WEEKNUM(orders[[#This Row],[Order Date]])</f>
        <v>6</v>
      </c>
      <c r="L856" t="str" cm="1">
        <f t="array" ref="L856">_xlfn.IFS(orders[[#This Row],[Customer Gender]]="M","Male", orders[[#This Row],[Customer Gender]]="F","Female", orders[[#This Row],[Customer Gender]]="O","Other", TRUE,"Unknown")</f>
        <v>Male</v>
      </c>
      <c r="M856">
        <v>13</v>
      </c>
      <c r="N856">
        <v>48.5</v>
      </c>
      <c r="O856" s="5">
        <v>630.5</v>
      </c>
    </row>
    <row r="857" spans="1:15" x14ac:dyDescent="0.3">
      <c r="A857" t="s">
        <v>950</v>
      </c>
      <c r="B857" t="s">
        <v>36</v>
      </c>
      <c r="C857" s="7">
        <v>45693</v>
      </c>
      <c r="D857" s="7">
        <v>45694</v>
      </c>
      <c r="E857" t="s">
        <v>2517</v>
      </c>
      <c r="F857" t="s">
        <v>69</v>
      </c>
      <c r="G857">
        <v>3</v>
      </c>
      <c r="H857" t="s">
        <v>18</v>
      </c>
      <c r="I857" t="s">
        <v>32</v>
      </c>
      <c r="J857">
        <f>orders[[#This Row],[Ship Date]]-orders[[#This Row],[Order Date]]</f>
        <v>1</v>
      </c>
      <c r="K857">
        <f>WEEKNUM(orders[[#This Row],[Order Date]])</f>
        <v>6</v>
      </c>
      <c r="L857" t="str" cm="1">
        <f t="array" ref="L857">_xlfn.IFS(orders[[#This Row],[Customer Gender]]="M","Male", orders[[#This Row],[Customer Gender]]="F","Female", orders[[#This Row],[Customer Gender]]="O","Other", TRUE,"Unknown")</f>
        <v>Unknown</v>
      </c>
      <c r="M857">
        <v>3</v>
      </c>
      <c r="N857">
        <v>34.700000000000003</v>
      </c>
      <c r="O857">
        <v>104.10000000000001</v>
      </c>
    </row>
    <row r="858" spans="1:15" x14ac:dyDescent="0.3">
      <c r="A858" t="s">
        <v>951</v>
      </c>
      <c r="B858" t="s">
        <v>43</v>
      </c>
      <c r="C858" s="7">
        <v>45693</v>
      </c>
      <c r="D858" s="7">
        <v>45695</v>
      </c>
      <c r="E858" t="s">
        <v>26</v>
      </c>
      <c r="F858" t="s">
        <v>50</v>
      </c>
      <c r="G858">
        <v>4</v>
      </c>
      <c r="H858" t="s">
        <v>18</v>
      </c>
      <c r="I858" t="s">
        <v>32</v>
      </c>
      <c r="J858">
        <f>orders[[#This Row],[Ship Date]]-orders[[#This Row],[Order Date]]</f>
        <v>2</v>
      </c>
      <c r="K858">
        <f>WEEKNUM(orders[[#This Row],[Order Date]])</f>
        <v>6</v>
      </c>
      <c r="L858" t="str" cm="1">
        <f t="array" ref="L858">_xlfn.IFS(orders[[#This Row],[Customer Gender]]="M","Male", orders[[#This Row],[Customer Gender]]="F","Female", orders[[#This Row],[Customer Gender]]="O","Other", TRUE,"Unknown")</f>
        <v>Female</v>
      </c>
      <c r="M858">
        <v>1</v>
      </c>
      <c r="N858">
        <v>16.8</v>
      </c>
      <c r="O858" s="5">
        <v>16.8</v>
      </c>
    </row>
    <row r="859" spans="1:15" x14ac:dyDescent="0.3">
      <c r="A859" t="s">
        <v>952</v>
      </c>
      <c r="B859" t="s">
        <v>43</v>
      </c>
      <c r="C859" s="7">
        <v>45693</v>
      </c>
      <c r="D859" s="7">
        <v>45696</v>
      </c>
      <c r="E859" t="s">
        <v>26</v>
      </c>
      <c r="F859" t="s">
        <v>17</v>
      </c>
      <c r="G859">
        <v>4</v>
      </c>
      <c r="H859" t="s">
        <v>18</v>
      </c>
      <c r="I859" t="s">
        <v>32</v>
      </c>
      <c r="J859">
        <f>orders[[#This Row],[Ship Date]]-orders[[#This Row],[Order Date]]</f>
        <v>3</v>
      </c>
      <c r="K859">
        <f>WEEKNUM(orders[[#This Row],[Order Date]])</f>
        <v>6</v>
      </c>
      <c r="L859" t="str" cm="1">
        <f t="array" ref="L859">_xlfn.IFS(orders[[#This Row],[Customer Gender]]="M","Male", orders[[#This Row],[Customer Gender]]="F","Female", orders[[#This Row],[Customer Gender]]="O","Other", TRUE,"Unknown")</f>
        <v>Female</v>
      </c>
      <c r="M859">
        <v>6</v>
      </c>
      <c r="N859">
        <v>18.3</v>
      </c>
      <c r="O859">
        <v>109.80000000000001</v>
      </c>
    </row>
    <row r="860" spans="1:15" x14ac:dyDescent="0.3">
      <c r="A860" t="s">
        <v>953</v>
      </c>
      <c r="B860" t="s">
        <v>145</v>
      </c>
      <c r="C860" s="7">
        <v>45693</v>
      </c>
      <c r="D860" s="7">
        <v>45699</v>
      </c>
      <c r="E860" t="s">
        <v>22</v>
      </c>
      <c r="F860" t="s">
        <v>50</v>
      </c>
      <c r="G860">
        <v>3</v>
      </c>
      <c r="H860" t="s">
        <v>18</v>
      </c>
      <c r="I860" t="s">
        <v>32</v>
      </c>
      <c r="J860">
        <f>orders[[#This Row],[Ship Date]]-orders[[#This Row],[Order Date]]</f>
        <v>6</v>
      </c>
      <c r="K860">
        <f>WEEKNUM(orders[[#This Row],[Order Date]])</f>
        <v>6</v>
      </c>
      <c r="L860" t="str" cm="1">
        <f t="array" ref="L860">_xlfn.IFS(orders[[#This Row],[Customer Gender]]="M","Male", orders[[#This Row],[Customer Gender]]="F","Female", orders[[#This Row],[Customer Gender]]="O","Other", TRUE,"Unknown")</f>
        <v>Male</v>
      </c>
      <c r="M860">
        <v>3</v>
      </c>
      <c r="N860">
        <v>55.9</v>
      </c>
      <c r="O860" s="5">
        <v>167.7</v>
      </c>
    </row>
    <row r="861" spans="1:15" x14ac:dyDescent="0.3">
      <c r="A861" t="s">
        <v>954</v>
      </c>
      <c r="B861" t="s">
        <v>43</v>
      </c>
      <c r="C861" s="7">
        <v>45693</v>
      </c>
      <c r="D861" s="7">
        <v>45695</v>
      </c>
      <c r="E861" t="s">
        <v>26</v>
      </c>
      <c r="F861" t="s">
        <v>17</v>
      </c>
      <c r="G861">
        <v>3</v>
      </c>
      <c r="H861" t="s">
        <v>18</v>
      </c>
      <c r="I861" t="s">
        <v>32</v>
      </c>
      <c r="J861">
        <f>orders[[#This Row],[Ship Date]]-orders[[#This Row],[Order Date]]</f>
        <v>2</v>
      </c>
      <c r="K861">
        <f>WEEKNUM(orders[[#This Row],[Order Date]])</f>
        <v>6</v>
      </c>
      <c r="L861" t="str" cm="1">
        <f t="array" ref="L861">_xlfn.IFS(orders[[#This Row],[Customer Gender]]="M","Male", orders[[#This Row],[Customer Gender]]="F","Female", orders[[#This Row],[Customer Gender]]="O","Other", TRUE,"Unknown")</f>
        <v>Female</v>
      </c>
      <c r="M861">
        <v>3</v>
      </c>
      <c r="N861">
        <v>39.200000000000003</v>
      </c>
      <c r="O861">
        <v>117.60000000000001</v>
      </c>
    </row>
    <row r="862" spans="1:15" x14ac:dyDescent="0.3">
      <c r="A862" t="s">
        <v>955</v>
      </c>
      <c r="B862" t="s">
        <v>122</v>
      </c>
      <c r="C862" s="7">
        <v>45693</v>
      </c>
      <c r="D862" s="7">
        <v>45695</v>
      </c>
      <c r="E862" t="s">
        <v>2517</v>
      </c>
      <c r="F862" t="s">
        <v>50</v>
      </c>
      <c r="G862">
        <v>3</v>
      </c>
      <c r="H862" t="s">
        <v>18</v>
      </c>
      <c r="I862" t="s">
        <v>32</v>
      </c>
      <c r="J862">
        <f>orders[[#This Row],[Ship Date]]-orders[[#This Row],[Order Date]]</f>
        <v>2</v>
      </c>
      <c r="K862">
        <f>WEEKNUM(orders[[#This Row],[Order Date]])</f>
        <v>6</v>
      </c>
      <c r="L862" t="str" cm="1">
        <f t="array" ref="L862">_xlfn.IFS(orders[[#This Row],[Customer Gender]]="M","Male", orders[[#This Row],[Customer Gender]]="F","Female", orders[[#This Row],[Customer Gender]]="O","Other", TRUE,"Unknown")</f>
        <v>Unknown</v>
      </c>
      <c r="M862">
        <v>4</v>
      </c>
      <c r="N862">
        <v>66.5</v>
      </c>
      <c r="O862" s="5">
        <v>266</v>
      </c>
    </row>
    <row r="863" spans="1:15" x14ac:dyDescent="0.3">
      <c r="A863" t="s">
        <v>956</v>
      </c>
      <c r="B863" t="s">
        <v>38</v>
      </c>
      <c r="C863" s="7">
        <v>45693</v>
      </c>
      <c r="D863" s="7">
        <v>45695</v>
      </c>
      <c r="E863" t="s">
        <v>22</v>
      </c>
      <c r="F863" t="s">
        <v>34</v>
      </c>
      <c r="G863">
        <v>3</v>
      </c>
      <c r="H863" t="s">
        <v>18</v>
      </c>
      <c r="I863" t="s">
        <v>97</v>
      </c>
      <c r="J863">
        <f>orders[[#This Row],[Ship Date]]-orders[[#This Row],[Order Date]]</f>
        <v>2</v>
      </c>
      <c r="K863">
        <f>WEEKNUM(orders[[#This Row],[Order Date]])</f>
        <v>6</v>
      </c>
      <c r="L863" t="str" cm="1">
        <f t="array" ref="L863">_xlfn.IFS(orders[[#This Row],[Customer Gender]]="M","Male", orders[[#This Row],[Customer Gender]]="F","Female", orders[[#This Row],[Customer Gender]]="O","Other", TRUE,"Unknown")</f>
        <v>Male</v>
      </c>
      <c r="M863">
        <v>6</v>
      </c>
      <c r="N863">
        <v>52.1</v>
      </c>
      <c r="O863">
        <v>312.60000000000002</v>
      </c>
    </row>
    <row r="864" spans="1:15" x14ac:dyDescent="0.3">
      <c r="A864" t="s">
        <v>957</v>
      </c>
      <c r="B864" t="s">
        <v>43</v>
      </c>
      <c r="C864" s="7">
        <v>45693</v>
      </c>
      <c r="D864" s="7">
        <v>45694</v>
      </c>
      <c r="E864" t="s">
        <v>22</v>
      </c>
      <c r="F864" t="s">
        <v>69</v>
      </c>
      <c r="G864">
        <v>5</v>
      </c>
      <c r="H864" t="s">
        <v>18</v>
      </c>
      <c r="I864" t="s">
        <v>54</v>
      </c>
      <c r="J864">
        <f>orders[[#This Row],[Ship Date]]-orders[[#This Row],[Order Date]]</f>
        <v>1</v>
      </c>
      <c r="K864">
        <f>WEEKNUM(orders[[#This Row],[Order Date]])</f>
        <v>6</v>
      </c>
      <c r="L864" t="str" cm="1">
        <f t="array" ref="L864">_xlfn.IFS(orders[[#This Row],[Customer Gender]]="M","Male", orders[[#This Row],[Customer Gender]]="F","Female", orders[[#This Row],[Customer Gender]]="O","Other", TRUE,"Unknown")</f>
        <v>Male</v>
      </c>
      <c r="M864">
        <v>2</v>
      </c>
      <c r="N864">
        <v>19</v>
      </c>
      <c r="O864" s="5">
        <v>38</v>
      </c>
    </row>
    <row r="865" spans="1:15" x14ac:dyDescent="0.3">
      <c r="A865" t="s">
        <v>958</v>
      </c>
      <c r="B865" t="s">
        <v>41</v>
      </c>
      <c r="C865" s="7">
        <v>45693</v>
      </c>
      <c r="D865" s="7">
        <v>45695</v>
      </c>
      <c r="E865" t="s">
        <v>26</v>
      </c>
      <c r="F865" t="s">
        <v>39</v>
      </c>
      <c r="G865">
        <v>4</v>
      </c>
      <c r="H865" t="s">
        <v>18</v>
      </c>
      <c r="I865" t="s">
        <v>61</v>
      </c>
      <c r="J865">
        <f>orders[[#This Row],[Ship Date]]-orders[[#This Row],[Order Date]]</f>
        <v>2</v>
      </c>
      <c r="K865">
        <f>WEEKNUM(orders[[#This Row],[Order Date]])</f>
        <v>6</v>
      </c>
      <c r="L865" t="str" cm="1">
        <f t="array" ref="L865">_xlfn.IFS(orders[[#This Row],[Customer Gender]]="M","Male", orders[[#This Row],[Customer Gender]]="F","Female", orders[[#This Row],[Customer Gender]]="O","Other", TRUE,"Unknown")</f>
        <v>Female</v>
      </c>
      <c r="M865">
        <v>3</v>
      </c>
      <c r="N865">
        <v>84.8</v>
      </c>
      <c r="O865">
        <v>254.39999999999998</v>
      </c>
    </row>
    <row r="866" spans="1:15" x14ac:dyDescent="0.3">
      <c r="A866" t="s">
        <v>959</v>
      </c>
      <c r="B866" t="s">
        <v>25</v>
      </c>
      <c r="C866" s="7">
        <v>45693</v>
      </c>
      <c r="D866" s="7">
        <v>45696</v>
      </c>
      <c r="E866" t="s">
        <v>26</v>
      </c>
      <c r="F866" t="s">
        <v>17</v>
      </c>
      <c r="G866">
        <v>4</v>
      </c>
      <c r="H866" t="s">
        <v>18</v>
      </c>
      <c r="I866" t="s">
        <v>61</v>
      </c>
      <c r="J866">
        <f>orders[[#This Row],[Ship Date]]-orders[[#This Row],[Order Date]]</f>
        <v>3</v>
      </c>
      <c r="K866">
        <f>WEEKNUM(orders[[#This Row],[Order Date]])</f>
        <v>6</v>
      </c>
      <c r="L866" t="str" cm="1">
        <f t="array" ref="L866">_xlfn.IFS(orders[[#This Row],[Customer Gender]]="M","Male", orders[[#This Row],[Customer Gender]]="F","Female", orders[[#This Row],[Customer Gender]]="O","Other", TRUE,"Unknown")</f>
        <v>Female</v>
      </c>
      <c r="M866">
        <v>4</v>
      </c>
      <c r="N866">
        <v>63.9</v>
      </c>
      <c r="O866" s="5">
        <v>255.6</v>
      </c>
    </row>
    <row r="867" spans="1:15" x14ac:dyDescent="0.3">
      <c r="A867" t="s">
        <v>960</v>
      </c>
      <c r="B867" t="s">
        <v>25</v>
      </c>
      <c r="C867" s="7">
        <v>45693</v>
      </c>
      <c r="D867" s="7">
        <v>45693</v>
      </c>
      <c r="E867" t="s">
        <v>26</v>
      </c>
      <c r="F867" t="s">
        <v>34</v>
      </c>
      <c r="G867">
        <v>3</v>
      </c>
      <c r="H867" t="s">
        <v>18</v>
      </c>
      <c r="I867" t="s">
        <v>61</v>
      </c>
      <c r="J867">
        <f>orders[[#This Row],[Ship Date]]-orders[[#This Row],[Order Date]]</f>
        <v>0</v>
      </c>
      <c r="K867">
        <f>WEEKNUM(orders[[#This Row],[Order Date]])</f>
        <v>6</v>
      </c>
      <c r="L867" t="str" cm="1">
        <f t="array" ref="L867">_xlfn.IFS(orders[[#This Row],[Customer Gender]]="M","Male", orders[[#This Row],[Customer Gender]]="F","Female", orders[[#This Row],[Customer Gender]]="O","Other", TRUE,"Unknown")</f>
        <v>Female</v>
      </c>
      <c r="M867">
        <v>3</v>
      </c>
      <c r="N867">
        <v>65.5</v>
      </c>
      <c r="O867">
        <v>196.5</v>
      </c>
    </row>
    <row r="868" spans="1:15" x14ac:dyDescent="0.3">
      <c r="A868" t="s">
        <v>961</v>
      </c>
      <c r="B868" t="s">
        <v>68</v>
      </c>
      <c r="C868" s="7">
        <v>45693</v>
      </c>
      <c r="D868" s="7">
        <v>45699</v>
      </c>
      <c r="E868" t="s">
        <v>22</v>
      </c>
      <c r="F868" t="s">
        <v>50</v>
      </c>
      <c r="G868">
        <v>4</v>
      </c>
      <c r="H868" t="s">
        <v>18</v>
      </c>
      <c r="I868" t="s">
        <v>102</v>
      </c>
      <c r="J868">
        <f>orders[[#This Row],[Ship Date]]-orders[[#This Row],[Order Date]]</f>
        <v>6</v>
      </c>
      <c r="K868">
        <f>WEEKNUM(orders[[#This Row],[Order Date]])</f>
        <v>6</v>
      </c>
      <c r="L868" t="str" cm="1">
        <f t="array" ref="L868">_xlfn.IFS(orders[[#This Row],[Customer Gender]]="M","Male", orders[[#This Row],[Customer Gender]]="F","Female", orders[[#This Row],[Customer Gender]]="O","Other", TRUE,"Unknown")</f>
        <v>Male</v>
      </c>
      <c r="M868">
        <v>2</v>
      </c>
      <c r="N868">
        <v>116.2</v>
      </c>
      <c r="O868" s="5">
        <v>232.4</v>
      </c>
    </row>
    <row r="869" spans="1:15" x14ac:dyDescent="0.3">
      <c r="A869" t="s">
        <v>962</v>
      </c>
      <c r="B869" t="s">
        <v>53</v>
      </c>
      <c r="C869" s="7">
        <v>45693</v>
      </c>
      <c r="D869" s="7">
        <v>45695</v>
      </c>
      <c r="E869" t="s">
        <v>26</v>
      </c>
      <c r="F869" t="s">
        <v>39</v>
      </c>
      <c r="G869">
        <v>3</v>
      </c>
      <c r="H869" t="s">
        <v>18</v>
      </c>
      <c r="I869" t="s">
        <v>376</v>
      </c>
      <c r="J869">
        <f>orders[[#This Row],[Ship Date]]-orders[[#This Row],[Order Date]]</f>
        <v>2</v>
      </c>
      <c r="K869">
        <f>WEEKNUM(orders[[#This Row],[Order Date]])</f>
        <v>6</v>
      </c>
      <c r="L869" t="str" cm="1">
        <f t="array" ref="L869">_xlfn.IFS(orders[[#This Row],[Customer Gender]]="M","Male", orders[[#This Row],[Customer Gender]]="F","Female", orders[[#This Row],[Customer Gender]]="O","Other", TRUE,"Unknown")</f>
        <v>Female</v>
      </c>
      <c r="M869">
        <v>4</v>
      </c>
      <c r="N869">
        <v>22.9</v>
      </c>
      <c r="O869">
        <v>91.6</v>
      </c>
    </row>
    <row r="870" spans="1:15" x14ac:dyDescent="0.3">
      <c r="A870" t="s">
        <v>963</v>
      </c>
      <c r="B870" t="s">
        <v>53</v>
      </c>
      <c r="C870" s="7">
        <v>45693</v>
      </c>
      <c r="D870" s="7">
        <v>45694</v>
      </c>
      <c r="E870" t="s">
        <v>22</v>
      </c>
      <c r="F870" t="s">
        <v>17</v>
      </c>
      <c r="G870">
        <v>2</v>
      </c>
      <c r="H870" t="s">
        <v>18</v>
      </c>
      <c r="I870" t="s">
        <v>107</v>
      </c>
      <c r="J870">
        <f>orders[[#This Row],[Ship Date]]-orders[[#This Row],[Order Date]]</f>
        <v>1</v>
      </c>
      <c r="K870">
        <f>WEEKNUM(orders[[#This Row],[Order Date]])</f>
        <v>6</v>
      </c>
      <c r="L870" t="str" cm="1">
        <f t="array" ref="L870">_xlfn.IFS(orders[[#This Row],[Customer Gender]]="M","Male", orders[[#This Row],[Customer Gender]]="F","Female", orders[[#This Row],[Customer Gender]]="O","Other", TRUE,"Unknown")</f>
        <v>Male</v>
      </c>
      <c r="M870">
        <v>3</v>
      </c>
      <c r="N870">
        <v>53.7</v>
      </c>
      <c r="O870" s="5">
        <v>161.10000000000002</v>
      </c>
    </row>
    <row r="871" spans="1:15" x14ac:dyDescent="0.3">
      <c r="A871" t="s">
        <v>964</v>
      </c>
      <c r="B871" t="s">
        <v>38</v>
      </c>
      <c r="C871" s="7">
        <v>45693</v>
      </c>
      <c r="D871" s="7">
        <v>45695</v>
      </c>
      <c r="E871" t="s">
        <v>26</v>
      </c>
      <c r="F871" t="s">
        <v>17</v>
      </c>
      <c r="G871">
        <v>4</v>
      </c>
      <c r="H871" t="s">
        <v>18</v>
      </c>
      <c r="I871" t="s">
        <v>109</v>
      </c>
      <c r="J871">
        <f>orders[[#This Row],[Ship Date]]-orders[[#This Row],[Order Date]]</f>
        <v>2</v>
      </c>
      <c r="K871">
        <f>WEEKNUM(orders[[#This Row],[Order Date]])</f>
        <v>6</v>
      </c>
      <c r="L871" t="str" cm="1">
        <f t="array" ref="L871">_xlfn.IFS(orders[[#This Row],[Customer Gender]]="M","Male", orders[[#This Row],[Customer Gender]]="F","Female", orders[[#This Row],[Customer Gender]]="O","Other", TRUE,"Unknown")</f>
        <v>Female</v>
      </c>
      <c r="M871">
        <v>5</v>
      </c>
      <c r="N871">
        <v>43.2</v>
      </c>
      <c r="O871">
        <v>216</v>
      </c>
    </row>
    <row r="872" spans="1:15" x14ac:dyDescent="0.3">
      <c r="A872" t="s">
        <v>965</v>
      </c>
      <c r="B872" t="s">
        <v>21</v>
      </c>
      <c r="C872" s="7">
        <v>45693</v>
      </c>
      <c r="D872" s="7">
        <v>45695</v>
      </c>
      <c r="E872" t="s">
        <v>22</v>
      </c>
      <c r="F872" t="s">
        <v>39</v>
      </c>
      <c r="G872">
        <v>5</v>
      </c>
      <c r="H872" t="s">
        <v>18</v>
      </c>
      <c r="I872" t="s">
        <v>966</v>
      </c>
      <c r="J872">
        <f>orders[[#This Row],[Ship Date]]-orders[[#This Row],[Order Date]]</f>
        <v>2</v>
      </c>
      <c r="K872">
        <f>WEEKNUM(orders[[#This Row],[Order Date]])</f>
        <v>6</v>
      </c>
      <c r="L872" t="str" cm="1">
        <f t="array" ref="L872">_xlfn.IFS(orders[[#This Row],[Customer Gender]]="M","Male", orders[[#This Row],[Customer Gender]]="F","Female", orders[[#This Row],[Customer Gender]]="O","Other", TRUE,"Unknown")</f>
        <v>Male</v>
      </c>
      <c r="M872">
        <v>3</v>
      </c>
      <c r="N872">
        <v>84.5</v>
      </c>
      <c r="O872" s="5">
        <v>253.5</v>
      </c>
    </row>
    <row r="873" spans="1:15" x14ac:dyDescent="0.3">
      <c r="A873" t="s">
        <v>967</v>
      </c>
      <c r="B873" t="s">
        <v>29</v>
      </c>
      <c r="C873" s="7">
        <v>45693</v>
      </c>
      <c r="D873" s="7">
        <v>45694</v>
      </c>
      <c r="E873" t="s">
        <v>26</v>
      </c>
      <c r="F873" t="s">
        <v>34</v>
      </c>
      <c r="G873">
        <v>5</v>
      </c>
      <c r="H873" t="s">
        <v>18</v>
      </c>
      <c r="I873" t="s">
        <v>23</v>
      </c>
      <c r="J873">
        <f>orders[[#This Row],[Ship Date]]-orders[[#This Row],[Order Date]]</f>
        <v>1</v>
      </c>
      <c r="K873">
        <f>WEEKNUM(orders[[#This Row],[Order Date]])</f>
        <v>6</v>
      </c>
      <c r="L873" t="str" cm="1">
        <f t="array" ref="L873">_xlfn.IFS(orders[[#This Row],[Customer Gender]]="M","Male", orders[[#This Row],[Customer Gender]]="F","Female", orders[[#This Row],[Customer Gender]]="O","Other", TRUE,"Unknown")</f>
        <v>Female</v>
      </c>
      <c r="M873">
        <v>2</v>
      </c>
      <c r="N873">
        <v>42.2</v>
      </c>
      <c r="O873">
        <v>84.4</v>
      </c>
    </row>
    <row r="874" spans="1:15" x14ac:dyDescent="0.3">
      <c r="A874" t="s">
        <v>968</v>
      </c>
      <c r="B874" t="s">
        <v>25</v>
      </c>
      <c r="C874" s="7">
        <v>45693</v>
      </c>
      <c r="D874" s="7">
        <v>45696</v>
      </c>
      <c r="E874" t="s">
        <v>26</v>
      </c>
      <c r="F874" t="s">
        <v>34</v>
      </c>
      <c r="G874">
        <v>5</v>
      </c>
      <c r="H874" t="s">
        <v>18</v>
      </c>
      <c r="I874" t="s">
        <v>27</v>
      </c>
      <c r="J874">
        <f>orders[[#This Row],[Ship Date]]-orders[[#This Row],[Order Date]]</f>
        <v>3</v>
      </c>
      <c r="K874">
        <f>WEEKNUM(orders[[#This Row],[Order Date]])</f>
        <v>6</v>
      </c>
      <c r="L874" t="str" cm="1">
        <f t="array" ref="L874">_xlfn.IFS(orders[[#This Row],[Customer Gender]]="M","Male", orders[[#This Row],[Customer Gender]]="F","Female", orders[[#This Row],[Customer Gender]]="O","Other", TRUE,"Unknown")</f>
        <v>Female</v>
      </c>
      <c r="M874">
        <v>6</v>
      </c>
      <c r="N874">
        <v>94.7</v>
      </c>
      <c r="O874" s="5">
        <v>568.20000000000005</v>
      </c>
    </row>
    <row r="875" spans="1:15" x14ac:dyDescent="0.3">
      <c r="A875" t="s">
        <v>969</v>
      </c>
      <c r="B875" t="s">
        <v>43</v>
      </c>
      <c r="C875" s="7">
        <v>45693</v>
      </c>
      <c r="D875" s="7">
        <v>45705</v>
      </c>
      <c r="E875" t="s">
        <v>26</v>
      </c>
      <c r="F875" t="s">
        <v>17</v>
      </c>
      <c r="G875">
        <v>5</v>
      </c>
      <c r="H875" t="s">
        <v>18</v>
      </c>
      <c r="I875" t="s">
        <v>27</v>
      </c>
      <c r="J875">
        <f>orders[[#This Row],[Ship Date]]-orders[[#This Row],[Order Date]]</f>
        <v>12</v>
      </c>
      <c r="K875">
        <f>WEEKNUM(orders[[#This Row],[Order Date]])</f>
        <v>6</v>
      </c>
      <c r="L875" t="str" cm="1">
        <f t="array" ref="L875">_xlfn.IFS(orders[[#This Row],[Customer Gender]]="M","Male", orders[[#This Row],[Customer Gender]]="F","Female", orders[[#This Row],[Customer Gender]]="O","Other", TRUE,"Unknown")</f>
        <v>Female</v>
      </c>
      <c r="M875">
        <v>18</v>
      </c>
      <c r="N875">
        <v>16.7</v>
      </c>
      <c r="O875">
        <v>300.59999999999997</v>
      </c>
    </row>
    <row r="876" spans="1:15" x14ac:dyDescent="0.3">
      <c r="A876" t="s">
        <v>970</v>
      </c>
      <c r="B876" t="s">
        <v>25</v>
      </c>
      <c r="C876" s="7">
        <v>45693</v>
      </c>
      <c r="D876" s="7">
        <v>45699</v>
      </c>
      <c r="E876" t="s">
        <v>26</v>
      </c>
      <c r="F876" t="s">
        <v>34</v>
      </c>
      <c r="G876">
        <v>4</v>
      </c>
      <c r="H876" t="s">
        <v>18</v>
      </c>
      <c r="I876" t="s">
        <v>32</v>
      </c>
      <c r="J876">
        <f>orders[[#This Row],[Ship Date]]-orders[[#This Row],[Order Date]]</f>
        <v>6</v>
      </c>
      <c r="K876">
        <f>WEEKNUM(orders[[#This Row],[Order Date]])</f>
        <v>6</v>
      </c>
      <c r="L876" t="str" cm="1">
        <f t="array" ref="L876">_xlfn.IFS(orders[[#This Row],[Customer Gender]]="M","Male", orders[[#This Row],[Customer Gender]]="F","Female", orders[[#This Row],[Customer Gender]]="O","Other", TRUE,"Unknown")</f>
        <v>Female</v>
      </c>
      <c r="M876">
        <v>2</v>
      </c>
      <c r="N876">
        <v>83.6</v>
      </c>
      <c r="O876" s="5">
        <v>167.2</v>
      </c>
    </row>
    <row r="877" spans="1:15" x14ac:dyDescent="0.3">
      <c r="A877" t="s">
        <v>971</v>
      </c>
      <c r="B877" t="s">
        <v>41</v>
      </c>
      <c r="C877" s="7">
        <v>45694</v>
      </c>
      <c r="D877" s="7">
        <v>45695</v>
      </c>
      <c r="E877" t="s">
        <v>26</v>
      </c>
      <c r="F877" t="s">
        <v>50</v>
      </c>
      <c r="G877">
        <v>4</v>
      </c>
      <c r="H877" t="s">
        <v>18</v>
      </c>
      <c r="I877" t="s">
        <v>32</v>
      </c>
      <c r="J877">
        <f>orders[[#This Row],[Ship Date]]-orders[[#This Row],[Order Date]]</f>
        <v>1</v>
      </c>
      <c r="K877">
        <f>WEEKNUM(orders[[#This Row],[Order Date]])</f>
        <v>6</v>
      </c>
      <c r="L877" t="str" cm="1">
        <f t="array" ref="L877">_xlfn.IFS(orders[[#This Row],[Customer Gender]]="M","Male", orders[[#This Row],[Customer Gender]]="F","Female", orders[[#This Row],[Customer Gender]]="O","Other", TRUE,"Unknown")</f>
        <v>Female</v>
      </c>
      <c r="M877">
        <v>6</v>
      </c>
      <c r="N877">
        <v>33.6</v>
      </c>
      <c r="O877">
        <v>201.60000000000002</v>
      </c>
    </row>
    <row r="878" spans="1:15" x14ac:dyDescent="0.3">
      <c r="A878" t="s">
        <v>972</v>
      </c>
      <c r="B878" t="s">
        <v>41</v>
      </c>
      <c r="C878" s="7">
        <v>45694</v>
      </c>
      <c r="D878" s="7">
        <v>45696</v>
      </c>
      <c r="E878" t="s">
        <v>22</v>
      </c>
      <c r="F878" t="s">
        <v>34</v>
      </c>
      <c r="G878">
        <v>5</v>
      </c>
      <c r="H878" t="s">
        <v>18</v>
      </c>
      <c r="I878" t="s">
        <v>32</v>
      </c>
      <c r="J878">
        <f>orders[[#This Row],[Ship Date]]-orders[[#This Row],[Order Date]]</f>
        <v>2</v>
      </c>
      <c r="K878">
        <f>WEEKNUM(orders[[#This Row],[Order Date]])</f>
        <v>6</v>
      </c>
      <c r="L878" t="str" cm="1">
        <f t="array" ref="L878">_xlfn.IFS(orders[[#This Row],[Customer Gender]]="M","Male", orders[[#This Row],[Customer Gender]]="F","Female", orders[[#This Row],[Customer Gender]]="O","Other", TRUE,"Unknown")</f>
        <v>Male</v>
      </c>
      <c r="M878">
        <v>2</v>
      </c>
      <c r="N878">
        <v>64.7</v>
      </c>
      <c r="O878" s="5">
        <v>129.4</v>
      </c>
    </row>
    <row r="879" spans="1:15" x14ac:dyDescent="0.3">
      <c r="A879" t="s">
        <v>973</v>
      </c>
      <c r="B879" t="s">
        <v>16</v>
      </c>
      <c r="C879" s="7">
        <v>45694</v>
      </c>
      <c r="D879" s="7">
        <v>45700</v>
      </c>
      <c r="E879" t="s">
        <v>26</v>
      </c>
      <c r="F879" t="s">
        <v>17</v>
      </c>
      <c r="G879">
        <v>4</v>
      </c>
      <c r="H879" t="s">
        <v>18</v>
      </c>
      <c r="I879" t="s">
        <v>32</v>
      </c>
      <c r="J879">
        <f>orders[[#This Row],[Ship Date]]-orders[[#This Row],[Order Date]]</f>
        <v>6</v>
      </c>
      <c r="K879">
        <f>WEEKNUM(orders[[#This Row],[Order Date]])</f>
        <v>6</v>
      </c>
      <c r="L879" t="str" cm="1">
        <f t="array" ref="L879">_xlfn.IFS(orders[[#This Row],[Customer Gender]]="M","Male", orders[[#This Row],[Customer Gender]]="F","Female", orders[[#This Row],[Customer Gender]]="O","Other", TRUE,"Unknown")</f>
        <v>Female</v>
      </c>
      <c r="M879">
        <v>3</v>
      </c>
      <c r="N879">
        <v>15.7</v>
      </c>
      <c r="O879">
        <v>47.099999999999994</v>
      </c>
    </row>
    <row r="880" spans="1:15" x14ac:dyDescent="0.3">
      <c r="A880" t="s">
        <v>974</v>
      </c>
      <c r="B880" t="s">
        <v>122</v>
      </c>
      <c r="C880" s="7">
        <v>45694</v>
      </c>
      <c r="D880" s="7">
        <v>45694</v>
      </c>
      <c r="E880" t="s">
        <v>22</v>
      </c>
      <c r="F880" t="s">
        <v>34</v>
      </c>
      <c r="G880">
        <v>4</v>
      </c>
      <c r="H880" t="s">
        <v>18</v>
      </c>
      <c r="I880" t="s">
        <v>32</v>
      </c>
      <c r="J880">
        <f>orders[[#This Row],[Ship Date]]-orders[[#This Row],[Order Date]]</f>
        <v>0</v>
      </c>
      <c r="K880">
        <f>WEEKNUM(orders[[#This Row],[Order Date]])</f>
        <v>6</v>
      </c>
      <c r="L880" t="str" cm="1">
        <f t="array" ref="L880">_xlfn.IFS(orders[[#This Row],[Customer Gender]]="M","Male", orders[[#This Row],[Customer Gender]]="F","Female", orders[[#This Row],[Customer Gender]]="O","Other", TRUE,"Unknown")</f>
        <v>Male</v>
      </c>
      <c r="M880">
        <v>6</v>
      </c>
      <c r="N880">
        <v>49.4</v>
      </c>
      <c r="O880" s="5">
        <v>296.39999999999998</v>
      </c>
    </row>
    <row r="881" spans="1:15" x14ac:dyDescent="0.3">
      <c r="A881" t="s">
        <v>975</v>
      </c>
      <c r="B881" t="s">
        <v>53</v>
      </c>
      <c r="C881" s="7">
        <v>45694</v>
      </c>
      <c r="D881" s="7">
        <v>45697</v>
      </c>
      <c r="E881" t="s">
        <v>26</v>
      </c>
      <c r="F881" t="s">
        <v>34</v>
      </c>
      <c r="G881">
        <v>5</v>
      </c>
      <c r="H881" t="s">
        <v>18</v>
      </c>
      <c r="I881" t="s">
        <v>32</v>
      </c>
      <c r="J881">
        <f>orders[[#This Row],[Ship Date]]-orders[[#This Row],[Order Date]]</f>
        <v>3</v>
      </c>
      <c r="K881">
        <f>WEEKNUM(orders[[#This Row],[Order Date]])</f>
        <v>6</v>
      </c>
      <c r="L881" t="str" cm="1">
        <f t="array" ref="L881">_xlfn.IFS(orders[[#This Row],[Customer Gender]]="M","Male", orders[[#This Row],[Customer Gender]]="F","Female", orders[[#This Row],[Customer Gender]]="O","Other", TRUE,"Unknown")</f>
        <v>Female</v>
      </c>
      <c r="M881">
        <v>6</v>
      </c>
      <c r="N881">
        <v>37</v>
      </c>
      <c r="O881">
        <v>222</v>
      </c>
    </row>
    <row r="882" spans="1:15" x14ac:dyDescent="0.3">
      <c r="A882" t="s">
        <v>976</v>
      </c>
      <c r="B882" t="s">
        <v>25</v>
      </c>
      <c r="C882" s="7">
        <v>45694</v>
      </c>
      <c r="D882" s="7">
        <v>45696</v>
      </c>
      <c r="E882" t="s">
        <v>26</v>
      </c>
      <c r="F882" t="s">
        <v>50</v>
      </c>
      <c r="G882">
        <v>5</v>
      </c>
      <c r="H882" t="s">
        <v>18</v>
      </c>
      <c r="I882" t="s">
        <v>32</v>
      </c>
      <c r="J882">
        <f>orders[[#This Row],[Ship Date]]-orders[[#This Row],[Order Date]]</f>
        <v>2</v>
      </c>
      <c r="K882">
        <f>WEEKNUM(orders[[#This Row],[Order Date]])</f>
        <v>6</v>
      </c>
      <c r="L882" t="str" cm="1">
        <f t="array" ref="L882">_xlfn.IFS(orders[[#This Row],[Customer Gender]]="M","Male", orders[[#This Row],[Customer Gender]]="F","Female", orders[[#This Row],[Customer Gender]]="O","Other", TRUE,"Unknown")</f>
        <v>Female</v>
      </c>
      <c r="M882">
        <v>2</v>
      </c>
      <c r="N882">
        <v>83.7</v>
      </c>
      <c r="O882" s="5">
        <v>167.4</v>
      </c>
    </row>
    <row r="883" spans="1:15" x14ac:dyDescent="0.3">
      <c r="A883" t="s">
        <v>977</v>
      </c>
      <c r="B883" t="s">
        <v>21</v>
      </c>
      <c r="C883" s="7">
        <v>45694</v>
      </c>
      <c r="D883" s="7">
        <v>45695</v>
      </c>
      <c r="E883" t="s">
        <v>26</v>
      </c>
      <c r="F883" t="s">
        <v>17</v>
      </c>
      <c r="G883">
        <v>4</v>
      </c>
      <c r="H883" t="s">
        <v>18</v>
      </c>
      <c r="I883" t="s">
        <v>32</v>
      </c>
      <c r="J883">
        <f>orders[[#This Row],[Ship Date]]-orders[[#This Row],[Order Date]]</f>
        <v>1</v>
      </c>
      <c r="K883">
        <f>WEEKNUM(orders[[#This Row],[Order Date]])</f>
        <v>6</v>
      </c>
      <c r="L883" t="str" cm="1">
        <f t="array" ref="L883">_xlfn.IFS(orders[[#This Row],[Customer Gender]]="M","Male", orders[[#This Row],[Customer Gender]]="F","Female", orders[[#This Row],[Customer Gender]]="O","Other", TRUE,"Unknown")</f>
        <v>Female</v>
      </c>
      <c r="M883">
        <v>5</v>
      </c>
      <c r="N883">
        <v>35.1</v>
      </c>
      <c r="O883">
        <v>175.5</v>
      </c>
    </row>
    <row r="884" spans="1:15" x14ac:dyDescent="0.3">
      <c r="A884" t="s">
        <v>978</v>
      </c>
      <c r="B884" t="s">
        <v>127</v>
      </c>
      <c r="C884" s="7">
        <v>45694</v>
      </c>
      <c r="D884" s="7">
        <v>45695</v>
      </c>
      <c r="E884" t="s">
        <v>26</v>
      </c>
      <c r="F884" t="s">
        <v>69</v>
      </c>
      <c r="G884">
        <v>4</v>
      </c>
      <c r="H884" t="s">
        <v>18</v>
      </c>
      <c r="I884" t="s">
        <v>363</v>
      </c>
      <c r="J884">
        <f>orders[[#This Row],[Ship Date]]-orders[[#This Row],[Order Date]]</f>
        <v>1</v>
      </c>
      <c r="K884">
        <f>WEEKNUM(orders[[#This Row],[Order Date]])</f>
        <v>6</v>
      </c>
      <c r="L884" t="str" cm="1">
        <f t="array" ref="L884">_xlfn.IFS(orders[[#This Row],[Customer Gender]]="M","Male", orders[[#This Row],[Customer Gender]]="F","Female", orders[[#This Row],[Customer Gender]]="O","Other", TRUE,"Unknown")</f>
        <v>Female</v>
      </c>
      <c r="M884">
        <v>8</v>
      </c>
      <c r="N884">
        <v>74</v>
      </c>
      <c r="O884" s="5">
        <v>592</v>
      </c>
    </row>
    <row r="885" spans="1:15" x14ac:dyDescent="0.3">
      <c r="A885" t="s">
        <v>979</v>
      </c>
      <c r="B885" t="s">
        <v>38</v>
      </c>
      <c r="C885" s="7">
        <v>45694</v>
      </c>
      <c r="D885" s="7">
        <v>45697</v>
      </c>
      <c r="E885" t="s">
        <v>22</v>
      </c>
      <c r="F885" t="s">
        <v>50</v>
      </c>
      <c r="G885">
        <v>4</v>
      </c>
      <c r="H885" t="s">
        <v>18</v>
      </c>
      <c r="I885" t="s">
        <v>801</v>
      </c>
      <c r="J885">
        <f>orders[[#This Row],[Ship Date]]-orders[[#This Row],[Order Date]]</f>
        <v>3</v>
      </c>
      <c r="K885">
        <f>WEEKNUM(orders[[#This Row],[Order Date]])</f>
        <v>6</v>
      </c>
      <c r="L885" t="str" cm="1">
        <f t="array" ref="L885">_xlfn.IFS(orders[[#This Row],[Customer Gender]]="M","Male", orders[[#This Row],[Customer Gender]]="F","Female", orders[[#This Row],[Customer Gender]]="O","Other", TRUE,"Unknown")</f>
        <v>Male</v>
      </c>
      <c r="M885">
        <v>24</v>
      </c>
      <c r="N885">
        <v>55.5</v>
      </c>
      <c r="O885">
        <v>1332</v>
      </c>
    </row>
    <row r="886" spans="1:15" x14ac:dyDescent="0.3">
      <c r="A886" t="s">
        <v>980</v>
      </c>
      <c r="B886" t="s">
        <v>66</v>
      </c>
      <c r="C886" s="7">
        <v>45694</v>
      </c>
      <c r="D886" s="7">
        <v>45696</v>
      </c>
      <c r="E886" t="s">
        <v>26</v>
      </c>
      <c r="F886" t="s">
        <v>34</v>
      </c>
      <c r="G886">
        <v>5</v>
      </c>
      <c r="H886" t="s">
        <v>18</v>
      </c>
      <c r="I886" t="s">
        <v>187</v>
      </c>
      <c r="J886">
        <f>orders[[#This Row],[Ship Date]]-orders[[#This Row],[Order Date]]</f>
        <v>2</v>
      </c>
      <c r="K886">
        <f>WEEKNUM(orders[[#This Row],[Order Date]])</f>
        <v>6</v>
      </c>
      <c r="L886" t="str" cm="1">
        <f t="array" ref="L886">_xlfn.IFS(orders[[#This Row],[Customer Gender]]="M","Male", orders[[#This Row],[Customer Gender]]="F","Female", orders[[#This Row],[Customer Gender]]="O","Other", TRUE,"Unknown")</f>
        <v>Female</v>
      </c>
      <c r="M886">
        <v>2</v>
      </c>
      <c r="N886">
        <v>38.9</v>
      </c>
      <c r="O886" s="5">
        <v>77.8</v>
      </c>
    </row>
    <row r="887" spans="1:15" x14ac:dyDescent="0.3">
      <c r="A887" t="s">
        <v>981</v>
      </c>
      <c r="B887" t="s">
        <v>127</v>
      </c>
      <c r="C887" s="7">
        <v>45694</v>
      </c>
      <c r="D887" s="7">
        <v>45701</v>
      </c>
      <c r="E887" t="s">
        <v>22</v>
      </c>
      <c r="F887" t="s">
        <v>39</v>
      </c>
      <c r="G887">
        <v>3</v>
      </c>
      <c r="H887" t="s">
        <v>18</v>
      </c>
      <c r="I887" t="s">
        <v>187</v>
      </c>
      <c r="J887">
        <f>orders[[#This Row],[Ship Date]]-orders[[#This Row],[Order Date]]</f>
        <v>7</v>
      </c>
      <c r="K887">
        <f>WEEKNUM(orders[[#This Row],[Order Date]])</f>
        <v>6</v>
      </c>
      <c r="L887" t="str" cm="1">
        <f t="array" ref="L887">_xlfn.IFS(orders[[#This Row],[Customer Gender]]="M","Male", orders[[#This Row],[Customer Gender]]="F","Female", orders[[#This Row],[Customer Gender]]="O","Other", TRUE,"Unknown")</f>
        <v>Male</v>
      </c>
      <c r="M887">
        <v>2</v>
      </c>
      <c r="N887">
        <v>64.599999999999994</v>
      </c>
      <c r="O887">
        <v>129.19999999999999</v>
      </c>
    </row>
    <row r="888" spans="1:15" x14ac:dyDescent="0.3">
      <c r="A888" t="s">
        <v>982</v>
      </c>
      <c r="B888" t="s">
        <v>25</v>
      </c>
      <c r="C888" s="7">
        <v>45694</v>
      </c>
      <c r="D888" s="7">
        <v>45695</v>
      </c>
      <c r="E888" t="s">
        <v>22</v>
      </c>
      <c r="F888" t="s">
        <v>17</v>
      </c>
      <c r="G888">
        <v>4</v>
      </c>
      <c r="H888" t="s">
        <v>18</v>
      </c>
      <c r="I888" t="s">
        <v>51</v>
      </c>
      <c r="J888">
        <f>orders[[#This Row],[Ship Date]]-orders[[#This Row],[Order Date]]</f>
        <v>1</v>
      </c>
      <c r="K888">
        <f>WEEKNUM(orders[[#This Row],[Order Date]])</f>
        <v>6</v>
      </c>
      <c r="L888" t="str" cm="1">
        <f t="array" ref="L888">_xlfn.IFS(orders[[#This Row],[Customer Gender]]="M","Male", orders[[#This Row],[Customer Gender]]="F","Female", orders[[#This Row],[Customer Gender]]="O","Other", TRUE,"Unknown")</f>
        <v>Male</v>
      </c>
      <c r="M888">
        <v>3</v>
      </c>
      <c r="N888">
        <v>95.3</v>
      </c>
      <c r="O888" s="5">
        <v>285.89999999999998</v>
      </c>
    </row>
    <row r="889" spans="1:15" x14ac:dyDescent="0.3">
      <c r="A889" t="s">
        <v>983</v>
      </c>
      <c r="B889" t="s">
        <v>75</v>
      </c>
      <c r="C889" s="7">
        <v>45694</v>
      </c>
      <c r="D889" s="7">
        <v>45695</v>
      </c>
      <c r="E889" t="s">
        <v>26</v>
      </c>
      <c r="F889" t="s">
        <v>34</v>
      </c>
      <c r="G889">
        <v>3</v>
      </c>
      <c r="H889" t="s">
        <v>18</v>
      </c>
      <c r="I889" t="s">
        <v>54</v>
      </c>
      <c r="J889">
        <f>orders[[#This Row],[Ship Date]]-orders[[#This Row],[Order Date]]</f>
        <v>1</v>
      </c>
      <c r="K889">
        <f>WEEKNUM(orders[[#This Row],[Order Date]])</f>
        <v>6</v>
      </c>
      <c r="L889" t="str" cm="1">
        <f t="array" ref="L889">_xlfn.IFS(orders[[#This Row],[Customer Gender]]="M","Male", orders[[#This Row],[Customer Gender]]="F","Female", orders[[#This Row],[Customer Gender]]="O","Other", TRUE,"Unknown")</f>
        <v>Female</v>
      </c>
      <c r="M889">
        <v>3</v>
      </c>
      <c r="N889">
        <v>25.8</v>
      </c>
      <c r="O889">
        <v>77.400000000000006</v>
      </c>
    </row>
    <row r="890" spans="1:15" x14ac:dyDescent="0.3">
      <c r="A890" t="s">
        <v>984</v>
      </c>
      <c r="B890" t="s">
        <v>16</v>
      </c>
      <c r="C890" s="7">
        <v>45694</v>
      </c>
      <c r="D890" s="7">
        <v>45698</v>
      </c>
      <c r="E890" t="s">
        <v>26</v>
      </c>
      <c r="F890" t="s">
        <v>34</v>
      </c>
      <c r="G890">
        <v>3</v>
      </c>
      <c r="H890" t="s">
        <v>18</v>
      </c>
      <c r="I890" t="s">
        <v>54</v>
      </c>
      <c r="J890">
        <f>orders[[#This Row],[Ship Date]]-orders[[#This Row],[Order Date]]</f>
        <v>4</v>
      </c>
      <c r="K890">
        <f>WEEKNUM(orders[[#This Row],[Order Date]])</f>
        <v>6</v>
      </c>
      <c r="L890" t="str" cm="1">
        <f t="array" ref="L890">_xlfn.IFS(orders[[#This Row],[Customer Gender]]="M","Male", orders[[#This Row],[Customer Gender]]="F","Female", orders[[#This Row],[Customer Gender]]="O","Other", TRUE,"Unknown")</f>
        <v>Female</v>
      </c>
      <c r="M890">
        <v>2</v>
      </c>
      <c r="N890">
        <v>11.6</v>
      </c>
      <c r="O890" s="5">
        <v>23.2</v>
      </c>
    </row>
    <row r="891" spans="1:15" x14ac:dyDescent="0.3">
      <c r="A891" t="s">
        <v>985</v>
      </c>
      <c r="B891" t="s">
        <v>41</v>
      </c>
      <c r="C891" s="7">
        <v>45694</v>
      </c>
      <c r="D891" s="7">
        <v>45695</v>
      </c>
      <c r="E891" t="s">
        <v>26</v>
      </c>
      <c r="F891" t="s">
        <v>34</v>
      </c>
      <c r="G891">
        <v>4</v>
      </c>
      <c r="H891" t="s">
        <v>18</v>
      </c>
      <c r="I891" t="s">
        <v>61</v>
      </c>
      <c r="J891">
        <f>orders[[#This Row],[Ship Date]]-orders[[#This Row],[Order Date]]</f>
        <v>1</v>
      </c>
      <c r="K891">
        <f>WEEKNUM(orders[[#This Row],[Order Date]])</f>
        <v>6</v>
      </c>
      <c r="L891" t="str" cm="1">
        <f t="array" ref="L891">_xlfn.IFS(orders[[#This Row],[Customer Gender]]="M","Male", orders[[#This Row],[Customer Gender]]="F","Female", orders[[#This Row],[Customer Gender]]="O","Other", TRUE,"Unknown")</f>
        <v>Female</v>
      </c>
      <c r="M891">
        <v>1</v>
      </c>
      <c r="N891">
        <v>52.3</v>
      </c>
      <c r="O891">
        <v>52.3</v>
      </c>
    </row>
    <row r="892" spans="1:15" x14ac:dyDescent="0.3">
      <c r="A892" t="s">
        <v>986</v>
      </c>
      <c r="B892" t="s">
        <v>25</v>
      </c>
      <c r="C892" s="7">
        <v>45694</v>
      </c>
      <c r="D892" s="7">
        <v>45695</v>
      </c>
      <c r="E892" t="s">
        <v>26</v>
      </c>
      <c r="F892" t="s">
        <v>34</v>
      </c>
      <c r="G892">
        <v>3</v>
      </c>
      <c r="H892" t="s">
        <v>18</v>
      </c>
      <c r="I892" t="s">
        <v>61</v>
      </c>
      <c r="J892">
        <f>orders[[#This Row],[Ship Date]]-orders[[#This Row],[Order Date]]</f>
        <v>1</v>
      </c>
      <c r="K892">
        <f>WEEKNUM(orders[[#This Row],[Order Date]])</f>
        <v>6</v>
      </c>
      <c r="L892" t="str" cm="1">
        <f t="array" ref="L892">_xlfn.IFS(orders[[#This Row],[Customer Gender]]="M","Male", orders[[#This Row],[Customer Gender]]="F","Female", orders[[#This Row],[Customer Gender]]="O","Other", TRUE,"Unknown")</f>
        <v>Female</v>
      </c>
      <c r="M892">
        <v>10</v>
      </c>
      <c r="N892">
        <v>112.2</v>
      </c>
      <c r="O892" s="5">
        <v>1122</v>
      </c>
    </row>
    <row r="893" spans="1:15" x14ac:dyDescent="0.3">
      <c r="A893" t="s">
        <v>987</v>
      </c>
      <c r="B893" t="s">
        <v>31</v>
      </c>
      <c r="C893" s="7">
        <v>45694</v>
      </c>
      <c r="D893" s="7">
        <v>45696</v>
      </c>
      <c r="E893" t="s">
        <v>22</v>
      </c>
      <c r="F893" t="s">
        <v>39</v>
      </c>
      <c r="G893">
        <v>4</v>
      </c>
      <c r="H893" t="s">
        <v>18</v>
      </c>
      <c r="I893" t="s">
        <v>61</v>
      </c>
      <c r="J893">
        <f>orders[[#This Row],[Ship Date]]-orders[[#This Row],[Order Date]]</f>
        <v>2</v>
      </c>
      <c r="K893">
        <f>WEEKNUM(orders[[#This Row],[Order Date]])</f>
        <v>6</v>
      </c>
      <c r="L893" t="str" cm="1">
        <f t="array" ref="L893">_xlfn.IFS(orders[[#This Row],[Customer Gender]]="M","Male", orders[[#This Row],[Customer Gender]]="F","Female", orders[[#This Row],[Customer Gender]]="O","Other", TRUE,"Unknown")</f>
        <v>Male</v>
      </c>
      <c r="M893">
        <v>5</v>
      </c>
      <c r="N893">
        <v>34.6</v>
      </c>
      <c r="O893">
        <v>173</v>
      </c>
    </row>
    <row r="894" spans="1:15" x14ac:dyDescent="0.3">
      <c r="A894" t="s">
        <v>988</v>
      </c>
      <c r="B894" t="s">
        <v>80</v>
      </c>
      <c r="C894" s="7">
        <v>45694</v>
      </c>
      <c r="D894" s="7">
        <v>45700</v>
      </c>
      <c r="E894" t="s">
        <v>22</v>
      </c>
      <c r="F894" t="s">
        <v>34</v>
      </c>
      <c r="G894">
        <v>5</v>
      </c>
      <c r="H894" t="s">
        <v>18</v>
      </c>
      <c r="I894" t="s">
        <v>61</v>
      </c>
      <c r="J894">
        <f>orders[[#This Row],[Ship Date]]-orders[[#This Row],[Order Date]]</f>
        <v>6</v>
      </c>
      <c r="K894">
        <f>WEEKNUM(orders[[#This Row],[Order Date]])</f>
        <v>6</v>
      </c>
      <c r="L894" t="str" cm="1">
        <f t="array" ref="L894">_xlfn.IFS(orders[[#This Row],[Customer Gender]]="M","Male", orders[[#This Row],[Customer Gender]]="F","Female", orders[[#This Row],[Customer Gender]]="O","Other", TRUE,"Unknown")</f>
        <v>Male</v>
      </c>
      <c r="M894">
        <v>4</v>
      </c>
      <c r="N894">
        <v>20.100000000000001</v>
      </c>
      <c r="O894" s="5">
        <v>80.400000000000006</v>
      </c>
    </row>
    <row r="895" spans="1:15" x14ac:dyDescent="0.3">
      <c r="A895" t="s">
        <v>989</v>
      </c>
      <c r="B895" t="s">
        <v>25</v>
      </c>
      <c r="C895" s="7">
        <v>45694</v>
      </c>
      <c r="D895" s="7">
        <v>45696</v>
      </c>
      <c r="E895" t="s">
        <v>26</v>
      </c>
      <c r="F895" t="s">
        <v>39</v>
      </c>
      <c r="G895">
        <v>4</v>
      </c>
      <c r="H895" t="s">
        <v>18</v>
      </c>
      <c r="I895" t="s">
        <v>73</v>
      </c>
      <c r="J895">
        <f>orders[[#This Row],[Ship Date]]-orders[[#This Row],[Order Date]]</f>
        <v>2</v>
      </c>
      <c r="K895">
        <f>WEEKNUM(orders[[#This Row],[Order Date]])</f>
        <v>6</v>
      </c>
      <c r="L895" t="str" cm="1">
        <f t="array" ref="L895">_xlfn.IFS(orders[[#This Row],[Customer Gender]]="M","Male", orders[[#This Row],[Customer Gender]]="F","Female", orders[[#This Row],[Customer Gender]]="O","Other", TRUE,"Unknown")</f>
        <v>Female</v>
      </c>
      <c r="M895">
        <v>4</v>
      </c>
      <c r="N895">
        <v>56.4</v>
      </c>
      <c r="O895">
        <v>225.6</v>
      </c>
    </row>
    <row r="896" spans="1:15" x14ac:dyDescent="0.3">
      <c r="A896" t="s">
        <v>990</v>
      </c>
      <c r="B896" t="s">
        <v>75</v>
      </c>
      <c r="C896" s="7">
        <v>45694</v>
      </c>
      <c r="D896" s="7">
        <v>45696</v>
      </c>
      <c r="E896" t="s">
        <v>26</v>
      </c>
      <c r="F896" t="s">
        <v>34</v>
      </c>
      <c r="G896">
        <v>2</v>
      </c>
      <c r="H896" t="s">
        <v>18</v>
      </c>
      <c r="I896" t="s">
        <v>76</v>
      </c>
      <c r="J896">
        <f>orders[[#This Row],[Ship Date]]-orders[[#This Row],[Order Date]]</f>
        <v>2</v>
      </c>
      <c r="K896">
        <f>WEEKNUM(orders[[#This Row],[Order Date]])</f>
        <v>6</v>
      </c>
      <c r="L896" t="str" cm="1">
        <f t="array" ref="L896">_xlfn.IFS(orders[[#This Row],[Customer Gender]]="M","Male", orders[[#This Row],[Customer Gender]]="F","Female", orders[[#This Row],[Customer Gender]]="O","Other", TRUE,"Unknown")</f>
        <v>Female</v>
      </c>
      <c r="M896">
        <v>9</v>
      </c>
      <c r="N896">
        <v>55.3</v>
      </c>
      <c r="O896" s="5">
        <v>497.7</v>
      </c>
    </row>
    <row r="897" spans="1:15" x14ac:dyDescent="0.3">
      <c r="A897" t="s">
        <v>991</v>
      </c>
      <c r="B897" t="s">
        <v>25</v>
      </c>
      <c r="C897" s="7">
        <v>45694</v>
      </c>
      <c r="D897" s="7">
        <v>45695</v>
      </c>
      <c r="E897" t="s">
        <v>26</v>
      </c>
      <c r="F897" t="s">
        <v>17</v>
      </c>
      <c r="G897">
        <v>4</v>
      </c>
      <c r="H897" t="s">
        <v>18</v>
      </c>
      <c r="I897" t="s">
        <v>76</v>
      </c>
      <c r="J897">
        <f>orders[[#This Row],[Ship Date]]-orders[[#This Row],[Order Date]]</f>
        <v>1</v>
      </c>
      <c r="K897">
        <f>WEEKNUM(orders[[#This Row],[Order Date]])</f>
        <v>6</v>
      </c>
      <c r="L897" t="str" cm="1">
        <f t="array" ref="L897">_xlfn.IFS(orders[[#This Row],[Customer Gender]]="M","Male", orders[[#This Row],[Customer Gender]]="F","Female", orders[[#This Row],[Customer Gender]]="O","Other", TRUE,"Unknown")</f>
        <v>Female</v>
      </c>
      <c r="M897">
        <v>28</v>
      </c>
      <c r="N897">
        <v>75.5</v>
      </c>
      <c r="O897">
        <v>2114</v>
      </c>
    </row>
    <row r="898" spans="1:15" x14ac:dyDescent="0.3">
      <c r="A898" t="s">
        <v>992</v>
      </c>
      <c r="B898" t="s">
        <v>43</v>
      </c>
      <c r="C898" s="7">
        <v>45694</v>
      </c>
      <c r="D898" s="7">
        <v>45699</v>
      </c>
      <c r="E898" t="s">
        <v>26</v>
      </c>
      <c r="F898" t="s">
        <v>17</v>
      </c>
      <c r="G898">
        <v>4</v>
      </c>
      <c r="H898" t="s">
        <v>18</v>
      </c>
      <c r="I898" t="s">
        <v>109</v>
      </c>
      <c r="J898">
        <f>orders[[#This Row],[Ship Date]]-orders[[#This Row],[Order Date]]</f>
        <v>5</v>
      </c>
      <c r="K898">
        <f>WEEKNUM(orders[[#This Row],[Order Date]])</f>
        <v>6</v>
      </c>
      <c r="L898" t="str" cm="1">
        <f t="array" ref="L898">_xlfn.IFS(orders[[#This Row],[Customer Gender]]="M","Male", orders[[#This Row],[Customer Gender]]="F","Female", orders[[#This Row],[Customer Gender]]="O","Other", TRUE,"Unknown")</f>
        <v>Female</v>
      </c>
      <c r="M898">
        <v>1</v>
      </c>
      <c r="N898">
        <v>23.6</v>
      </c>
      <c r="O898" s="5">
        <v>23.6</v>
      </c>
    </row>
    <row r="899" spans="1:15" x14ac:dyDescent="0.3">
      <c r="A899" t="s">
        <v>993</v>
      </c>
      <c r="B899" t="s">
        <v>45</v>
      </c>
      <c r="C899" s="7">
        <v>45694</v>
      </c>
      <c r="D899" s="7">
        <v>45696</v>
      </c>
      <c r="E899" t="s">
        <v>26</v>
      </c>
      <c r="F899" t="s">
        <v>39</v>
      </c>
      <c r="G899">
        <v>4</v>
      </c>
      <c r="H899" t="s">
        <v>18</v>
      </c>
      <c r="I899" t="s">
        <v>109</v>
      </c>
      <c r="J899">
        <f>orders[[#This Row],[Ship Date]]-orders[[#This Row],[Order Date]]</f>
        <v>2</v>
      </c>
      <c r="K899">
        <f>WEEKNUM(orders[[#This Row],[Order Date]])</f>
        <v>6</v>
      </c>
      <c r="L899" t="str" cm="1">
        <f t="array" ref="L899">_xlfn.IFS(orders[[#This Row],[Customer Gender]]="M","Male", orders[[#This Row],[Customer Gender]]="F","Female", orders[[#This Row],[Customer Gender]]="O","Other", TRUE,"Unknown")</f>
        <v>Female</v>
      </c>
      <c r="M899">
        <v>2</v>
      </c>
      <c r="N899">
        <v>70.7</v>
      </c>
      <c r="O899">
        <v>141.4</v>
      </c>
    </row>
    <row r="900" spans="1:15" x14ac:dyDescent="0.3">
      <c r="A900" t="s">
        <v>994</v>
      </c>
      <c r="B900" t="s">
        <v>68</v>
      </c>
      <c r="C900" s="7">
        <v>45694</v>
      </c>
      <c r="D900" s="7">
        <v>45695</v>
      </c>
      <c r="E900" t="s">
        <v>26</v>
      </c>
      <c r="F900" t="s">
        <v>39</v>
      </c>
      <c r="G900">
        <v>4</v>
      </c>
      <c r="H900" t="s">
        <v>18</v>
      </c>
      <c r="I900" t="s">
        <v>291</v>
      </c>
      <c r="J900">
        <f>orders[[#This Row],[Ship Date]]-orders[[#This Row],[Order Date]]</f>
        <v>1</v>
      </c>
      <c r="K900">
        <f>WEEKNUM(orders[[#This Row],[Order Date]])</f>
        <v>6</v>
      </c>
      <c r="L900" t="str" cm="1">
        <f t="array" ref="L900">_xlfn.IFS(orders[[#This Row],[Customer Gender]]="M","Male", orders[[#This Row],[Customer Gender]]="F","Female", orders[[#This Row],[Customer Gender]]="O","Other", TRUE,"Unknown")</f>
        <v>Female</v>
      </c>
      <c r="M900">
        <v>2</v>
      </c>
      <c r="N900">
        <v>43.2</v>
      </c>
      <c r="O900" s="5">
        <v>86.4</v>
      </c>
    </row>
    <row r="901" spans="1:15" x14ac:dyDescent="0.3">
      <c r="A901" t="s">
        <v>995</v>
      </c>
      <c r="B901" t="s">
        <v>45</v>
      </c>
      <c r="C901" s="7">
        <v>45694</v>
      </c>
      <c r="D901" s="7">
        <v>45695</v>
      </c>
      <c r="E901" t="s">
        <v>2517</v>
      </c>
      <c r="F901" t="s">
        <v>34</v>
      </c>
      <c r="G901">
        <v>4</v>
      </c>
      <c r="H901" t="s">
        <v>18</v>
      </c>
      <c r="I901" t="s">
        <v>996</v>
      </c>
      <c r="J901">
        <f>orders[[#This Row],[Ship Date]]-orders[[#This Row],[Order Date]]</f>
        <v>1</v>
      </c>
      <c r="K901">
        <f>WEEKNUM(orders[[#This Row],[Order Date]])</f>
        <v>6</v>
      </c>
      <c r="L901" t="str" cm="1">
        <f t="array" ref="L901">_xlfn.IFS(orders[[#This Row],[Customer Gender]]="M","Male", orders[[#This Row],[Customer Gender]]="F","Female", orders[[#This Row],[Customer Gender]]="O","Other", TRUE,"Unknown")</f>
        <v>Unknown</v>
      </c>
      <c r="M901">
        <v>9</v>
      </c>
      <c r="N901">
        <v>70</v>
      </c>
      <c r="O901">
        <v>630</v>
      </c>
    </row>
    <row r="902" spans="1:15" x14ac:dyDescent="0.3">
      <c r="A902" t="s">
        <v>997</v>
      </c>
      <c r="B902" t="s">
        <v>16</v>
      </c>
      <c r="C902" s="7">
        <v>45694</v>
      </c>
      <c r="D902" s="7">
        <v>45696</v>
      </c>
      <c r="E902" t="s">
        <v>26</v>
      </c>
      <c r="F902" t="s">
        <v>39</v>
      </c>
      <c r="G902">
        <v>2</v>
      </c>
      <c r="H902" t="s">
        <v>18</v>
      </c>
      <c r="I902" t="s">
        <v>81</v>
      </c>
      <c r="J902">
        <f>orders[[#This Row],[Ship Date]]-orders[[#This Row],[Order Date]]</f>
        <v>2</v>
      </c>
      <c r="K902">
        <f>WEEKNUM(orders[[#This Row],[Order Date]])</f>
        <v>6</v>
      </c>
      <c r="L902" t="str" cm="1">
        <f t="array" ref="L902">_xlfn.IFS(orders[[#This Row],[Customer Gender]]="M","Male", orders[[#This Row],[Customer Gender]]="F","Female", orders[[#This Row],[Customer Gender]]="O","Other", TRUE,"Unknown")</f>
        <v>Female</v>
      </c>
      <c r="M902">
        <v>2</v>
      </c>
      <c r="N902">
        <v>20.5</v>
      </c>
      <c r="O902" s="5">
        <v>41</v>
      </c>
    </row>
    <row r="903" spans="1:15" x14ac:dyDescent="0.3">
      <c r="A903" t="s">
        <v>998</v>
      </c>
      <c r="B903" t="s">
        <v>16</v>
      </c>
      <c r="C903" s="7">
        <v>45694</v>
      </c>
      <c r="D903" s="7">
        <v>45695</v>
      </c>
      <c r="E903" t="s">
        <v>26</v>
      </c>
      <c r="F903" t="s">
        <v>50</v>
      </c>
      <c r="G903">
        <v>4</v>
      </c>
      <c r="H903" t="s">
        <v>18</v>
      </c>
      <c r="I903" t="s">
        <v>242</v>
      </c>
      <c r="J903">
        <f>orders[[#This Row],[Ship Date]]-orders[[#This Row],[Order Date]]</f>
        <v>1</v>
      </c>
      <c r="K903">
        <f>WEEKNUM(orders[[#This Row],[Order Date]])</f>
        <v>6</v>
      </c>
      <c r="L903" t="str" cm="1">
        <f t="array" ref="L903">_xlfn.IFS(orders[[#This Row],[Customer Gender]]="M","Male", orders[[#This Row],[Customer Gender]]="F","Female", orders[[#This Row],[Customer Gender]]="O","Other", TRUE,"Unknown")</f>
        <v>Female</v>
      </c>
      <c r="M903">
        <v>4</v>
      </c>
      <c r="N903">
        <v>29.1</v>
      </c>
      <c r="O903">
        <v>116.4</v>
      </c>
    </row>
    <row r="904" spans="1:15" x14ac:dyDescent="0.3">
      <c r="A904" t="s">
        <v>999</v>
      </c>
      <c r="B904" t="s">
        <v>38</v>
      </c>
      <c r="C904" s="7">
        <v>45694</v>
      </c>
      <c r="D904" s="7">
        <v>45695</v>
      </c>
      <c r="E904" t="s">
        <v>22</v>
      </c>
      <c r="F904" t="s">
        <v>39</v>
      </c>
      <c r="G904">
        <v>3</v>
      </c>
      <c r="H904" t="s">
        <v>18</v>
      </c>
      <c r="I904" t="s">
        <v>32</v>
      </c>
      <c r="J904">
        <f>orders[[#This Row],[Ship Date]]-orders[[#This Row],[Order Date]]</f>
        <v>1</v>
      </c>
      <c r="K904">
        <f>WEEKNUM(orders[[#This Row],[Order Date]])</f>
        <v>6</v>
      </c>
      <c r="L904" t="str" cm="1">
        <f t="array" ref="L904">_xlfn.IFS(orders[[#This Row],[Customer Gender]]="M","Male", orders[[#This Row],[Customer Gender]]="F","Female", orders[[#This Row],[Customer Gender]]="O","Other", TRUE,"Unknown")</f>
        <v>Male</v>
      </c>
      <c r="M904">
        <v>9</v>
      </c>
      <c r="N904">
        <v>53.6</v>
      </c>
      <c r="O904" s="5">
        <v>482.40000000000003</v>
      </c>
    </row>
    <row r="905" spans="1:15" x14ac:dyDescent="0.3">
      <c r="A905" t="s">
        <v>1000</v>
      </c>
      <c r="B905" t="s">
        <v>38</v>
      </c>
      <c r="C905" s="7">
        <v>45694</v>
      </c>
      <c r="D905" s="7">
        <v>45696</v>
      </c>
      <c r="E905" t="s">
        <v>26</v>
      </c>
      <c r="F905" t="s">
        <v>34</v>
      </c>
      <c r="G905">
        <v>4</v>
      </c>
      <c r="H905" t="s">
        <v>18</v>
      </c>
      <c r="I905" t="s">
        <v>32</v>
      </c>
      <c r="J905">
        <f>orders[[#This Row],[Ship Date]]-orders[[#This Row],[Order Date]]</f>
        <v>2</v>
      </c>
      <c r="K905">
        <f>WEEKNUM(orders[[#This Row],[Order Date]])</f>
        <v>6</v>
      </c>
      <c r="L905" t="str" cm="1">
        <f t="array" ref="L905">_xlfn.IFS(orders[[#This Row],[Customer Gender]]="M","Male", orders[[#This Row],[Customer Gender]]="F","Female", orders[[#This Row],[Customer Gender]]="O","Other", TRUE,"Unknown")</f>
        <v>Female</v>
      </c>
      <c r="M905">
        <v>5</v>
      </c>
      <c r="N905">
        <v>72.3</v>
      </c>
      <c r="O905">
        <v>361.5</v>
      </c>
    </row>
    <row r="906" spans="1:15" x14ac:dyDescent="0.3">
      <c r="A906" t="s">
        <v>1001</v>
      </c>
      <c r="B906" t="s">
        <v>75</v>
      </c>
      <c r="C906" s="7">
        <v>45694</v>
      </c>
      <c r="D906" s="7">
        <v>45697</v>
      </c>
      <c r="E906" t="s">
        <v>88</v>
      </c>
      <c r="F906" t="s">
        <v>17</v>
      </c>
      <c r="G906">
        <v>3</v>
      </c>
      <c r="H906" t="s">
        <v>18</v>
      </c>
      <c r="I906" t="s">
        <v>32</v>
      </c>
      <c r="J906">
        <f>orders[[#This Row],[Ship Date]]-orders[[#This Row],[Order Date]]</f>
        <v>3</v>
      </c>
      <c r="K906">
        <f>WEEKNUM(orders[[#This Row],[Order Date]])</f>
        <v>6</v>
      </c>
      <c r="L906" t="str" cm="1">
        <f t="array" ref="L906">_xlfn.IFS(orders[[#This Row],[Customer Gender]]="M","Male", orders[[#This Row],[Customer Gender]]="F","Female", orders[[#This Row],[Customer Gender]]="O","Other", TRUE,"Unknown")</f>
        <v>Other</v>
      </c>
      <c r="M906">
        <v>4</v>
      </c>
      <c r="N906">
        <v>22.6</v>
      </c>
      <c r="O906" s="5">
        <v>90.4</v>
      </c>
    </row>
    <row r="907" spans="1:15" x14ac:dyDescent="0.3">
      <c r="A907" t="s">
        <v>1002</v>
      </c>
      <c r="B907" t="s">
        <v>45</v>
      </c>
      <c r="C907" s="7">
        <v>45694</v>
      </c>
      <c r="D907" s="7">
        <v>45698</v>
      </c>
      <c r="E907" t="s">
        <v>2517</v>
      </c>
      <c r="F907" t="s">
        <v>39</v>
      </c>
      <c r="G907">
        <v>2</v>
      </c>
      <c r="H907" t="s">
        <v>18</v>
      </c>
      <c r="I907" t="s">
        <v>32</v>
      </c>
      <c r="J907">
        <f>orders[[#This Row],[Ship Date]]-orders[[#This Row],[Order Date]]</f>
        <v>4</v>
      </c>
      <c r="K907">
        <f>WEEKNUM(orders[[#This Row],[Order Date]])</f>
        <v>6</v>
      </c>
      <c r="L907" t="str" cm="1">
        <f t="array" ref="L907">_xlfn.IFS(orders[[#This Row],[Customer Gender]]="M","Male", orders[[#This Row],[Customer Gender]]="F","Female", orders[[#This Row],[Customer Gender]]="O","Other", TRUE,"Unknown")</f>
        <v>Unknown</v>
      </c>
      <c r="M907">
        <v>2</v>
      </c>
      <c r="N907">
        <v>44.2</v>
      </c>
      <c r="O907">
        <v>88.4</v>
      </c>
    </row>
    <row r="908" spans="1:15" x14ac:dyDescent="0.3">
      <c r="A908" t="s">
        <v>1003</v>
      </c>
      <c r="B908" t="s">
        <v>45</v>
      </c>
      <c r="C908" s="7">
        <v>45694</v>
      </c>
      <c r="D908" s="7">
        <v>45707</v>
      </c>
      <c r="E908" t="s">
        <v>26</v>
      </c>
      <c r="F908" t="s">
        <v>39</v>
      </c>
      <c r="G908">
        <v>5</v>
      </c>
      <c r="H908" t="s">
        <v>18</v>
      </c>
      <c r="I908" t="s">
        <v>32</v>
      </c>
      <c r="J908">
        <f>orders[[#This Row],[Ship Date]]-orders[[#This Row],[Order Date]]</f>
        <v>13</v>
      </c>
      <c r="K908">
        <f>WEEKNUM(orders[[#This Row],[Order Date]])</f>
        <v>6</v>
      </c>
      <c r="L908" t="str" cm="1">
        <f t="array" ref="L908">_xlfn.IFS(orders[[#This Row],[Customer Gender]]="M","Male", orders[[#This Row],[Customer Gender]]="F","Female", orders[[#This Row],[Customer Gender]]="O","Other", TRUE,"Unknown")</f>
        <v>Female</v>
      </c>
      <c r="M908">
        <v>3</v>
      </c>
      <c r="N908">
        <v>94.1</v>
      </c>
      <c r="O908" s="5">
        <v>282.29999999999995</v>
      </c>
    </row>
    <row r="909" spans="1:15" x14ac:dyDescent="0.3">
      <c r="A909" t="s">
        <v>1004</v>
      </c>
      <c r="B909" t="s">
        <v>43</v>
      </c>
      <c r="C909" s="7">
        <v>45694</v>
      </c>
      <c r="D909" s="7">
        <v>45696</v>
      </c>
      <c r="E909" t="s">
        <v>22</v>
      </c>
      <c r="F909" t="s">
        <v>34</v>
      </c>
      <c r="G909">
        <v>3</v>
      </c>
      <c r="H909" t="s">
        <v>18</v>
      </c>
      <c r="I909" t="s">
        <v>32</v>
      </c>
      <c r="J909">
        <f>orders[[#This Row],[Ship Date]]-orders[[#This Row],[Order Date]]</f>
        <v>2</v>
      </c>
      <c r="K909">
        <f>WEEKNUM(orders[[#This Row],[Order Date]])</f>
        <v>6</v>
      </c>
      <c r="L909" t="str" cm="1">
        <f t="array" ref="L909">_xlfn.IFS(orders[[#This Row],[Customer Gender]]="M","Male", orders[[#This Row],[Customer Gender]]="F","Female", orders[[#This Row],[Customer Gender]]="O","Other", TRUE,"Unknown")</f>
        <v>Male</v>
      </c>
      <c r="M909">
        <v>3</v>
      </c>
      <c r="N909">
        <v>17.899999999999999</v>
      </c>
      <c r="O909">
        <v>53.699999999999996</v>
      </c>
    </row>
    <row r="910" spans="1:15" x14ac:dyDescent="0.3">
      <c r="A910" t="s">
        <v>1005</v>
      </c>
      <c r="B910" t="s">
        <v>68</v>
      </c>
      <c r="C910" s="7">
        <v>45694</v>
      </c>
      <c r="D910" s="7">
        <v>45695</v>
      </c>
      <c r="E910" t="s">
        <v>22</v>
      </c>
      <c r="F910" t="s">
        <v>34</v>
      </c>
      <c r="G910">
        <v>3</v>
      </c>
      <c r="H910" t="s">
        <v>18</v>
      </c>
      <c r="I910" t="s">
        <v>32</v>
      </c>
      <c r="J910">
        <f>orders[[#This Row],[Ship Date]]-orders[[#This Row],[Order Date]]</f>
        <v>1</v>
      </c>
      <c r="K910">
        <f>WEEKNUM(orders[[#This Row],[Order Date]])</f>
        <v>6</v>
      </c>
      <c r="L910" t="str" cm="1">
        <f t="array" ref="L910">_xlfn.IFS(orders[[#This Row],[Customer Gender]]="M","Male", orders[[#This Row],[Customer Gender]]="F","Female", orders[[#This Row],[Customer Gender]]="O","Other", TRUE,"Unknown")</f>
        <v>Male</v>
      </c>
      <c r="M910">
        <v>7</v>
      </c>
      <c r="N910">
        <v>52.7</v>
      </c>
      <c r="O910" s="5">
        <v>368.90000000000003</v>
      </c>
    </row>
    <row r="911" spans="1:15" x14ac:dyDescent="0.3">
      <c r="A911" t="s">
        <v>1006</v>
      </c>
      <c r="B911" t="s">
        <v>43</v>
      </c>
      <c r="C911" s="7">
        <v>45694</v>
      </c>
      <c r="D911" s="7">
        <v>45694</v>
      </c>
      <c r="E911" t="s">
        <v>2517</v>
      </c>
      <c r="F911" t="s">
        <v>17</v>
      </c>
      <c r="G911">
        <v>5</v>
      </c>
      <c r="H911" t="s">
        <v>18</v>
      </c>
      <c r="I911" t="s">
        <v>32</v>
      </c>
      <c r="J911">
        <f>orders[[#This Row],[Ship Date]]-orders[[#This Row],[Order Date]]</f>
        <v>0</v>
      </c>
      <c r="K911">
        <f>WEEKNUM(orders[[#This Row],[Order Date]])</f>
        <v>6</v>
      </c>
      <c r="L911" t="str" cm="1">
        <f t="array" ref="L911">_xlfn.IFS(orders[[#This Row],[Customer Gender]]="M","Male", orders[[#This Row],[Customer Gender]]="F","Female", orders[[#This Row],[Customer Gender]]="O","Other", TRUE,"Unknown")</f>
        <v>Unknown</v>
      </c>
      <c r="M911">
        <v>1</v>
      </c>
      <c r="N911">
        <v>36.799999999999997</v>
      </c>
      <c r="O911">
        <v>36.799999999999997</v>
      </c>
    </row>
    <row r="912" spans="1:15" x14ac:dyDescent="0.3">
      <c r="A912" t="s">
        <v>1007</v>
      </c>
      <c r="B912" t="s">
        <v>31</v>
      </c>
      <c r="C912" s="7">
        <v>45694</v>
      </c>
      <c r="D912" s="7">
        <v>45695</v>
      </c>
      <c r="E912" t="s">
        <v>22</v>
      </c>
      <c r="F912" t="s">
        <v>17</v>
      </c>
      <c r="G912">
        <v>3</v>
      </c>
      <c r="H912" t="s">
        <v>18</v>
      </c>
      <c r="I912" t="s">
        <v>54</v>
      </c>
      <c r="J912">
        <f>orders[[#This Row],[Ship Date]]-orders[[#This Row],[Order Date]]</f>
        <v>1</v>
      </c>
      <c r="K912">
        <f>WEEKNUM(orders[[#This Row],[Order Date]])</f>
        <v>6</v>
      </c>
      <c r="L912" t="str" cm="1">
        <f t="array" ref="L912">_xlfn.IFS(orders[[#This Row],[Customer Gender]]="M","Male", orders[[#This Row],[Customer Gender]]="F","Female", orders[[#This Row],[Customer Gender]]="O","Other", TRUE,"Unknown")</f>
        <v>Male</v>
      </c>
      <c r="M912">
        <v>1</v>
      </c>
      <c r="N912">
        <v>52.5</v>
      </c>
      <c r="O912" s="5">
        <v>52.5</v>
      </c>
    </row>
    <row r="913" spans="1:15" x14ac:dyDescent="0.3">
      <c r="A913" t="s">
        <v>1008</v>
      </c>
      <c r="B913" t="s">
        <v>25</v>
      </c>
      <c r="C913" s="7">
        <v>45694</v>
      </c>
      <c r="D913" s="7">
        <v>45696</v>
      </c>
      <c r="E913" t="s">
        <v>22</v>
      </c>
      <c r="F913" t="s">
        <v>17</v>
      </c>
      <c r="G913">
        <v>3</v>
      </c>
      <c r="H913" t="s">
        <v>18</v>
      </c>
      <c r="I913" t="s">
        <v>58</v>
      </c>
      <c r="J913">
        <f>orders[[#This Row],[Ship Date]]-orders[[#This Row],[Order Date]]</f>
        <v>2</v>
      </c>
      <c r="K913">
        <f>WEEKNUM(orders[[#This Row],[Order Date]])</f>
        <v>6</v>
      </c>
      <c r="L913" t="str" cm="1">
        <f t="array" ref="L913">_xlfn.IFS(orders[[#This Row],[Customer Gender]]="M","Male", orders[[#This Row],[Customer Gender]]="F","Female", orders[[#This Row],[Customer Gender]]="O","Other", TRUE,"Unknown")</f>
        <v>Male</v>
      </c>
      <c r="M913">
        <v>2</v>
      </c>
      <c r="N913">
        <v>133.80000000000001</v>
      </c>
      <c r="O913">
        <v>267.60000000000002</v>
      </c>
    </row>
    <row r="914" spans="1:15" x14ac:dyDescent="0.3">
      <c r="A914" t="s">
        <v>1009</v>
      </c>
      <c r="B914" t="s">
        <v>38</v>
      </c>
      <c r="C914" s="7">
        <v>45694</v>
      </c>
      <c r="D914" s="7">
        <v>45696</v>
      </c>
      <c r="E914" t="s">
        <v>22</v>
      </c>
      <c r="F914" t="s">
        <v>17</v>
      </c>
      <c r="G914">
        <v>4</v>
      </c>
      <c r="H914" t="s">
        <v>18</v>
      </c>
      <c r="I914" t="s">
        <v>102</v>
      </c>
      <c r="J914">
        <f>orders[[#This Row],[Ship Date]]-orders[[#This Row],[Order Date]]</f>
        <v>2</v>
      </c>
      <c r="K914">
        <f>WEEKNUM(orders[[#This Row],[Order Date]])</f>
        <v>6</v>
      </c>
      <c r="L914" t="str" cm="1">
        <f t="array" ref="L914">_xlfn.IFS(orders[[#This Row],[Customer Gender]]="M","Male", orders[[#This Row],[Customer Gender]]="F","Female", orders[[#This Row],[Customer Gender]]="O","Other", TRUE,"Unknown")</f>
        <v>Male</v>
      </c>
      <c r="M914">
        <v>2</v>
      </c>
      <c r="N914">
        <v>53.2</v>
      </c>
      <c r="O914" s="5">
        <v>106.4</v>
      </c>
    </row>
    <row r="915" spans="1:15" x14ac:dyDescent="0.3">
      <c r="A915" t="s">
        <v>1010</v>
      </c>
      <c r="B915" t="s">
        <v>80</v>
      </c>
      <c r="C915" s="7">
        <v>45694</v>
      </c>
      <c r="D915" s="7">
        <v>45696</v>
      </c>
      <c r="E915" t="s">
        <v>2517</v>
      </c>
      <c r="F915" t="s">
        <v>17</v>
      </c>
      <c r="G915">
        <v>3</v>
      </c>
      <c r="H915" t="s">
        <v>18</v>
      </c>
      <c r="I915" t="s">
        <v>73</v>
      </c>
      <c r="J915">
        <f>orders[[#This Row],[Ship Date]]-orders[[#This Row],[Order Date]]</f>
        <v>2</v>
      </c>
      <c r="K915">
        <f>WEEKNUM(orders[[#This Row],[Order Date]])</f>
        <v>6</v>
      </c>
      <c r="L915" t="str" cm="1">
        <f t="array" ref="L915">_xlfn.IFS(orders[[#This Row],[Customer Gender]]="M","Male", orders[[#This Row],[Customer Gender]]="F","Female", orders[[#This Row],[Customer Gender]]="O","Other", TRUE,"Unknown")</f>
        <v>Unknown</v>
      </c>
      <c r="M915">
        <v>6</v>
      </c>
      <c r="N915">
        <v>18.7</v>
      </c>
      <c r="O915">
        <v>112.19999999999999</v>
      </c>
    </row>
    <row r="916" spans="1:15" x14ac:dyDescent="0.3">
      <c r="A916" t="s">
        <v>1011</v>
      </c>
      <c r="B916" t="s">
        <v>38</v>
      </c>
      <c r="C916" s="7">
        <v>45694</v>
      </c>
      <c r="D916" s="7">
        <v>45695</v>
      </c>
      <c r="E916" t="s">
        <v>26</v>
      </c>
      <c r="F916" t="s">
        <v>50</v>
      </c>
      <c r="G916">
        <v>5</v>
      </c>
      <c r="H916" t="s">
        <v>18</v>
      </c>
      <c r="I916" t="s">
        <v>76</v>
      </c>
      <c r="J916">
        <f>orders[[#This Row],[Ship Date]]-orders[[#This Row],[Order Date]]</f>
        <v>1</v>
      </c>
      <c r="K916">
        <f>WEEKNUM(orders[[#This Row],[Order Date]])</f>
        <v>6</v>
      </c>
      <c r="L916" t="str" cm="1">
        <f t="array" ref="L916">_xlfn.IFS(orders[[#This Row],[Customer Gender]]="M","Male", orders[[#This Row],[Customer Gender]]="F","Female", orders[[#This Row],[Customer Gender]]="O","Other", TRUE,"Unknown")</f>
        <v>Female</v>
      </c>
      <c r="M916">
        <v>4</v>
      </c>
      <c r="N916">
        <v>108.8</v>
      </c>
      <c r="O916" s="5">
        <v>435.2</v>
      </c>
    </row>
    <row r="917" spans="1:15" x14ac:dyDescent="0.3">
      <c r="A917" t="s">
        <v>1012</v>
      </c>
      <c r="B917" t="s">
        <v>122</v>
      </c>
      <c r="C917" s="7">
        <v>45694</v>
      </c>
      <c r="D917" s="7">
        <v>45698</v>
      </c>
      <c r="E917" t="s">
        <v>26</v>
      </c>
      <c r="F917" t="s">
        <v>17</v>
      </c>
      <c r="G917">
        <v>3</v>
      </c>
      <c r="H917" t="s">
        <v>18</v>
      </c>
      <c r="I917" t="s">
        <v>83</v>
      </c>
      <c r="J917">
        <f>orders[[#This Row],[Ship Date]]-orders[[#This Row],[Order Date]]</f>
        <v>4</v>
      </c>
      <c r="K917">
        <f>WEEKNUM(orders[[#This Row],[Order Date]])</f>
        <v>6</v>
      </c>
      <c r="L917" t="str" cm="1">
        <f t="array" ref="L917">_xlfn.IFS(orders[[#This Row],[Customer Gender]]="M","Male", orders[[#This Row],[Customer Gender]]="F","Female", orders[[#This Row],[Customer Gender]]="O","Other", TRUE,"Unknown")</f>
        <v>Female</v>
      </c>
      <c r="M917">
        <v>5</v>
      </c>
      <c r="N917">
        <v>38.5</v>
      </c>
      <c r="O917">
        <v>192.5</v>
      </c>
    </row>
    <row r="918" spans="1:15" x14ac:dyDescent="0.3">
      <c r="A918" t="s">
        <v>1013</v>
      </c>
      <c r="B918" t="s">
        <v>53</v>
      </c>
      <c r="C918" s="7">
        <v>45694</v>
      </c>
      <c r="D918" s="7">
        <v>45696</v>
      </c>
      <c r="E918" t="s">
        <v>22</v>
      </c>
      <c r="F918" t="s">
        <v>39</v>
      </c>
      <c r="G918">
        <v>3</v>
      </c>
      <c r="H918" t="s">
        <v>18</v>
      </c>
      <c r="I918" t="s">
        <v>27</v>
      </c>
      <c r="J918">
        <f>orders[[#This Row],[Ship Date]]-orders[[#This Row],[Order Date]]</f>
        <v>2</v>
      </c>
      <c r="K918">
        <f>WEEKNUM(orders[[#This Row],[Order Date]])</f>
        <v>6</v>
      </c>
      <c r="L918" t="str" cm="1">
        <f t="array" ref="L918">_xlfn.IFS(orders[[#This Row],[Customer Gender]]="M","Male", orders[[#This Row],[Customer Gender]]="F","Female", orders[[#This Row],[Customer Gender]]="O","Other", TRUE,"Unknown")</f>
        <v>Male</v>
      </c>
      <c r="M918">
        <v>10</v>
      </c>
      <c r="N918">
        <v>46.5</v>
      </c>
      <c r="O918" s="5">
        <v>465</v>
      </c>
    </row>
    <row r="919" spans="1:15" x14ac:dyDescent="0.3">
      <c r="A919" t="s">
        <v>1014</v>
      </c>
      <c r="B919" t="s">
        <v>25</v>
      </c>
      <c r="C919" s="7">
        <v>45694</v>
      </c>
      <c r="D919" s="7">
        <v>45698</v>
      </c>
      <c r="E919" t="s">
        <v>26</v>
      </c>
      <c r="F919" t="s">
        <v>34</v>
      </c>
      <c r="G919">
        <v>2</v>
      </c>
      <c r="H919" t="s">
        <v>18</v>
      </c>
      <c r="I919" t="s">
        <v>586</v>
      </c>
      <c r="J919">
        <f>orders[[#This Row],[Ship Date]]-orders[[#This Row],[Order Date]]</f>
        <v>4</v>
      </c>
      <c r="K919">
        <f>WEEKNUM(orders[[#This Row],[Order Date]])</f>
        <v>6</v>
      </c>
      <c r="L919" t="str" cm="1">
        <f t="array" ref="L919">_xlfn.IFS(orders[[#This Row],[Customer Gender]]="M","Male", orders[[#This Row],[Customer Gender]]="F","Female", orders[[#This Row],[Customer Gender]]="O","Other", TRUE,"Unknown")</f>
        <v>Female</v>
      </c>
      <c r="M919">
        <v>3</v>
      </c>
      <c r="N919">
        <v>75.8</v>
      </c>
      <c r="O919">
        <v>227.39999999999998</v>
      </c>
    </row>
    <row r="920" spans="1:15" x14ac:dyDescent="0.3">
      <c r="A920" t="s">
        <v>1015</v>
      </c>
      <c r="B920" t="s">
        <v>43</v>
      </c>
      <c r="C920" s="7">
        <v>45694</v>
      </c>
      <c r="D920" s="7">
        <v>45698</v>
      </c>
      <c r="E920" t="s">
        <v>22</v>
      </c>
      <c r="F920" t="s">
        <v>17</v>
      </c>
      <c r="G920">
        <v>4</v>
      </c>
      <c r="H920" t="s">
        <v>18</v>
      </c>
      <c r="I920" t="s">
        <v>146</v>
      </c>
      <c r="J920">
        <f>orders[[#This Row],[Ship Date]]-orders[[#This Row],[Order Date]]</f>
        <v>4</v>
      </c>
      <c r="K920">
        <f>WEEKNUM(orders[[#This Row],[Order Date]])</f>
        <v>6</v>
      </c>
      <c r="L920" t="str" cm="1">
        <f t="array" ref="L920">_xlfn.IFS(orders[[#This Row],[Customer Gender]]="M","Male", orders[[#This Row],[Customer Gender]]="F","Female", orders[[#This Row],[Customer Gender]]="O","Other", TRUE,"Unknown")</f>
        <v>Male</v>
      </c>
      <c r="M920">
        <v>1</v>
      </c>
      <c r="N920">
        <v>20.9</v>
      </c>
      <c r="O920" s="5">
        <v>20.9</v>
      </c>
    </row>
    <row r="921" spans="1:15" x14ac:dyDescent="0.3">
      <c r="A921" t="s">
        <v>1016</v>
      </c>
      <c r="B921" t="s">
        <v>145</v>
      </c>
      <c r="C921" s="7">
        <v>45694</v>
      </c>
      <c r="D921" s="7">
        <v>45697</v>
      </c>
      <c r="E921" t="s">
        <v>26</v>
      </c>
      <c r="F921" t="s">
        <v>17</v>
      </c>
      <c r="G921">
        <v>4</v>
      </c>
      <c r="H921" t="s">
        <v>18</v>
      </c>
      <c r="I921" t="s">
        <v>32</v>
      </c>
      <c r="J921">
        <f>orders[[#This Row],[Ship Date]]-orders[[#This Row],[Order Date]]</f>
        <v>3</v>
      </c>
      <c r="K921">
        <f>WEEKNUM(orders[[#This Row],[Order Date]])</f>
        <v>6</v>
      </c>
      <c r="L921" t="str" cm="1">
        <f t="array" ref="L921">_xlfn.IFS(orders[[#This Row],[Customer Gender]]="M","Male", orders[[#This Row],[Customer Gender]]="F","Female", orders[[#This Row],[Customer Gender]]="O","Other", TRUE,"Unknown")</f>
        <v>Female</v>
      </c>
      <c r="M921">
        <v>3</v>
      </c>
      <c r="N921">
        <v>47.4</v>
      </c>
      <c r="O921">
        <v>142.19999999999999</v>
      </c>
    </row>
    <row r="922" spans="1:15" x14ac:dyDescent="0.3">
      <c r="A922" t="s">
        <v>1017</v>
      </c>
      <c r="B922" t="s">
        <v>45</v>
      </c>
      <c r="C922" s="7">
        <v>45694</v>
      </c>
      <c r="D922" s="7">
        <v>45695</v>
      </c>
      <c r="E922" t="s">
        <v>2517</v>
      </c>
      <c r="F922" t="s">
        <v>17</v>
      </c>
      <c r="G922">
        <v>3</v>
      </c>
      <c r="H922" t="s">
        <v>18</v>
      </c>
      <c r="I922" t="s">
        <v>32</v>
      </c>
      <c r="J922">
        <f>orders[[#This Row],[Ship Date]]-orders[[#This Row],[Order Date]]</f>
        <v>1</v>
      </c>
      <c r="K922">
        <f>WEEKNUM(orders[[#This Row],[Order Date]])</f>
        <v>6</v>
      </c>
      <c r="L922" t="str" cm="1">
        <f t="array" ref="L922">_xlfn.IFS(orders[[#This Row],[Customer Gender]]="M","Male", orders[[#This Row],[Customer Gender]]="F","Female", orders[[#This Row],[Customer Gender]]="O","Other", TRUE,"Unknown")</f>
        <v>Unknown</v>
      </c>
      <c r="M922">
        <v>2</v>
      </c>
      <c r="N922">
        <v>53.8</v>
      </c>
      <c r="O922" s="5">
        <v>107.6</v>
      </c>
    </row>
    <row r="923" spans="1:15" x14ac:dyDescent="0.3">
      <c r="A923" t="s">
        <v>1018</v>
      </c>
      <c r="B923" t="s">
        <v>43</v>
      </c>
      <c r="C923" s="7">
        <v>45694</v>
      </c>
      <c r="D923" s="7">
        <v>45696</v>
      </c>
      <c r="E923" t="s">
        <v>88</v>
      </c>
      <c r="F923" t="s">
        <v>34</v>
      </c>
      <c r="G923">
        <v>5</v>
      </c>
      <c r="H923" t="s">
        <v>18</v>
      </c>
      <c r="I923" t="s">
        <v>32</v>
      </c>
      <c r="J923">
        <f>orders[[#This Row],[Ship Date]]-orders[[#This Row],[Order Date]]</f>
        <v>2</v>
      </c>
      <c r="K923">
        <f>WEEKNUM(orders[[#This Row],[Order Date]])</f>
        <v>6</v>
      </c>
      <c r="L923" t="str" cm="1">
        <f t="array" ref="L923">_xlfn.IFS(orders[[#This Row],[Customer Gender]]="M","Male", orders[[#This Row],[Customer Gender]]="F","Female", orders[[#This Row],[Customer Gender]]="O","Other", TRUE,"Unknown")</f>
        <v>Other</v>
      </c>
      <c r="M923">
        <v>3</v>
      </c>
      <c r="N923">
        <v>24.6</v>
      </c>
      <c r="O923">
        <v>73.800000000000011</v>
      </c>
    </row>
    <row r="924" spans="1:15" x14ac:dyDescent="0.3">
      <c r="A924" t="s">
        <v>1019</v>
      </c>
      <c r="B924" t="s">
        <v>45</v>
      </c>
      <c r="C924" s="7">
        <v>45694</v>
      </c>
      <c r="D924" s="7">
        <v>45699</v>
      </c>
      <c r="E924" t="s">
        <v>26</v>
      </c>
      <c r="F924" t="s">
        <v>39</v>
      </c>
      <c r="G924">
        <v>5</v>
      </c>
      <c r="H924" t="s">
        <v>18</v>
      </c>
      <c r="I924" t="s">
        <v>32</v>
      </c>
      <c r="J924">
        <f>orders[[#This Row],[Ship Date]]-orders[[#This Row],[Order Date]]</f>
        <v>5</v>
      </c>
      <c r="K924">
        <f>WEEKNUM(orders[[#This Row],[Order Date]])</f>
        <v>6</v>
      </c>
      <c r="L924" t="str" cm="1">
        <f t="array" ref="L924">_xlfn.IFS(orders[[#This Row],[Customer Gender]]="M","Male", orders[[#This Row],[Customer Gender]]="F","Female", orders[[#This Row],[Customer Gender]]="O","Other", TRUE,"Unknown")</f>
        <v>Female</v>
      </c>
      <c r="M924">
        <v>3</v>
      </c>
      <c r="N924">
        <v>70.900000000000006</v>
      </c>
      <c r="O924" s="5">
        <v>212.70000000000002</v>
      </c>
    </row>
    <row r="925" spans="1:15" x14ac:dyDescent="0.3">
      <c r="A925" t="s">
        <v>1020</v>
      </c>
      <c r="B925" t="s">
        <v>134</v>
      </c>
      <c r="C925" s="7">
        <v>45694</v>
      </c>
      <c r="D925" s="7">
        <v>45696</v>
      </c>
      <c r="E925" t="s">
        <v>26</v>
      </c>
      <c r="F925" t="s">
        <v>39</v>
      </c>
      <c r="G925">
        <v>5</v>
      </c>
      <c r="H925" t="s">
        <v>18</v>
      </c>
      <c r="I925" t="s">
        <v>32</v>
      </c>
      <c r="J925">
        <f>orders[[#This Row],[Ship Date]]-orders[[#This Row],[Order Date]]</f>
        <v>2</v>
      </c>
      <c r="K925">
        <f>WEEKNUM(orders[[#This Row],[Order Date]])</f>
        <v>6</v>
      </c>
      <c r="L925" t="str" cm="1">
        <f t="array" ref="L925">_xlfn.IFS(orders[[#This Row],[Customer Gender]]="M","Male", orders[[#This Row],[Customer Gender]]="F","Female", orders[[#This Row],[Customer Gender]]="O","Other", TRUE,"Unknown")</f>
        <v>Female</v>
      </c>
      <c r="M925">
        <v>3</v>
      </c>
      <c r="N925">
        <v>31.9</v>
      </c>
      <c r="O925">
        <v>95.699999999999989</v>
      </c>
    </row>
    <row r="926" spans="1:15" x14ac:dyDescent="0.3">
      <c r="A926" t="s">
        <v>1021</v>
      </c>
      <c r="B926" t="s">
        <v>16</v>
      </c>
      <c r="C926" s="7">
        <v>45694</v>
      </c>
      <c r="D926" s="7">
        <v>45698</v>
      </c>
      <c r="E926" t="s">
        <v>22</v>
      </c>
      <c r="F926" t="s">
        <v>50</v>
      </c>
      <c r="G926">
        <v>5</v>
      </c>
      <c r="H926" t="s">
        <v>18</v>
      </c>
      <c r="I926" t="s">
        <v>32</v>
      </c>
      <c r="J926">
        <f>orders[[#This Row],[Ship Date]]-orders[[#This Row],[Order Date]]</f>
        <v>4</v>
      </c>
      <c r="K926">
        <f>WEEKNUM(orders[[#This Row],[Order Date]])</f>
        <v>6</v>
      </c>
      <c r="L926" t="str" cm="1">
        <f t="array" ref="L926">_xlfn.IFS(orders[[#This Row],[Customer Gender]]="M","Male", orders[[#This Row],[Customer Gender]]="F","Female", orders[[#This Row],[Customer Gender]]="O","Other", TRUE,"Unknown")</f>
        <v>Male</v>
      </c>
      <c r="M926">
        <v>2</v>
      </c>
      <c r="N926">
        <v>20.399999999999999</v>
      </c>
      <c r="O926" s="5">
        <v>40.799999999999997</v>
      </c>
    </row>
    <row r="927" spans="1:15" x14ac:dyDescent="0.3">
      <c r="A927" t="s">
        <v>1022</v>
      </c>
      <c r="B927" t="s">
        <v>43</v>
      </c>
      <c r="C927" s="7">
        <v>45694</v>
      </c>
      <c r="D927" s="7">
        <v>45696</v>
      </c>
      <c r="E927" t="s">
        <v>2517</v>
      </c>
      <c r="F927" t="s">
        <v>17</v>
      </c>
      <c r="G927">
        <v>3</v>
      </c>
      <c r="H927" t="s">
        <v>18</v>
      </c>
      <c r="I927" t="s">
        <v>32</v>
      </c>
      <c r="J927">
        <f>orders[[#This Row],[Ship Date]]-orders[[#This Row],[Order Date]]</f>
        <v>2</v>
      </c>
      <c r="K927">
        <f>WEEKNUM(orders[[#This Row],[Order Date]])</f>
        <v>6</v>
      </c>
      <c r="L927" t="str" cm="1">
        <f t="array" ref="L927">_xlfn.IFS(orders[[#This Row],[Customer Gender]]="M","Male", orders[[#This Row],[Customer Gender]]="F","Female", orders[[#This Row],[Customer Gender]]="O","Other", TRUE,"Unknown")</f>
        <v>Unknown</v>
      </c>
      <c r="M927">
        <v>2</v>
      </c>
      <c r="N927">
        <v>18.600000000000001</v>
      </c>
      <c r="O927">
        <v>37.200000000000003</v>
      </c>
    </row>
    <row r="928" spans="1:15" x14ac:dyDescent="0.3">
      <c r="A928" t="s">
        <v>1023</v>
      </c>
      <c r="B928" t="s">
        <v>31</v>
      </c>
      <c r="C928" s="7">
        <v>45694</v>
      </c>
      <c r="D928" s="7">
        <v>45696</v>
      </c>
      <c r="E928" t="s">
        <v>26</v>
      </c>
      <c r="F928" t="s">
        <v>34</v>
      </c>
      <c r="G928">
        <v>4</v>
      </c>
      <c r="H928" t="s">
        <v>18</v>
      </c>
      <c r="I928" t="s">
        <v>32</v>
      </c>
      <c r="J928">
        <f>orders[[#This Row],[Ship Date]]-orders[[#This Row],[Order Date]]</f>
        <v>2</v>
      </c>
      <c r="K928">
        <f>WEEKNUM(orders[[#This Row],[Order Date]])</f>
        <v>6</v>
      </c>
      <c r="L928" t="str" cm="1">
        <f t="array" ref="L928">_xlfn.IFS(orders[[#This Row],[Customer Gender]]="M","Male", orders[[#This Row],[Customer Gender]]="F","Female", orders[[#This Row],[Customer Gender]]="O","Other", TRUE,"Unknown")</f>
        <v>Female</v>
      </c>
      <c r="M928">
        <v>5</v>
      </c>
      <c r="N928">
        <v>48.3</v>
      </c>
      <c r="O928" s="5">
        <v>241.5</v>
      </c>
    </row>
    <row r="929" spans="1:15" x14ac:dyDescent="0.3">
      <c r="A929" t="s">
        <v>1024</v>
      </c>
      <c r="B929" t="s">
        <v>16</v>
      </c>
      <c r="C929" s="7">
        <v>45694</v>
      </c>
      <c r="D929" s="7">
        <v>45696</v>
      </c>
      <c r="E929" t="s">
        <v>26</v>
      </c>
      <c r="F929" t="s">
        <v>17</v>
      </c>
      <c r="G929">
        <v>4</v>
      </c>
      <c r="H929" t="s">
        <v>18</v>
      </c>
      <c r="I929" t="s">
        <v>32</v>
      </c>
      <c r="J929">
        <f>orders[[#This Row],[Ship Date]]-orders[[#This Row],[Order Date]]</f>
        <v>2</v>
      </c>
      <c r="K929">
        <f>WEEKNUM(orders[[#This Row],[Order Date]])</f>
        <v>6</v>
      </c>
      <c r="L929" t="str" cm="1">
        <f t="array" ref="L929">_xlfn.IFS(orders[[#This Row],[Customer Gender]]="M","Male", orders[[#This Row],[Customer Gender]]="F","Female", orders[[#This Row],[Customer Gender]]="O","Other", TRUE,"Unknown")</f>
        <v>Female</v>
      </c>
      <c r="M929">
        <v>4</v>
      </c>
      <c r="N929">
        <v>27.7</v>
      </c>
      <c r="O929">
        <v>110.8</v>
      </c>
    </row>
    <row r="930" spans="1:15" x14ac:dyDescent="0.3">
      <c r="A930" t="s">
        <v>1025</v>
      </c>
      <c r="B930" t="s">
        <v>31</v>
      </c>
      <c r="C930" s="7">
        <v>45694</v>
      </c>
      <c r="D930" s="7">
        <v>45696</v>
      </c>
      <c r="E930" t="s">
        <v>26</v>
      </c>
      <c r="F930" t="s">
        <v>69</v>
      </c>
      <c r="G930">
        <v>5</v>
      </c>
      <c r="H930" t="s">
        <v>18</v>
      </c>
      <c r="I930" t="s">
        <v>32</v>
      </c>
      <c r="J930">
        <f>orders[[#This Row],[Ship Date]]-orders[[#This Row],[Order Date]]</f>
        <v>2</v>
      </c>
      <c r="K930">
        <f>WEEKNUM(orders[[#This Row],[Order Date]])</f>
        <v>6</v>
      </c>
      <c r="L930" t="str" cm="1">
        <f t="array" ref="L930">_xlfn.IFS(orders[[#This Row],[Customer Gender]]="M","Male", orders[[#This Row],[Customer Gender]]="F","Female", orders[[#This Row],[Customer Gender]]="O","Other", TRUE,"Unknown")</f>
        <v>Female</v>
      </c>
      <c r="M930">
        <v>5</v>
      </c>
      <c r="N930">
        <v>22.5</v>
      </c>
      <c r="O930" s="5">
        <v>112.5</v>
      </c>
    </row>
    <row r="931" spans="1:15" x14ac:dyDescent="0.3">
      <c r="A931" t="s">
        <v>1026</v>
      </c>
      <c r="B931" t="s">
        <v>134</v>
      </c>
      <c r="C931" s="7">
        <v>45694</v>
      </c>
      <c r="D931" s="7">
        <v>45702</v>
      </c>
      <c r="E931" t="s">
        <v>26</v>
      </c>
      <c r="F931" t="s">
        <v>17</v>
      </c>
      <c r="G931">
        <v>3</v>
      </c>
      <c r="H931" t="s">
        <v>18</v>
      </c>
      <c r="I931" t="s">
        <v>32</v>
      </c>
      <c r="J931">
        <f>orders[[#This Row],[Ship Date]]-orders[[#This Row],[Order Date]]</f>
        <v>8</v>
      </c>
      <c r="K931">
        <f>WEEKNUM(orders[[#This Row],[Order Date]])</f>
        <v>6</v>
      </c>
      <c r="L931" t="str" cm="1">
        <f t="array" ref="L931">_xlfn.IFS(orders[[#This Row],[Customer Gender]]="M","Male", orders[[#This Row],[Customer Gender]]="F","Female", orders[[#This Row],[Customer Gender]]="O","Other", TRUE,"Unknown")</f>
        <v>Female</v>
      </c>
      <c r="M931">
        <v>5</v>
      </c>
      <c r="N931">
        <v>21.6</v>
      </c>
      <c r="O931">
        <v>108</v>
      </c>
    </row>
    <row r="932" spans="1:15" x14ac:dyDescent="0.3">
      <c r="A932" t="s">
        <v>1027</v>
      </c>
      <c r="B932" t="s">
        <v>53</v>
      </c>
      <c r="C932" s="7">
        <v>45694</v>
      </c>
      <c r="D932" s="7">
        <v>45694</v>
      </c>
      <c r="E932" t="s">
        <v>26</v>
      </c>
      <c r="F932" t="s">
        <v>39</v>
      </c>
      <c r="G932">
        <v>3</v>
      </c>
      <c r="H932" t="s">
        <v>18</v>
      </c>
      <c r="I932" t="s">
        <v>32</v>
      </c>
      <c r="J932">
        <f>orders[[#This Row],[Ship Date]]-orders[[#This Row],[Order Date]]</f>
        <v>0</v>
      </c>
      <c r="K932">
        <f>WEEKNUM(orders[[#This Row],[Order Date]])</f>
        <v>6</v>
      </c>
      <c r="L932" t="str" cm="1">
        <f t="array" ref="L932">_xlfn.IFS(orders[[#This Row],[Customer Gender]]="M","Male", orders[[#This Row],[Customer Gender]]="F","Female", orders[[#This Row],[Customer Gender]]="O","Other", TRUE,"Unknown")</f>
        <v>Female</v>
      </c>
      <c r="M932">
        <v>7</v>
      </c>
      <c r="N932">
        <v>26.3</v>
      </c>
      <c r="O932" s="5">
        <v>184.1</v>
      </c>
    </row>
    <row r="933" spans="1:15" x14ac:dyDescent="0.3">
      <c r="A933" t="s">
        <v>1028</v>
      </c>
      <c r="B933" t="s">
        <v>38</v>
      </c>
      <c r="C933" s="7">
        <v>45695</v>
      </c>
      <c r="D933" s="7">
        <v>45696</v>
      </c>
      <c r="E933" t="s">
        <v>22</v>
      </c>
      <c r="F933" t="s">
        <v>17</v>
      </c>
      <c r="G933">
        <v>5</v>
      </c>
      <c r="H933" t="s">
        <v>18</v>
      </c>
      <c r="I933" t="s">
        <v>54</v>
      </c>
      <c r="J933">
        <f>orders[[#This Row],[Ship Date]]-orders[[#This Row],[Order Date]]</f>
        <v>1</v>
      </c>
      <c r="K933">
        <f>WEEKNUM(orders[[#This Row],[Order Date]])</f>
        <v>6</v>
      </c>
      <c r="L933" t="str" cm="1">
        <f t="array" ref="L933">_xlfn.IFS(orders[[#This Row],[Customer Gender]]="M","Male", orders[[#This Row],[Customer Gender]]="F","Female", orders[[#This Row],[Customer Gender]]="O","Other", TRUE,"Unknown")</f>
        <v>Male</v>
      </c>
      <c r="M933">
        <v>7</v>
      </c>
      <c r="N933">
        <v>103</v>
      </c>
      <c r="O933">
        <v>721</v>
      </c>
    </row>
    <row r="934" spans="1:15" x14ac:dyDescent="0.3">
      <c r="A934" t="s">
        <v>1029</v>
      </c>
      <c r="B934" t="s">
        <v>36</v>
      </c>
      <c r="C934" s="7">
        <v>45695</v>
      </c>
      <c r="D934" s="7">
        <v>45696</v>
      </c>
      <c r="E934" t="s">
        <v>26</v>
      </c>
      <c r="F934" t="s">
        <v>17</v>
      </c>
      <c r="G934">
        <v>3</v>
      </c>
      <c r="H934" t="s">
        <v>18</v>
      </c>
      <c r="I934" t="s">
        <v>54</v>
      </c>
      <c r="J934">
        <f>orders[[#This Row],[Ship Date]]-orders[[#This Row],[Order Date]]</f>
        <v>1</v>
      </c>
      <c r="K934">
        <f>WEEKNUM(orders[[#This Row],[Order Date]])</f>
        <v>6</v>
      </c>
      <c r="L934" t="str" cm="1">
        <f t="array" ref="L934">_xlfn.IFS(orders[[#This Row],[Customer Gender]]="M","Male", orders[[#This Row],[Customer Gender]]="F","Female", orders[[#This Row],[Customer Gender]]="O","Other", TRUE,"Unknown")</f>
        <v>Female</v>
      </c>
      <c r="M934">
        <v>15</v>
      </c>
      <c r="N934">
        <v>46.6</v>
      </c>
      <c r="O934" s="5">
        <v>699</v>
      </c>
    </row>
    <row r="935" spans="1:15" x14ac:dyDescent="0.3">
      <c r="A935" t="s">
        <v>1030</v>
      </c>
      <c r="B935" t="s">
        <v>16</v>
      </c>
      <c r="C935" s="7">
        <v>45695</v>
      </c>
      <c r="D935" s="7">
        <v>45698</v>
      </c>
      <c r="E935" t="s">
        <v>26</v>
      </c>
      <c r="F935" t="s">
        <v>17</v>
      </c>
      <c r="G935">
        <v>5</v>
      </c>
      <c r="H935" t="s">
        <v>18</v>
      </c>
      <c r="I935" t="s">
        <v>341</v>
      </c>
      <c r="J935">
        <f>orders[[#This Row],[Ship Date]]-orders[[#This Row],[Order Date]]</f>
        <v>3</v>
      </c>
      <c r="K935">
        <f>WEEKNUM(orders[[#This Row],[Order Date]])</f>
        <v>6</v>
      </c>
      <c r="L935" t="str" cm="1">
        <f t="array" ref="L935">_xlfn.IFS(orders[[#This Row],[Customer Gender]]="M","Male", orders[[#This Row],[Customer Gender]]="F","Female", orders[[#This Row],[Customer Gender]]="O","Other", TRUE,"Unknown")</f>
        <v>Female</v>
      </c>
      <c r="M935">
        <v>5</v>
      </c>
      <c r="N935">
        <v>32.200000000000003</v>
      </c>
      <c r="O935">
        <v>161</v>
      </c>
    </row>
    <row r="936" spans="1:15" x14ac:dyDescent="0.3">
      <c r="A936" t="s">
        <v>1031</v>
      </c>
      <c r="B936" t="s">
        <v>43</v>
      </c>
      <c r="C936" s="7">
        <v>45695</v>
      </c>
      <c r="D936" s="7">
        <v>45702</v>
      </c>
      <c r="E936" t="s">
        <v>22</v>
      </c>
      <c r="F936" t="s">
        <v>34</v>
      </c>
      <c r="G936">
        <v>4</v>
      </c>
      <c r="H936" t="s">
        <v>18</v>
      </c>
      <c r="I936" t="s">
        <v>58</v>
      </c>
      <c r="J936">
        <f>orders[[#This Row],[Ship Date]]-orders[[#This Row],[Order Date]]</f>
        <v>7</v>
      </c>
      <c r="K936">
        <f>WEEKNUM(orders[[#This Row],[Order Date]])</f>
        <v>6</v>
      </c>
      <c r="L936" t="str" cm="1">
        <f t="array" ref="L936">_xlfn.IFS(orders[[#This Row],[Customer Gender]]="M","Male", orders[[#This Row],[Customer Gender]]="F","Female", orders[[#This Row],[Customer Gender]]="O","Other", TRUE,"Unknown")</f>
        <v>Male</v>
      </c>
      <c r="M936">
        <v>3</v>
      </c>
      <c r="N936">
        <v>22</v>
      </c>
      <c r="O936" s="5">
        <v>66</v>
      </c>
    </row>
    <row r="937" spans="1:15" x14ac:dyDescent="0.3">
      <c r="A937" t="s">
        <v>1032</v>
      </c>
      <c r="B937" t="s">
        <v>16</v>
      </c>
      <c r="C937" s="7">
        <v>45695</v>
      </c>
      <c r="D937" s="7">
        <v>45699</v>
      </c>
      <c r="E937" t="s">
        <v>26</v>
      </c>
      <c r="F937" t="s">
        <v>17</v>
      </c>
      <c r="G937">
        <v>4</v>
      </c>
      <c r="H937" t="s">
        <v>18</v>
      </c>
      <c r="I937" t="s">
        <v>58</v>
      </c>
      <c r="J937">
        <f>orders[[#This Row],[Ship Date]]-orders[[#This Row],[Order Date]]</f>
        <v>4</v>
      </c>
      <c r="K937">
        <f>WEEKNUM(orders[[#This Row],[Order Date]])</f>
        <v>6</v>
      </c>
      <c r="L937" t="str" cm="1">
        <f t="array" ref="L937">_xlfn.IFS(orders[[#This Row],[Customer Gender]]="M","Male", orders[[#This Row],[Customer Gender]]="F","Female", orders[[#This Row],[Customer Gender]]="O","Other", TRUE,"Unknown")</f>
        <v>Female</v>
      </c>
      <c r="M937">
        <v>2</v>
      </c>
      <c r="N937">
        <v>25.2</v>
      </c>
      <c r="O937">
        <v>50.4</v>
      </c>
    </row>
    <row r="938" spans="1:15" x14ac:dyDescent="0.3">
      <c r="A938" t="s">
        <v>1033</v>
      </c>
      <c r="B938" t="s">
        <v>21</v>
      </c>
      <c r="C938" s="7">
        <v>45695</v>
      </c>
      <c r="D938" s="7">
        <v>45697</v>
      </c>
      <c r="E938" t="s">
        <v>22</v>
      </c>
      <c r="F938" t="s">
        <v>69</v>
      </c>
      <c r="G938">
        <v>4</v>
      </c>
      <c r="H938" t="s">
        <v>18</v>
      </c>
      <c r="I938" t="s">
        <v>61</v>
      </c>
      <c r="J938">
        <f>orders[[#This Row],[Ship Date]]-orders[[#This Row],[Order Date]]</f>
        <v>2</v>
      </c>
      <c r="K938">
        <f>WEEKNUM(orders[[#This Row],[Order Date]])</f>
        <v>6</v>
      </c>
      <c r="L938" t="str" cm="1">
        <f t="array" ref="L938">_xlfn.IFS(orders[[#This Row],[Customer Gender]]="M","Male", orders[[#This Row],[Customer Gender]]="F","Female", orders[[#This Row],[Customer Gender]]="O","Other", TRUE,"Unknown")</f>
        <v>Male</v>
      </c>
      <c r="M938">
        <v>6</v>
      </c>
      <c r="N938">
        <v>68.7</v>
      </c>
      <c r="O938" s="5">
        <v>412.20000000000005</v>
      </c>
    </row>
    <row r="939" spans="1:15" x14ac:dyDescent="0.3">
      <c r="A939" t="s">
        <v>1034</v>
      </c>
      <c r="B939" t="s">
        <v>16</v>
      </c>
      <c r="C939" s="7">
        <v>45695</v>
      </c>
      <c r="D939" s="7">
        <v>45698</v>
      </c>
      <c r="E939" t="s">
        <v>22</v>
      </c>
      <c r="F939" t="s">
        <v>39</v>
      </c>
      <c r="G939">
        <v>5</v>
      </c>
      <c r="H939" t="s">
        <v>18</v>
      </c>
      <c r="I939" t="s">
        <v>61</v>
      </c>
      <c r="J939">
        <f>orders[[#This Row],[Ship Date]]-orders[[#This Row],[Order Date]]</f>
        <v>3</v>
      </c>
      <c r="K939">
        <f>WEEKNUM(orders[[#This Row],[Order Date]])</f>
        <v>6</v>
      </c>
      <c r="L939" t="str" cm="1">
        <f t="array" ref="L939">_xlfn.IFS(orders[[#This Row],[Customer Gender]]="M","Male", orders[[#This Row],[Customer Gender]]="F","Female", orders[[#This Row],[Customer Gender]]="O","Other", TRUE,"Unknown")</f>
        <v>Male</v>
      </c>
      <c r="M939">
        <v>3</v>
      </c>
      <c r="N939">
        <v>22.2</v>
      </c>
      <c r="O939">
        <v>66.599999999999994</v>
      </c>
    </row>
    <row r="940" spans="1:15" x14ac:dyDescent="0.3">
      <c r="A940" t="s">
        <v>1035</v>
      </c>
      <c r="B940" t="s">
        <v>21</v>
      </c>
      <c r="C940" s="7">
        <v>45695</v>
      </c>
      <c r="D940" s="7">
        <v>45696</v>
      </c>
      <c r="E940" t="s">
        <v>26</v>
      </c>
      <c r="F940" t="s">
        <v>34</v>
      </c>
      <c r="G940">
        <v>4</v>
      </c>
      <c r="H940" t="s">
        <v>18</v>
      </c>
      <c r="I940" t="s">
        <v>61</v>
      </c>
      <c r="J940">
        <f>orders[[#This Row],[Ship Date]]-orders[[#This Row],[Order Date]]</f>
        <v>1</v>
      </c>
      <c r="K940">
        <f>WEEKNUM(orders[[#This Row],[Order Date]])</f>
        <v>6</v>
      </c>
      <c r="L940" t="str" cm="1">
        <f t="array" ref="L940">_xlfn.IFS(orders[[#This Row],[Customer Gender]]="M","Male", orders[[#This Row],[Customer Gender]]="F","Female", orders[[#This Row],[Customer Gender]]="O","Other", TRUE,"Unknown")</f>
        <v>Female</v>
      </c>
      <c r="M940">
        <v>7</v>
      </c>
      <c r="N940">
        <v>36</v>
      </c>
      <c r="O940" s="5">
        <v>252</v>
      </c>
    </row>
    <row r="941" spans="1:15" x14ac:dyDescent="0.3">
      <c r="A941" t="s">
        <v>1036</v>
      </c>
      <c r="B941" t="s">
        <v>145</v>
      </c>
      <c r="C941" s="7">
        <v>45695</v>
      </c>
      <c r="D941" s="7">
        <v>45697</v>
      </c>
      <c r="E941" t="s">
        <v>26</v>
      </c>
      <c r="F941" t="s">
        <v>17</v>
      </c>
      <c r="G941">
        <v>3</v>
      </c>
      <c r="H941" t="s">
        <v>18</v>
      </c>
      <c r="I941" t="s">
        <v>61</v>
      </c>
      <c r="J941">
        <f>orders[[#This Row],[Ship Date]]-orders[[#This Row],[Order Date]]</f>
        <v>2</v>
      </c>
      <c r="K941">
        <f>WEEKNUM(orders[[#This Row],[Order Date]])</f>
        <v>6</v>
      </c>
      <c r="L941" t="str" cm="1">
        <f t="array" ref="L941">_xlfn.IFS(orders[[#This Row],[Customer Gender]]="M","Male", orders[[#This Row],[Customer Gender]]="F","Female", orders[[#This Row],[Customer Gender]]="O","Other", TRUE,"Unknown")</f>
        <v>Female</v>
      </c>
      <c r="M941">
        <v>1</v>
      </c>
      <c r="N941">
        <v>50.6</v>
      </c>
      <c r="O941">
        <v>50.6</v>
      </c>
    </row>
    <row r="942" spans="1:15" x14ac:dyDescent="0.3">
      <c r="A942" t="s">
        <v>1037</v>
      </c>
      <c r="B942" t="s">
        <v>122</v>
      </c>
      <c r="C942" s="7">
        <v>45695</v>
      </c>
      <c r="D942" s="7">
        <v>45697</v>
      </c>
      <c r="E942" t="s">
        <v>22</v>
      </c>
      <c r="F942" t="s">
        <v>17</v>
      </c>
      <c r="G942">
        <v>3</v>
      </c>
      <c r="H942" t="s">
        <v>18</v>
      </c>
      <c r="I942" t="s">
        <v>61</v>
      </c>
      <c r="J942">
        <f>orders[[#This Row],[Ship Date]]-orders[[#This Row],[Order Date]]</f>
        <v>2</v>
      </c>
      <c r="K942">
        <f>WEEKNUM(orders[[#This Row],[Order Date]])</f>
        <v>6</v>
      </c>
      <c r="L942" t="str" cm="1">
        <f t="array" ref="L942">_xlfn.IFS(orders[[#This Row],[Customer Gender]]="M","Male", orders[[#This Row],[Customer Gender]]="F","Female", orders[[#This Row],[Customer Gender]]="O","Other", TRUE,"Unknown")</f>
        <v>Male</v>
      </c>
      <c r="M942">
        <v>2</v>
      </c>
      <c r="N942">
        <v>44.9</v>
      </c>
      <c r="O942" s="5">
        <v>89.8</v>
      </c>
    </row>
    <row r="943" spans="1:15" x14ac:dyDescent="0.3">
      <c r="A943" t="s">
        <v>1038</v>
      </c>
      <c r="B943" t="s">
        <v>38</v>
      </c>
      <c r="C943" s="7">
        <v>45695</v>
      </c>
      <c r="D943" s="7">
        <v>45699</v>
      </c>
      <c r="E943" t="s">
        <v>22</v>
      </c>
      <c r="F943" t="s">
        <v>34</v>
      </c>
      <c r="G943">
        <v>5</v>
      </c>
      <c r="H943" t="s">
        <v>18</v>
      </c>
      <c r="I943" t="s">
        <v>73</v>
      </c>
      <c r="J943">
        <f>orders[[#This Row],[Ship Date]]-orders[[#This Row],[Order Date]]</f>
        <v>4</v>
      </c>
      <c r="K943">
        <f>WEEKNUM(orders[[#This Row],[Order Date]])</f>
        <v>6</v>
      </c>
      <c r="L943" t="str" cm="1">
        <f t="array" ref="L943">_xlfn.IFS(orders[[#This Row],[Customer Gender]]="M","Male", orders[[#This Row],[Customer Gender]]="F","Female", orders[[#This Row],[Customer Gender]]="O","Other", TRUE,"Unknown")</f>
        <v>Male</v>
      </c>
      <c r="M943">
        <v>3</v>
      </c>
      <c r="N943">
        <v>71.599999999999994</v>
      </c>
      <c r="O943">
        <v>214.79999999999998</v>
      </c>
    </row>
    <row r="944" spans="1:15" x14ac:dyDescent="0.3">
      <c r="A944" t="s">
        <v>1039</v>
      </c>
      <c r="B944" t="s">
        <v>38</v>
      </c>
      <c r="C944" s="7">
        <v>45695</v>
      </c>
      <c r="D944" s="7">
        <v>45697</v>
      </c>
      <c r="E944" t="s">
        <v>2517</v>
      </c>
      <c r="F944" t="s">
        <v>69</v>
      </c>
      <c r="G944">
        <v>4</v>
      </c>
      <c r="H944" t="s">
        <v>18</v>
      </c>
      <c r="I944" t="s">
        <v>76</v>
      </c>
      <c r="J944">
        <f>orders[[#This Row],[Ship Date]]-orders[[#This Row],[Order Date]]</f>
        <v>2</v>
      </c>
      <c r="K944">
        <f>WEEKNUM(orders[[#This Row],[Order Date]])</f>
        <v>6</v>
      </c>
      <c r="L944" t="str" cm="1">
        <f t="array" ref="L944">_xlfn.IFS(orders[[#This Row],[Customer Gender]]="M","Male", orders[[#This Row],[Customer Gender]]="F","Female", orders[[#This Row],[Customer Gender]]="O","Other", TRUE,"Unknown")</f>
        <v>Unknown</v>
      </c>
      <c r="M944">
        <v>6</v>
      </c>
      <c r="N944">
        <v>51.5</v>
      </c>
      <c r="O944" s="5">
        <v>309</v>
      </c>
    </row>
    <row r="945" spans="1:15" x14ac:dyDescent="0.3">
      <c r="A945" t="s">
        <v>1040</v>
      </c>
      <c r="B945" t="s">
        <v>41</v>
      </c>
      <c r="C945" s="7">
        <v>45695</v>
      </c>
      <c r="D945" s="7">
        <v>45696</v>
      </c>
      <c r="E945" t="s">
        <v>22</v>
      </c>
      <c r="F945" t="s">
        <v>34</v>
      </c>
      <c r="G945">
        <v>3</v>
      </c>
      <c r="H945" t="s">
        <v>18</v>
      </c>
      <c r="I945" t="s">
        <v>76</v>
      </c>
      <c r="J945">
        <f>orders[[#This Row],[Ship Date]]-orders[[#This Row],[Order Date]]</f>
        <v>1</v>
      </c>
      <c r="K945">
        <f>WEEKNUM(orders[[#This Row],[Order Date]])</f>
        <v>6</v>
      </c>
      <c r="L945" t="str" cm="1">
        <f t="array" ref="L945">_xlfn.IFS(orders[[#This Row],[Customer Gender]]="M","Male", orders[[#This Row],[Customer Gender]]="F","Female", orders[[#This Row],[Customer Gender]]="O","Other", TRUE,"Unknown")</f>
        <v>Male</v>
      </c>
      <c r="M945">
        <v>5</v>
      </c>
      <c r="N945">
        <v>55.5</v>
      </c>
      <c r="O945">
        <v>277.5</v>
      </c>
    </row>
    <row r="946" spans="1:15" x14ac:dyDescent="0.3">
      <c r="A946" t="s">
        <v>1041</v>
      </c>
      <c r="B946" t="s">
        <v>38</v>
      </c>
      <c r="C946" s="7">
        <v>45695</v>
      </c>
      <c r="D946" s="7">
        <v>45709</v>
      </c>
      <c r="E946" t="s">
        <v>22</v>
      </c>
      <c r="F946" t="s">
        <v>39</v>
      </c>
      <c r="G946">
        <v>4</v>
      </c>
      <c r="H946" t="s">
        <v>18</v>
      </c>
      <c r="I946" t="s">
        <v>109</v>
      </c>
      <c r="J946">
        <f>orders[[#This Row],[Ship Date]]-orders[[#This Row],[Order Date]]</f>
        <v>14</v>
      </c>
      <c r="K946">
        <f>WEEKNUM(orders[[#This Row],[Order Date]])</f>
        <v>6</v>
      </c>
      <c r="L946" t="str" cm="1">
        <f t="array" ref="L946">_xlfn.IFS(orders[[#This Row],[Customer Gender]]="M","Male", orders[[#This Row],[Customer Gender]]="F","Female", orders[[#This Row],[Customer Gender]]="O","Other", TRUE,"Unknown")</f>
        <v>Male</v>
      </c>
      <c r="M946">
        <v>1</v>
      </c>
      <c r="N946">
        <v>51.7</v>
      </c>
      <c r="O946" s="5">
        <v>51.7</v>
      </c>
    </row>
    <row r="947" spans="1:15" x14ac:dyDescent="0.3">
      <c r="A947" t="s">
        <v>1042</v>
      </c>
      <c r="B947" t="s">
        <v>43</v>
      </c>
      <c r="C947" s="7">
        <v>45695</v>
      </c>
      <c r="D947" s="7">
        <v>45696</v>
      </c>
      <c r="E947" t="s">
        <v>26</v>
      </c>
      <c r="F947" t="s">
        <v>50</v>
      </c>
      <c r="G947">
        <v>5</v>
      </c>
      <c r="H947" t="s">
        <v>18</v>
      </c>
      <c r="I947" t="s">
        <v>109</v>
      </c>
      <c r="J947">
        <f>orders[[#This Row],[Ship Date]]-orders[[#This Row],[Order Date]]</f>
        <v>1</v>
      </c>
      <c r="K947">
        <f>WEEKNUM(orders[[#This Row],[Order Date]])</f>
        <v>6</v>
      </c>
      <c r="L947" t="str" cm="1">
        <f t="array" ref="L947">_xlfn.IFS(orders[[#This Row],[Customer Gender]]="M","Male", orders[[#This Row],[Customer Gender]]="F","Female", orders[[#This Row],[Customer Gender]]="O","Other", TRUE,"Unknown")</f>
        <v>Female</v>
      </c>
      <c r="M947">
        <v>21</v>
      </c>
      <c r="N947">
        <v>45.5</v>
      </c>
      <c r="O947">
        <v>955.5</v>
      </c>
    </row>
    <row r="948" spans="1:15" x14ac:dyDescent="0.3">
      <c r="A948" t="s">
        <v>1043</v>
      </c>
      <c r="B948" t="s">
        <v>43</v>
      </c>
      <c r="C948" s="7">
        <v>45695</v>
      </c>
      <c r="D948" s="7">
        <v>45701</v>
      </c>
      <c r="E948" t="s">
        <v>26</v>
      </c>
      <c r="F948" t="s">
        <v>50</v>
      </c>
      <c r="G948">
        <v>4</v>
      </c>
      <c r="H948" t="s">
        <v>18</v>
      </c>
      <c r="I948" t="s">
        <v>112</v>
      </c>
      <c r="J948">
        <f>orders[[#This Row],[Ship Date]]-orders[[#This Row],[Order Date]]</f>
        <v>6</v>
      </c>
      <c r="K948">
        <f>WEEKNUM(orders[[#This Row],[Order Date]])</f>
        <v>6</v>
      </c>
      <c r="L948" t="str" cm="1">
        <f t="array" ref="L948">_xlfn.IFS(orders[[#This Row],[Customer Gender]]="M","Male", orders[[#This Row],[Customer Gender]]="F","Female", orders[[#This Row],[Customer Gender]]="O","Other", TRUE,"Unknown")</f>
        <v>Female</v>
      </c>
      <c r="M948">
        <v>2</v>
      </c>
      <c r="N948">
        <v>33.799999999999997</v>
      </c>
      <c r="O948" s="5">
        <v>67.599999999999994</v>
      </c>
    </row>
    <row r="949" spans="1:15" x14ac:dyDescent="0.3">
      <c r="A949" t="s">
        <v>1044</v>
      </c>
      <c r="B949" t="s">
        <v>29</v>
      </c>
      <c r="C949" s="7">
        <v>45695</v>
      </c>
      <c r="D949" s="7">
        <v>45696</v>
      </c>
      <c r="E949" t="s">
        <v>26</v>
      </c>
      <c r="F949" t="s">
        <v>17</v>
      </c>
      <c r="G949">
        <v>3</v>
      </c>
      <c r="H949" t="s">
        <v>18</v>
      </c>
      <c r="I949" t="s">
        <v>114</v>
      </c>
      <c r="J949">
        <f>orders[[#This Row],[Ship Date]]-orders[[#This Row],[Order Date]]</f>
        <v>1</v>
      </c>
      <c r="K949">
        <f>WEEKNUM(orders[[#This Row],[Order Date]])</f>
        <v>6</v>
      </c>
      <c r="L949" t="str" cm="1">
        <f t="array" ref="L949">_xlfn.IFS(orders[[#This Row],[Customer Gender]]="M","Male", orders[[#This Row],[Customer Gender]]="F","Female", orders[[#This Row],[Customer Gender]]="O","Other", TRUE,"Unknown")</f>
        <v>Female</v>
      </c>
      <c r="M949">
        <v>3</v>
      </c>
      <c r="N949">
        <v>76.5</v>
      </c>
      <c r="O949">
        <v>229.5</v>
      </c>
    </row>
    <row r="950" spans="1:15" x14ac:dyDescent="0.3">
      <c r="A950" t="s">
        <v>1045</v>
      </c>
      <c r="B950" t="s">
        <v>45</v>
      </c>
      <c r="C950" s="7">
        <v>45695</v>
      </c>
      <c r="D950" s="7">
        <v>45701</v>
      </c>
      <c r="E950" t="s">
        <v>26</v>
      </c>
      <c r="F950" t="s">
        <v>39</v>
      </c>
      <c r="G950">
        <v>5</v>
      </c>
      <c r="H950" t="s">
        <v>18</v>
      </c>
      <c r="I950" t="s">
        <v>27</v>
      </c>
      <c r="J950">
        <f>orders[[#This Row],[Ship Date]]-orders[[#This Row],[Order Date]]</f>
        <v>6</v>
      </c>
      <c r="K950">
        <f>WEEKNUM(orders[[#This Row],[Order Date]])</f>
        <v>6</v>
      </c>
      <c r="L950" t="str" cm="1">
        <f t="array" ref="L950">_xlfn.IFS(orders[[#This Row],[Customer Gender]]="M","Male", orders[[#This Row],[Customer Gender]]="F","Female", orders[[#This Row],[Customer Gender]]="O","Other", TRUE,"Unknown")</f>
        <v>Female</v>
      </c>
      <c r="M950">
        <v>3</v>
      </c>
      <c r="N950">
        <v>42.6</v>
      </c>
      <c r="O950" s="5">
        <v>127.80000000000001</v>
      </c>
    </row>
    <row r="951" spans="1:15" x14ac:dyDescent="0.3">
      <c r="A951" t="s">
        <v>1046</v>
      </c>
      <c r="B951" t="s">
        <v>38</v>
      </c>
      <c r="C951" s="7">
        <v>45695</v>
      </c>
      <c r="D951" s="7">
        <v>45697</v>
      </c>
      <c r="E951" t="s">
        <v>26</v>
      </c>
      <c r="F951" t="s">
        <v>34</v>
      </c>
      <c r="G951">
        <v>3</v>
      </c>
      <c r="H951" t="s">
        <v>18</v>
      </c>
      <c r="I951" t="s">
        <v>146</v>
      </c>
      <c r="J951">
        <f>orders[[#This Row],[Ship Date]]-orders[[#This Row],[Order Date]]</f>
        <v>2</v>
      </c>
      <c r="K951">
        <f>WEEKNUM(orders[[#This Row],[Order Date]])</f>
        <v>6</v>
      </c>
      <c r="L951" t="str" cm="1">
        <f t="array" ref="L951">_xlfn.IFS(orders[[#This Row],[Customer Gender]]="M","Male", orders[[#This Row],[Customer Gender]]="F","Female", orders[[#This Row],[Customer Gender]]="O","Other", TRUE,"Unknown")</f>
        <v>Female</v>
      </c>
      <c r="M951">
        <v>3</v>
      </c>
      <c r="N951">
        <v>44.1</v>
      </c>
      <c r="O951">
        <v>132.30000000000001</v>
      </c>
    </row>
    <row r="952" spans="1:15" x14ac:dyDescent="0.3">
      <c r="A952" t="s">
        <v>1047</v>
      </c>
      <c r="B952" t="s">
        <v>43</v>
      </c>
      <c r="C952" s="7">
        <v>45695</v>
      </c>
      <c r="D952" s="7">
        <v>45699</v>
      </c>
      <c r="E952" t="s">
        <v>22</v>
      </c>
      <c r="F952" t="s">
        <v>17</v>
      </c>
      <c r="G952">
        <v>4</v>
      </c>
      <c r="H952" t="s">
        <v>18</v>
      </c>
      <c r="I952" t="s">
        <v>32</v>
      </c>
      <c r="J952">
        <f>orders[[#This Row],[Ship Date]]-orders[[#This Row],[Order Date]]</f>
        <v>4</v>
      </c>
      <c r="K952">
        <f>WEEKNUM(orders[[#This Row],[Order Date]])</f>
        <v>6</v>
      </c>
      <c r="L952" t="str" cm="1">
        <f t="array" ref="L952">_xlfn.IFS(orders[[#This Row],[Customer Gender]]="M","Male", orders[[#This Row],[Customer Gender]]="F","Female", orders[[#This Row],[Customer Gender]]="O","Other", TRUE,"Unknown")</f>
        <v>Male</v>
      </c>
      <c r="M952">
        <v>2</v>
      </c>
      <c r="N952">
        <v>40.9</v>
      </c>
      <c r="O952" s="5">
        <v>81.8</v>
      </c>
    </row>
    <row r="953" spans="1:15" x14ac:dyDescent="0.3">
      <c r="A953" t="s">
        <v>1048</v>
      </c>
      <c r="B953" t="s">
        <v>45</v>
      </c>
      <c r="C953" s="7">
        <v>45695</v>
      </c>
      <c r="D953" s="7">
        <v>45699</v>
      </c>
      <c r="E953" t="s">
        <v>26</v>
      </c>
      <c r="F953" t="s">
        <v>50</v>
      </c>
      <c r="G953">
        <v>3</v>
      </c>
      <c r="H953" t="s">
        <v>18</v>
      </c>
      <c r="I953" t="s">
        <v>32</v>
      </c>
      <c r="J953">
        <f>orders[[#This Row],[Ship Date]]-orders[[#This Row],[Order Date]]</f>
        <v>4</v>
      </c>
      <c r="K953">
        <f>WEEKNUM(orders[[#This Row],[Order Date]])</f>
        <v>6</v>
      </c>
      <c r="L953" t="str" cm="1">
        <f t="array" ref="L953">_xlfn.IFS(orders[[#This Row],[Customer Gender]]="M","Male", orders[[#This Row],[Customer Gender]]="F","Female", orders[[#This Row],[Customer Gender]]="O","Other", TRUE,"Unknown")</f>
        <v>Female</v>
      </c>
      <c r="M953">
        <v>3</v>
      </c>
      <c r="N953">
        <v>49.1</v>
      </c>
      <c r="O953">
        <v>147.30000000000001</v>
      </c>
    </row>
    <row r="954" spans="1:15" x14ac:dyDescent="0.3">
      <c r="A954" t="s">
        <v>1049</v>
      </c>
      <c r="B954" t="s">
        <v>145</v>
      </c>
      <c r="C954" s="7">
        <v>45695</v>
      </c>
      <c r="D954" s="7">
        <v>45699</v>
      </c>
      <c r="E954" t="s">
        <v>22</v>
      </c>
      <c r="F954" t="s">
        <v>34</v>
      </c>
      <c r="G954">
        <v>3</v>
      </c>
      <c r="H954" t="s">
        <v>18</v>
      </c>
      <c r="I954" t="s">
        <v>32</v>
      </c>
      <c r="J954">
        <f>orders[[#This Row],[Ship Date]]-orders[[#This Row],[Order Date]]</f>
        <v>4</v>
      </c>
      <c r="K954">
        <f>WEEKNUM(orders[[#This Row],[Order Date]])</f>
        <v>6</v>
      </c>
      <c r="L954" t="str" cm="1">
        <f t="array" ref="L954">_xlfn.IFS(orders[[#This Row],[Customer Gender]]="M","Male", orders[[#This Row],[Customer Gender]]="F","Female", orders[[#This Row],[Customer Gender]]="O","Other", TRUE,"Unknown")</f>
        <v>Male</v>
      </c>
      <c r="M954">
        <v>1</v>
      </c>
      <c r="N954">
        <v>85.3</v>
      </c>
      <c r="O954" s="5">
        <v>85.3</v>
      </c>
    </row>
    <row r="955" spans="1:15" x14ac:dyDescent="0.3">
      <c r="A955" t="s">
        <v>1050</v>
      </c>
      <c r="B955" t="s">
        <v>38</v>
      </c>
      <c r="C955" s="7">
        <v>45696</v>
      </c>
      <c r="D955" s="7">
        <v>45699</v>
      </c>
      <c r="E955" t="s">
        <v>22</v>
      </c>
      <c r="F955" t="s">
        <v>17</v>
      </c>
      <c r="G955">
        <v>4</v>
      </c>
      <c r="H955" t="s">
        <v>18</v>
      </c>
      <c r="I955" t="s">
        <v>32</v>
      </c>
      <c r="J955">
        <f>orders[[#This Row],[Ship Date]]-orders[[#This Row],[Order Date]]</f>
        <v>3</v>
      </c>
      <c r="K955">
        <f>WEEKNUM(orders[[#This Row],[Order Date]])</f>
        <v>6</v>
      </c>
      <c r="L955" t="str" cm="1">
        <f t="array" ref="L955">_xlfn.IFS(orders[[#This Row],[Customer Gender]]="M","Male", orders[[#This Row],[Customer Gender]]="F","Female", orders[[#This Row],[Customer Gender]]="O","Other", TRUE,"Unknown")</f>
        <v>Male</v>
      </c>
      <c r="M955">
        <v>4</v>
      </c>
      <c r="N955">
        <v>43.1</v>
      </c>
      <c r="O955">
        <v>172.4</v>
      </c>
    </row>
    <row r="956" spans="1:15" x14ac:dyDescent="0.3">
      <c r="A956" t="s">
        <v>1051</v>
      </c>
      <c r="B956" t="s">
        <v>31</v>
      </c>
      <c r="C956" s="7">
        <v>45696</v>
      </c>
      <c r="D956" s="7">
        <v>45697</v>
      </c>
      <c r="E956" t="s">
        <v>22</v>
      </c>
      <c r="F956" t="s">
        <v>39</v>
      </c>
      <c r="G956">
        <v>4</v>
      </c>
      <c r="H956" t="s">
        <v>18</v>
      </c>
      <c r="I956" t="s">
        <v>32</v>
      </c>
      <c r="J956">
        <f>orders[[#This Row],[Ship Date]]-orders[[#This Row],[Order Date]]</f>
        <v>1</v>
      </c>
      <c r="K956">
        <f>WEEKNUM(orders[[#This Row],[Order Date]])</f>
        <v>6</v>
      </c>
      <c r="L956" t="str" cm="1">
        <f t="array" ref="L956">_xlfn.IFS(orders[[#This Row],[Customer Gender]]="M","Male", orders[[#This Row],[Customer Gender]]="F","Female", orders[[#This Row],[Customer Gender]]="O","Other", TRUE,"Unknown")</f>
        <v>Male</v>
      </c>
      <c r="M956">
        <v>4</v>
      </c>
      <c r="N956">
        <v>46.2</v>
      </c>
      <c r="O956" s="5">
        <v>184.8</v>
      </c>
    </row>
    <row r="957" spans="1:15" x14ac:dyDescent="0.3">
      <c r="A957" t="s">
        <v>1052</v>
      </c>
      <c r="B957" t="s">
        <v>21</v>
      </c>
      <c r="C957" s="7">
        <v>45696</v>
      </c>
      <c r="D957" s="7">
        <v>45698</v>
      </c>
      <c r="E957" t="s">
        <v>22</v>
      </c>
      <c r="F957" t="s">
        <v>69</v>
      </c>
      <c r="G957">
        <v>5</v>
      </c>
      <c r="H957" t="s">
        <v>18</v>
      </c>
      <c r="I957" t="s">
        <v>32</v>
      </c>
      <c r="J957">
        <f>orders[[#This Row],[Ship Date]]-orders[[#This Row],[Order Date]]</f>
        <v>2</v>
      </c>
      <c r="K957">
        <f>WEEKNUM(orders[[#This Row],[Order Date]])</f>
        <v>6</v>
      </c>
      <c r="L957" t="str" cm="1">
        <f t="array" ref="L957">_xlfn.IFS(orders[[#This Row],[Customer Gender]]="M","Male", orders[[#This Row],[Customer Gender]]="F","Female", orders[[#This Row],[Customer Gender]]="O","Other", TRUE,"Unknown")</f>
        <v>Male</v>
      </c>
      <c r="M957">
        <v>1</v>
      </c>
      <c r="N957">
        <v>74.400000000000006</v>
      </c>
      <c r="O957">
        <v>74.400000000000006</v>
      </c>
    </row>
    <row r="958" spans="1:15" x14ac:dyDescent="0.3">
      <c r="A958" t="s">
        <v>1053</v>
      </c>
      <c r="B958" t="s">
        <v>134</v>
      </c>
      <c r="C958" s="7">
        <v>45696</v>
      </c>
      <c r="D958" s="7">
        <v>45697</v>
      </c>
      <c r="E958" t="s">
        <v>22</v>
      </c>
      <c r="F958" t="s">
        <v>34</v>
      </c>
      <c r="G958">
        <v>4</v>
      </c>
      <c r="H958" t="s">
        <v>18</v>
      </c>
      <c r="I958" t="s">
        <v>32</v>
      </c>
      <c r="J958">
        <f>orders[[#This Row],[Ship Date]]-orders[[#This Row],[Order Date]]</f>
        <v>1</v>
      </c>
      <c r="K958">
        <f>WEEKNUM(orders[[#This Row],[Order Date]])</f>
        <v>6</v>
      </c>
      <c r="L958" t="str" cm="1">
        <f t="array" ref="L958">_xlfn.IFS(orders[[#This Row],[Customer Gender]]="M","Male", orders[[#This Row],[Customer Gender]]="F","Female", orders[[#This Row],[Customer Gender]]="O","Other", TRUE,"Unknown")</f>
        <v>Male</v>
      </c>
      <c r="M958">
        <v>2</v>
      </c>
      <c r="N958">
        <v>51.2</v>
      </c>
      <c r="O958" s="5">
        <v>102.4</v>
      </c>
    </row>
    <row r="959" spans="1:15" x14ac:dyDescent="0.3">
      <c r="A959" t="s">
        <v>1054</v>
      </c>
      <c r="B959" t="s">
        <v>80</v>
      </c>
      <c r="C959" s="7">
        <v>45696</v>
      </c>
      <c r="D959" s="7">
        <v>45696</v>
      </c>
      <c r="E959" t="s">
        <v>22</v>
      </c>
      <c r="F959" t="s">
        <v>39</v>
      </c>
      <c r="G959">
        <v>4</v>
      </c>
      <c r="H959" t="s">
        <v>18</v>
      </c>
      <c r="I959" t="s">
        <v>32</v>
      </c>
      <c r="J959">
        <f>orders[[#This Row],[Ship Date]]-orders[[#This Row],[Order Date]]</f>
        <v>0</v>
      </c>
      <c r="K959">
        <f>WEEKNUM(orders[[#This Row],[Order Date]])</f>
        <v>6</v>
      </c>
      <c r="L959" t="str" cm="1">
        <f t="array" ref="L959">_xlfn.IFS(orders[[#This Row],[Customer Gender]]="M","Male", orders[[#This Row],[Customer Gender]]="F","Female", orders[[#This Row],[Customer Gender]]="O","Other", TRUE,"Unknown")</f>
        <v>Male</v>
      </c>
      <c r="M959">
        <v>4</v>
      </c>
      <c r="N959">
        <v>11.8</v>
      </c>
      <c r="O959">
        <v>47.2</v>
      </c>
    </row>
    <row r="960" spans="1:15" x14ac:dyDescent="0.3">
      <c r="A960" t="s">
        <v>1055</v>
      </c>
      <c r="B960" t="s">
        <v>53</v>
      </c>
      <c r="C960" s="7">
        <v>45696</v>
      </c>
      <c r="D960" s="7">
        <v>45697</v>
      </c>
      <c r="E960" t="s">
        <v>26</v>
      </c>
      <c r="F960" t="s">
        <v>50</v>
      </c>
      <c r="G960">
        <v>5</v>
      </c>
      <c r="H960" t="s">
        <v>18</v>
      </c>
      <c r="I960" t="s">
        <v>32</v>
      </c>
      <c r="J960">
        <f>orders[[#This Row],[Ship Date]]-orders[[#This Row],[Order Date]]</f>
        <v>1</v>
      </c>
      <c r="K960">
        <f>WEEKNUM(orders[[#This Row],[Order Date]])</f>
        <v>6</v>
      </c>
      <c r="L960" t="str" cm="1">
        <f t="array" ref="L960">_xlfn.IFS(orders[[#This Row],[Customer Gender]]="M","Male", orders[[#This Row],[Customer Gender]]="F","Female", orders[[#This Row],[Customer Gender]]="O","Other", TRUE,"Unknown")</f>
        <v>Female</v>
      </c>
      <c r="M960">
        <v>27</v>
      </c>
      <c r="N960">
        <v>40.799999999999997</v>
      </c>
      <c r="O960" s="5">
        <v>1101.5999999999999</v>
      </c>
    </row>
    <row r="961" spans="1:15" x14ac:dyDescent="0.3">
      <c r="A961" t="s">
        <v>1056</v>
      </c>
      <c r="B961" t="s">
        <v>43</v>
      </c>
      <c r="C961" s="7">
        <v>45696</v>
      </c>
      <c r="D961" s="7">
        <v>45698</v>
      </c>
      <c r="E961" t="s">
        <v>26</v>
      </c>
      <c r="F961" t="s">
        <v>39</v>
      </c>
      <c r="G961">
        <v>3</v>
      </c>
      <c r="H961" t="s">
        <v>18</v>
      </c>
      <c r="I961" t="s">
        <v>32</v>
      </c>
      <c r="J961">
        <f>orders[[#This Row],[Ship Date]]-orders[[#This Row],[Order Date]]</f>
        <v>2</v>
      </c>
      <c r="K961">
        <f>WEEKNUM(orders[[#This Row],[Order Date]])</f>
        <v>6</v>
      </c>
      <c r="L961" t="str" cm="1">
        <f t="array" ref="L961">_xlfn.IFS(orders[[#This Row],[Customer Gender]]="M","Male", orders[[#This Row],[Customer Gender]]="F","Female", orders[[#This Row],[Customer Gender]]="O","Other", TRUE,"Unknown")</f>
        <v>Female</v>
      </c>
      <c r="M961">
        <v>1</v>
      </c>
      <c r="N961">
        <v>24.7</v>
      </c>
      <c r="O961">
        <v>24.7</v>
      </c>
    </row>
    <row r="962" spans="1:15" x14ac:dyDescent="0.3">
      <c r="A962" t="s">
        <v>1057</v>
      </c>
      <c r="B962" t="s">
        <v>43</v>
      </c>
      <c r="C962" s="7">
        <v>45696</v>
      </c>
      <c r="D962" s="7">
        <v>45696</v>
      </c>
      <c r="E962" t="s">
        <v>26</v>
      </c>
      <c r="F962" t="s">
        <v>39</v>
      </c>
      <c r="G962">
        <v>2</v>
      </c>
      <c r="H962" t="s">
        <v>18</v>
      </c>
      <c r="I962" t="s">
        <v>32</v>
      </c>
      <c r="J962">
        <f>orders[[#This Row],[Ship Date]]-orders[[#This Row],[Order Date]]</f>
        <v>0</v>
      </c>
      <c r="K962">
        <f>WEEKNUM(orders[[#This Row],[Order Date]])</f>
        <v>6</v>
      </c>
      <c r="L962" t="str" cm="1">
        <f t="array" ref="L962">_xlfn.IFS(orders[[#This Row],[Customer Gender]]="M","Male", orders[[#This Row],[Customer Gender]]="F","Female", orders[[#This Row],[Customer Gender]]="O","Other", TRUE,"Unknown")</f>
        <v>Female</v>
      </c>
      <c r="M962">
        <v>7</v>
      </c>
      <c r="N962">
        <v>22.1</v>
      </c>
      <c r="O962" s="5">
        <v>154.70000000000002</v>
      </c>
    </row>
    <row r="963" spans="1:15" x14ac:dyDescent="0.3">
      <c r="A963" t="s">
        <v>1058</v>
      </c>
      <c r="B963" t="s">
        <v>43</v>
      </c>
      <c r="C963" s="7">
        <v>45696</v>
      </c>
      <c r="D963" s="7">
        <v>45700</v>
      </c>
      <c r="E963" t="s">
        <v>22</v>
      </c>
      <c r="F963" t="s">
        <v>50</v>
      </c>
      <c r="G963">
        <v>5</v>
      </c>
      <c r="H963" t="s">
        <v>18</v>
      </c>
      <c r="I963" t="s">
        <v>32</v>
      </c>
      <c r="J963">
        <f>orders[[#This Row],[Ship Date]]-orders[[#This Row],[Order Date]]</f>
        <v>4</v>
      </c>
      <c r="K963">
        <f>WEEKNUM(orders[[#This Row],[Order Date]])</f>
        <v>6</v>
      </c>
      <c r="L963" t="str" cm="1">
        <f t="array" ref="L963">_xlfn.IFS(orders[[#This Row],[Customer Gender]]="M","Male", orders[[#This Row],[Customer Gender]]="F","Female", orders[[#This Row],[Customer Gender]]="O","Other", TRUE,"Unknown")</f>
        <v>Male</v>
      </c>
      <c r="M963">
        <v>1</v>
      </c>
      <c r="N963">
        <v>18.100000000000001</v>
      </c>
      <c r="O963">
        <v>18.100000000000001</v>
      </c>
    </row>
    <row r="964" spans="1:15" x14ac:dyDescent="0.3">
      <c r="A964" t="s">
        <v>1059</v>
      </c>
      <c r="B964" t="s">
        <v>134</v>
      </c>
      <c r="C964" s="7">
        <v>45696</v>
      </c>
      <c r="D964" s="7">
        <v>45699</v>
      </c>
      <c r="E964" t="s">
        <v>26</v>
      </c>
      <c r="F964" t="s">
        <v>17</v>
      </c>
      <c r="G964">
        <v>4</v>
      </c>
      <c r="H964" t="s">
        <v>18</v>
      </c>
      <c r="I964" t="s">
        <v>187</v>
      </c>
      <c r="J964">
        <f>orders[[#This Row],[Ship Date]]-orders[[#This Row],[Order Date]]</f>
        <v>3</v>
      </c>
      <c r="K964">
        <f>WEEKNUM(orders[[#This Row],[Order Date]])</f>
        <v>6</v>
      </c>
      <c r="L964" t="str" cm="1">
        <f t="array" ref="L964">_xlfn.IFS(orders[[#This Row],[Customer Gender]]="M","Male", orders[[#This Row],[Customer Gender]]="F","Female", orders[[#This Row],[Customer Gender]]="O","Other", TRUE,"Unknown")</f>
        <v>Female</v>
      </c>
      <c r="M964">
        <v>2</v>
      </c>
      <c r="N964">
        <v>58.8</v>
      </c>
      <c r="O964" s="5">
        <v>117.6</v>
      </c>
    </row>
    <row r="965" spans="1:15" x14ac:dyDescent="0.3">
      <c r="A965" t="s">
        <v>1060</v>
      </c>
      <c r="B965" t="s">
        <v>145</v>
      </c>
      <c r="C965" s="7">
        <v>45696</v>
      </c>
      <c r="D965" s="7">
        <v>45697</v>
      </c>
      <c r="E965" t="s">
        <v>26</v>
      </c>
      <c r="F965" t="s">
        <v>17</v>
      </c>
      <c r="G965">
        <v>4</v>
      </c>
      <c r="H965" t="s">
        <v>18</v>
      </c>
      <c r="I965" t="s">
        <v>54</v>
      </c>
      <c r="J965">
        <f>orders[[#This Row],[Ship Date]]-orders[[#This Row],[Order Date]]</f>
        <v>1</v>
      </c>
      <c r="K965">
        <f>WEEKNUM(orders[[#This Row],[Order Date]])</f>
        <v>6</v>
      </c>
      <c r="L965" t="str" cm="1">
        <f t="array" ref="L965">_xlfn.IFS(orders[[#This Row],[Customer Gender]]="M","Male", orders[[#This Row],[Customer Gender]]="F","Female", orders[[#This Row],[Customer Gender]]="O","Other", TRUE,"Unknown")</f>
        <v>Female</v>
      </c>
      <c r="M965">
        <v>2</v>
      </c>
      <c r="N965">
        <v>30.8</v>
      </c>
      <c r="O965">
        <v>61.6</v>
      </c>
    </row>
    <row r="966" spans="1:15" x14ac:dyDescent="0.3">
      <c r="A966" t="s">
        <v>1061</v>
      </c>
      <c r="B966" t="s">
        <v>16</v>
      </c>
      <c r="C966" s="7">
        <v>45696</v>
      </c>
      <c r="D966" s="7">
        <v>45700</v>
      </c>
      <c r="E966" t="s">
        <v>26</v>
      </c>
      <c r="F966" t="s">
        <v>17</v>
      </c>
      <c r="G966">
        <v>4</v>
      </c>
      <c r="H966" t="s">
        <v>18</v>
      </c>
      <c r="I966" t="s">
        <v>54</v>
      </c>
      <c r="J966">
        <f>orders[[#This Row],[Ship Date]]-orders[[#This Row],[Order Date]]</f>
        <v>4</v>
      </c>
      <c r="K966">
        <f>WEEKNUM(orders[[#This Row],[Order Date]])</f>
        <v>6</v>
      </c>
      <c r="L966" t="str" cm="1">
        <f t="array" ref="L966">_xlfn.IFS(orders[[#This Row],[Customer Gender]]="M","Male", orders[[#This Row],[Customer Gender]]="F","Female", orders[[#This Row],[Customer Gender]]="O","Other", TRUE,"Unknown")</f>
        <v>Female</v>
      </c>
      <c r="M966">
        <v>2</v>
      </c>
      <c r="N966">
        <v>12</v>
      </c>
      <c r="O966" s="5">
        <v>24</v>
      </c>
    </row>
    <row r="967" spans="1:15" x14ac:dyDescent="0.3">
      <c r="A967" t="s">
        <v>1062</v>
      </c>
      <c r="B967" t="s">
        <v>16</v>
      </c>
      <c r="C967" s="7">
        <v>45696</v>
      </c>
      <c r="D967" s="7">
        <v>45699</v>
      </c>
      <c r="E967" t="s">
        <v>22</v>
      </c>
      <c r="F967" t="s">
        <v>39</v>
      </c>
      <c r="G967">
        <v>4</v>
      </c>
      <c r="H967" t="s">
        <v>18</v>
      </c>
      <c r="I967" t="s">
        <v>54</v>
      </c>
      <c r="J967">
        <f>orders[[#This Row],[Ship Date]]-orders[[#This Row],[Order Date]]</f>
        <v>3</v>
      </c>
      <c r="K967">
        <f>WEEKNUM(orders[[#This Row],[Order Date]])</f>
        <v>6</v>
      </c>
      <c r="L967" t="str" cm="1">
        <f t="array" ref="L967">_xlfn.IFS(orders[[#This Row],[Customer Gender]]="M","Male", orders[[#This Row],[Customer Gender]]="F","Female", orders[[#This Row],[Customer Gender]]="O","Other", TRUE,"Unknown")</f>
        <v>Male</v>
      </c>
      <c r="M967">
        <v>4</v>
      </c>
      <c r="N967">
        <v>13.6</v>
      </c>
      <c r="O967">
        <v>54.4</v>
      </c>
    </row>
    <row r="968" spans="1:15" x14ac:dyDescent="0.3">
      <c r="A968" t="s">
        <v>1063</v>
      </c>
      <c r="B968" t="s">
        <v>16</v>
      </c>
      <c r="C968" s="7">
        <v>45696</v>
      </c>
      <c r="D968" s="7">
        <v>45697</v>
      </c>
      <c r="E968" t="s">
        <v>22</v>
      </c>
      <c r="F968" t="s">
        <v>50</v>
      </c>
      <c r="G968">
        <v>4</v>
      </c>
      <c r="H968" t="s">
        <v>18</v>
      </c>
      <c r="I968" t="s">
        <v>54</v>
      </c>
      <c r="J968">
        <f>orders[[#This Row],[Ship Date]]-orders[[#This Row],[Order Date]]</f>
        <v>1</v>
      </c>
      <c r="K968">
        <f>WEEKNUM(orders[[#This Row],[Order Date]])</f>
        <v>6</v>
      </c>
      <c r="L968" t="str" cm="1">
        <f t="array" ref="L968">_xlfn.IFS(orders[[#This Row],[Customer Gender]]="M","Male", orders[[#This Row],[Customer Gender]]="F","Female", orders[[#This Row],[Customer Gender]]="O","Other", TRUE,"Unknown")</f>
        <v>Male</v>
      </c>
      <c r="M968">
        <v>1</v>
      </c>
      <c r="N968">
        <v>17.899999999999999</v>
      </c>
      <c r="O968" s="5">
        <v>17.899999999999999</v>
      </c>
    </row>
    <row r="969" spans="1:15" x14ac:dyDescent="0.3">
      <c r="A969" t="s">
        <v>1064</v>
      </c>
      <c r="B969" t="s">
        <v>45</v>
      </c>
      <c r="C969" s="7">
        <v>45696</v>
      </c>
      <c r="D969" s="7">
        <v>45700</v>
      </c>
      <c r="E969" t="s">
        <v>26</v>
      </c>
      <c r="F969" t="s">
        <v>69</v>
      </c>
      <c r="G969">
        <v>4</v>
      </c>
      <c r="H969" t="s">
        <v>18</v>
      </c>
      <c r="I969" t="s">
        <v>58</v>
      </c>
      <c r="J969">
        <f>orders[[#This Row],[Ship Date]]-orders[[#This Row],[Order Date]]</f>
        <v>4</v>
      </c>
      <c r="K969">
        <f>WEEKNUM(orders[[#This Row],[Order Date]])</f>
        <v>6</v>
      </c>
      <c r="L969" t="str" cm="1">
        <f t="array" ref="L969">_xlfn.IFS(orders[[#This Row],[Customer Gender]]="M","Male", orders[[#This Row],[Customer Gender]]="F","Female", orders[[#This Row],[Customer Gender]]="O","Other", TRUE,"Unknown")</f>
        <v>Female</v>
      </c>
      <c r="M969">
        <v>2</v>
      </c>
      <c r="N969">
        <v>38.6</v>
      </c>
      <c r="O969">
        <v>77.2</v>
      </c>
    </row>
    <row r="970" spans="1:15" x14ac:dyDescent="0.3">
      <c r="A970" t="s">
        <v>1065</v>
      </c>
      <c r="B970" t="s">
        <v>36</v>
      </c>
      <c r="C970" s="7">
        <v>45696</v>
      </c>
      <c r="D970" s="7">
        <v>45697</v>
      </c>
      <c r="E970" t="s">
        <v>22</v>
      </c>
      <c r="F970" t="s">
        <v>39</v>
      </c>
      <c r="G970">
        <v>5</v>
      </c>
      <c r="H970" t="s">
        <v>18</v>
      </c>
      <c r="I970" t="s">
        <v>61</v>
      </c>
      <c r="J970">
        <f>orders[[#This Row],[Ship Date]]-orders[[#This Row],[Order Date]]</f>
        <v>1</v>
      </c>
      <c r="K970">
        <f>WEEKNUM(orders[[#This Row],[Order Date]])</f>
        <v>6</v>
      </c>
      <c r="L970" t="str" cm="1">
        <f t="array" ref="L970">_xlfn.IFS(orders[[#This Row],[Customer Gender]]="M","Male", orders[[#This Row],[Customer Gender]]="F","Female", orders[[#This Row],[Customer Gender]]="O","Other", TRUE,"Unknown")</f>
        <v>Male</v>
      </c>
      <c r="M970">
        <v>5</v>
      </c>
      <c r="N970">
        <v>32.700000000000003</v>
      </c>
      <c r="O970" s="5">
        <v>163.5</v>
      </c>
    </row>
    <row r="971" spans="1:15" x14ac:dyDescent="0.3">
      <c r="A971" t="s">
        <v>1066</v>
      </c>
      <c r="B971" t="s">
        <v>29</v>
      </c>
      <c r="C971" s="7">
        <v>45696</v>
      </c>
      <c r="D971" s="7">
        <v>45697</v>
      </c>
      <c r="E971" t="s">
        <v>26</v>
      </c>
      <c r="F971" t="s">
        <v>34</v>
      </c>
      <c r="G971">
        <v>4</v>
      </c>
      <c r="H971" t="s">
        <v>18</v>
      </c>
      <c r="I971" t="s">
        <v>61</v>
      </c>
      <c r="J971">
        <f>orders[[#This Row],[Ship Date]]-orders[[#This Row],[Order Date]]</f>
        <v>1</v>
      </c>
      <c r="K971">
        <f>WEEKNUM(orders[[#This Row],[Order Date]])</f>
        <v>6</v>
      </c>
      <c r="L971" t="str" cm="1">
        <f t="array" ref="L971">_xlfn.IFS(orders[[#This Row],[Customer Gender]]="M","Male", orders[[#This Row],[Customer Gender]]="F","Female", orders[[#This Row],[Customer Gender]]="O","Other", TRUE,"Unknown")</f>
        <v>Female</v>
      </c>
      <c r="M971">
        <v>2</v>
      </c>
      <c r="N971">
        <v>111.4</v>
      </c>
      <c r="O971">
        <v>222.8</v>
      </c>
    </row>
    <row r="972" spans="1:15" x14ac:dyDescent="0.3">
      <c r="A972" t="s">
        <v>1067</v>
      </c>
      <c r="B972" t="s">
        <v>25</v>
      </c>
      <c r="C972" s="7">
        <v>45696</v>
      </c>
      <c r="D972" s="7">
        <v>45698</v>
      </c>
      <c r="E972" t="s">
        <v>26</v>
      </c>
      <c r="F972" t="s">
        <v>34</v>
      </c>
      <c r="G972">
        <v>4</v>
      </c>
      <c r="H972" t="s">
        <v>18</v>
      </c>
      <c r="I972" t="s">
        <v>61</v>
      </c>
      <c r="J972">
        <f>orders[[#This Row],[Ship Date]]-orders[[#This Row],[Order Date]]</f>
        <v>2</v>
      </c>
      <c r="K972">
        <f>WEEKNUM(orders[[#This Row],[Order Date]])</f>
        <v>6</v>
      </c>
      <c r="L972" t="str" cm="1">
        <f t="array" ref="L972">_xlfn.IFS(orders[[#This Row],[Customer Gender]]="M","Male", orders[[#This Row],[Customer Gender]]="F","Female", orders[[#This Row],[Customer Gender]]="O","Other", TRUE,"Unknown")</f>
        <v>Female</v>
      </c>
      <c r="M972">
        <v>6</v>
      </c>
      <c r="N972">
        <v>80.3</v>
      </c>
      <c r="O972" s="5">
        <v>481.79999999999995</v>
      </c>
    </row>
    <row r="973" spans="1:15" x14ac:dyDescent="0.3">
      <c r="A973" t="s">
        <v>1068</v>
      </c>
      <c r="B973" t="s">
        <v>38</v>
      </c>
      <c r="C973" s="7">
        <v>45696</v>
      </c>
      <c r="D973" s="7">
        <v>45697</v>
      </c>
      <c r="E973" t="s">
        <v>22</v>
      </c>
      <c r="F973" t="s">
        <v>34</v>
      </c>
      <c r="G973">
        <v>4</v>
      </c>
      <c r="H973" t="s">
        <v>18</v>
      </c>
      <c r="I973" t="s">
        <v>61</v>
      </c>
      <c r="J973">
        <f>orders[[#This Row],[Ship Date]]-orders[[#This Row],[Order Date]]</f>
        <v>1</v>
      </c>
      <c r="K973">
        <f>WEEKNUM(orders[[#This Row],[Order Date]])</f>
        <v>6</v>
      </c>
      <c r="L973" t="str" cm="1">
        <f t="array" ref="L973">_xlfn.IFS(orders[[#This Row],[Customer Gender]]="M","Male", orders[[#This Row],[Customer Gender]]="F","Female", orders[[#This Row],[Customer Gender]]="O","Other", TRUE,"Unknown")</f>
        <v>Male</v>
      </c>
      <c r="M973">
        <v>2</v>
      </c>
      <c r="N973">
        <v>58.9</v>
      </c>
      <c r="O973">
        <v>117.8</v>
      </c>
    </row>
    <row r="974" spans="1:15" x14ac:dyDescent="0.3">
      <c r="A974" t="s">
        <v>1069</v>
      </c>
      <c r="B974" t="s">
        <v>38</v>
      </c>
      <c r="C974" s="7">
        <v>45696</v>
      </c>
      <c r="D974" s="7">
        <v>45698</v>
      </c>
      <c r="E974" t="s">
        <v>26</v>
      </c>
      <c r="F974" t="s">
        <v>34</v>
      </c>
      <c r="G974">
        <v>2</v>
      </c>
      <c r="H974" t="s">
        <v>18</v>
      </c>
      <c r="I974" t="s">
        <v>61</v>
      </c>
      <c r="J974">
        <f>orders[[#This Row],[Ship Date]]-orders[[#This Row],[Order Date]]</f>
        <v>2</v>
      </c>
      <c r="K974">
        <f>WEEKNUM(orders[[#This Row],[Order Date]])</f>
        <v>6</v>
      </c>
      <c r="L974" t="str" cm="1">
        <f t="array" ref="L974">_xlfn.IFS(orders[[#This Row],[Customer Gender]]="M","Male", orders[[#This Row],[Customer Gender]]="F","Female", orders[[#This Row],[Customer Gender]]="O","Other", TRUE,"Unknown")</f>
        <v>Female</v>
      </c>
      <c r="M974">
        <v>3</v>
      </c>
      <c r="N974">
        <v>51.9</v>
      </c>
      <c r="O974" s="5">
        <v>155.69999999999999</v>
      </c>
    </row>
    <row r="975" spans="1:15" x14ac:dyDescent="0.3">
      <c r="A975" t="s">
        <v>1070</v>
      </c>
      <c r="B975" t="s">
        <v>25</v>
      </c>
      <c r="C975" s="7">
        <v>45696</v>
      </c>
      <c r="D975" s="7">
        <v>45697</v>
      </c>
      <c r="E975" t="s">
        <v>22</v>
      </c>
      <c r="F975" t="s">
        <v>39</v>
      </c>
      <c r="G975">
        <v>4</v>
      </c>
      <c r="H975" t="s">
        <v>18</v>
      </c>
      <c r="I975" t="s">
        <v>102</v>
      </c>
      <c r="J975">
        <f>orders[[#This Row],[Ship Date]]-orders[[#This Row],[Order Date]]</f>
        <v>1</v>
      </c>
      <c r="K975">
        <f>WEEKNUM(orders[[#This Row],[Order Date]])</f>
        <v>6</v>
      </c>
      <c r="L975" t="str" cm="1">
        <f t="array" ref="L975">_xlfn.IFS(orders[[#This Row],[Customer Gender]]="M","Male", orders[[#This Row],[Customer Gender]]="F","Female", orders[[#This Row],[Customer Gender]]="O","Other", TRUE,"Unknown")</f>
        <v>Male</v>
      </c>
      <c r="M975">
        <v>3</v>
      </c>
      <c r="N975">
        <v>50.3</v>
      </c>
      <c r="O975">
        <v>150.89999999999998</v>
      </c>
    </row>
    <row r="976" spans="1:15" x14ac:dyDescent="0.3">
      <c r="A976" t="s">
        <v>1071</v>
      </c>
      <c r="B976" t="s">
        <v>66</v>
      </c>
      <c r="C976" s="7">
        <v>45696</v>
      </c>
      <c r="D976" s="7">
        <v>45702</v>
      </c>
      <c r="E976" t="s">
        <v>26</v>
      </c>
      <c r="F976" t="s">
        <v>50</v>
      </c>
      <c r="G976">
        <v>4</v>
      </c>
      <c r="H976" t="s">
        <v>18</v>
      </c>
      <c r="I976" t="s">
        <v>71</v>
      </c>
      <c r="J976">
        <f>orders[[#This Row],[Ship Date]]-orders[[#This Row],[Order Date]]</f>
        <v>6</v>
      </c>
      <c r="K976">
        <f>WEEKNUM(orders[[#This Row],[Order Date]])</f>
        <v>6</v>
      </c>
      <c r="L976" t="str" cm="1">
        <f t="array" ref="L976">_xlfn.IFS(orders[[#This Row],[Customer Gender]]="M","Male", orders[[#This Row],[Customer Gender]]="F","Female", orders[[#This Row],[Customer Gender]]="O","Other", TRUE,"Unknown")</f>
        <v>Female</v>
      </c>
      <c r="M976">
        <v>6</v>
      </c>
      <c r="N976">
        <v>45</v>
      </c>
      <c r="O976" s="5">
        <v>270</v>
      </c>
    </row>
    <row r="977" spans="1:15" x14ac:dyDescent="0.3">
      <c r="A977" t="s">
        <v>1072</v>
      </c>
      <c r="B977" t="s">
        <v>53</v>
      </c>
      <c r="C977" s="7">
        <v>45696</v>
      </c>
      <c r="D977" s="7">
        <v>45698</v>
      </c>
      <c r="E977" t="s">
        <v>26</v>
      </c>
      <c r="F977" t="s">
        <v>39</v>
      </c>
      <c r="G977">
        <v>4</v>
      </c>
      <c r="H977" t="s">
        <v>18</v>
      </c>
      <c r="I977" t="s">
        <v>76</v>
      </c>
      <c r="J977">
        <f>orders[[#This Row],[Ship Date]]-orders[[#This Row],[Order Date]]</f>
        <v>2</v>
      </c>
      <c r="K977">
        <f>WEEKNUM(orders[[#This Row],[Order Date]])</f>
        <v>6</v>
      </c>
      <c r="L977" t="str" cm="1">
        <f t="array" ref="L977">_xlfn.IFS(orders[[#This Row],[Customer Gender]]="M","Male", orders[[#This Row],[Customer Gender]]="F","Female", orders[[#This Row],[Customer Gender]]="O","Other", TRUE,"Unknown")</f>
        <v>Female</v>
      </c>
      <c r="M977">
        <v>6</v>
      </c>
      <c r="N977">
        <v>44.7</v>
      </c>
      <c r="O977">
        <v>268.20000000000005</v>
      </c>
    </row>
    <row r="978" spans="1:15" x14ac:dyDescent="0.3">
      <c r="A978" t="s">
        <v>1073</v>
      </c>
      <c r="B978" t="s">
        <v>145</v>
      </c>
      <c r="C978" s="7">
        <v>45696</v>
      </c>
      <c r="D978" s="7">
        <v>45697</v>
      </c>
      <c r="E978" t="s">
        <v>26</v>
      </c>
      <c r="F978" t="s">
        <v>39</v>
      </c>
      <c r="G978">
        <v>4</v>
      </c>
      <c r="H978" t="s">
        <v>18</v>
      </c>
      <c r="I978" t="s">
        <v>76</v>
      </c>
      <c r="J978">
        <f>orders[[#This Row],[Ship Date]]-orders[[#This Row],[Order Date]]</f>
        <v>1</v>
      </c>
      <c r="K978">
        <f>WEEKNUM(orders[[#This Row],[Order Date]])</f>
        <v>6</v>
      </c>
      <c r="L978" t="str" cm="1">
        <f t="array" ref="L978">_xlfn.IFS(orders[[#This Row],[Customer Gender]]="M","Male", orders[[#This Row],[Customer Gender]]="F","Female", orders[[#This Row],[Customer Gender]]="O","Other", TRUE,"Unknown")</f>
        <v>Female</v>
      </c>
      <c r="M978">
        <v>15</v>
      </c>
      <c r="N978">
        <v>33</v>
      </c>
      <c r="O978" s="5">
        <v>495</v>
      </c>
    </row>
    <row r="979" spans="1:15" x14ac:dyDescent="0.3">
      <c r="A979" t="s">
        <v>1074</v>
      </c>
      <c r="B979" t="s">
        <v>21</v>
      </c>
      <c r="C979" s="7">
        <v>45696</v>
      </c>
      <c r="D979" s="7">
        <v>45699</v>
      </c>
      <c r="E979" t="s">
        <v>26</v>
      </c>
      <c r="F979" t="s">
        <v>39</v>
      </c>
      <c r="G979">
        <v>5</v>
      </c>
      <c r="H979" t="s">
        <v>18</v>
      </c>
      <c r="I979" t="s">
        <v>107</v>
      </c>
      <c r="J979">
        <f>orders[[#This Row],[Ship Date]]-orders[[#This Row],[Order Date]]</f>
        <v>3</v>
      </c>
      <c r="K979">
        <f>WEEKNUM(orders[[#This Row],[Order Date]])</f>
        <v>6</v>
      </c>
      <c r="L979" t="str" cm="1">
        <f t="array" ref="L979">_xlfn.IFS(orders[[#This Row],[Customer Gender]]="M","Male", orders[[#This Row],[Customer Gender]]="F","Female", orders[[#This Row],[Customer Gender]]="O","Other", TRUE,"Unknown")</f>
        <v>Female</v>
      </c>
      <c r="M979">
        <v>5</v>
      </c>
      <c r="N979">
        <v>44.9</v>
      </c>
      <c r="O979">
        <v>224.5</v>
      </c>
    </row>
    <row r="980" spans="1:15" x14ac:dyDescent="0.3">
      <c r="A980" t="s">
        <v>1075</v>
      </c>
      <c r="B980" t="s">
        <v>53</v>
      </c>
      <c r="C980" s="7">
        <v>45696</v>
      </c>
      <c r="D980" s="7">
        <v>45700</v>
      </c>
      <c r="E980" t="s">
        <v>26</v>
      </c>
      <c r="F980" t="s">
        <v>17</v>
      </c>
      <c r="G980">
        <v>3</v>
      </c>
      <c r="H980" t="s">
        <v>18</v>
      </c>
      <c r="I980" t="s">
        <v>109</v>
      </c>
      <c r="J980">
        <f>orders[[#This Row],[Ship Date]]-orders[[#This Row],[Order Date]]</f>
        <v>4</v>
      </c>
      <c r="K980">
        <f>WEEKNUM(orders[[#This Row],[Order Date]])</f>
        <v>6</v>
      </c>
      <c r="L980" t="str" cm="1">
        <f t="array" ref="L980">_xlfn.IFS(orders[[#This Row],[Customer Gender]]="M","Male", orders[[#This Row],[Customer Gender]]="F","Female", orders[[#This Row],[Customer Gender]]="O","Other", TRUE,"Unknown")</f>
        <v>Female</v>
      </c>
      <c r="M980">
        <v>2</v>
      </c>
      <c r="N980">
        <v>34.6</v>
      </c>
      <c r="O980" s="5">
        <v>69.2</v>
      </c>
    </row>
    <row r="981" spans="1:15" x14ac:dyDescent="0.3">
      <c r="A981" t="s">
        <v>1076</v>
      </c>
      <c r="B981" t="s">
        <v>41</v>
      </c>
      <c r="C981" s="7">
        <v>45696</v>
      </c>
      <c r="D981" s="7">
        <v>45701</v>
      </c>
      <c r="E981" t="s">
        <v>26</v>
      </c>
      <c r="F981" t="s">
        <v>17</v>
      </c>
      <c r="G981">
        <v>4</v>
      </c>
      <c r="H981" t="s">
        <v>18</v>
      </c>
      <c r="I981" t="s">
        <v>81</v>
      </c>
      <c r="J981">
        <f>orders[[#This Row],[Ship Date]]-orders[[#This Row],[Order Date]]</f>
        <v>5</v>
      </c>
      <c r="K981">
        <f>WEEKNUM(orders[[#This Row],[Order Date]])</f>
        <v>6</v>
      </c>
      <c r="L981" t="str" cm="1">
        <f t="array" ref="L981">_xlfn.IFS(orders[[#This Row],[Customer Gender]]="M","Male", orders[[#This Row],[Customer Gender]]="F","Female", orders[[#This Row],[Customer Gender]]="O","Other", TRUE,"Unknown")</f>
        <v>Female</v>
      </c>
      <c r="M981">
        <v>7</v>
      </c>
      <c r="N981">
        <v>47.1</v>
      </c>
      <c r="O981">
        <v>329.7</v>
      </c>
    </row>
    <row r="982" spans="1:15" x14ac:dyDescent="0.3">
      <c r="A982" t="s">
        <v>1077</v>
      </c>
      <c r="B982" t="s">
        <v>31</v>
      </c>
      <c r="C982" s="7">
        <v>45696</v>
      </c>
      <c r="D982" s="7">
        <v>45701</v>
      </c>
      <c r="E982" t="s">
        <v>22</v>
      </c>
      <c r="F982" t="s">
        <v>17</v>
      </c>
      <c r="G982">
        <v>5</v>
      </c>
      <c r="H982" t="s">
        <v>18</v>
      </c>
      <c r="I982" t="s">
        <v>114</v>
      </c>
      <c r="J982">
        <f>orders[[#This Row],[Ship Date]]-orders[[#This Row],[Order Date]]</f>
        <v>5</v>
      </c>
      <c r="K982">
        <f>WEEKNUM(orders[[#This Row],[Order Date]])</f>
        <v>6</v>
      </c>
      <c r="L982" t="str" cm="1">
        <f t="array" ref="L982">_xlfn.IFS(orders[[#This Row],[Customer Gender]]="M","Male", orders[[#This Row],[Customer Gender]]="F","Female", orders[[#This Row],[Customer Gender]]="O","Other", TRUE,"Unknown")</f>
        <v>Male</v>
      </c>
      <c r="M982">
        <v>5</v>
      </c>
      <c r="N982">
        <v>26.1</v>
      </c>
      <c r="O982" s="5">
        <v>130.5</v>
      </c>
    </row>
    <row r="983" spans="1:15" x14ac:dyDescent="0.3">
      <c r="A983" t="s">
        <v>1078</v>
      </c>
      <c r="B983" t="s">
        <v>68</v>
      </c>
      <c r="C983" s="7">
        <v>45696</v>
      </c>
      <c r="D983" s="7">
        <v>45699</v>
      </c>
      <c r="E983" t="s">
        <v>26</v>
      </c>
      <c r="F983" t="s">
        <v>17</v>
      </c>
      <c r="G983">
        <v>4</v>
      </c>
      <c r="H983" t="s">
        <v>18</v>
      </c>
      <c r="I983" t="s">
        <v>114</v>
      </c>
      <c r="J983">
        <f>orders[[#This Row],[Ship Date]]-orders[[#This Row],[Order Date]]</f>
        <v>3</v>
      </c>
      <c r="K983">
        <f>WEEKNUM(orders[[#This Row],[Order Date]])</f>
        <v>6</v>
      </c>
      <c r="L983" t="str" cm="1">
        <f t="array" ref="L983">_xlfn.IFS(orders[[#This Row],[Customer Gender]]="M","Male", orders[[#This Row],[Customer Gender]]="F","Female", orders[[#This Row],[Customer Gender]]="O","Other", TRUE,"Unknown")</f>
        <v>Female</v>
      </c>
      <c r="M983">
        <v>5</v>
      </c>
      <c r="N983">
        <v>66.8</v>
      </c>
      <c r="O983">
        <v>334</v>
      </c>
    </row>
    <row r="984" spans="1:15" x14ac:dyDescent="0.3">
      <c r="A984" t="s">
        <v>1079</v>
      </c>
      <c r="B984" t="s">
        <v>25</v>
      </c>
      <c r="C984" s="7">
        <v>45696</v>
      </c>
      <c r="D984" s="7">
        <v>45697</v>
      </c>
      <c r="E984" t="s">
        <v>26</v>
      </c>
      <c r="F984" t="s">
        <v>50</v>
      </c>
      <c r="G984">
        <v>5</v>
      </c>
      <c r="H984" t="s">
        <v>18</v>
      </c>
      <c r="I984" t="s">
        <v>114</v>
      </c>
      <c r="J984">
        <f>orders[[#This Row],[Ship Date]]-orders[[#This Row],[Order Date]]</f>
        <v>1</v>
      </c>
      <c r="K984">
        <f>WEEKNUM(orders[[#This Row],[Order Date]])</f>
        <v>6</v>
      </c>
      <c r="L984" t="str" cm="1">
        <f t="array" ref="L984">_xlfn.IFS(orders[[#This Row],[Customer Gender]]="M","Male", orders[[#This Row],[Customer Gender]]="F","Female", orders[[#This Row],[Customer Gender]]="O","Other", TRUE,"Unknown")</f>
        <v>Female</v>
      </c>
      <c r="M984">
        <v>2</v>
      </c>
      <c r="N984">
        <v>167.9</v>
      </c>
      <c r="O984" s="5">
        <v>335.8</v>
      </c>
    </row>
    <row r="985" spans="1:15" x14ac:dyDescent="0.3">
      <c r="A985" t="s">
        <v>1080</v>
      </c>
      <c r="B985" t="s">
        <v>53</v>
      </c>
      <c r="C985" s="7">
        <v>45696</v>
      </c>
      <c r="D985" s="7">
        <v>45697</v>
      </c>
      <c r="E985" t="s">
        <v>26</v>
      </c>
      <c r="F985" t="s">
        <v>39</v>
      </c>
      <c r="G985">
        <v>3</v>
      </c>
      <c r="H985" t="s">
        <v>18</v>
      </c>
      <c r="I985" t="s">
        <v>114</v>
      </c>
      <c r="J985">
        <f>orders[[#This Row],[Ship Date]]-orders[[#This Row],[Order Date]]</f>
        <v>1</v>
      </c>
      <c r="K985">
        <f>WEEKNUM(orders[[#This Row],[Order Date]])</f>
        <v>6</v>
      </c>
      <c r="L985" t="str" cm="1">
        <f t="array" ref="L985">_xlfn.IFS(orders[[#This Row],[Customer Gender]]="M","Male", orders[[#This Row],[Customer Gender]]="F","Female", orders[[#This Row],[Customer Gender]]="O","Other", TRUE,"Unknown")</f>
        <v>Female</v>
      </c>
      <c r="M985">
        <v>9</v>
      </c>
      <c r="N985">
        <v>34.6</v>
      </c>
      <c r="O985">
        <v>311.40000000000003</v>
      </c>
    </row>
    <row r="986" spans="1:15" x14ac:dyDescent="0.3">
      <c r="A986" t="s">
        <v>1081</v>
      </c>
      <c r="B986" t="s">
        <v>43</v>
      </c>
      <c r="C986" s="7">
        <v>45697</v>
      </c>
      <c r="D986" s="7">
        <v>45701</v>
      </c>
      <c r="E986" t="s">
        <v>22</v>
      </c>
      <c r="F986" t="s">
        <v>69</v>
      </c>
      <c r="G986">
        <v>5</v>
      </c>
      <c r="H986" t="s">
        <v>18</v>
      </c>
      <c r="I986" t="s">
        <v>23</v>
      </c>
      <c r="J986">
        <f>orders[[#This Row],[Ship Date]]-orders[[#This Row],[Order Date]]</f>
        <v>4</v>
      </c>
      <c r="K986">
        <f>WEEKNUM(orders[[#This Row],[Order Date]])</f>
        <v>7</v>
      </c>
      <c r="L986" t="str" cm="1">
        <f t="array" ref="L986">_xlfn.IFS(orders[[#This Row],[Customer Gender]]="M","Male", orders[[#This Row],[Customer Gender]]="F","Female", orders[[#This Row],[Customer Gender]]="O","Other", TRUE,"Unknown")</f>
        <v>Male</v>
      </c>
      <c r="M986">
        <v>3</v>
      </c>
      <c r="N986">
        <v>35.1</v>
      </c>
      <c r="O986" s="5">
        <v>105.30000000000001</v>
      </c>
    </row>
    <row r="987" spans="1:15" x14ac:dyDescent="0.3">
      <c r="A987" t="s">
        <v>1082</v>
      </c>
      <c r="B987" t="s">
        <v>38</v>
      </c>
      <c r="C987" s="7">
        <v>45697</v>
      </c>
      <c r="D987" s="7">
        <v>45698</v>
      </c>
      <c r="E987" t="s">
        <v>22</v>
      </c>
      <c r="F987" t="s">
        <v>34</v>
      </c>
      <c r="G987">
        <v>3</v>
      </c>
      <c r="H987" t="s">
        <v>18</v>
      </c>
      <c r="I987" t="s">
        <v>23</v>
      </c>
      <c r="J987">
        <f>orders[[#This Row],[Ship Date]]-orders[[#This Row],[Order Date]]</f>
        <v>1</v>
      </c>
      <c r="K987">
        <f>WEEKNUM(orders[[#This Row],[Order Date]])</f>
        <v>7</v>
      </c>
      <c r="L987" t="str" cm="1">
        <f t="array" ref="L987">_xlfn.IFS(orders[[#This Row],[Customer Gender]]="M","Male", orders[[#This Row],[Customer Gender]]="F","Female", orders[[#This Row],[Customer Gender]]="O","Other", TRUE,"Unknown")</f>
        <v>Male</v>
      </c>
      <c r="M987">
        <v>4</v>
      </c>
      <c r="N987">
        <v>104.5</v>
      </c>
      <c r="O987">
        <v>418</v>
      </c>
    </row>
    <row r="988" spans="1:15" x14ac:dyDescent="0.3">
      <c r="A988" t="s">
        <v>1083</v>
      </c>
      <c r="B988" t="s">
        <v>43</v>
      </c>
      <c r="C988" s="7">
        <v>45697</v>
      </c>
      <c r="D988" s="7">
        <v>45699</v>
      </c>
      <c r="E988" t="s">
        <v>2517</v>
      </c>
      <c r="F988" t="s">
        <v>34</v>
      </c>
      <c r="G988">
        <v>5</v>
      </c>
      <c r="H988" t="s">
        <v>18</v>
      </c>
      <c r="I988" t="s">
        <v>27</v>
      </c>
      <c r="J988">
        <f>orders[[#This Row],[Ship Date]]-orders[[#This Row],[Order Date]]</f>
        <v>2</v>
      </c>
      <c r="K988">
        <f>WEEKNUM(orders[[#This Row],[Order Date]])</f>
        <v>7</v>
      </c>
      <c r="L988" t="str" cm="1">
        <f t="array" ref="L988">_xlfn.IFS(orders[[#This Row],[Customer Gender]]="M","Male", orders[[#This Row],[Customer Gender]]="F","Female", orders[[#This Row],[Customer Gender]]="O","Other", TRUE,"Unknown")</f>
        <v>Unknown</v>
      </c>
      <c r="M988">
        <v>1</v>
      </c>
      <c r="N988">
        <v>37.9</v>
      </c>
      <c r="O988" s="5">
        <v>37.9</v>
      </c>
    </row>
    <row r="989" spans="1:15" x14ac:dyDescent="0.3">
      <c r="A989" t="s">
        <v>1084</v>
      </c>
      <c r="B989" t="s">
        <v>31</v>
      </c>
      <c r="C989" s="7">
        <v>45697</v>
      </c>
      <c r="D989" s="7">
        <v>45700</v>
      </c>
      <c r="E989" t="s">
        <v>22</v>
      </c>
      <c r="F989" t="s">
        <v>50</v>
      </c>
      <c r="G989">
        <v>4</v>
      </c>
      <c r="H989" t="s">
        <v>18</v>
      </c>
      <c r="I989" t="s">
        <v>27</v>
      </c>
      <c r="J989">
        <f>orders[[#This Row],[Ship Date]]-orders[[#This Row],[Order Date]]</f>
        <v>3</v>
      </c>
      <c r="K989">
        <f>WEEKNUM(orders[[#This Row],[Order Date]])</f>
        <v>7</v>
      </c>
      <c r="L989" t="str" cm="1">
        <f t="array" ref="L989">_xlfn.IFS(orders[[#This Row],[Customer Gender]]="M","Male", orders[[#This Row],[Customer Gender]]="F","Female", orders[[#This Row],[Customer Gender]]="O","Other", TRUE,"Unknown")</f>
        <v>Male</v>
      </c>
      <c r="M989">
        <v>3</v>
      </c>
      <c r="N989">
        <v>25.5</v>
      </c>
      <c r="O989">
        <v>76.5</v>
      </c>
    </row>
    <row r="990" spans="1:15" x14ac:dyDescent="0.3">
      <c r="A990" t="s">
        <v>1085</v>
      </c>
      <c r="B990" t="s">
        <v>16</v>
      </c>
      <c r="C990" s="7">
        <v>45697</v>
      </c>
      <c r="D990" s="7">
        <v>45701</v>
      </c>
      <c r="E990" t="s">
        <v>26</v>
      </c>
      <c r="F990" t="s">
        <v>34</v>
      </c>
      <c r="G990">
        <v>4</v>
      </c>
      <c r="H990" t="s">
        <v>18</v>
      </c>
      <c r="I990" t="s">
        <v>146</v>
      </c>
      <c r="J990">
        <f>orders[[#This Row],[Ship Date]]-orders[[#This Row],[Order Date]]</f>
        <v>4</v>
      </c>
      <c r="K990">
        <f>WEEKNUM(orders[[#This Row],[Order Date]])</f>
        <v>7</v>
      </c>
      <c r="L990" t="str" cm="1">
        <f t="array" ref="L990">_xlfn.IFS(orders[[#This Row],[Customer Gender]]="M","Male", orders[[#This Row],[Customer Gender]]="F","Female", orders[[#This Row],[Customer Gender]]="O","Other", TRUE,"Unknown")</f>
        <v>Female</v>
      </c>
      <c r="M990">
        <v>3</v>
      </c>
      <c r="N990">
        <v>32</v>
      </c>
      <c r="O990" s="5">
        <v>96</v>
      </c>
    </row>
    <row r="991" spans="1:15" x14ac:dyDescent="0.3">
      <c r="A991" t="s">
        <v>1086</v>
      </c>
      <c r="B991" t="s">
        <v>21</v>
      </c>
      <c r="C991" s="7">
        <v>45697</v>
      </c>
      <c r="D991" s="7">
        <v>45698</v>
      </c>
      <c r="E991" t="s">
        <v>26</v>
      </c>
      <c r="F991" t="s">
        <v>17</v>
      </c>
      <c r="G991">
        <v>4</v>
      </c>
      <c r="H991" t="s">
        <v>18</v>
      </c>
      <c r="I991" t="s">
        <v>333</v>
      </c>
      <c r="J991">
        <f>orders[[#This Row],[Ship Date]]-orders[[#This Row],[Order Date]]</f>
        <v>1</v>
      </c>
      <c r="K991">
        <f>WEEKNUM(orders[[#This Row],[Order Date]])</f>
        <v>7</v>
      </c>
      <c r="L991" t="str" cm="1">
        <f t="array" ref="L991">_xlfn.IFS(orders[[#This Row],[Customer Gender]]="M","Male", orders[[#This Row],[Customer Gender]]="F","Female", orders[[#This Row],[Customer Gender]]="O","Other", TRUE,"Unknown")</f>
        <v>Female</v>
      </c>
      <c r="M991">
        <v>1</v>
      </c>
      <c r="N991">
        <v>47.1</v>
      </c>
      <c r="O991">
        <v>47.1</v>
      </c>
    </row>
    <row r="992" spans="1:15" x14ac:dyDescent="0.3">
      <c r="A992" t="s">
        <v>1087</v>
      </c>
      <c r="B992" t="s">
        <v>38</v>
      </c>
      <c r="C992" s="7">
        <v>45697</v>
      </c>
      <c r="D992" s="7">
        <v>45703</v>
      </c>
      <c r="E992" t="s">
        <v>2517</v>
      </c>
      <c r="F992" t="s">
        <v>17</v>
      </c>
      <c r="G992">
        <v>4</v>
      </c>
      <c r="H992" t="s">
        <v>18</v>
      </c>
      <c r="I992" t="s">
        <v>32</v>
      </c>
      <c r="J992">
        <f>orders[[#This Row],[Ship Date]]-orders[[#This Row],[Order Date]]</f>
        <v>6</v>
      </c>
      <c r="K992">
        <f>WEEKNUM(orders[[#This Row],[Order Date]])</f>
        <v>7</v>
      </c>
      <c r="L992" t="str" cm="1">
        <f t="array" ref="L992">_xlfn.IFS(orders[[#This Row],[Customer Gender]]="M","Male", orders[[#This Row],[Customer Gender]]="F","Female", orders[[#This Row],[Customer Gender]]="O","Other", TRUE,"Unknown")</f>
        <v>Unknown</v>
      </c>
      <c r="M992">
        <v>2</v>
      </c>
      <c r="N992">
        <v>50.6</v>
      </c>
      <c r="O992" s="5">
        <v>101.2</v>
      </c>
    </row>
    <row r="993" spans="1:15" x14ac:dyDescent="0.3">
      <c r="A993" t="s">
        <v>1088</v>
      </c>
      <c r="B993" t="s">
        <v>38</v>
      </c>
      <c r="C993" s="7">
        <v>45697</v>
      </c>
      <c r="D993" s="7">
        <v>45698</v>
      </c>
      <c r="E993" t="s">
        <v>26</v>
      </c>
      <c r="F993" t="s">
        <v>34</v>
      </c>
      <c r="G993">
        <v>5</v>
      </c>
      <c r="H993" t="s">
        <v>18</v>
      </c>
      <c r="I993" t="s">
        <v>32</v>
      </c>
      <c r="J993">
        <f>orders[[#This Row],[Ship Date]]-orders[[#This Row],[Order Date]]</f>
        <v>1</v>
      </c>
      <c r="K993">
        <f>WEEKNUM(orders[[#This Row],[Order Date]])</f>
        <v>7</v>
      </c>
      <c r="L993" t="str" cm="1">
        <f t="array" ref="L993">_xlfn.IFS(orders[[#This Row],[Customer Gender]]="M","Male", orders[[#This Row],[Customer Gender]]="F","Female", orders[[#This Row],[Customer Gender]]="O","Other", TRUE,"Unknown")</f>
        <v>Female</v>
      </c>
      <c r="M993">
        <v>5</v>
      </c>
      <c r="N993">
        <v>81.7</v>
      </c>
      <c r="O993">
        <v>408.5</v>
      </c>
    </row>
    <row r="994" spans="1:15" x14ac:dyDescent="0.3">
      <c r="A994" t="s">
        <v>1089</v>
      </c>
      <c r="B994" t="s">
        <v>36</v>
      </c>
      <c r="C994" s="7">
        <v>45697</v>
      </c>
      <c r="D994" s="7">
        <v>45698</v>
      </c>
      <c r="E994" t="s">
        <v>88</v>
      </c>
      <c r="F994" t="s">
        <v>39</v>
      </c>
      <c r="G994">
        <v>5</v>
      </c>
      <c r="H994" t="s">
        <v>18</v>
      </c>
      <c r="I994" t="s">
        <v>32</v>
      </c>
      <c r="J994">
        <f>orders[[#This Row],[Ship Date]]-orders[[#This Row],[Order Date]]</f>
        <v>1</v>
      </c>
      <c r="K994">
        <f>WEEKNUM(orders[[#This Row],[Order Date]])</f>
        <v>7</v>
      </c>
      <c r="L994" t="str" cm="1">
        <f t="array" ref="L994">_xlfn.IFS(orders[[#This Row],[Customer Gender]]="M","Male", orders[[#This Row],[Customer Gender]]="F","Female", orders[[#This Row],[Customer Gender]]="O","Other", TRUE,"Unknown")</f>
        <v>Other</v>
      </c>
      <c r="M994">
        <v>2</v>
      </c>
      <c r="N994">
        <v>50.7</v>
      </c>
      <c r="O994" s="5">
        <v>101.4</v>
      </c>
    </row>
    <row r="995" spans="1:15" x14ac:dyDescent="0.3">
      <c r="A995" t="s">
        <v>1090</v>
      </c>
      <c r="B995" t="s">
        <v>25</v>
      </c>
      <c r="C995" s="7">
        <v>45697</v>
      </c>
      <c r="D995" s="7">
        <v>45701</v>
      </c>
      <c r="E995" t="s">
        <v>26</v>
      </c>
      <c r="F995" t="s">
        <v>39</v>
      </c>
      <c r="G995">
        <v>4</v>
      </c>
      <c r="H995" t="s">
        <v>18</v>
      </c>
      <c r="I995" t="s">
        <v>32</v>
      </c>
      <c r="J995">
        <f>orders[[#This Row],[Ship Date]]-orders[[#This Row],[Order Date]]</f>
        <v>4</v>
      </c>
      <c r="K995">
        <f>WEEKNUM(orders[[#This Row],[Order Date]])</f>
        <v>7</v>
      </c>
      <c r="L995" t="str" cm="1">
        <f t="array" ref="L995">_xlfn.IFS(orders[[#This Row],[Customer Gender]]="M","Male", orders[[#This Row],[Customer Gender]]="F","Female", orders[[#This Row],[Customer Gender]]="O","Other", TRUE,"Unknown")</f>
        <v>Female</v>
      </c>
      <c r="M995">
        <v>19</v>
      </c>
      <c r="N995">
        <v>67.3</v>
      </c>
      <c r="O995">
        <v>1278.7</v>
      </c>
    </row>
    <row r="996" spans="1:15" x14ac:dyDescent="0.3">
      <c r="A996" t="s">
        <v>1091</v>
      </c>
      <c r="B996" t="s">
        <v>25</v>
      </c>
      <c r="C996" s="7">
        <v>45697</v>
      </c>
      <c r="D996" s="7">
        <v>45700</v>
      </c>
      <c r="E996" t="s">
        <v>26</v>
      </c>
      <c r="F996" t="s">
        <v>50</v>
      </c>
      <c r="G996">
        <v>4</v>
      </c>
      <c r="H996" t="s">
        <v>18</v>
      </c>
      <c r="I996" t="s">
        <v>32</v>
      </c>
      <c r="J996">
        <f>orders[[#This Row],[Ship Date]]-orders[[#This Row],[Order Date]]</f>
        <v>3</v>
      </c>
      <c r="K996">
        <f>WEEKNUM(orders[[#This Row],[Order Date]])</f>
        <v>7</v>
      </c>
      <c r="L996" t="str" cm="1">
        <f t="array" ref="L996">_xlfn.IFS(orders[[#This Row],[Customer Gender]]="M","Male", orders[[#This Row],[Customer Gender]]="F","Female", orders[[#This Row],[Customer Gender]]="O","Other", TRUE,"Unknown")</f>
        <v>Female</v>
      </c>
      <c r="M996">
        <v>4</v>
      </c>
      <c r="N996">
        <v>64.8</v>
      </c>
      <c r="O996" s="5">
        <v>259.2</v>
      </c>
    </row>
    <row r="997" spans="1:15" x14ac:dyDescent="0.3">
      <c r="A997" t="s">
        <v>1092</v>
      </c>
      <c r="B997" t="s">
        <v>36</v>
      </c>
      <c r="C997" s="7">
        <v>45697</v>
      </c>
      <c r="D997" s="7">
        <v>45698</v>
      </c>
      <c r="E997" t="s">
        <v>26</v>
      </c>
      <c r="F997" t="s">
        <v>17</v>
      </c>
      <c r="G997">
        <v>5</v>
      </c>
      <c r="H997" t="s">
        <v>18</v>
      </c>
      <c r="I997" t="s">
        <v>32</v>
      </c>
      <c r="J997">
        <f>orders[[#This Row],[Ship Date]]-orders[[#This Row],[Order Date]]</f>
        <v>1</v>
      </c>
      <c r="K997">
        <f>WEEKNUM(orders[[#This Row],[Order Date]])</f>
        <v>7</v>
      </c>
      <c r="L997" t="str" cm="1">
        <f t="array" ref="L997">_xlfn.IFS(orders[[#This Row],[Customer Gender]]="M","Male", orders[[#This Row],[Customer Gender]]="F","Female", orders[[#This Row],[Customer Gender]]="O","Other", TRUE,"Unknown")</f>
        <v>Female</v>
      </c>
      <c r="M997">
        <v>22</v>
      </c>
      <c r="N997">
        <v>61.3</v>
      </c>
      <c r="O997">
        <v>1348.6</v>
      </c>
    </row>
    <row r="998" spans="1:15" x14ac:dyDescent="0.3">
      <c r="A998" t="s">
        <v>1093</v>
      </c>
      <c r="B998" t="s">
        <v>80</v>
      </c>
      <c r="C998" s="7">
        <v>45697</v>
      </c>
      <c r="D998" s="7">
        <v>45700</v>
      </c>
      <c r="E998" t="s">
        <v>26</v>
      </c>
      <c r="F998" t="s">
        <v>69</v>
      </c>
      <c r="G998">
        <v>4</v>
      </c>
      <c r="H998" t="s">
        <v>18</v>
      </c>
      <c r="I998" t="s">
        <v>32</v>
      </c>
      <c r="J998">
        <f>orders[[#This Row],[Ship Date]]-orders[[#This Row],[Order Date]]</f>
        <v>3</v>
      </c>
      <c r="K998">
        <f>WEEKNUM(orders[[#This Row],[Order Date]])</f>
        <v>7</v>
      </c>
      <c r="L998" t="str" cm="1">
        <f t="array" ref="L998">_xlfn.IFS(orders[[#This Row],[Customer Gender]]="M","Male", orders[[#This Row],[Customer Gender]]="F","Female", orders[[#This Row],[Customer Gender]]="O","Other", TRUE,"Unknown")</f>
        <v>Female</v>
      </c>
      <c r="M998">
        <v>1</v>
      </c>
      <c r="N998">
        <v>32.9</v>
      </c>
      <c r="O998" s="5">
        <v>32.9</v>
      </c>
    </row>
    <row r="999" spans="1:15" x14ac:dyDescent="0.3">
      <c r="A999" t="s">
        <v>1094</v>
      </c>
      <c r="B999" t="s">
        <v>38</v>
      </c>
      <c r="C999" s="7">
        <v>45697</v>
      </c>
      <c r="D999" s="7">
        <v>45700</v>
      </c>
      <c r="E999" t="s">
        <v>26</v>
      </c>
      <c r="F999" t="s">
        <v>17</v>
      </c>
      <c r="G999">
        <v>4</v>
      </c>
      <c r="H999" t="s">
        <v>18</v>
      </c>
      <c r="I999" t="s">
        <v>32</v>
      </c>
      <c r="J999">
        <f>orders[[#This Row],[Ship Date]]-orders[[#This Row],[Order Date]]</f>
        <v>3</v>
      </c>
      <c r="K999">
        <f>WEEKNUM(orders[[#This Row],[Order Date]])</f>
        <v>7</v>
      </c>
      <c r="L999" t="str" cm="1">
        <f t="array" ref="L999">_xlfn.IFS(orders[[#This Row],[Customer Gender]]="M","Male", orders[[#This Row],[Customer Gender]]="F","Female", orders[[#This Row],[Customer Gender]]="O","Other", TRUE,"Unknown")</f>
        <v>Female</v>
      </c>
      <c r="M999">
        <v>2</v>
      </c>
      <c r="N999">
        <v>100.8</v>
      </c>
      <c r="O999">
        <v>201.6</v>
      </c>
    </row>
    <row r="1000" spans="1:15" x14ac:dyDescent="0.3">
      <c r="A1000" t="s">
        <v>1095</v>
      </c>
      <c r="B1000" t="s">
        <v>43</v>
      </c>
      <c r="C1000" s="7">
        <v>45697</v>
      </c>
      <c r="D1000" s="7">
        <v>45699</v>
      </c>
      <c r="E1000" t="s">
        <v>26</v>
      </c>
      <c r="F1000" t="s">
        <v>34</v>
      </c>
      <c r="G1000">
        <v>4</v>
      </c>
      <c r="H1000" t="s">
        <v>18</v>
      </c>
      <c r="I1000" t="s">
        <v>32</v>
      </c>
      <c r="J1000">
        <f>orders[[#This Row],[Ship Date]]-orders[[#This Row],[Order Date]]</f>
        <v>2</v>
      </c>
      <c r="K1000">
        <f>WEEKNUM(orders[[#This Row],[Order Date]])</f>
        <v>7</v>
      </c>
      <c r="L1000" t="str" cm="1">
        <f t="array" ref="L1000">_xlfn.IFS(orders[[#This Row],[Customer Gender]]="M","Male", orders[[#This Row],[Customer Gender]]="F","Female", orders[[#This Row],[Customer Gender]]="O","Other", TRUE,"Unknown")</f>
        <v>Female</v>
      </c>
      <c r="M1000">
        <v>4</v>
      </c>
      <c r="N1000">
        <v>25.1</v>
      </c>
      <c r="O1000" s="5">
        <v>100.4</v>
      </c>
    </row>
    <row r="1001" spans="1:15" x14ac:dyDescent="0.3">
      <c r="A1001" t="s">
        <v>1096</v>
      </c>
      <c r="B1001" t="s">
        <v>134</v>
      </c>
      <c r="C1001" s="7">
        <v>45697</v>
      </c>
      <c r="D1001" s="7">
        <v>45698</v>
      </c>
      <c r="E1001" t="s">
        <v>26</v>
      </c>
      <c r="F1001" t="s">
        <v>17</v>
      </c>
      <c r="G1001">
        <v>3</v>
      </c>
      <c r="H1001" t="s">
        <v>18</v>
      </c>
      <c r="I1001" t="s">
        <v>32</v>
      </c>
      <c r="J1001">
        <f>orders[[#This Row],[Ship Date]]-orders[[#This Row],[Order Date]]</f>
        <v>1</v>
      </c>
      <c r="K1001">
        <f>WEEKNUM(orders[[#This Row],[Order Date]])</f>
        <v>7</v>
      </c>
      <c r="L1001" t="str" cm="1">
        <f t="array" ref="L1001">_xlfn.IFS(orders[[#This Row],[Customer Gender]]="M","Male", orders[[#This Row],[Customer Gender]]="F","Female", orders[[#This Row],[Customer Gender]]="O","Other", TRUE,"Unknown")</f>
        <v>Female</v>
      </c>
      <c r="M1001">
        <v>1</v>
      </c>
      <c r="N1001">
        <v>48.5</v>
      </c>
      <c r="O1001">
        <v>48.5</v>
      </c>
    </row>
    <row r="1002" spans="1:15" x14ac:dyDescent="0.3">
      <c r="A1002" t="s">
        <v>1097</v>
      </c>
      <c r="B1002" t="s">
        <v>41</v>
      </c>
      <c r="C1002" s="7">
        <v>45697</v>
      </c>
      <c r="D1002" s="7">
        <v>45701</v>
      </c>
      <c r="E1002" t="s">
        <v>26</v>
      </c>
      <c r="F1002" t="s">
        <v>39</v>
      </c>
      <c r="G1002">
        <v>5</v>
      </c>
      <c r="H1002" t="s">
        <v>18</v>
      </c>
      <c r="I1002" t="s">
        <v>32</v>
      </c>
      <c r="J1002">
        <f>orders[[#This Row],[Ship Date]]-orders[[#This Row],[Order Date]]</f>
        <v>4</v>
      </c>
      <c r="K1002">
        <f>WEEKNUM(orders[[#This Row],[Order Date]])</f>
        <v>7</v>
      </c>
      <c r="L1002" t="str" cm="1">
        <f t="array" ref="L1002">_xlfn.IFS(orders[[#This Row],[Customer Gender]]="M","Male", orders[[#This Row],[Customer Gender]]="F","Female", orders[[#This Row],[Customer Gender]]="O","Other", TRUE,"Unknown")</f>
        <v>Female</v>
      </c>
      <c r="M1002">
        <v>2</v>
      </c>
      <c r="N1002">
        <v>33.6</v>
      </c>
      <c r="O1002" s="5">
        <v>67.2</v>
      </c>
    </row>
    <row r="1003" spans="1:15" x14ac:dyDescent="0.3">
      <c r="A1003" t="s">
        <v>1098</v>
      </c>
      <c r="B1003" t="s">
        <v>43</v>
      </c>
      <c r="C1003" s="7">
        <v>45697</v>
      </c>
      <c r="D1003" s="7">
        <v>45708</v>
      </c>
      <c r="E1003" t="s">
        <v>26</v>
      </c>
      <c r="F1003" t="s">
        <v>34</v>
      </c>
      <c r="G1003">
        <v>3</v>
      </c>
      <c r="H1003" t="s">
        <v>18</v>
      </c>
      <c r="I1003" t="s">
        <v>801</v>
      </c>
      <c r="J1003">
        <f>orders[[#This Row],[Ship Date]]-orders[[#This Row],[Order Date]]</f>
        <v>11</v>
      </c>
      <c r="K1003">
        <f>WEEKNUM(orders[[#This Row],[Order Date]])</f>
        <v>7</v>
      </c>
      <c r="L1003" t="str" cm="1">
        <f t="array" ref="L1003">_xlfn.IFS(orders[[#This Row],[Customer Gender]]="M","Male", orders[[#This Row],[Customer Gender]]="F","Female", orders[[#This Row],[Customer Gender]]="O","Other", TRUE,"Unknown")</f>
        <v>Female</v>
      </c>
      <c r="M1003">
        <v>1</v>
      </c>
      <c r="N1003">
        <v>39.299999999999997</v>
      </c>
      <c r="O1003">
        <v>39.299999999999997</v>
      </c>
    </row>
    <row r="1004" spans="1:15" x14ac:dyDescent="0.3">
      <c r="A1004" t="s">
        <v>1099</v>
      </c>
      <c r="B1004" t="s">
        <v>31</v>
      </c>
      <c r="C1004" s="7">
        <v>45697</v>
      </c>
      <c r="D1004" s="7">
        <v>45699</v>
      </c>
      <c r="E1004" t="s">
        <v>26</v>
      </c>
      <c r="F1004" t="s">
        <v>50</v>
      </c>
      <c r="G1004">
        <v>3</v>
      </c>
      <c r="H1004" t="s">
        <v>18</v>
      </c>
      <c r="I1004" t="s">
        <v>187</v>
      </c>
      <c r="J1004">
        <f>orders[[#This Row],[Ship Date]]-orders[[#This Row],[Order Date]]</f>
        <v>2</v>
      </c>
      <c r="K1004">
        <f>WEEKNUM(orders[[#This Row],[Order Date]])</f>
        <v>7</v>
      </c>
      <c r="L1004" t="str" cm="1">
        <f t="array" ref="L1004">_xlfn.IFS(orders[[#This Row],[Customer Gender]]="M","Male", orders[[#This Row],[Customer Gender]]="F","Female", orders[[#This Row],[Customer Gender]]="O","Other", TRUE,"Unknown")</f>
        <v>Female</v>
      </c>
      <c r="M1004">
        <v>10</v>
      </c>
      <c r="N1004">
        <v>48.8</v>
      </c>
      <c r="O1004" s="5">
        <v>488</v>
      </c>
    </row>
    <row r="1005" spans="1:15" x14ac:dyDescent="0.3">
      <c r="A1005" t="s">
        <v>1100</v>
      </c>
      <c r="B1005" t="s">
        <v>38</v>
      </c>
      <c r="C1005" s="7">
        <v>45697</v>
      </c>
      <c r="D1005" s="7">
        <v>45699</v>
      </c>
      <c r="E1005" t="s">
        <v>22</v>
      </c>
      <c r="F1005" t="s">
        <v>34</v>
      </c>
      <c r="G1005">
        <v>5</v>
      </c>
      <c r="H1005" t="s">
        <v>18</v>
      </c>
      <c r="I1005" t="s">
        <v>51</v>
      </c>
      <c r="J1005">
        <f>orders[[#This Row],[Ship Date]]-orders[[#This Row],[Order Date]]</f>
        <v>2</v>
      </c>
      <c r="K1005">
        <f>WEEKNUM(orders[[#This Row],[Order Date]])</f>
        <v>7</v>
      </c>
      <c r="L1005" t="str" cm="1">
        <f t="array" ref="L1005">_xlfn.IFS(orders[[#This Row],[Customer Gender]]="M","Male", orders[[#This Row],[Customer Gender]]="F","Female", orders[[#This Row],[Customer Gender]]="O","Other", TRUE,"Unknown")</f>
        <v>Male</v>
      </c>
      <c r="M1005">
        <v>8</v>
      </c>
      <c r="N1005">
        <v>72.8</v>
      </c>
      <c r="O1005">
        <v>582.4</v>
      </c>
    </row>
    <row r="1006" spans="1:15" x14ac:dyDescent="0.3">
      <c r="A1006" t="s">
        <v>1101</v>
      </c>
      <c r="B1006" t="s">
        <v>53</v>
      </c>
      <c r="C1006" s="7">
        <v>45697</v>
      </c>
      <c r="D1006" s="7">
        <v>45698</v>
      </c>
      <c r="E1006" t="s">
        <v>22</v>
      </c>
      <c r="F1006" t="s">
        <v>50</v>
      </c>
      <c r="G1006">
        <v>2</v>
      </c>
      <c r="H1006" t="s">
        <v>18</v>
      </c>
      <c r="I1006" t="s">
        <v>51</v>
      </c>
      <c r="J1006">
        <f>orders[[#This Row],[Ship Date]]-orders[[#This Row],[Order Date]]</f>
        <v>1</v>
      </c>
      <c r="K1006">
        <f>WEEKNUM(orders[[#This Row],[Order Date]])</f>
        <v>7</v>
      </c>
      <c r="L1006" t="str" cm="1">
        <f t="array" ref="L1006">_xlfn.IFS(orders[[#This Row],[Customer Gender]]="M","Male", orders[[#This Row],[Customer Gender]]="F","Female", orders[[#This Row],[Customer Gender]]="O","Other", TRUE,"Unknown")</f>
        <v>Male</v>
      </c>
      <c r="M1006">
        <v>8</v>
      </c>
      <c r="N1006">
        <v>46.2</v>
      </c>
      <c r="O1006" s="5">
        <v>369.6</v>
      </c>
    </row>
    <row r="1007" spans="1:15" x14ac:dyDescent="0.3">
      <c r="A1007" t="s">
        <v>1102</v>
      </c>
      <c r="B1007" t="s">
        <v>31</v>
      </c>
      <c r="C1007" s="7">
        <v>45697</v>
      </c>
      <c r="D1007" s="7">
        <v>45698</v>
      </c>
      <c r="E1007" t="s">
        <v>26</v>
      </c>
      <c r="F1007" t="s">
        <v>39</v>
      </c>
      <c r="G1007">
        <v>1</v>
      </c>
      <c r="H1007" t="s">
        <v>18</v>
      </c>
      <c r="I1007" t="s">
        <v>54</v>
      </c>
      <c r="J1007">
        <f>orders[[#This Row],[Ship Date]]-orders[[#This Row],[Order Date]]</f>
        <v>1</v>
      </c>
      <c r="K1007">
        <f>WEEKNUM(orders[[#This Row],[Order Date]])</f>
        <v>7</v>
      </c>
      <c r="L1007" t="str" cm="1">
        <f t="array" ref="L1007">_xlfn.IFS(orders[[#This Row],[Customer Gender]]="M","Male", orders[[#This Row],[Customer Gender]]="F","Female", orders[[#This Row],[Customer Gender]]="O","Other", TRUE,"Unknown")</f>
        <v>Female</v>
      </c>
      <c r="M1007">
        <v>2</v>
      </c>
      <c r="N1007">
        <v>20.7</v>
      </c>
      <c r="O1007">
        <v>41.4</v>
      </c>
    </row>
    <row r="1008" spans="1:15" x14ac:dyDescent="0.3">
      <c r="A1008" t="s">
        <v>1103</v>
      </c>
      <c r="B1008" t="s">
        <v>16</v>
      </c>
      <c r="C1008" s="7">
        <v>45697</v>
      </c>
      <c r="D1008" s="7">
        <v>45699</v>
      </c>
      <c r="E1008" t="s">
        <v>26</v>
      </c>
      <c r="F1008" t="s">
        <v>50</v>
      </c>
      <c r="G1008">
        <v>4</v>
      </c>
      <c r="H1008" t="s">
        <v>18</v>
      </c>
      <c r="I1008" t="s">
        <v>54</v>
      </c>
      <c r="J1008">
        <f>orders[[#This Row],[Ship Date]]-orders[[#This Row],[Order Date]]</f>
        <v>2</v>
      </c>
      <c r="K1008">
        <f>WEEKNUM(orders[[#This Row],[Order Date]])</f>
        <v>7</v>
      </c>
      <c r="L1008" t="str" cm="1">
        <f t="array" ref="L1008">_xlfn.IFS(orders[[#This Row],[Customer Gender]]="M","Male", orders[[#This Row],[Customer Gender]]="F","Female", orders[[#This Row],[Customer Gender]]="O","Other", TRUE,"Unknown")</f>
        <v>Female</v>
      </c>
      <c r="M1008">
        <v>1</v>
      </c>
      <c r="N1008">
        <v>35.700000000000003</v>
      </c>
      <c r="O1008" s="5">
        <v>35.700000000000003</v>
      </c>
    </row>
    <row r="1009" spans="1:15" x14ac:dyDescent="0.3">
      <c r="A1009" t="s">
        <v>1104</v>
      </c>
      <c r="B1009" t="s">
        <v>25</v>
      </c>
      <c r="C1009" s="7">
        <v>45697</v>
      </c>
      <c r="D1009" s="7">
        <v>45699</v>
      </c>
      <c r="E1009" t="s">
        <v>2517</v>
      </c>
      <c r="F1009" t="s">
        <v>39</v>
      </c>
      <c r="G1009">
        <v>4</v>
      </c>
      <c r="H1009" t="s">
        <v>18</v>
      </c>
      <c r="I1009" t="s">
        <v>58</v>
      </c>
      <c r="J1009">
        <f>orders[[#This Row],[Ship Date]]-orders[[#This Row],[Order Date]]</f>
        <v>2</v>
      </c>
      <c r="K1009">
        <f>WEEKNUM(orders[[#This Row],[Order Date]])</f>
        <v>7</v>
      </c>
      <c r="L1009" t="str" cm="1">
        <f t="array" ref="L1009">_xlfn.IFS(orders[[#This Row],[Customer Gender]]="M","Male", orders[[#This Row],[Customer Gender]]="F","Female", orders[[#This Row],[Customer Gender]]="O","Other", TRUE,"Unknown")</f>
        <v>Unknown</v>
      </c>
      <c r="M1009">
        <v>16</v>
      </c>
      <c r="N1009">
        <v>166.2</v>
      </c>
      <c r="O1009">
        <v>2659.2</v>
      </c>
    </row>
    <row r="1010" spans="1:15" x14ac:dyDescent="0.3">
      <c r="A1010" t="s">
        <v>1105</v>
      </c>
      <c r="B1010" t="s">
        <v>38</v>
      </c>
      <c r="C1010" s="7">
        <v>45697</v>
      </c>
      <c r="D1010" s="7">
        <v>45698</v>
      </c>
      <c r="E1010" t="s">
        <v>26</v>
      </c>
      <c r="F1010" t="s">
        <v>34</v>
      </c>
      <c r="G1010">
        <v>3</v>
      </c>
      <c r="H1010" t="s">
        <v>18</v>
      </c>
      <c r="I1010" t="s">
        <v>58</v>
      </c>
      <c r="J1010">
        <f>orders[[#This Row],[Ship Date]]-orders[[#This Row],[Order Date]]</f>
        <v>1</v>
      </c>
      <c r="K1010">
        <f>WEEKNUM(orders[[#This Row],[Order Date]])</f>
        <v>7</v>
      </c>
      <c r="L1010" t="str" cm="1">
        <f t="array" ref="L1010">_xlfn.IFS(orders[[#This Row],[Customer Gender]]="M","Male", orders[[#This Row],[Customer Gender]]="F","Female", orders[[#This Row],[Customer Gender]]="O","Other", TRUE,"Unknown")</f>
        <v>Female</v>
      </c>
      <c r="M1010">
        <v>4</v>
      </c>
      <c r="N1010">
        <v>85.8</v>
      </c>
      <c r="O1010" s="5">
        <v>343.2</v>
      </c>
    </row>
    <row r="1011" spans="1:15" x14ac:dyDescent="0.3">
      <c r="A1011" t="s">
        <v>1106</v>
      </c>
      <c r="B1011" t="s">
        <v>43</v>
      </c>
      <c r="C1011" s="7">
        <v>45697</v>
      </c>
      <c r="D1011" s="7">
        <v>45699</v>
      </c>
      <c r="E1011" t="s">
        <v>88</v>
      </c>
      <c r="F1011" t="s">
        <v>34</v>
      </c>
      <c r="G1011">
        <v>4</v>
      </c>
      <c r="H1011" t="s">
        <v>18</v>
      </c>
      <c r="I1011" t="s">
        <v>58</v>
      </c>
      <c r="J1011">
        <f>orders[[#This Row],[Ship Date]]-orders[[#This Row],[Order Date]]</f>
        <v>2</v>
      </c>
      <c r="K1011">
        <f>WEEKNUM(orders[[#This Row],[Order Date]])</f>
        <v>7</v>
      </c>
      <c r="L1011" t="str" cm="1">
        <f t="array" ref="L1011">_xlfn.IFS(orders[[#This Row],[Customer Gender]]="M","Male", orders[[#This Row],[Customer Gender]]="F","Female", orders[[#This Row],[Customer Gender]]="O","Other", TRUE,"Unknown")</f>
        <v>Other</v>
      </c>
      <c r="M1011">
        <v>3</v>
      </c>
      <c r="N1011">
        <v>26</v>
      </c>
      <c r="O1011">
        <v>78</v>
      </c>
    </row>
    <row r="1012" spans="1:15" x14ac:dyDescent="0.3">
      <c r="A1012" t="s">
        <v>1107</v>
      </c>
      <c r="B1012" t="s">
        <v>25</v>
      </c>
      <c r="C1012" s="7">
        <v>45697</v>
      </c>
      <c r="D1012" s="7">
        <v>45700</v>
      </c>
      <c r="E1012" t="s">
        <v>26</v>
      </c>
      <c r="F1012" t="s">
        <v>17</v>
      </c>
      <c r="G1012">
        <v>4</v>
      </c>
      <c r="H1012" t="s">
        <v>18</v>
      </c>
      <c r="I1012" t="s">
        <v>61</v>
      </c>
      <c r="J1012">
        <f>orders[[#This Row],[Ship Date]]-orders[[#This Row],[Order Date]]</f>
        <v>3</v>
      </c>
      <c r="K1012">
        <f>WEEKNUM(orders[[#This Row],[Order Date]])</f>
        <v>7</v>
      </c>
      <c r="L1012" t="str" cm="1">
        <f t="array" ref="L1012">_xlfn.IFS(orders[[#This Row],[Customer Gender]]="M","Male", orders[[#This Row],[Customer Gender]]="F","Female", orders[[#This Row],[Customer Gender]]="O","Other", TRUE,"Unknown")</f>
        <v>Female</v>
      </c>
      <c r="M1012">
        <v>13</v>
      </c>
      <c r="N1012">
        <v>116.6</v>
      </c>
      <c r="O1012" s="5">
        <v>1515.8</v>
      </c>
    </row>
    <row r="1013" spans="1:15" x14ac:dyDescent="0.3">
      <c r="A1013" t="s">
        <v>1108</v>
      </c>
      <c r="B1013" t="s">
        <v>45</v>
      </c>
      <c r="C1013" s="7">
        <v>45697</v>
      </c>
      <c r="D1013" s="7">
        <v>45700</v>
      </c>
      <c r="E1013" t="s">
        <v>88</v>
      </c>
      <c r="F1013" t="s">
        <v>17</v>
      </c>
      <c r="G1013">
        <v>5</v>
      </c>
      <c r="H1013" t="s">
        <v>18</v>
      </c>
      <c r="I1013" t="s">
        <v>61</v>
      </c>
      <c r="J1013">
        <f>orders[[#This Row],[Ship Date]]-orders[[#This Row],[Order Date]]</f>
        <v>3</v>
      </c>
      <c r="K1013">
        <f>WEEKNUM(orders[[#This Row],[Order Date]])</f>
        <v>7</v>
      </c>
      <c r="L1013" t="str" cm="1">
        <f t="array" ref="L1013">_xlfn.IFS(orders[[#This Row],[Customer Gender]]="M","Male", orders[[#This Row],[Customer Gender]]="F","Female", orders[[#This Row],[Customer Gender]]="O","Other", TRUE,"Unknown")</f>
        <v>Other</v>
      </c>
      <c r="M1013">
        <v>7</v>
      </c>
      <c r="N1013">
        <v>53.9</v>
      </c>
      <c r="O1013">
        <v>377.3</v>
      </c>
    </row>
    <row r="1014" spans="1:15" x14ac:dyDescent="0.3">
      <c r="A1014" t="s">
        <v>1109</v>
      </c>
      <c r="B1014" t="s">
        <v>68</v>
      </c>
      <c r="C1014" s="7">
        <v>45697</v>
      </c>
      <c r="D1014" s="7">
        <v>45699</v>
      </c>
      <c r="E1014" t="s">
        <v>2517</v>
      </c>
      <c r="F1014" t="s">
        <v>39</v>
      </c>
      <c r="G1014">
        <v>5</v>
      </c>
      <c r="H1014" t="s">
        <v>18</v>
      </c>
      <c r="I1014" t="s">
        <v>61</v>
      </c>
      <c r="J1014">
        <f>orders[[#This Row],[Ship Date]]-orders[[#This Row],[Order Date]]</f>
        <v>2</v>
      </c>
      <c r="K1014">
        <f>WEEKNUM(orders[[#This Row],[Order Date]])</f>
        <v>7</v>
      </c>
      <c r="L1014" t="str" cm="1">
        <f t="array" ref="L1014">_xlfn.IFS(orders[[#This Row],[Customer Gender]]="M","Male", orders[[#This Row],[Customer Gender]]="F","Female", orders[[#This Row],[Customer Gender]]="O","Other", TRUE,"Unknown")</f>
        <v>Unknown</v>
      </c>
      <c r="M1014">
        <v>5</v>
      </c>
      <c r="N1014">
        <v>72.3</v>
      </c>
      <c r="O1014" s="5">
        <v>361.5</v>
      </c>
    </row>
    <row r="1015" spans="1:15" x14ac:dyDescent="0.3">
      <c r="A1015" t="s">
        <v>1110</v>
      </c>
      <c r="B1015" t="s">
        <v>36</v>
      </c>
      <c r="C1015" s="7">
        <v>45697</v>
      </c>
      <c r="D1015" s="7">
        <v>45699</v>
      </c>
      <c r="E1015" t="s">
        <v>26</v>
      </c>
      <c r="F1015" t="s">
        <v>17</v>
      </c>
      <c r="G1015">
        <v>4</v>
      </c>
      <c r="H1015" t="s">
        <v>18</v>
      </c>
      <c r="I1015" t="s">
        <v>61</v>
      </c>
      <c r="J1015">
        <f>orders[[#This Row],[Ship Date]]-orders[[#This Row],[Order Date]]</f>
        <v>2</v>
      </c>
      <c r="K1015">
        <f>WEEKNUM(orders[[#This Row],[Order Date]])</f>
        <v>7</v>
      </c>
      <c r="L1015" t="str" cm="1">
        <f t="array" ref="L1015">_xlfn.IFS(orders[[#This Row],[Customer Gender]]="M","Male", orders[[#This Row],[Customer Gender]]="F","Female", orders[[#This Row],[Customer Gender]]="O","Other", TRUE,"Unknown")</f>
        <v>Female</v>
      </c>
      <c r="M1015">
        <v>2</v>
      </c>
      <c r="N1015">
        <v>31.4</v>
      </c>
      <c r="O1015">
        <v>62.8</v>
      </c>
    </row>
    <row r="1016" spans="1:15" x14ac:dyDescent="0.3">
      <c r="A1016" t="s">
        <v>1111</v>
      </c>
      <c r="B1016" t="s">
        <v>75</v>
      </c>
      <c r="C1016" s="7">
        <v>45697</v>
      </c>
      <c r="D1016" s="7">
        <v>45700</v>
      </c>
      <c r="E1016" t="s">
        <v>22</v>
      </c>
      <c r="F1016" t="s">
        <v>34</v>
      </c>
      <c r="G1016">
        <v>4</v>
      </c>
      <c r="H1016" t="s">
        <v>18</v>
      </c>
      <c r="I1016" t="s">
        <v>61</v>
      </c>
      <c r="J1016">
        <f>orders[[#This Row],[Ship Date]]-orders[[#This Row],[Order Date]]</f>
        <v>3</v>
      </c>
      <c r="K1016">
        <f>WEEKNUM(orders[[#This Row],[Order Date]])</f>
        <v>7</v>
      </c>
      <c r="L1016" t="str" cm="1">
        <f t="array" ref="L1016">_xlfn.IFS(orders[[#This Row],[Customer Gender]]="M","Male", orders[[#This Row],[Customer Gender]]="F","Female", orders[[#This Row],[Customer Gender]]="O","Other", TRUE,"Unknown")</f>
        <v>Male</v>
      </c>
      <c r="M1016">
        <v>2</v>
      </c>
      <c r="N1016">
        <v>53.1</v>
      </c>
      <c r="O1016" s="5">
        <v>106.2</v>
      </c>
    </row>
    <row r="1017" spans="1:15" x14ac:dyDescent="0.3">
      <c r="A1017" t="s">
        <v>1112</v>
      </c>
      <c r="B1017" t="s">
        <v>25</v>
      </c>
      <c r="C1017" s="7">
        <v>45697</v>
      </c>
      <c r="D1017" s="7">
        <v>45698</v>
      </c>
      <c r="E1017" t="s">
        <v>26</v>
      </c>
      <c r="F1017" t="s">
        <v>17</v>
      </c>
      <c r="G1017">
        <v>4</v>
      </c>
      <c r="H1017" t="s">
        <v>18</v>
      </c>
      <c r="I1017" t="s">
        <v>61</v>
      </c>
      <c r="J1017">
        <f>orders[[#This Row],[Ship Date]]-orders[[#This Row],[Order Date]]</f>
        <v>1</v>
      </c>
      <c r="K1017">
        <f>WEEKNUM(orders[[#This Row],[Order Date]])</f>
        <v>7</v>
      </c>
      <c r="L1017" t="str" cm="1">
        <f t="array" ref="L1017">_xlfn.IFS(orders[[#This Row],[Customer Gender]]="M","Male", orders[[#This Row],[Customer Gender]]="F","Female", orders[[#This Row],[Customer Gender]]="O","Other", TRUE,"Unknown")</f>
        <v>Female</v>
      </c>
      <c r="M1017">
        <v>4</v>
      </c>
      <c r="N1017">
        <v>56.2</v>
      </c>
      <c r="O1017">
        <v>224.8</v>
      </c>
    </row>
    <row r="1018" spans="1:15" x14ac:dyDescent="0.3">
      <c r="A1018" t="s">
        <v>1113</v>
      </c>
      <c r="B1018" t="s">
        <v>21</v>
      </c>
      <c r="C1018" s="7">
        <v>45697</v>
      </c>
      <c r="D1018" s="7">
        <v>45698</v>
      </c>
      <c r="E1018" t="s">
        <v>26</v>
      </c>
      <c r="F1018" t="s">
        <v>39</v>
      </c>
      <c r="G1018">
        <v>4</v>
      </c>
      <c r="H1018" t="s">
        <v>18</v>
      </c>
      <c r="I1018" t="s">
        <v>76</v>
      </c>
      <c r="J1018">
        <f>orders[[#This Row],[Ship Date]]-orders[[#This Row],[Order Date]]</f>
        <v>1</v>
      </c>
      <c r="K1018">
        <f>WEEKNUM(orders[[#This Row],[Order Date]])</f>
        <v>7</v>
      </c>
      <c r="L1018" t="str" cm="1">
        <f t="array" ref="L1018">_xlfn.IFS(orders[[#This Row],[Customer Gender]]="M","Male", orders[[#This Row],[Customer Gender]]="F","Female", orders[[#This Row],[Customer Gender]]="O","Other", TRUE,"Unknown")</f>
        <v>Female</v>
      </c>
      <c r="M1018">
        <v>10</v>
      </c>
      <c r="N1018">
        <v>77.3</v>
      </c>
      <c r="O1018" s="5">
        <v>773</v>
      </c>
    </row>
    <row r="1019" spans="1:15" x14ac:dyDescent="0.3">
      <c r="A1019" t="s">
        <v>1114</v>
      </c>
      <c r="B1019" t="s">
        <v>38</v>
      </c>
      <c r="C1019" s="7">
        <v>45697</v>
      </c>
      <c r="D1019" s="7">
        <v>45698</v>
      </c>
      <c r="E1019" t="s">
        <v>2517</v>
      </c>
      <c r="F1019" t="s">
        <v>17</v>
      </c>
      <c r="G1019">
        <v>4</v>
      </c>
      <c r="H1019" t="s">
        <v>18</v>
      </c>
      <c r="I1019" t="s">
        <v>1115</v>
      </c>
      <c r="J1019">
        <f>orders[[#This Row],[Ship Date]]-orders[[#This Row],[Order Date]]</f>
        <v>1</v>
      </c>
      <c r="K1019">
        <f>WEEKNUM(orders[[#This Row],[Order Date]])</f>
        <v>7</v>
      </c>
      <c r="L1019" t="str" cm="1">
        <f t="array" ref="L1019">_xlfn.IFS(orders[[#This Row],[Customer Gender]]="M","Male", orders[[#This Row],[Customer Gender]]="F","Female", orders[[#This Row],[Customer Gender]]="O","Other", TRUE,"Unknown")</f>
        <v>Unknown</v>
      </c>
      <c r="M1019">
        <v>13</v>
      </c>
      <c r="N1019">
        <v>57.8</v>
      </c>
      <c r="O1019">
        <v>751.4</v>
      </c>
    </row>
    <row r="1020" spans="1:15" x14ac:dyDescent="0.3">
      <c r="A1020" t="s">
        <v>1116</v>
      </c>
      <c r="B1020" t="s">
        <v>68</v>
      </c>
      <c r="C1020" s="7">
        <v>45697</v>
      </c>
      <c r="D1020" s="7">
        <v>45699</v>
      </c>
      <c r="E1020" t="s">
        <v>26</v>
      </c>
      <c r="F1020" t="s">
        <v>34</v>
      </c>
      <c r="G1020">
        <v>3</v>
      </c>
      <c r="H1020" t="s">
        <v>18</v>
      </c>
      <c r="I1020" t="s">
        <v>1115</v>
      </c>
      <c r="J1020">
        <f>orders[[#This Row],[Ship Date]]-orders[[#This Row],[Order Date]]</f>
        <v>2</v>
      </c>
      <c r="K1020">
        <f>WEEKNUM(orders[[#This Row],[Order Date]])</f>
        <v>7</v>
      </c>
      <c r="L1020" t="str" cm="1">
        <f t="array" ref="L1020">_xlfn.IFS(orders[[#This Row],[Customer Gender]]="M","Male", orders[[#This Row],[Customer Gender]]="F","Female", orders[[#This Row],[Customer Gender]]="O","Other", TRUE,"Unknown")</f>
        <v>Female</v>
      </c>
      <c r="M1020">
        <v>15</v>
      </c>
      <c r="N1020">
        <v>42.1</v>
      </c>
      <c r="O1020" s="5">
        <v>631.5</v>
      </c>
    </row>
    <row r="1021" spans="1:15" x14ac:dyDescent="0.3">
      <c r="A1021" t="s">
        <v>1117</v>
      </c>
      <c r="B1021" t="s">
        <v>43</v>
      </c>
      <c r="C1021" s="7">
        <v>45697</v>
      </c>
      <c r="D1021" s="7">
        <v>45701</v>
      </c>
      <c r="E1021" t="s">
        <v>22</v>
      </c>
      <c r="F1021" t="s">
        <v>39</v>
      </c>
      <c r="G1021">
        <v>5</v>
      </c>
      <c r="H1021" t="s">
        <v>18</v>
      </c>
      <c r="I1021" t="s">
        <v>109</v>
      </c>
      <c r="J1021">
        <f>orders[[#This Row],[Ship Date]]-orders[[#This Row],[Order Date]]</f>
        <v>4</v>
      </c>
      <c r="K1021">
        <f>WEEKNUM(orders[[#This Row],[Order Date]])</f>
        <v>7</v>
      </c>
      <c r="L1021" t="str" cm="1">
        <f t="array" ref="L1021">_xlfn.IFS(orders[[#This Row],[Customer Gender]]="M","Male", orders[[#This Row],[Customer Gender]]="F","Female", orders[[#This Row],[Customer Gender]]="O","Other", TRUE,"Unknown")</f>
        <v>Male</v>
      </c>
      <c r="M1021">
        <v>9</v>
      </c>
      <c r="N1021">
        <v>22.8</v>
      </c>
      <c r="O1021">
        <v>205.20000000000002</v>
      </c>
    </row>
    <row r="1022" spans="1:15" x14ac:dyDescent="0.3">
      <c r="A1022" t="s">
        <v>1118</v>
      </c>
      <c r="B1022" t="s">
        <v>25</v>
      </c>
      <c r="C1022" s="7">
        <v>45698</v>
      </c>
      <c r="D1022" s="7">
        <v>45705</v>
      </c>
      <c r="E1022" t="s">
        <v>26</v>
      </c>
      <c r="F1022" t="s">
        <v>39</v>
      </c>
      <c r="G1022">
        <v>3</v>
      </c>
      <c r="H1022" t="s">
        <v>18</v>
      </c>
      <c r="I1022" t="s">
        <v>109</v>
      </c>
      <c r="J1022">
        <f>orders[[#This Row],[Ship Date]]-orders[[#This Row],[Order Date]]</f>
        <v>7</v>
      </c>
      <c r="K1022">
        <f>WEEKNUM(orders[[#This Row],[Order Date]])</f>
        <v>7</v>
      </c>
      <c r="L1022" t="str" cm="1">
        <f t="array" ref="L1022">_xlfn.IFS(orders[[#This Row],[Customer Gender]]="M","Male", orders[[#This Row],[Customer Gender]]="F","Female", orders[[#This Row],[Customer Gender]]="O","Other", TRUE,"Unknown")</f>
        <v>Female</v>
      </c>
      <c r="M1022">
        <v>3</v>
      </c>
      <c r="N1022">
        <v>171.1</v>
      </c>
      <c r="O1022" s="5">
        <v>513.29999999999995</v>
      </c>
    </row>
    <row r="1023" spans="1:15" x14ac:dyDescent="0.3">
      <c r="A1023" t="s">
        <v>1119</v>
      </c>
      <c r="B1023" t="s">
        <v>43</v>
      </c>
      <c r="C1023" s="7">
        <v>45698</v>
      </c>
      <c r="D1023" s="7">
        <v>45700</v>
      </c>
      <c r="E1023" t="s">
        <v>22</v>
      </c>
      <c r="F1023" t="s">
        <v>39</v>
      </c>
      <c r="G1023">
        <v>5</v>
      </c>
      <c r="H1023" t="s">
        <v>18</v>
      </c>
      <c r="I1023" t="s">
        <v>114</v>
      </c>
      <c r="J1023">
        <f>orders[[#This Row],[Ship Date]]-orders[[#This Row],[Order Date]]</f>
        <v>2</v>
      </c>
      <c r="K1023">
        <f>WEEKNUM(orders[[#This Row],[Order Date]])</f>
        <v>7</v>
      </c>
      <c r="L1023" t="str" cm="1">
        <f t="array" ref="L1023">_xlfn.IFS(orders[[#This Row],[Customer Gender]]="M","Male", orders[[#This Row],[Customer Gender]]="F","Female", orders[[#This Row],[Customer Gender]]="O","Other", TRUE,"Unknown")</f>
        <v>Male</v>
      </c>
      <c r="M1023">
        <v>1</v>
      </c>
      <c r="N1023">
        <v>28</v>
      </c>
      <c r="O1023">
        <v>28</v>
      </c>
    </row>
    <row r="1024" spans="1:15" x14ac:dyDescent="0.3">
      <c r="A1024" t="s">
        <v>1120</v>
      </c>
      <c r="B1024" t="s">
        <v>38</v>
      </c>
      <c r="C1024" s="7">
        <v>45698</v>
      </c>
      <c r="D1024" s="7">
        <v>45700</v>
      </c>
      <c r="E1024" t="s">
        <v>22</v>
      </c>
      <c r="F1024" t="s">
        <v>39</v>
      </c>
      <c r="G1024">
        <v>4</v>
      </c>
      <c r="H1024" t="s">
        <v>18</v>
      </c>
      <c r="I1024" t="s">
        <v>114</v>
      </c>
      <c r="J1024">
        <f>orders[[#This Row],[Ship Date]]-orders[[#This Row],[Order Date]]</f>
        <v>2</v>
      </c>
      <c r="K1024">
        <f>WEEKNUM(orders[[#This Row],[Order Date]])</f>
        <v>7</v>
      </c>
      <c r="L1024" t="str" cm="1">
        <f t="array" ref="L1024">_xlfn.IFS(orders[[#This Row],[Customer Gender]]="M","Male", orders[[#This Row],[Customer Gender]]="F","Female", orders[[#This Row],[Customer Gender]]="O","Other", TRUE,"Unknown")</f>
        <v>Male</v>
      </c>
      <c r="M1024">
        <v>7</v>
      </c>
      <c r="N1024">
        <v>50.2</v>
      </c>
      <c r="O1024" s="5">
        <v>351.40000000000003</v>
      </c>
    </row>
    <row r="1025" spans="1:15" x14ac:dyDescent="0.3">
      <c r="A1025" t="s">
        <v>1121</v>
      </c>
      <c r="B1025" t="s">
        <v>38</v>
      </c>
      <c r="C1025" s="7">
        <v>45698</v>
      </c>
      <c r="D1025" s="7">
        <v>45698</v>
      </c>
      <c r="E1025" t="s">
        <v>22</v>
      </c>
      <c r="F1025" t="s">
        <v>17</v>
      </c>
      <c r="G1025">
        <v>5</v>
      </c>
      <c r="H1025" t="s">
        <v>18</v>
      </c>
      <c r="I1025" t="s">
        <v>146</v>
      </c>
      <c r="J1025">
        <f>orders[[#This Row],[Ship Date]]-orders[[#This Row],[Order Date]]</f>
        <v>0</v>
      </c>
      <c r="K1025">
        <f>WEEKNUM(orders[[#This Row],[Order Date]])</f>
        <v>7</v>
      </c>
      <c r="L1025" t="str" cm="1">
        <f t="array" ref="L1025">_xlfn.IFS(orders[[#This Row],[Customer Gender]]="M","Male", orders[[#This Row],[Customer Gender]]="F","Female", orders[[#This Row],[Customer Gender]]="O","Other", TRUE,"Unknown")</f>
        <v>Male</v>
      </c>
      <c r="M1025">
        <v>2</v>
      </c>
      <c r="N1025">
        <v>56</v>
      </c>
      <c r="O1025">
        <v>112</v>
      </c>
    </row>
    <row r="1026" spans="1:15" x14ac:dyDescent="0.3">
      <c r="A1026" t="s">
        <v>1122</v>
      </c>
      <c r="B1026" t="s">
        <v>21</v>
      </c>
      <c r="C1026" s="7">
        <v>45698</v>
      </c>
      <c r="D1026" s="7">
        <v>45699</v>
      </c>
      <c r="E1026" t="s">
        <v>26</v>
      </c>
      <c r="F1026" t="s">
        <v>34</v>
      </c>
      <c r="G1026">
        <v>4</v>
      </c>
      <c r="H1026" t="s">
        <v>18</v>
      </c>
      <c r="I1026" t="s">
        <v>32</v>
      </c>
      <c r="J1026">
        <f>orders[[#This Row],[Ship Date]]-orders[[#This Row],[Order Date]]</f>
        <v>1</v>
      </c>
      <c r="K1026">
        <f>WEEKNUM(orders[[#This Row],[Order Date]])</f>
        <v>7</v>
      </c>
      <c r="L1026" t="str" cm="1">
        <f t="array" ref="L1026">_xlfn.IFS(orders[[#This Row],[Customer Gender]]="M","Male", orders[[#This Row],[Customer Gender]]="F","Female", orders[[#This Row],[Customer Gender]]="O","Other", TRUE,"Unknown")</f>
        <v>Female</v>
      </c>
      <c r="M1026">
        <v>2</v>
      </c>
      <c r="N1026">
        <v>38.299999999999997</v>
      </c>
      <c r="O1026" s="5">
        <v>76.599999999999994</v>
      </c>
    </row>
    <row r="1027" spans="1:15" x14ac:dyDescent="0.3">
      <c r="A1027" t="s">
        <v>1123</v>
      </c>
      <c r="B1027" t="s">
        <v>16</v>
      </c>
      <c r="C1027" s="7">
        <v>45698</v>
      </c>
      <c r="D1027" s="7">
        <v>45702</v>
      </c>
      <c r="E1027" t="s">
        <v>26</v>
      </c>
      <c r="F1027" t="s">
        <v>39</v>
      </c>
      <c r="G1027">
        <v>3</v>
      </c>
      <c r="H1027" t="s">
        <v>18</v>
      </c>
      <c r="I1027" t="s">
        <v>32</v>
      </c>
      <c r="J1027">
        <f>orders[[#This Row],[Ship Date]]-orders[[#This Row],[Order Date]]</f>
        <v>4</v>
      </c>
      <c r="K1027">
        <f>WEEKNUM(orders[[#This Row],[Order Date]])</f>
        <v>7</v>
      </c>
      <c r="L1027" t="str" cm="1">
        <f t="array" ref="L1027">_xlfn.IFS(orders[[#This Row],[Customer Gender]]="M","Male", orders[[#This Row],[Customer Gender]]="F","Female", orders[[#This Row],[Customer Gender]]="O","Other", TRUE,"Unknown")</f>
        <v>Female</v>
      </c>
      <c r="M1027">
        <v>5</v>
      </c>
      <c r="N1027">
        <v>22.3</v>
      </c>
      <c r="O1027">
        <v>111.5</v>
      </c>
    </row>
    <row r="1028" spans="1:15" x14ac:dyDescent="0.3">
      <c r="A1028" t="s">
        <v>1124</v>
      </c>
      <c r="B1028" t="s">
        <v>16</v>
      </c>
      <c r="C1028" s="7">
        <v>45698</v>
      </c>
      <c r="D1028" s="7">
        <v>45701</v>
      </c>
      <c r="E1028" t="s">
        <v>26</v>
      </c>
      <c r="F1028" t="s">
        <v>39</v>
      </c>
      <c r="G1028">
        <v>4</v>
      </c>
      <c r="H1028" t="s">
        <v>18</v>
      </c>
      <c r="I1028" t="s">
        <v>32</v>
      </c>
      <c r="J1028">
        <f>orders[[#This Row],[Ship Date]]-orders[[#This Row],[Order Date]]</f>
        <v>3</v>
      </c>
      <c r="K1028">
        <f>WEEKNUM(orders[[#This Row],[Order Date]])</f>
        <v>7</v>
      </c>
      <c r="L1028" t="str" cm="1">
        <f t="array" ref="L1028">_xlfn.IFS(orders[[#This Row],[Customer Gender]]="M","Male", orders[[#This Row],[Customer Gender]]="F","Female", orders[[#This Row],[Customer Gender]]="O","Other", TRUE,"Unknown")</f>
        <v>Female</v>
      </c>
      <c r="M1028">
        <v>3</v>
      </c>
      <c r="N1028">
        <v>22.3</v>
      </c>
      <c r="O1028" s="5">
        <v>66.900000000000006</v>
      </c>
    </row>
    <row r="1029" spans="1:15" x14ac:dyDescent="0.3">
      <c r="A1029" t="s">
        <v>1125</v>
      </c>
      <c r="B1029" t="s">
        <v>21</v>
      </c>
      <c r="C1029" s="7">
        <v>45698</v>
      </c>
      <c r="D1029" s="7">
        <v>45703</v>
      </c>
      <c r="E1029" t="s">
        <v>26</v>
      </c>
      <c r="F1029" t="s">
        <v>17</v>
      </c>
      <c r="G1029">
        <v>4</v>
      </c>
      <c r="H1029" t="s">
        <v>18</v>
      </c>
      <c r="I1029" t="s">
        <v>32</v>
      </c>
      <c r="J1029">
        <f>orders[[#This Row],[Ship Date]]-orders[[#This Row],[Order Date]]</f>
        <v>5</v>
      </c>
      <c r="K1029">
        <f>WEEKNUM(orders[[#This Row],[Order Date]])</f>
        <v>7</v>
      </c>
      <c r="L1029" t="str" cm="1">
        <f t="array" ref="L1029">_xlfn.IFS(orders[[#This Row],[Customer Gender]]="M","Male", orders[[#This Row],[Customer Gender]]="F","Female", orders[[#This Row],[Customer Gender]]="O","Other", TRUE,"Unknown")</f>
        <v>Female</v>
      </c>
      <c r="M1029">
        <v>1</v>
      </c>
      <c r="N1029">
        <v>32.9</v>
      </c>
      <c r="O1029">
        <v>32.9</v>
      </c>
    </row>
    <row r="1030" spans="1:15" x14ac:dyDescent="0.3">
      <c r="A1030" t="s">
        <v>1126</v>
      </c>
      <c r="B1030" t="s">
        <v>53</v>
      </c>
      <c r="C1030" s="7">
        <v>45698</v>
      </c>
      <c r="D1030" s="7">
        <v>45703</v>
      </c>
      <c r="E1030" t="s">
        <v>26</v>
      </c>
      <c r="F1030" t="s">
        <v>17</v>
      </c>
      <c r="G1030">
        <v>4</v>
      </c>
      <c r="H1030" t="s">
        <v>18</v>
      </c>
      <c r="I1030" t="s">
        <v>32</v>
      </c>
      <c r="J1030">
        <f>orders[[#This Row],[Ship Date]]-orders[[#This Row],[Order Date]]</f>
        <v>5</v>
      </c>
      <c r="K1030">
        <f>WEEKNUM(orders[[#This Row],[Order Date]])</f>
        <v>7</v>
      </c>
      <c r="L1030" t="str" cm="1">
        <f t="array" ref="L1030">_xlfn.IFS(orders[[#This Row],[Customer Gender]]="M","Male", orders[[#This Row],[Customer Gender]]="F","Female", orders[[#This Row],[Customer Gender]]="O","Other", TRUE,"Unknown")</f>
        <v>Female</v>
      </c>
      <c r="M1030">
        <v>3</v>
      </c>
      <c r="N1030">
        <v>31.9</v>
      </c>
      <c r="O1030" s="5">
        <v>95.699999999999989</v>
      </c>
    </row>
    <row r="1031" spans="1:15" x14ac:dyDescent="0.3">
      <c r="A1031" t="s">
        <v>1127</v>
      </c>
      <c r="B1031" t="s">
        <v>38</v>
      </c>
      <c r="C1031" s="7">
        <v>45698</v>
      </c>
      <c r="D1031" s="7">
        <v>45699</v>
      </c>
      <c r="E1031" t="s">
        <v>22</v>
      </c>
      <c r="F1031" t="s">
        <v>39</v>
      </c>
      <c r="G1031">
        <v>5</v>
      </c>
      <c r="H1031" t="s">
        <v>18</v>
      </c>
      <c r="I1031" t="s">
        <v>32</v>
      </c>
      <c r="J1031">
        <f>orders[[#This Row],[Ship Date]]-orders[[#This Row],[Order Date]]</f>
        <v>1</v>
      </c>
      <c r="K1031">
        <f>WEEKNUM(orders[[#This Row],[Order Date]])</f>
        <v>7</v>
      </c>
      <c r="L1031" t="str" cm="1">
        <f t="array" ref="L1031">_xlfn.IFS(orders[[#This Row],[Customer Gender]]="M","Male", orders[[#This Row],[Customer Gender]]="F","Female", orders[[#This Row],[Customer Gender]]="O","Other", TRUE,"Unknown")</f>
        <v>Male</v>
      </c>
      <c r="M1031">
        <v>2</v>
      </c>
      <c r="N1031">
        <v>94</v>
      </c>
      <c r="O1031">
        <v>188</v>
      </c>
    </row>
    <row r="1032" spans="1:15" x14ac:dyDescent="0.3">
      <c r="A1032" t="s">
        <v>1128</v>
      </c>
      <c r="B1032" t="s">
        <v>53</v>
      </c>
      <c r="C1032" s="7">
        <v>45698</v>
      </c>
      <c r="D1032" s="7">
        <v>45699</v>
      </c>
      <c r="E1032" t="s">
        <v>26</v>
      </c>
      <c r="F1032" t="s">
        <v>17</v>
      </c>
      <c r="G1032">
        <v>3</v>
      </c>
      <c r="H1032" t="s">
        <v>18</v>
      </c>
      <c r="I1032" t="s">
        <v>32</v>
      </c>
      <c r="J1032">
        <f>orders[[#This Row],[Ship Date]]-orders[[#This Row],[Order Date]]</f>
        <v>1</v>
      </c>
      <c r="K1032">
        <f>WEEKNUM(orders[[#This Row],[Order Date]])</f>
        <v>7</v>
      </c>
      <c r="L1032" t="str" cm="1">
        <f t="array" ref="L1032">_xlfn.IFS(orders[[#This Row],[Customer Gender]]="M","Male", orders[[#This Row],[Customer Gender]]="F","Female", orders[[#This Row],[Customer Gender]]="O","Other", TRUE,"Unknown")</f>
        <v>Female</v>
      </c>
      <c r="M1032">
        <v>2</v>
      </c>
      <c r="N1032">
        <v>30.7</v>
      </c>
      <c r="O1032" s="5">
        <v>61.4</v>
      </c>
    </row>
    <row r="1033" spans="1:15" x14ac:dyDescent="0.3">
      <c r="A1033" t="s">
        <v>1129</v>
      </c>
      <c r="B1033" t="s">
        <v>36</v>
      </c>
      <c r="C1033" s="7">
        <v>45698</v>
      </c>
      <c r="D1033" s="7">
        <v>45705</v>
      </c>
      <c r="E1033" t="s">
        <v>22</v>
      </c>
      <c r="F1033" t="s">
        <v>17</v>
      </c>
      <c r="G1033">
        <v>5</v>
      </c>
      <c r="H1033" t="s">
        <v>18</v>
      </c>
      <c r="I1033" t="s">
        <v>32</v>
      </c>
      <c r="J1033">
        <f>orders[[#This Row],[Ship Date]]-orders[[#This Row],[Order Date]]</f>
        <v>7</v>
      </c>
      <c r="K1033">
        <f>WEEKNUM(orders[[#This Row],[Order Date]])</f>
        <v>7</v>
      </c>
      <c r="L1033" t="str" cm="1">
        <f t="array" ref="L1033">_xlfn.IFS(orders[[#This Row],[Customer Gender]]="M","Male", orders[[#This Row],[Customer Gender]]="F","Female", orders[[#This Row],[Customer Gender]]="O","Other", TRUE,"Unknown")</f>
        <v>Male</v>
      </c>
      <c r="M1033">
        <v>5</v>
      </c>
      <c r="N1033">
        <v>90.5</v>
      </c>
      <c r="O1033">
        <v>452.5</v>
      </c>
    </row>
    <row r="1034" spans="1:15" x14ac:dyDescent="0.3">
      <c r="A1034" t="s">
        <v>1130</v>
      </c>
      <c r="B1034" t="s">
        <v>43</v>
      </c>
      <c r="C1034" s="7">
        <v>45698</v>
      </c>
      <c r="D1034" s="7">
        <v>45702</v>
      </c>
      <c r="E1034" t="s">
        <v>26</v>
      </c>
      <c r="F1034" t="s">
        <v>17</v>
      </c>
      <c r="G1034">
        <v>5</v>
      </c>
      <c r="H1034" t="s">
        <v>18</v>
      </c>
      <c r="I1034" t="s">
        <v>32</v>
      </c>
      <c r="J1034">
        <f>orders[[#This Row],[Ship Date]]-orders[[#This Row],[Order Date]]</f>
        <v>4</v>
      </c>
      <c r="K1034">
        <f>WEEKNUM(orders[[#This Row],[Order Date]])</f>
        <v>7</v>
      </c>
      <c r="L1034" t="str" cm="1">
        <f t="array" ref="L1034">_xlfn.IFS(orders[[#This Row],[Customer Gender]]="M","Male", orders[[#This Row],[Customer Gender]]="F","Female", orders[[#This Row],[Customer Gender]]="O","Other", TRUE,"Unknown")</f>
        <v>Female</v>
      </c>
      <c r="M1034">
        <v>5</v>
      </c>
      <c r="N1034">
        <v>25.3</v>
      </c>
      <c r="O1034" s="5">
        <v>126.5</v>
      </c>
    </row>
    <row r="1035" spans="1:15" x14ac:dyDescent="0.3">
      <c r="A1035" t="s">
        <v>1131</v>
      </c>
      <c r="B1035" t="s">
        <v>38</v>
      </c>
      <c r="C1035" s="7">
        <v>45698</v>
      </c>
      <c r="D1035" s="7">
        <v>45702</v>
      </c>
      <c r="E1035" t="s">
        <v>2517</v>
      </c>
      <c r="F1035" t="s">
        <v>17</v>
      </c>
      <c r="G1035">
        <v>5</v>
      </c>
      <c r="H1035" t="s">
        <v>18</v>
      </c>
      <c r="I1035" t="s">
        <v>32</v>
      </c>
      <c r="J1035">
        <f>orders[[#This Row],[Ship Date]]-orders[[#This Row],[Order Date]]</f>
        <v>4</v>
      </c>
      <c r="K1035">
        <f>WEEKNUM(orders[[#This Row],[Order Date]])</f>
        <v>7</v>
      </c>
      <c r="L1035" t="str" cm="1">
        <f t="array" ref="L1035">_xlfn.IFS(orders[[#This Row],[Customer Gender]]="M","Male", orders[[#This Row],[Customer Gender]]="F","Female", orders[[#This Row],[Customer Gender]]="O","Other", TRUE,"Unknown")</f>
        <v>Unknown</v>
      </c>
      <c r="M1035">
        <v>3</v>
      </c>
      <c r="N1035">
        <v>58.1</v>
      </c>
      <c r="O1035">
        <v>174.3</v>
      </c>
    </row>
    <row r="1036" spans="1:15" x14ac:dyDescent="0.3">
      <c r="A1036" t="s">
        <v>1132</v>
      </c>
      <c r="B1036" t="s">
        <v>25</v>
      </c>
      <c r="C1036" s="7">
        <v>45698</v>
      </c>
      <c r="D1036" s="7">
        <v>45699</v>
      </c>
      <c r="E1036" t="s">
        <v>26</v>
      </c>
      <c r="F1036" t="s">
        <v>69</v>
      </c>
      <c r="G1036">
        <v>4</v>
      </c>
      <c r="H1036" t="s">
        <v>18</v>
      </c>
      <c r="I1036" t="s">
        <v>32</v>
      </c>
      <c r="J1036">
        <f>orders[[#This Row],[Ship Date]]-orders[[#This Row],[Order Date]]</f>
        <v>1</v>
      </c>
      <c r="K1036">
        <f>WEEKNUM(orders[[#This Row],[Order Date]])</f>
        <v>7</v>
      </c>
      <c r="L1036" t="str" cm="1">
        <f t="array" ref="L1036">_xlfn.IFS(orders[[#This Row],[Customer Gender]]="M","Male", orders[[#This Row],[Customer Gender]]="F","Female", orders[[#This Row],[Customer Gender]]="O","Other", TRUE,"Unknown")</f>
        <v>Female</v>
      </c>
      <c r="M1036">
        <v>3</v>
      </c>
      <c r="N1036">
        <v>74.900000000000006</v>
      </c>
      <c r="O1036" s="5">
        <v>224.70000000000002</v>
      </c>
    </row>
    <row r="1037" spans="1:15" x14ac:dyDescent="0.3">
      <c r="A1037" t="s">
        <v>1133</v>
      </c>
      <c r="B1037" t="s">
        <v>31</v>
      </c>
      <c r="C1037" s="7">
        <v>45698</v>
      </c>
      <c r="D1037" s="7">
        <v>45699</v>
      </c>
      <c r="E1037" t="s">
        <v>22</v>
      </c>
      <c r="F1037" t="s">
        <v>39</v>
      </c>
      <c r="G1037">
        <v>5</v>
      </c>
      <c r="H1037" t="s">
        <v>18</v>
      </c>
      <c r="I1037" t="s">
        <v>544</v>
      </c>
      <c r="J1037">
        <f>orders[[#This Row],[Ship Date]]-orders[[#This Row],[Order Date]]</f>
        <v>1</v>
      </c>
      <c r="K1037">
        <f>WEEKNUM(orders[[#This Row],[Order Date]])</f>
        <v>7</v>
      </c>
      <c r="L1037" t="str" cm="1">
        <f t="array" ref="L1037">_xlfn.IFS(orders[[#This Row],[Customer Gender]]="M","Male", orders[[#This Row],[Customer Gender]]="F","Female", orders[[#This Row],[Customer Gender]]="O","Other", TRUE,"Unknown")</f>
        <v>Male</v>
      </c>
      <c r="M1037">
        <v>2</v>
      </c>
      <c r="N1037">
        <v>32.5</v>
      </c>
      <c r="O1037">
        <v>65</v>
      </c>
    </row>
    <row r="1038" spans="1:15" x14ac:dyDescent="0.3">
      <c r="A1038" t="s">
        <v>1134</v>
      </c>
      <c r="B1038" t="s">
        <v>31</v>
      </c>
      <c r="C1038" s="7">
        <v>45698</v>
      </c>
      <c r="D1038" s="7">
        <v>45699</v>
      </c>
      <c r="E1038" t="s">
        <v>22</v>
      </c>
      <c r="F1038" t="s">
        <v>69</v>
      </c>
      <c r="G1038">
        <v>5</v>
      </c>
      <c r="H1038" t="s">
        <v>18</v>
      </c>
      <c r="I1038" t="s">
        <v>187</v>
      </c>
      <c r="J1038">
        <f>orders[[#This Row],[Ship Date]]-orders[[#This Row],[Order Date]]</f>
        <v>1</v>
      </c>
      <c r="K1038">
        <f>WEEKNUM(orders[[#This Row],[Order Date]])</f>
        <v>7</v>
      </c>
      <c r="L1038" t="str" cm="1">
        <f t="array" ref="L1038">_xlfn.IFS(orders[[#This Row],[Customer Gender]]="M","Male", orders[[#This Row],[Customer Gender]]="F","Female", orders[[#This Row],[Customer Gender]]="O","Other", TRUE,"Unknown")</f>
        <v>Male</v>
      </c>
      <c r="M1038">
        <v>5</v>
      </c>
      <c r="N1038">
        <v>62</v>
      </c>
      <c r="O1038" s="5">
        <v>310</v>
      </c>
    </row>
    <row r="1039" spans="1:15" x14ac:dyDescent="0.3">
      <c r="A1039" t="s">
        <v>1135</v>
      </c>
      <c r="B1039" t="s">
        <v>75</v>
      </c>
      <c r="C1039" s="7">
        <v>45698</v>
      </c>
      <c r="D1039" s="7">
        <v>45701</v>
      </c>
      <c r="E1039" t="s">
        <v>26</v>
      </c>
      <c r="F1039" t="s">
        <v>17</v>
      </c>
      <c r="G1039">
        <v>3</v>
      </c>
      <c r="H1039" t="s">
        <v>18</v>
      </c>
      <c r="I1039" t="s">
        <v>54</v>
      </c>
      <c r="J1039">
        <f>orders[[#This Row],[Ship Date]]-orders[[#This Row],[Order Date]]</f>
        <v>3</v>
      </c>
      <c r="K1039">
        <f>WEEKNUM(orders[[#This Row],[Order Date]])</f>
        <v>7</v>
      </c>
      <c r="L1039" t="str" cm="1">
        <f t="array" ref="L1039">_xlfn.IFS(orders[[#This Row],[Customer Gender]]="M","Male", orders[[#This Row],[Customer Gender]]="F","Female", orders[[#This Row],[Customer Gender]]="O","Other", TRUE,"Unknown")</f>
        <v>Female</v>
      </c>
      <c r="M1039">
        <v>6</v>
      </c>
      <c r="N1039">
        <v>28.9</v>
      </c>
      <c r="O1039">
        <v>173.39999999999998</v>
      </c>
    </row>
    <row r="1040" spans="1:15" x14ac:dyDescent="0.3">
      <c r="A1040" t="s">
        <v>1136</v>
      </c>
      <c r="B1040" t="s">
        <v>38</v>
      </c>
      <c r="C1040" s="7">
        <v>45698</v>
      </c>
      <c r="D1040" s="7">
        <v>45700</v>
      </c>
      <c r="E1040" t="s">
        <v>26</v>
      </c>
      <c r="F1040" t="s">
        <v>17</v>
      </c>
      <c r="G1040">
        <v>5</v>
      </c>
      <c r="H1040" t="s">
        <v>18</v>
      </c>
      <c r="I1040" t="s">
        <v>54</v>
      </c>
      <c r="J1040">
        <f>orders[[#This Row],[Ship Date]]-orders[[#This Row],[Order Date]]</f>
        <v>2</v>
      </c>
      <c r="K1040">
        <f>WEEKNUM(orders[[#This Row],[Order Date]])</f>
        <v>7</v>
      </c>
      <c r="L1040" t="str" cm="1">
        <f t="array" ref="L1040">_xlfn.IFS(orders[[#This Row],[Customer Gender]]="M","Male", orders[[#This Row],[Customer Gender]]="F","Female", orders[[#This Row],[Customer Gender]]="O","Other", TRUE,"Unknown")</f>
        <v>Female</v>
      </c>
      <c r="M1040">
        <v>8</v>
      </c>
      <c r="N1040">
        <v>42.8</v>
      </c>
      <c r="O1040" s="5">
        <v>342.4</v>
      </c>
    </row>
    <row r="1041" spans="1:15" x14ac:dyDescent="0.3">
      <c r="A1041" t="s">
        <v>1137</v>
      </c>
      <c r="B1041" t="s">
        <v>43</v>
      </c>
      <c r="C1041" s="7">
        <v>45698</v>
      </c>
      <c r="D1041" s="7">
        <v>45700</v>
      </c>
      <c r="E1041" t="s">
        <v>22</v>
      </c>
      <c r="F1041" t="s">
        <v>17</v>
      </c>
      <c r="G1041">
        <v>4</v>
      </c>
      <c r="H1041" t="s">
        <v>18</v>
      </c>
      <c r="I1041" t="s">
        <v>341</v>
      </c>
      <c r="J1041">
        <f>orders[[#This Row],[Ship Date]]-orders[[#This Row],[Order Date]]</f>
        <v>2</v>
      </c>
      <c r="K1041">
        <f>WEEKNUM(orders[[#This Row],[Order Date]])</f>
        <v>7</v>
      </c>
      <c r="L1041" t="str" cm="1">
        <f t="array" ref="L1041">_xlfn.IFS(orders[[#This Row],[Customer Gender]]="M","Male", orders[[#This Row],[Customer Gender]]="F","Female", orders[[#This Row],[Customer Gender]]="O","Other", TRUE,"Unknown")</f>
        <v>Male</v>
      </c>
      <c r="M1041">
        <v>8</v>
      </c>
      <c r="N1041">
        <v>39.4</v>
      </c>
      <c r="O1041">
        <v>315.2</v>
      </c>
    </row>
    <row r="1042" spans="1:15" x14ac:dyDescent="0.3">
      <c r="A1042" t="s">
        <v>1138</v>
      </c>
      <c r="B1042" t="s">
        <v>145</v>
      </c>
      <c r="C1042" s="7">
        <v>45698</v>
      </c>
      <c r="D1042" s="7">
        <v>45699</v>
      </c>
      <c r="E1042" t="s">
        <v>2517</v>
      </c>
      <c r="F1042" t="s">
        <v>39</v>
      </c>
      <c r="G1042">
        <v>3</v>
      </c>
      <c r="H1042" t="s">
        <v>18</v>
      </c>
      <c r="I1042" t="s">
        <v>58</v>
      </c>
      <c r="J1042">
        <f>orders[[#This Row],[Ship Date]]-orders[[#This Row],[Order Date]]</f>
        <v>1</v>
      </c>
      <c r="K1042">
        <f>WEEKNUM(orders[[#This Row],[Order Date]])</f>
        <v>7</v>
      </c>
      <c r="L1042" t="str" cm="1">
        <f t="array" ref="L1042">_xlfn.IFS(orders[[#This Row],[Customer Gender]]="M","Male", orders[[#This Row],[Customer Gender]]="F","Female", orders[[#This Row],[Customer Gender]]="O","Other", TRUE,"Unknown")</f>
        <v>Unknown</v>
      </c>
      <c r="M1042">
        <v>3</v>
      </c>
      <c r="N1042">
        <v>66.400000000000006</v>
      </c>
      <c r="O1042" s="5">
        <v>199.20000000000002</v>
      </c>
    </row>
    <row r="1043" spans="1:15" x14ac:dyDescent="0.3">
      <c r="A1043" t="s">
        <v>1139</v>
      </c>
      <c r="B1043" t="s">
        <v>134</v>
      </c>
      <c r="C1043" s="7">
        <v>45698</v>
      </c>
      <c r="D1043" s="7">
        <v>45705</v>
      </c>
      <c r="E1043" t="s">
        <v>26</v>
      </c>
      <c r="F1043" t="s">
        <v>34</v>
      </c>
      <c r="G1043">
        <v>4</v>
      </c>
      <c r="H1043" t="s">
        <v>18</v>
      </c>
      <c r="I1043" t="s">
        <v>58</v>
      </c>
      <c r="J1043">
        <f>orders[[#This Row],[Ship Date]]-orders[[#This Row],[Order Date]]</f>
        <v>7</v>
      </c>
      <c r="K1043">
        <f>WEEKNUM(orders[[#This Row],[Order Date]])</f>
        <v>7</v>
      </c>
      <c r="L1043" t="str" cm="1">
        <f t="array" ref="L1043">_xlfn.IFS(orders[[#This Row],[Customer Gender]]="M","Male", orders[[#This Row],[Customer Gender]]="F","Female", orders[[#This Row],[Customer Gender]]="O","Other", TRUE,"Unknown")</f>
        <v>Female</v>
      </c>
      <c r="M1043">
        <v>4</v>
      </c>
      <c r="N1043">
        <v>35.9</v>
      </c>
      <c r="O1043">
        <v>143.6</v>
      </c>
    </row>
    <row r="1044" spans="1:15" x14ac:dyDescent="0.3">
      <c r="A1044" t="s">
        <v>1140</v>
      </c>
      <c r="B1044" t="s">
        <v>16</v>
      </c>
      <c r="C1044" s="7">
        <v>45698</v>
      </c>
      <c r="D1044" s="7">
        <v>45699</v>
      </c>
      <c r="E1044" t="s">
        <v>22</v>
      </c>
      <c r="F1044" t="s">
        <v>34</v>
      </c>
      <c r="G1044">
        <v>4</v>
      </c>
      <c r="H1044" t="s">
        <v>18</v>
      </c>
      <c r="I1044" t="s">
        <v>58</v>
      </c>
      <c r="J1044">
        <f>orders[[#This Row],[Ship Date]]-orders[[#This Row],[Order Date]]</f>
        <v>1</v>
      </c>
      <c r="K1044">
        <f>WEEKNUM(orders[[#This Row],[Order Date]])</f>
        <v>7</v>
      </c>
      <c r="L1044" t="str" cm="1">
        <f t="array" ref="L1044">_xlfn.IFS(orders[[#This Row],[Customer Gender]]="M","Male", orders[[#This Row],[Customer Gender]]="F","Female", orders[[#This Row],[Customer Gender]]="O","Other", TRUE,"Unknown")</f>
        <v>Male</v>
      </c>
      <c r="M1044">
        <v>4</v>
      </c>
      <c r="N1044">
        <v>26.9</v>
      </c>
      <c r="O1044" s="5">
        <v>107.6</v>
      </c>
    </row>
    <row r="1045" spans="1:15" x14ac:dyDescent="0.3">
      <c r="A1045" t="s">
        <v>1141</v>
      </c>
      <c r="B1045" t="s">
        <v>25</v>
      </c>
      <c r="C1045" s="7">
        <v>45698</v>
      </c>
      <c r="D1045" s="7">
        <v>45699</v>
      </c>
      <c r="E1045" t="s">
        <v>26</v>
      </c>
      <c r="F1045" t="s">
        <v>17</v>
      </c>
      <c r="G1045">
        <v>4</v>
      </c>
      <c r="H1045" t="s">
        <v>18</v>
      </c>
      <c r="I1045" t="s">
        <v>58</v>
      </c>
      <c r="J1045">
        <f>orders[[#This Row],[Ship Date]]-orders[[#This Row],[Order Date]]</f>
        <v>1</v>
      </c>
      <c r="K1045">
        <f>WEEKNUM(orders[[#This Row],[Order Date]])</f>
        <v>7</v>
      </c>
      <c r="L1045" t="str" cm="1">
        <f t="array" ref="L1045">_xlfn.IFS(orders[[#This Row],[Customer Gender]]="M","Male", orders[[#This Row],[Customer Gender]]="F","Female", orders[[#This Row],[Customer Gender]]="O","Other", TRUE,"Unknown")</f>
        <v>Female</v>
      </c>
      <c r="M1045">
        <v>1</v>
      </c>
      <c r="N1045">
        <v>55.1</v>
      </c>
      <c r="O1045">
        <v>55.1</v>
      </c>
    </row>
    <row r="1046" spans="1:15" x14ac:dyDescent="0.3">
      <c r="A1046" t="s">
        <v>1142</v>
      </c>
      <c r="B1046" t="s">
        <v>31</v>
      </c>
      <c r="C1046" s="7">
        <v>45698</v>
      </c>
      <c r="D1046" s="7">
        <v>45699</v>
      </c>
      <c r="E1046" t="s">
        <v>22</v>
      </c>
      <c r="F1046" t="s">
        <v>17</v>
      </c>
      <c r="G1046">
        <v>5</v>
      </c>
      <c r="H1046" t="s">
        <v>18</v>
      </c>
      <c r="I1046" t="s">
        <v>61</v>
      </c>
      <c r="J1046">
        <f>orders[[#This Row],[Ship Date]]-orders[[#This Row],[Order Date]]</f>
        <v>1</v>
      </c>
      <c r="K1046">
        <f>WEEKNUM(orders[[#This Row],[Order Date]])</f>
        <v>7</v>
      </c>
      <c r="L1046" t="str" cm="1">
        <f t="array" ref="L1046">_xlfn.IFS(orders[[#This Row],[Customer Gender]]="M","Male", orders[[#This Row],[Customer Gender]]="F","Female", orders[[#This Row],[Customer Gender]]="O","Other", TRUE,"Unknown")</f>
        <v>Male</v>
      </c>
      <c r="M1046">
        <v>2</v>
      </c>
      <c r="N1046">
        <v>23.9</v>
      </c>
      <c r="O1046" s="5">
        <v>47.8</v>
      </c>
    </row>
    <row r="1047" spans="1:15" x14ac:dyDescent="0.3">
      <c r="A1047" t="s">
        <v>1143</v>
      </c>
      <c r="B1047" t="s">
        <v>45</v>
      </c>
      <c r="C1047" s="7">
        <v>45698</v>
      </c>
      <c r="D1047" s="7">
        <v>45706</v>
      </c>
      <c r="E1047" t="s">
        <v>26</v>
      </c>
      <c r="F1047" t="s">
        <v>17</v>
      </c>
      <c r="G1047">
        <v>3</v>
      </c>
      <c r="H1047" t="s">
        <v>18</v>
      </c>
      <c r="I1047" t="s">
        <v>61</v>
      </c>
      <c r="J1047">
        <f>orders[[#This Row],[Ship Date]]-orders[[#This Row],[Order Date]]</f>
        <v>8</v>
      </c>
      <c r="K1047">
        <f>WEEKNUM(orders[[#This Row],[Order Date]])</f>
        <v>7</v>
      </c>
      <c r="L1047" t="str" cm="1">
        <f t="array" ref="L1047">_xlfn.IFS(orders[[#This Row],[Customer Gender]]="M","Male", orders[[#This Row],[Customer Gender]]="F","Female", orders[[#This Row],[Customer Gender]]="O","Other", TRUE,"Unknown")</f>
        <v>Female</v>
      </c>
      <c r="M1047">
        <v>13</v>
      </c>
      <c r="N1047">
        <v>21.1</v>
      </c>
      <c r="O1047">
        <v>274.3</v>
      </c>
    </row>
    <row r="1048" spans="1:15" x14ac:dyDescent="0.3">
      <c r="A1048" t="s">
        <v>1144</v>
      </c>
      <c r="B1048" t="s">
        <v>43</v>
      </c>
      <c r="C1048" s="7">
        <v>45698</v>
      </c>
      <c r="D1048" s="7">
        <v>45700</v>
      </c>
      <c r="E1048" t="s">
        <v>26</v>
      </c>
      <c r="F1048" t="s">
        <v>17</v>
      </c>
      <c r="G1048">
        <v>4</v>
      </c>
      <c r="H1048" t="s">
        <v>18</v>
      </c>
      <c r="I1048" t="s">
        <v>61</v>
      </c>
      <c r="J1048">
        <f>orders[[#This Row],[Ship Date]]-orders[[#This Row],[Order Date]]</f>
        <v>2</v>
      </c>
      <c r="K1048">
        <f>WEEKNUM(orders[[#This Row],[Order Date]])</f>
        <v>7</v>
      </c>
      <c r="L1048" t="str" cm="1">
        <f t="array" ref="L1048">_xlfn.IFS(orders[[#This Row],[Customer Gender]]="M","Male", orders[[#This Row],[Customer Gender]]="F","Female", orders[[#This Row],[Customer Gender]]="O","Other", TRUE,"Unknown")</f>
        <v>Female</v>
      </c>
      <c r="M1048">
        <v>5</v>
      </c>
      <c r="N1048">
        <v>33.799999999999997</v>
      </c>
      <c r="O1048" s="5">
        <v>169</v>
      </c>
    </row>
    <row r="1049" spans="1:15" x14ac:dyDescent="0.3">
      <c r="A1049" t="s">
        <v>1145</v>
      </c>
      <c r="B1049" t="s">
        <v>25</v>
      </c>
      <c r="C1049" s="7">
        <v>45698</v>
      </c>
      <c r="D1049" s="7">
        <v>45698</v>
      </c>
      <c r="E1049" t="s">
        <v>26</v>
      </c>
      <c r="F1049" t="s">
        <v>50</v>
      </c>
      <c r="G1049">
        <v>5</v>
      </c>
      <c r="H1049" t="s">
        <v>18</v>
      </c>
      <c r="I1049" t="s">
        <v>71</v>
      </c>
      <c r="J1049">
        <f>orders[[#This Row],[Ship Date]]-orders[[#This Row],[Order Date]]</f>
        <v>0</v>
      </c>
      <c r="K1049">
        <f>WEEKNUM(orders[[#This Row],[Order Date]])</f>
        <v>7</v>
      </c>
      <c r="L1049" t="str" cm="1">
        <f t="array" ref="L1049">_xlfn.IFS(orders[[#This Row],[Customer Gender]]="M","Male", orders[[#This Row],[Customer Gender]]="F","Female", orders[[#This Row],[Customer Gender]]="O","Other", TRUE,"Unknown")</f>
        <v>Female</v>
      </c>
      <c r="M1049">
        <v>4</v>
      </c>
      <c r="N1049">
        <v>56.1</v>
      </c>
      <c r="O1049">
        <v>224.4</v>
      </c>
    </row>
    <row r="1050" spans="1:15" x14ac:dyDescent="0.3">
      <c r="A1050" t="s">
        <v>1146</v>
      </c>
      <c r="B1050" t="s">
        <v>29</v>
      </c>
      <c r="C1050" s="7">
        <v>45699</v>
      </c>
      <c r="D1050" s="7">
        <v>45703</v>
      </c>
      <c r="E1050" t="s">
        <v>26</v>
      </c>
      <c r="F1050" t="s">
        <v>34</v>
      </c>
      <c r="G1050">
        <v>5</v>
      </c>
      <c r="H1050" t="s">
        <v>18</v>
      </c>
      <c r="I1050" t="s">
        <v>71</v>
      </c>
      <c r="J1050">
        <f>orders[[#This Row],[Ship Date]]-orders[[#This Row],[Order Date]]</f>
        <v>4</v>
      </c>
      <c r="K1050">
        <f>WEEKNUM(orders[[#This Row],[Order Date]])</f>
        <v>7</v>
      </c>
      <c r="L1050" t="str" cm="1">
        <f t="array" ref="L1050">_xlfn.IFS(orders[[#This Row],[Customer Gender]]="M","Male", orders[[#This Row],[Customer Gender]]="F","Female", orders[[#This Row],[Customer Gender]]="O","Other", TRUE,"Unknown")</f>
        <v>Female</v>
      </c>
      <c r="M1050">
        <v>1</v>
      </c>
      <c r="N1050">
        <v>58.5</v>
      </c>
      <c r="O1050" s="5">
        <v>58.5</v>
      </c>
    </row>
    <row r="1051" spans="1:15" x14ac:dyDescent="0.3">
      <c r="A1051" t="s">
        <v>1147</v>
      </c>
      <c r="B1051" t="s">
        <v>38</v>
      </c>
      <c r="C1051" s="7">
        <v>45699</v>
      </c>
      <c r="D1051" s="7">
        <v>45701</v>
      </c>
      <c r="E1051" t="s">
        <v>22</v>
      </c>
      <c r="F1051" t="s">
        <v>50</v>
      </c>
      <c r="G1051">
        <v>4</v>
      </c>
      <c r="H1051" t="s">
        <v>18</v>
      </c>
      <c r="I1051" t="s">
        <v>76</v>
      </c>
      <c r="J1051">
        <f>orders[[#This Row],[Ship Date]]-orders[[#This Row],[Order Date]]</f>
        <v>2</v>
      </c>
      <c r="K1051">
        <f>WEEKNUM(orders[[#This Row],[Order Date]])</f>
        <v>7</v>
      </c>
      <c r="L1051" t="str" cm="1">
        <f t="array" ref="L1051">_xlfn.IFS(orders[[#This Row],[Customer Gender]]="M","Male", orders[[#This Row],[Customer Gender]]="F","Female", orders[[#This Row],[Customer Gender]]="O","Other", TRUE,"Unknown")</f>
        <v>Male</v>
      </c>
      <c r="M1051">
        <v>1</v>
      </c>
      <c r="N1051">
        <v>84.2</v>
      </c>
      <c r="O1051">
        <v>84.2</v>
      </c>
    </row>
    <row r="1052" spans="1:15" x14ac:dyDescent="0.3">
      <c r="A1052" t="s">
        <v>1148</v>
      </c>
      <c r="B1052" t="s">
        <v>66</v>
      </c>
      <c r="C1052" s="7">
        <v>45699</v>
      </c>
      <c r="D1052" s="7">
        <v>45702</v>
      </c>
      <c r="E1052" t="s">
        <v>22</v>
      </c>
      <c r="F1052" t="s">
        <v>17</v>
      </c>
      <c r="G1052">
        <v>4</v>
      </c>
      <c r="H1052" t="s">
        <v>18</v>
      </c>
      <c r="I1052" t="s">
        <v>76</v>
      </c>
      <c r="J1052">
        <f>orders[[#This Row],[Ship Date]]-orders[[#This Row],[Order Date]]</f>
        <v>3</v>
      </c>
      <c r="K1052">
        <f>WEEKNUM(orders[[#This Row],[Order Date]])</f>
        <v>7</v>
      </c>
      <c r="L1052" t="str" cm="1">
        <f t="array" ref="L1052">_xlfn.IFS(orders[[#This Row],[Customer Gender]]="M","Male", orders[[#This Row],[Customer Gender]]="F","Female", orders[[#This Row],[Customer Gender]]="O","Other", TRUE,"Unknown")</f>
        <v>Male</v>
      </c>
      <c r="M1052">
        <v>4</v>
      </c>
      <c r="N1052">
        <v>52</v>
      </c>
      <c r="O1052" s="5">
        <v>208</v>
      </c>
    </row>
    <row r="1053" spans="1:15" x14ac:dyDescent="0.3">
      <c r="A1053" t="s">
        <v>1149</v>
      </c>
      <c r="B1053" t="s">
        <v>31</v>
      </c>
      <c r="C1053" s="7">
        <v>45699</v>
      </c>
      <c r="D1053" s="7">
        <v>45700</v>
      </c>
      <c r="E1053" t="s">
        <v>26</v>
      </c>
      <c r="F1053" t="s">
        <v>17</v>
      </c>
      <c r="G1053">
        <v>5</v>
      </c>
      <c r="H1053" t="s">
        <v>18</v>
      </c>
      <c r="I1053" t="s">
        <v>76</v>
      </c>
      <c r="J1053">
        <f>orders[[#This Row],[Ship Date]]-orders[[#This Row],[Order Date]]</f>
        <v>1</v>
      </c>
      <c r="K1053">
        <f>WEEKNUM(orders[[#This Row],[Order Date]])</f>
        <v>7</v>
      </c>
      <c r="L1053" t="str" cm="1">
        <f t="array" ref="L1053">_xlfn.IFS(orders[[#This Row],[Customer Gender]]="M","Male", orders[[#This Row],[Customer Gender]]="F","Female", orders[[#This Row],[Customer Gender]]="O","Other", TRUE,"Unknown")</f>
        <v>Female</v>
      </c>
      <c r="M1053">
        <v>5</v>
      </c>
      <c r="N1053">
        <v>31.5</v>
      </c>
      <c r="O1053">
        <v>157.5</v>
      </c>
    </row>
    <row r="1054" spans="1:15" x14ac:dyDescent="0.3">
      <c r="A1054" t="s">
        <v>1150</v>
      </c>
      <c r="B1054" t="s">
        <v>127</v>
      </c>
      <c r="C1054" s="7">
        <v>45699</v>
      </c>
      <c r="D1054" s="7">
        <v>45700</v>
      </c>
      <c r="E1054" t="s">
        <v>22</v>
      </c>
      <c r="F1054" t="s">
        <v>17</v>
      </c>
      <c r="G1054">
        <v>4</v>
      </c>
      <c r="H1054" t="s">
        <v>18</v>
      </c>
      <c r="I1054" t="s">
        <v>1115</v>
      </c>
      <c r="J1054">
        <f>orders[[#This Row],[Ship Date]]-orders[[#This Row],[Order Date]]</f>
        <v>1</v>
      </c>
      <c r="K1054">
        <f>WEEKNUM(orders[[#This Row],[Order Date]])</f>
        <v>7</v>
      </c>
      <c r="L1054" t="str" cm="1">
        <f t="array" ref="L1054">_xlfn.IFS(orders[[#This Row],[Customer Gender]]="M","Male", orders[[#This Row],[Customer Gender]]="F","Female", orders[[#This Row],[Customer Gender]]="O","Other", TRUE,"Unknown")</f>
        <v>Male</v>
      </c>
      <c r="M1054">
        <v>3</v>
      </c>
      <c r="N1054">
        <v>46.2</v>
      </c>
      <c r="O1054" s="5">
        <v>138.60000000000002</v>
      </c>
    </row>
    <row r="1055" spans="1:15" x14ac:dyDescent="0.3">
      <c r="A1055" t="s">
        <v>1151</v>
      </c>
      <c r="B1055" t="s">
        <v>25</v>
      </c>
      <c r="C1055" s="7">
        <v>45699</v>
      </c>
      <c r="D1055" s="7">
        <v>45700</v>
      </c>
      <c r="E1055" t="s">
        <v>26</v>
      </c>
      <c r="F1055" t="s">
        <v>34</v>
      </c>
      <c r="G1055">
        <v>5</v>
      </c>
      <c r="H1055" t="s">
        <v>18</v>
      </c>
      <c r="I1055" t="s">
        <v>107</v>
      </c>
      <c r="J1055">
        <f>orders[[#This Row],[Ship Date]]-orders[[#This Row],[Order Date]]</f>
        <v>1</v>
      </c>
      <c r="K1055">
        <f>WEEKNUM(orders[[#This Row],[Order Date]])</f>
        <v>7</v>
      </c>
      <c r="L1055" t="str" cm="1">
        <f t="array" ref="L1055">_xlfn.IFS(orders[[#This Row],[Customer Gender]]="M","Male", orders[[#This Row],[Customer Gender]]="F","Female", orders[[#This Row],[Customer Gender]]="O","Other", TRUE,"Unknown")</f>
        <v>Female</v>
      </c>
      <c r="M1055">
        <v>6</v>
      </c>
      <c r="N1055">
        <v>135</v>
      </c>
      <c r="O1055">
        <v>810</v>
      </c>
    </row>
    <row r="1056" spans="1:15" x14ac:dyDescent="0.3">
      <c r="A1056" t="s">
        <v>1152</v>
      </c>
      <c r="B1056" t="s">
        <v>68</v>
      </c>
      <c r="C1056" s="7">
        <v>45699</v>
      </c>
      <c r="D1056" s="7">
        <v>45703</v>
      </c>
      <c r="E1056" t="s">
        <v>22</v>
      </c>
      <c r="F1056" t="s">
        <v>17</v>
      </c>
      <c r="G1056">
        <v>4</v>
      </c>
      <c r="H1056" t="s">
        <v>18</v>
      </c>
      <c r="I1056" t="s">
        <v>114</v>
      </c>
      <c r="J1056">
        <f>orders[[#This Row],[Ship Date]]-orders[[#This Row],[Order Date]]</f>
        <v>4</v>
      </c>
      <c r="K1056">
        <f>WEEKNUM(orders[[#This Row],[Order Date]])</f>
        <v>7</v>
      </c>
      <c r="L1056" t="str" cm="1">
        <f t="array" ref="L1056">_xlfn.IFS(orders[[#This Row],[Customer Gender]]="M","Male", orders[[#This Row],[Customer Gender]]="F","Female", orders[[#This Row],[Customer Gender]]="O","Other", TRUE,"Unknown")</f>
        <v>Male</v>
      </c>
      <c r="M1056">
        <v>3</v>
      </c>
      <c r="N1056">
        <v>92.2</v>
      </c>
      <c r="O1056" s="5">
        <v>276.60000000000002</v>
      </c>
    </row>
    <row r="1057" spans="1:15" x14ac:dyDescent="0.3">
      <c r="A1057" t="s">
        <v>1153</v>
      </c>
      <c r="B1057" t="s">
        <v>43</v>
      </c>
      <c r="C1057" s="7">
        <v>45699</v>
      </c>
      <c r="D1057" s="7">
        <v>45701</v>
      </c>
      <c r="E1057" t="s">
        <v>22</v>
      </c>
      <c r="F1057" t="s">
        <v>39</v>
      </c>
      <c r="G1057">
        <v>5</v>
      </c>
      <c r="H1057" t="s">
        <v>18</v>
      </c>
      <c r="I1057" t="s">
        <v>114</v>
      </c>
      <c r="J1057">
        <f>orders[[#This Row],[Ship Date]]-orders[[#This Row],[Order Date]]</f>
        <v>2</v>
      </c>
      <c r="K1057">
        <f>WEEKNUM(orders[[#This Row],[Order Date]])</f>
        <v>7</v>
      </c>
      <c r="L1057" t="str" cm="1">
        <f t="array" ref="L1057">_xlfn.IFS(orders[[#This Row],[Customer Gender]]="M","Male", orders[[#This Row],[Customer Gender]]="F","Female", orders[[#This Row],[Customer Gender]]="O","Other", TRUE,"Unknown")</f>
        <v>Male</v>
      </c>
      <c r="M1057">
        <v>1</v>
      </c>
      <c r="N1057">
        <v>36.6</v>
      </c>
      <c r="O1057">
        <v>36.6</v>
      </c>
    </row>
    <row r="1058" spans="1:15" x14ac:dyDescent="0.3">
      <c r="A1058" t="s">
        <v>1154</v>
      </c>
      <c r="B1058" t="s">
        <v>45</v>
      </c>
      <c r="C1058" s="7">
        <v>45699</v>
      </c>
      <c r="D1058" s="7">
        <v>45702</v>
      </c>
      <c r="E1058" t="s">
        <v>26</v>
      </c>
      <c r="F1058" t="s">
        <v>17</v>
      </c>
      <c r="G1058">
        <v>4</v>
      </c>
      <c r="H1058" t="s">
        <v>18</v>
      </c>
      <c r="I1058" t="s">
        <v>27</v>
      </c>
      <c r="J1058">
        <f>orders[[#This Row],[Ship Date]]-orders[[#This Row],[Order Date]]</f>
        <v>3</v>
      </c>
      <c r="K1058">
        <f>WEEKNUM(orders[[#This Row],[Order Date]])</f>
        <v>7</v>
      </c>
      <c r="L1058" t="str" cm="1">
        <f t="array" ref="L1058">_xlfn.IFS(orders[[#This Row],[Customer Gender]]="M","Male", orders[[#This Row],[Customer Gender]]="F","Female", orders[[#This Row],[Customer Gender]]="O","Other", TRUE,"Unknown")</f>
        <v>Female</v>
      </c>
      <c r="M1058">
        <v>2</v>
      </c>
      <c r="N1058">
        <v>50.6</v>
      </c>
      <c r="O1058" s="5">
        <v>101.2</v>
      </c>
    </row>
    <row r="1059" spans="1:15" x14ac:dyDescent="0.3">
      <c r="A1059" t="s">
        <v>1155</v>
      </c>
      <c r="B1059" t="s">
        <v>145</v>
      </c>
      <c r="C1059" s="7">
        <v>45699</v>
      </c>
      <c r="D1059" s="7">
        <v>45702</v>
      </c>
      <c r="E1059" t="s">
        <v>26</v>
      </c>
      <c r="F1059" t="s">
        <v>17</v>
      </c>
      <c r="G1059">
        <v>4</v>
      </c>
      <c r="H1059" t="s">
        <v>18</v>
      </c>
      <c r="I1059" t="s">
        <v>27</v>
      </c>
      <c r="J1059">
        <f>orders[[#This Row],[Ship Date]]-orders[[#This Row],[Order Date]]</f>
        <v>3</v>
      </c>
      <c r="K1059">
        <f>WEEKNUM(orders[[#This Row],[Order Date]])</f>
        <v>7</v>
      </c>
      <c r="L1059" t="str" cm="1">
        <f t="array" ref="L1059">_xlfn.IFS(orders[[#This Row],[Customer Gender]]="M","Male", orders[[#This Row],[Customer Gender]]="F","Female", orders[[#This Row],[Customer Gender]]="O","Other", TRUE,"Unknown")</f>
        <v>Female</v>
      </c>
      <c r="M1059">
        <v>7</v>
      </c>
      <c r="N1059">
        <v>56.7</v>
      </c>
      <c r="O1059">
        <v>396.90000000000003</v>
      </c>
    </row>
    <row r="1060" spans="1:15" x14ac:dyDescent="0.3">
      <c r="A1060" t="s">
        <v>1156</v>
      </c>
      <c r="B1060" t="s">
        <v>45</v>
      </c>
      <c r="C1060" s="7">
        <v>45699</v>
      </c>
      <c r="D1060" s="7">
        <v>45700</v>
      </c>
      <c r="E1060" t="s">
        <v>26</v>
      </c>
      <c r="F1060" t="s">
        <v>17</v>
      </c>
      <c r="G1060">
        <v>3</v>
      </c>
      <c r="H1060" t="s">
        <v>18</v>
      </c>
      <c r="I1060" t="s">
        <v>586</v>
      </c>
      <c r="J1060">
        <f>orders[[#This Row],[Ship Date]]-orders[[#This Row],[Order Date]]</f>
        <v>1</v>
      </c>
      <c r="K1060">
        <f>WEEKNUM(orders[[#This Row],[Order Date]])</f>
        <v>7</v>
      </c>
      <c r="L1060" t="str" cm="1">
        <f t="array" ref="L1060">_xlfn.IFS(orders[[#This Row],[Customer Gender]]="M","Male", orders[[#This Row],[Customer Gender]]="F","Female", orders[[#This Row],[Customer Gender]]="O","Other", TRUE,"Unknown")</f>
        <v>Female</v>
      </c>
      <c r="M1060">
        <v>13</v>
      </c>
      <c r="N1060">
        <v>22.9</v>
      </c>
      <c r="O1060" s="5">
        <v>297.7</v>
      </c>
    </row>
    <row r="1061" spans="1:15" x14ac:dyDescent="0.3">
      <c r="A1061" t="s">
        <v>1157</v>
      </c>
      <c r="B1061" t="s">
        <v>122</v>
      </c>
      <c r="C1061" s="7">
        <v>45699</v>
      </c>
      <c r="D1061" s="7">
        <v>45700</v>
      </c>
      <c r="E1061" t="s">
        <v>22</v>
      </c>
      <c r="F1061" t="s">
        <v>17</v>
      </c>
      <c r="G1061">
        <v>4</v>
      </c>
      <c r="H1061" t="s">
        <v>18</v>
      </c>
      <c r="I1061" t="s">
        <v>146</v>
      </c>
      <c r="J1061">
        <f>orders[[#This Row],[Ship Date]]-orders[[#This Row],[Order Date]]</f>
        <v>1</v>
      </c>
      <c r="K1061">
        <f>WEEKNUM(orders[[#This Row],[Order Date]])</f>
        <v>7</v>
      </c>
      <c r="L1061" t="str" cm="1">
        <f t="array" ref="L1061">_xlfn.IFS(orders[[#This Row],[Customer Gender]]="M","Male", orders[[#This Row],[Customer Gender]]="F","Female", orders[[#This Row],[Customer Gender]]="O","Other", TRUE,"Unknown")</f>
        <v>Male</v>
      </c>
      <c r="M1061">
        <v>19</v>
      </c>
      <c r="N1061">
        <v>53.6</v>
      </c>
      <c r="O1061">
        <v>1018.4</v>
      </c>
    </row>
    <row r="1062" spans="1:15" x14ac:dyDescent="0.3">
      <c r="A1062" t="s">
        <v>1158</v>
      </c>
      <c r="B1062" t="s">
        <v>145</v>
      </c>
      <c r="C1062" s="7">
        <v>45699</v>
      </c>
      <c r="D1062" s="7">
        <v>45701</v>
      </c>
      <c r="E1062" t="s">
        <v>2517</v>
      </c>
      <c r="F1062" t="s">
        <v>39</v>
      </c>
      <c r="G1062">
        <v>5</v>
      </c>
      <c r="H1062" t="s">
        <v>18</v>
      </c>
      <c r="I1062" t="s">
        <v>32</v>
      </c>
      <c r="J1062">
        <f>orders[[#This Row],[Ship Date]]-orders[[#This Row],[Order Date]]</f>
        <v>2</v>
      </c>
      <c r="K1062">
        <f>WEEKNUM(orders[[#This Row],[Order Date]])</f>
        <v>7</v>
      </c>
      <c r="L1062" t="str" cm="1">
        <f t="array" ref="L1062">_xlfn.IFS(orders[[#This Row],[Customer Gender]]="M","Male", orders[[#This Row],[Customer Gender]]="F","Female", orders[[#This Row],[Customer Gender]]="O","Other", TRUE,"Unknown")</f>
        <v>Unknown</v>
      </c>
      <c r="M1062">
        <v>2</v>
      </c>
      <c r="N1062">
        <v>30.2</v>
      </c>
      <c r="O1062" s="5">
        <v>60.4</v>
      </c>
    </row>
    <row r="1063" spans="1:15" x14ac:dyDescent="0.3">
      <c r="A1063" t="s">
        <v>1159</v>
      </c>
      <c r="B1063" t="s">
        <v>122</v>
      </c>
      <c r="C1063" s="7">
        <v>45699</v>
      </c>
      <c r="D1063" s="7">
        <v>45700</v>
      </c>
      <c r="E1063" t="s">
        <v>22</v>
      </c>
      <c r="F1063" t="s">
        <v>34</v>
      </c>
      <c r="G1063">
        <v>5</v>
      </c>
      <c r="H1063" t="s">
        <v>18</v>
      </c>
      <c r="I1063" t="s">
        <v>32</v>
      </c>
      <c r="J1063">
        <f>orders[[#This Row],[Ship Date]]-orders[[#This Row],[Order Date]]</f>
        <v>1</v>
      </c>
      <c r="K1063">
        <f>WEEKNUM(orders[[#This Row],[Order Date]])</f>
        <v>7</v>
      </c>
      <c r="L1063" t="str" cm="1">
        <f t="array" ref="L1063">_xlfn.IFS(orders[[#This Row],[Customer Gender]]="M","Male", orders[[#This Row],[Customer Gender]]="F","Female", orders[[#This Row],[Customer Gender]]="O","Other", TRUE,"Unknown")</f>
        <v>Male</v>
      </c>
      <c r="M1063">
        <v>6</v>
      </c>
      <c r="N1063">
        <v>83.4</v>
      </c>
      <c r="O1063">
        <v>500.40000000000003</v>
      </c>
    </row>
    <row r="1064" spans="1:15" x14ac:dyDescent="0.3">
      <c r="A1064" t="s">
        <v>1160</v>
      </c>
      <c r="B1064" t="s">
        <v>75</v>
      </c>
      <c r="C1064" s="7">
        <v>45699</v>
      </c>
      <c r="D1064" s="7">
        <v>45701</v>
      </c>
      <c r="E1064" t="s">
        <v>22</v>
      </c>
      <c r="F1064" t="s">
        <v>34</v>
      </c>
      <c r="G1064">
        <v>4</v>
      </c>
      <c r="H1064" t="s">
        <v>18</v>
      </c>
      <c r="I1064" t="s">
        <v>32</v>
      </c>
      <c r="J1064">
        <f>orders[[#This Row],[Ship Date]]-orders[[#This Row],[Order Date]]</f>
        <v>2</v>
      </c>
      <c r="K1064">
        <f>WEEKNUM(orders[[#This Row],[Order Date]])</f>
        <v>7</v>
      </c>
      <c r="L1064" t="str" cm="1">
        <f t="array" ref="L1064">_xlfn.IFS(orders[[#This Row],[Customer Gender]]="M","Male", orders[[#This Row],[Customer Gender]]="F","Female", orders[[#This Row],[Customer Gender]]="O","Other", TRUE,"Unknown")</f>
        <v>Male</v>
      </c>
      <c r="M1064">
        <v>12</v>
      </c>
      <c r="N1064">
        <v>16.600000000000001</v>
      </c>
      <c r="O1064" s="5">
        <v>199.20000000000002</v>
      </c>
    </row>
    <row r="1065" spans="1:15" x14ac:dyDescent="0.3">
      <c r="A1065" t="s">
        <v>1161</v>
      </c>
      <c r="B1065" t="s">
        <v>43</v>
      </c>
      <c r="C1065" s="7">
        <v>45699</v>
      </c>
      <c r="D1065" s="7">
        <v>45701</v>
      </c>
      <c r="E1065" t="s">
        <v>26</v>
      </c>
      <c r="F1065" t="s">
        <v>69</v>
      </c>
      <c r="G1065">
        <v>3</v>
      </c>
      <c r="H1065" t="s">
        <v>18</v>
      </c>
      <c r="I1065" t="s">
        <v>32</v>
      </c>
      <c r="J1065">
        <f>orders[[#This Row],[Ship Date]]-orders[[#This Row],[Order Date]]</f>
        <v>2</v>
      </c>
      <c r="K1065">
        <f>WEEKNUM(orders[[#This Row],[Order Date]])</f>
        <v>7</v>
      </c>
      <c r="L1065" t="str" cm="1">
        <f t="array" ref="L1065">_xlfn.IFS(orders[[#This Row],[Customer Gender]]="M","Male", orders[[#This Row],[Customer Gender]]="F","Female", orders[[#This Row],[Customer Gender]]="O","Other", TRUE,"Unknown")</f>
        <v>Female</v>
      </c>
      <c r="M1065">
        <v>17</v>
      </c>
      <c r="N1065">
        <v>21.9</v>
      </c>
      <c r="O1065">
        <v>372.29999999999995</v>
      </c>
    </row>
    <row r="1066" spans="1:15" x14ac:dyDescent="0.3">
      <c r="A1066" t="s">
        <v>1162</v>
      </c>
      <c r="B1066" t="s">
        <v>43</v>
      </c>
      <c r="C1066" s="7">
        <v>45699</v>
      </c>
      <c r="D1066" s="7">
        <v>45701</v>
      </c>
      <c r="E1066" t="s">
        <v>22</v>
      </c>
      <c r="F1066" t="s">
        <v>39</v>
      </c>
      <c r="G1066">
        <v>2</v>
      </c>
      <c r="H1066" t="s">
        <v>18</v>
      </c>
      <c r="I1066" t="s">
        <v>32</v>
      </c>
      <c r="J1066">
        <f>orders[[#This Row],[Ship Date]]-orders[[#This Row],[Order Date]]</f>
        <v>2</v>
      </c>
      <c r="K1066">
        <f>WEEKNUM(orders[[#This Row],[Order Date]])</f>
        <v>7</v>
      </c>
      <c r="L1066" t="str" cm="1">
        <f t="array" ref="L1066">_xlfn.IFS(orders[[#This Row],[Customer Gender]]="M","Male", orders[[#This Row],[Customer Gender]]="F","Female", orders[[#This Row],[Customer Gender]]="O","Other", TRUE,"Unknown")</f>
        <v>Male</v>
      </c>
      <c r="M1066">
        <v>28</v>
      </c>
      <c r="N1066">
        <v>33.799999999999997</v>
      </c>
      <c r="O1066" s="5">
        <v>946.39999999999986</v>
      </c>
    </row>
    <row r="1067" spans="1:15" x14ac:dyDescent="0.3">
      <c r="A1067" t="s">
        <v>1163</v>
      </c>
      <c r="B1067" t="s">
        <v>145</v>
      </c>
      <c r="C1067" s="7">
        <v>45699</v>
      </c>
      <c r="D1067" s="7">
        <v>45699</v>
      </c>
      <c r="E1067" t="s">
        <v>22</v>
      </c>
      <c r="F1067" t="s">
        <v>34</v>
      </c>
      <c r="G1067">
        <v>4</v>
      </c>
      <c r="H1067" t="s">
        <v>18</v>
      </c>
      <c r="I1067" t="s">
        <v>32</v>
      </c>
      <c r="J1067">
        <f>orders[[#This Row],[Ship Date]]-orders[[#This Row],[Order Date]]</f>
        <v>0</v>
      </c>
      <c r="K1067">
        <f>WEEKNUM(orders[[#This Row],[Order Date]])</f>
        <v>7</v>
      </c>
      <c r="L1067" t="str" cm="1">
        <f t="array" ref="L1067">_xlfn.IFS(orders[[#This Row],[Customer Gender]]="M","Male", orders[[#This Row],[Customer Gender]]="F","Female", orders[[#This Row],[Customer Gender]]="O","Other", TRUE,"Unknown")</f>
        <v>Male</v>
      </c>
      <c r="M1067">
        <v>2</v>
      </c>
      <c r="N1067">
        <v>53.2</v>
      </c>
      <c r="O1067">
        <v>106.4</v>
      </c>
    </row>
    <row r="1068" spans="1:15" x14ac:dyDescent="0.3">
      <c r="A1068" t="s">
        <v>1164</v>
      </c>
      <c r="B1068" t="s">
        <v>25</v>
      </c>
      <c r="C1068" s="7">
        <v>45699</v>
      </c>
      <c r="D1068" s="7">
        <v>45702</v>
      </c>
      <c r="E1068" t="s">
        <v>26</v>
      </c>
      <c r="F1068" t="s">
        <v>39</v>
      </c>
      <c r="G1068">
        <v>4</v>
      </c>
      <c r="H1068" t="s">
        <v>18</v>
      </c>
      <c r="I1068" t="s">
        <v>32</v>
      </c>
      <c r="J1068">
        <f>orders[[#This Row],[Ship Date]]-orders[[#This Row],[Order Date]]</f>
        <v>3</v>
      </c>
      <c r="K1068">
        <f>WEEKNUM(orders[[#This Row],[Order Date]])</f>
        <v>7</v>
      </c>
      <c r="L1068" t="str" cm="1">
        <f t="array" ref="L1068">_xlfn.IFS(orders[[#This Row],[Customer Gender]]="M","Male", orders[[#This Row],[Customer Gender]]="F","Female", orders[[#This Row],[Customer Gender]]="O","Other", TRUE,"Unknown")</f>
        <v>Female</v>
      </c>
      <c r="M1068">
        <v>2</v>
      </c>
      <c r="N1068">
        <v>176.7</v>
      </c>
      <c r="O1068" s="5">
        <v>353.4</v>
      </c>
    </row>
    <row r="1069" spans="1:15" x14ac:dyDescent="0.3">
      <c r="A1069" t="s">
        <v>1165</v>
      </c>
      <c r="B1069" t="s">
        <v>68</v>
      </c>
      <c r="C1069" s="7">
        <v>45699</v>
      </c>
      <c r="D1069" s="7">
        <v>45702</v>
      </c>
      <c r="E1069" t="s">
        <v>22</v>
      </c>
      <c r="F1069" t="s">
        <v>17</v>
      </c>
      <c r="G1069">
        <v>3</v>
      </c>
      <c r="H1069" t="s">
        <v>18</v>
      </c>
      <c r="I1069" t="s">
        <v>32</v>
      </c>
      <c r="J1069">
        <f>orders[[#This Row],[Ship Date]]-orders[[#This Row],[Order Date]]</f>
        <v>3</v>
      </c>
      <c r="K1069">
        <f>WEEKNUM(orders[[#This Row],[Order Date]])</f>
        <v>7</v>
      </c>
      <c r="L1069" t="str" cm="1">
        <f t="array" ref="L1069">_xlfn.IFS(orders[[#This Row],[Customer Gender]]="M","Male", orders[[#This Row],[Customer Gender]]="F","Female", orders[[#This Row],[Customer Gender]]="O","Other", TRUE,"Unknown")</f>
        <v>Male</v>
      </c>
      <c r="M1069">
        <v>3</v>
      </c>
      <c r="N1069">
        <v>54</v>
      </c>
      <c r="O1069">
        <v>162</v>
      </c>
    </row>
    <row r="1070" spans="1:15" x14ac:dyDescent="0.3">
      <c r="A1070" t="s">
        <v>1166</v>
      </c>
      <c r="B1070" t="s">
        <v>45</v>
      </c>
      <c r="C1070" s="7">
        <v>45699</v>
      </c>
      <c r="D1070" s="7">
        <v>45707</v>
      </c>
      <c r="E1070" t="s">
        <v>26</v>
      </c>
      <c r="F1070" t="s">
        <v>50</v>
      </c>
      <c r="G1070">
        <v>5</v>
      </c>
      <c r="H1070" t="s">
        <v>18</v>
      </c>
      <c r="I1070" t="s">
        <v>32</v>
      </c>
      <c r="J1070">
        <f>orders[[#This Row],[Ship Date]]-orders[[#This Row],[Order Date]]</f>
        <v>8</v>
      </c>
      <c r="K1070">
        <f>WEEKNUM(orders[[#This Row],[Order Date]])</f>
        <v>7</v>
      </c>
      <c r="L1070" t="str" cm="1">
        <f t="array" ref="L1070">_xlfn.IFS(orders[[#This Row],[Customer Gender]]="M","Male", orders[[#This Row],[Customer Gender]]="F","Female", orders[[#This Row],[Customer Gender]]="O","Other", TRUE,"Unknown")</f>
        <v>Female</v>
      </c>
      <c r="M1070">
        <v>2</v>
      </c>
      <c r="N1070">
        <v>70.099999999999994</v>
      </c>
      <c r="O1070" s="5">
        <v>140.19999999999999</v>
      </c>
    </row>
    <row r="1071" spans="1:15" x14ac:dyDescent="0.3">
      <c r="A1071" t="s">
        <v>1167</v>
      </c>
      <c r="B1071" t="s">
        <v>43</v>
      </c>
      <c r="C1071" s="7">
        <v>45699</v>
      </c>
      <c r="D1071" s="7">
        <v>45701</v>
      </c>
      <c r="E1071" t="s">
        <v>26</v>
      </c>
      <c r="F1071" t="s">
        <v>34</v>
      </c>
      <c r="G1071">
        <v>4</v>
      </c>
      <c r="H1071" t="s">
        <v>18</v>
      </c>
      <c r="I1071" t="s">
        <v>32</v>
      </c>
      <c r="J1071">
        <f>orders[[#This Row],[Ship Date]]-orders[[#This Row],[Order Date]]</f>
        <v>2</v>
      </c>
      <c r="K1071">
        <f>WEEKNUM(orders[[#This Row],[Order Date]])</f>
        <v>7</v>
      </c>
      <c r="L1071" t="str" cm="1">
        <f t="array" ref="L1071">_xlfn.IFS(orders[[#This Row],[Customer Gender]]="M","Male", orders[[#This Row],[Customer Gender]]="F","Female", orders[[#This Row],[Customer Gender]]="O","Other", TRUE,"Unknown")</f>
        <v>Female</v>
      </c>
      <c r="M1071">
        <v>1</v>
      </c>
      <c r="N1071">
        <v>26.5</v>
      </c>
      <c r="O1071">
        <v>26.5</v>
      </c>
    </row>
    <row r="1072" spans="1:15" x14ac:dyDescent="0.3">
      <c r="A1072" t="s">
        <v>1168</v>
      </c>
      <c r="B1072" t="s">
        <v>41</v>
      </c>
      <c r="C1072" s="7">
        <v>45699</v>
      </c>
      <c r="D1072" s="7">
        <v>45701</v>
      </c>
      <c r="E1072" t="s">
        <v>22</v>
      </c>
      <c r="F1072" t="s">
        <v>39</v>
      </c>
      <c r="G1072">
        <v>2</v>
      </c>
      <c r="H1072" t="s">
        <v>18</v>
      </c>
      <c r="I1072" t="s">
        <v>32</v>
      </c>
      <c r="J1072">
        <f>orders[[#This Row],[Ship Date]]-orders[[#This Row],[Order Date]]</f>
        <v>2</v>
      </c>
      <c r="K1072">
        <f>WEEKNUM(orders[[#This Row],[Order Date]])</f>
        <v>7</v>
      </c>
      <c r="L1072" t="str" cm="1">
        <f t="array" ref="L1072">_xlfn.IFS(orders[[#This Row],[Customer Gender]]="M","Male", orders[[#This Row],[Customer Gender]]="F","Female", orders[[#This Row],[Customer Gender]]="O","Other", TRUE,"Unknown")</f>
        <v>Male</v>
      </c>
      <c r="M1072">
        <v>5</v>
      </c>
      <c r="N1072">
        <v>89</v>
      </c>
      <c r="O1072" s="5">
        <v>445</v>
      </c>
    </row>
    <row r="1073" spans="1:15" x14ac:dyDescent="0.3">
      <c r="A1073" t="s">
        <v>1169</v>
      </c>
      <c r="B1073" t="s">
        <v>21</v>
      </c>
      <c r="C1073" s="7">
        <v>45699</v>
      </c>
      <c r="D1073" s="7">
        <v>45702</v>
      </c>
      <c r="E1073" t="s">
        <v>26</v>
      </c>
      <c r="F1073" t="s">
        <v>50</v>
      </c>
      <c r="G1073">
        <v>4</v>
      </c>
      <c r="H1073" t="s">
        <v>18</v>
      </c>
      <c r="I1073" t="s">
        <v>185</v>
      </c>
      <c r="J1073">
        <f>orders[[#This Row],[Ship Date]]-orders[[#This Row],[Order Date]]</f>
        <v>3</v>
      </c>
      <c r="K1073">
        <f>WEEKNUM(orders[[#This Row],[Order Date]])</f>
        <v>7</v>
      </c>
      <c r="L1073" t="str" cm="1">
        <f t="array" ref="L1073">_xlfn.IFS(orders[[#This Row],[Customer Gender]]="M","Male", orders[[#This Row],[Customer Gender]]="F","Female", orders[[#This Row],[Customer Gender]]="O","Other", TRUE,"Unknown")</f>
        <v>Female</v>
      </c>
      <c r="M1073">
        <v>6</v>
      </c>
      <c r="N1073">
        <v>47</v>
      </c>
      <c r="O1073">
        <v>282</v>
      </c>
    </row>
    <row r="1074" spans="1:15" x14ac:dyDescent="0.3">
      <c r="A1074" t="s">
        <v>1170</v>
      </c>
      <c r="B1074" t="s">
        <v>29</v>
      </c>
      <c r="C1074" s="7">
        <v>45699</v>
      </c>
      <c r="D1074" s="7">
        <v>45702</v>
      </c>
      <c r="E1074" t="s">
        <v>22</v>
      </c>
      <c r="F1074" t="s">
        <v>34</v>
      </c>
      <c r="G1074">
        <v>3</v>
      </c>
      <c r="H1074" t="s">
        <v>18</v>
      </c>
      <c r="I1074" t="s">
        <v>54</v>
      </c>
      <c r="J1074">
        <f>orders[[#This Row],[Ship Date]]-orders[[#This Row],[Order Date]]</f>
        <v>3</v>
      </c>
      <c r="K1074">
        <f>WEEKNUM(orders[[#This Row],[Order Date]])</f>
        <v>7</v>
      </c>
      <c r="L1074" t="str" cm="1">
        <f t="array" ref="L1074">_xlfn.IFS(orders[[#This Row],[Customer Gender]]="M","Male", orders[[#This Row],[Customer Gender]]="F","Female", orders[[#This Row],[Customer Gender]]="O","Other", TRUE,"Unknown")</f>
        <v>Male</v>
      </c>
      <c r="M1074">
        <v>2</v>
      </c>
      <c r="N1074">
        <v>55.2</v>
      </c>
      <c r="O1074" s="5">
        <v>110.4</v>
      </c>
    </row>
    <row r="1075" spans="1:15" x14ac:dyDescent="0.3">
      <c r="A1075" t="s">
        <v>1171</v>
      </c>
      <c r="B1075" t="s">
        <v>43</v>
      </c>
      <c r="C1075" s="7">
        <v>45699</v>
      </c>
      <c r="D1075" s="7">
        <v>45713</v>
      </c>
      <c r="E1075" t="s">
        <v>22</v>
      </c>
      <c r="F1075" t="s">
        <v>34</v>
      </c>
      <c r="G1075">
        <v>5</v>
      </c>
      <c r="H1075" t="s">
        <v>18</v>
      </c>
      <c r="I1075" t="s">
        <v>54</v>
      </c>
      <c r="J1075">
        <f>orders[[#This Row],[Ship Date]]-orders[[#This Row],[Order Date]]</f>
        <v>14</v>
      </c>
      <c r="K1075">
        <f>WEEKNUM(orders[[#This Row],[Order Date]])</f>
        <v>7</v>
      </c>
      <c r="L1075" t="str" cm="1">
        <f t="array" ref="L1075">_xlfn.IFS(orders[[#This Row],[Customer Gender]]="M","Male", orders[[#This Row],[Customer Gender]]="F","Female", orders[[#This Row],[Customer Gender]]="O","Other", TRUE,"Unknown")</f>
        <v>Male</v>
      </c>
      <c r="M1075">
        <v>42</v>
      </c>
      <c r="N1075">
        <v>33.299999999999997</v>
      </c>
      <c r="O1075">
        <v>1398.6</v>
      </c>
    </row>
    <row r="1076" spans="1:15" x14ac:dyDescent="0.3">
      <c r="A1076" t="s">
        <v>1172</v>
      </c>
      <c r="B1076" t="s">
        <v>25</v>
      </c>
      <c r="C1076" s="7">
        <v>45700</v>
      </c>
      <c r="D1076" s="7">
        <v>45700</v>
      </c>
      <c r="E1076" t="s">
        <v>22</v>
      </c>
      <c r="F1076" t="s">
        <v>39</v>
      </c>
      <c r="G1076">
        <v>2</v>
      </c>
      <c r="H1076" t="s">
        <v>18</v>
      </c>
      <c r="I1076" t="s">
        <v>54</v>
      </c>
      <c r="J1076">
        <f>orders[[#This Row],[Ship Date]]-orders[[#This Row],[Order Date]]</f>
        <v>0</v>
      </c>
      <c r="K1076">
        <f>WEEKNUM(orders[[#This Row],[Order Date]])</f>
        <v>7</v>
      </c>
      <c r="L1076" t="str" cm="1">
        <f t="array" ref="L1076">_xlfn.IFS(orders[[#This Row],[Customer Gender]]="M","Male", orders[[#This Row],[Customer Gender]]="F","Female", orders[[#This Row],[Customer Gender]]="O","Other", TRUE,"Unknown")</f>
        <v>Male</v>
      </c>
      <c r="M1076">
        <v>4</v>
      </c>
      <c r="N1076">
        <v>110.9</v>
      </c>
      <c r="O1076" s="5">
        <v>443.6</v>
      </c>
    </row>
    <row r="1077" spans="1:15" x14ac:dyDescent="0.3">
      <c r="A1077" t="s">
        <v>1173</v>
      </c>
      <c r="B1077" t="s">
        <v>25</v>
      </c>
      <c r="C1077" s="7">
        <v>45700</v>
      </c>
      <c r="D1077" s="7">
        <v>45701</v>
      </c>
      <c r="E1077" t="s">
        <v>22</v>
      </c>
      <c r="F1077" t="s">
        <v>17</v>
      </c>
      <c r="G1077">
        <v>4</v>
      </c>
      <c r="H1077" t="s">
        <v>18</v>
      </c>
      <c r="I1077" t="s">
        <v>61</v>
      </c>
      <c r="J1077">
        <f>orders[[#This Row],[Ship Date]]-orders[[#This Row],[Order Date]]</f>
        <v>1</v>
      </c>
      <c r="K1077">
        <f>WEEKNUM(orders[[#This Row],[Order Date]])</f>
        <v>7</v>
      </c>
      <c r="L1077" t="str" cm="1">
        <f t="array" ref="L1077">_xlfn.IFS(orders[[#This Row],[Customer Gender]]="M","Male", orders[[#This Row],[Customer Gender]]="F","Female", orders[[#This Row],[Customer Gender]]="O","Other", TRUE,"Unknown")</f>
        <v>Male</v>
      </c>
      <c r="M1077">
        <v>6</v>
      </c>
      <c r="N1077">
        <v>67.3</v>
      </c>
      <c r="O1077">
        <v>403.79999999999995</v>
      </c>
    </row>
    <row r="1078" spans="1:15" x14ac:dyDescent="0.3">
      <c r="A1078" t="s">
        <v>1174</v>
      </c>
      <c r="B1078" t="s">
        <v>38</v>
      </c>
      <c r="C1078" s="7">
        <v>45700</v>
      </c>
      <c r="D1078" s="7">
        <v>45701</v>
      </c>
      <c r="E1078" t="s">
        <v>22</v>
      </c>
      <c r="F1078" t="s">
        <v>39</v>
      </c>
      <c r="G1078">
        <v>3</v>
      </c>
      <c r="H1078" t="s">
        <v>18</v>
      </c>
      <c r="I1078" t="s">
        <v>61</v>
      </c>
      <c r="J1078">
        <f>orders[[#This Row],[Ship Date]]-orders[[#This Row],[Order Date]]</f>
        <v>1</v>
      </c>
      <c r="K1078">
        <f>WEEKNUM(orders[[#This Row],[Order Date]])</f>
        <v>7</v>
      </c>
      <c r="L1078" t="str" cm="1">
        <f t="array" ref="L1078">_xlfn.IFS(orders[[#This Row],[Customer Gender]]="M","Male", orders[[#This Row],[Customer Gender]]="F","Female", orders[[#This Row],[Customer Gender]]="O","Other", TRUE,"Unknown")</f>
        <v>Male</v>
      </c>
      <c r="M1078">
        <v>3</v>
      </c>
      <c r="N1078">
        <v>69.7</v>
      </c>
      <c r="O1078" s="5">
        <v>209.10000000000002</v>
      </c>
    </row>
    <row r="1079" spans="1:15" x14ac:dyDescent="0.3">
      <c r="A1079" t="s">
        <v>1175</v>
      </c>
      <c r="B1079" t="s">
        <v>36</v>
      </c>
      <c r="C1079" s="7">
        <v>45700</v>
      </c>
      <c r="D1079" s="7">
        <v>45705</v>
      </c>
      <c r="E1079" t="s">
        <v>22</v>
      </c>
      <c r="F1079" t="s">
        <v>17</v>
      </c>
      <c r="G1079">
        <v>3</v>
      </c>
      <c r="H1079" t="s">
        <v>18</v>
      </c>
      <c r="I1079" t="s">
        <v>102</v>
      </c>
      <c r="J1079">
        <f>orders[[#This Row],[Ship Date]]-orders[[#This Row],[Order Date]]</f>
        <v>5</v>
      </c>
      <c r="K1079">
        <f>WEEKNUM(orders[[#This Row],[Order Date]])</f>
        <v>7</v>
      </c>
      <c r="L1079" t="str" cm="1">
        <f t="array" ref="L1079">_xlfn.IFS(orders[[#This Row],[Customer Gender]]="M","Male", orders[[#This Row],[Customer Gender]]="F","Female", orders[[#This Row],[Customer Gender]]="O","Other", TRUE,"Unknown")</f>
        <v>Male</v>
      </c>
      <c r="M1079">
        <v>1</v>
      </c>
      <c r="N1079">
        <v>39.1</v>
      </c>
      <c r="O1079">
        <v>39.1</v>
      </c>
    </row>
    <row r="1080" spans="1:15" x14ac:dyDescent="0.3">
      <c r="A1080" t="s">
        <v>1176</v>
      </c>
      <c r="B1080" t="s">
        <v>25</v>
      </c>
      <c r="C1080" s="7">
        <v>45700</v>
      </c>
      <c r="D1080" s="7">
        <v>45700</v>
      </c>
      <c r="E1080" t="s">
        <v>22</v>
      </c>
      <c r="F1080" t="s">
        <v>69</v>
      </c>
      <c r="G1080">
        <v>5</v>
      </c>
      <c r="H1080" t="s">
        <v>18</v>
      </c>
      <c r="I1080" t="s">
        <v>102</v>
      </c>
      <c r="J1080">
        <f>orders[[#This Row],[Ship Date]]-orders[[#This Row],[Order Date]]</f>
        <v>0</v>
      </c>
      <c r="K1080">
        <f>WEEKNUM(orders[[#This Row],[Order Date]])</f>
        <v>7</v>
      </c>
      <c r="L1080" t="str" cm="1">
        <f t="array" ref="L1080">_xlfn.IFS(orders[[#This Row],[Customer Gender]]="M","Male", orders[[#This Row],[Customer Gender]]="F","Female", orders[[#This Row],[Customer Gender]]="O","Other", TRUE,"Unknown")</f>
        <v>Male</v>
      </c>
      <c r="M1080">
        <v>3</v>
      </c>
      <c r="N1080">
        <v>208.6</v>
      </c>
      <c r="O1080" s="5">
        <v>625.79999999999995</v>
      </c>
    </row>
    <row r="1081" spans="1:15" x14ac:dyDescent="0.3">
      <c r="A1081" t="s">
        <v>1177</v>
      </c>
      <c r="B1081" t="s">
        <v>122</v>
      </c>
      <c r="C1081" s="7">
        <v>45700</v>
      </c>
      <c r="D1081" s="7">
        <v>45701</v>
      </c>
      <c r="E1081" t="s">
        <v>22</v>
      </c>
      <c r="F1081" t="s">
        <v>50</v>
      </c>
      <c r="G1081">
        <v>3</v>
      </c>
      <c r="H1081" t="s">
        <v>18</v>
      </c>
      <c r="I1081" t="s">
        <v>76</v>
      </c>
      <c r="J1081">
        <f>orders[[#This Row],[Ship Date]]-orders[[#This Row],[Order Date]]</f>
        <v>1</v>
      </c>
      <c r="K1081">
        <f>WEEKNUM(orders[[#This Row],[Order Date]])</f>
        <v>7</v>
      </c>
      <c r="L1081" t="str" cm="1">
        <f t="array" ref="L1081">_xlfn.IFS(orders[[#This Row],[Customer Gender]]="M","Male", orders[[#This Row],[Customer Gender]]="F","Female", orders[[#This Row],[Customer Gender]]="O","Other", TRUE,"Unknown")</f>
        <v>Male</v>
      </c>
      <c r="M1081">
        <v>3</v>
      </c>
      <c r="N1081">
        <v>27.8</v>
      </c>
      <c r="O1081">
        <v>83.4</v>
      </c>
    </row>
    <row r="1082" spans="1:15" x14ac:dyDescent="0.3">
      <c r="A1082" t="s">
        <v>1178</v>
      </c>
      <c r="B1082" t="s">
        <v>53</v>
      </c>
      <c r="C1082" s="7">
        <v>45700</v>
      </c>
      <c r="D1082" s="7">
        <v>45702</v>
      </c>
      <c r="E1082" t="s">
        <v>26</v>
      </c>
      <c r="F1082" t="s">
        <v>17</v>
      </c>
      <c r="G1082">
        <v>4</v>
      </c>
      <c r="H1082" t="s">
        <v>18</v>
      </c>
      <c r="I1082" t="s">
        <v>76</v>
      </c>
      <c r="J1082">
        <f>orders[[#This Row],[Ship Date]]-orders[[#This Row],[Order Date]]</f>
        <v>2</v>
      </c>
      <c r="K1082">
        <f>WEEKNUM(orders[[#This Row],[Order Date]])</f>
        <v>7</v>
      </c>
      <c r="L1082" t="str" cm="1">
        <f t="array" ref="L1082">_xlfn.IFS(orders[[#This Row],[Customer Gender]]="M","Male", orders[[#This Row],[Customer Gender]]="F","Female", orders[[#This Row],[Customer Gender]]="O","Other", TRUE,"Unknown")</f>
        <v>Female</v>
      </c>
      <c r="M1082">
        <v>5</v>
      </c>
      <c r="N1082">
        <v>29.4</v>
      </c>
      <c r="O1082" s="5">
        <v>147</v>
      </c>
    </row>
    <row r="1083" spans="1:15" x14ac:dyDescent="0.3">
      <c r="A1083" t="s">
        <v>1179</v>
      </c>
      <c r="B1083" t="s">
        <v>45</v>
      </c>
      <c r="C1083" s="7">
        <v>45700</v>
      </c>
      <c r="D1083" s="7">
        <v>45702</v>
      </c>
      <c r="E1083" t="s">
        <v>26</v>
      </c>
      <c r="F1083" t="s">
        <v>34</v>
      </c>
      <c r="G1083">
        <v>5</v>
      </c>
      <c r="H1083" t="s">
        <v>18</v>
      </c>
      <c r="I1083" t="s">
        <v>112</v>
      </c>
      <c r="J1083">
        <f>orders[[#This Row],[Ship Date]]-orders[[#This Row],[Order Date]]</f>
        <v>2</v>
      </c>
      <c r="K1083">
        <f>WEEKNUM(orders[[#This Row],[Order Date]])</f>
        <v>7</v>
      </c>
      <c r="L1083" t="str" cm="1">
        <f t="array" ref="L1083">_xlfn.IFS(orders[[#This Row],[Customer Gender]]="M","Male", orders[[#This Row],[Customer Gender]]="F","Female", orders[[#This Row],[Customer Gender]]="O","Other", TRUE,"Unknown")</f>
        <v>Female</v>
      </c>
      <c r="M1083">
        <v>2</v>
      </c>
      <c r="N1083">
        <v>29.2</v>
      </c>
      <c r="O1083">
        <v>58.4</v>
      </c>
    </row>
    <row r="1084" spans="1:15" x14ac:dyDescent="0.3">
      <c r="A1084" t="s">
        <v>1180</v>
      </c>
      <c r="B1084" t="s">
        <v>53</v>
      </c>
      <c r="C1084" s="7">
        <v>45700</v>
      </c>
      <c r="D1084" s="7">
        <v>45702</v>
      </c>
      <c r="E1084" t="s">
        <v>26</v>
      </c>
      <c r="F1084" t="s">
        <v>17</v>
      </c>
      <c r="G1084">
        <v>4</v>
      </c>
      <c r="H1084" t="s">
        <v>18</v>
      </c>
      <c r="I1084" t="s">
        <v>996</v>
      </c>
      <c r="J1084">
        <f>orders[[#This Row],[Ship Date]]-orders[[#This Row],[Order Date]]</f>
        <v>2</v>
      </c>
      <c r="K1084">
        <f>WEEKNUM(orders[[#This Row],[Order Date]])</f>
        <v>7</v>
      </c>
      <c r="L1084" t="str" cm="1">
        <f t="array" ref="L1084">_xlfn.IFS(orders[[#This Row],[Customer Gender]]="M","Male", orders[[#This Row],[Customer Gender]]="F","Female", orders[[#This Row],[Customer Gender]]="O","Other", TRUE,"Unknown")</f>
        <v>Female</v>
      </c>
      <c r="M1084">
        <v>5</v>
      </c>
      <c r="N1084">
        <v>26.5</v>
      </c>
      <c r="O1084" s="5">
        <v>132.5</v>
      </c>
    </row>
    <row r="1085" spans="1:15" x14ac:dyDescent="0.3">
      <c r="A1085" t="s">
        <v>1181</v>
      </c>
      <c r="B1085" t="s">
        <v>36</v>
      </c>
      <c r="C1085" s="7">
        <v>45700</v>
      </c>
      <c r="D1085" s="7">
        <v>45701</v>
      </c>
      <c r="E1085" t="s">
        <v>26</v>
      </c>
      <c r="F1085" t="s">
        <v>69</v>
      </c>
      <c r="G1085">
        <v>3</v>
      </c>
      <c r="H1085" t="s">
        <v>18</v>
      </c>
      <c r="I1085" t="s">
        <v>81</v>
      </c>
      <c r="J1085">
        <f>orders[[#This Row],[Ship Date]]-orders[[#This Row],[Order Date]]</f>
        <v>1</v>
      </c>
      <c r="K1085">
        <f>WEEKNUM(orders[[#This Row],[Order Date]])</f>
        <v>7</v>
      </c>
      <c r="L1085" t="str" cm="1">
        <f t="array" ref="L1085">_xlfn.IFS(orders[[#This Row],[Customer Gender]]="M","Male", orders[[#This Row],[Customer Gender]]="F","Female", orders[[#This Row],[Customer Gender]]="O","Other", TRUE,"Unknown")</f>
        <v>Female</v>
      </c>
      <c r="M1085">
        <v>1</v>
      </c>
      <c r="N1085">
        <v>30.3</v>
      </c>
      <c r="O1085">
        <v>30.3</v>
      </c>
    </row>
    <row r="1086" spans="1:15" x14ac:dyDescent="0.3">
      <c r="A1086" t="s">
        <v>1182</v>
      </c>
      <c r="B1086" t="s">
        <v>127</v>
      </c>
      <c r="C1086" s="7">
        <v>45700</v>
      </c>
      <c r="D1086" s="7">
        <v>45701</v>
      </c>
      <c r="E1086" t="s">
        <v>26</v>
      </c>
      <c r="F1086" t="s">
        <v>17</v>
      </c>
      <c r="G1086">
        <v>4</v>
      </c>
      <c r="H1086" t="s">
        <v>18</v>
      </c>
      <c r="I1086" t="s">
        <v>114</v>
      </c>
      <c r="J1086">
        <f>orders[[#This Row],[Ship Date]]-orders[[#This Row],[Order Date]]</f>
        <v>1</v>
      </c>
      <c r="K1086">
        <f>WEEKNUM(orders[[#This Row],[Order Date]])</f>
        <v>7</v>
      </c>
      <c r="L1086" t="str" cm="1">
        <f t="array" ref="L1086">_xlfn.IFS(orders[[#This Row],[Customer Gender]]="M","Male", orders[[#This Row],[Customer Gender]]="F","Female", orders[[#This Row],[Customer Gender]]="O","Other", TRUE,"Unknown")</f>
        <v>Female</v>
      </c>
      <c r="M1086">
        <v>12</v>
      </c>
      <c r="N1086">
        <v>39.700000000000003</v>
      </c>
      <c r="O1086" s="5">
        <v>476.40000000000003</v>
      </c>
    </row>
    <row r="1087" spans="1:15" x14ac:dyDescent="0.3">
      <c r="A1087" t="s">
        <v>1183</v>
      </c>
      <c r="B1087" t="s">
        <v>41</v>
      </c>
      <c r="C1087" s="7">
        <v>45700</v>
      </c>
      <c r="D1087" s="7">
        <v>45702</v>
      </c>
      <c r="E1087" t="s">
        <v>26</v>
      </c>
      <c r="F1087" t="s">
        <v>34</v>
      </c>
      <c r="G1087">
        <v>2</v>
      </c>
      <c r="H1087" t="s">
        <v>18</v>
      </c>
      <c r="I1087" t="s">
        <v>114</v>
      </c>
      <c r="J1087">
        <f>orders[[#This Row],[Ship Date]]-orders[[#This Row],[Order Date]]</f>
        <v>2</v>
      </c>
      <c r="K1087">
        <f>WEEKNUM(orders[[#This Row],[Order Date]])</f>
        <v>7</v>
      </c>
      <c r="L1087" t="str" cm="1">
        <f t="array" ref="L1087">_xlfn.IFS(orders[[#This Row],[Customer Gender]]="M","Male", orders[[#This Row],[Customer Gender]]="F","Female", orders[[#This Row],[Customer Gender]]="O","Other", TRUE,"Unknown")</f>
        <v>Female</v>
      </c>
      <c r="M1087">
        <v>10</v>
      </c>
      <c r="N1087">
        <v>58.9</v>
      </c>
      <c r="O1087">
        <v>589</v>
      </c>
    </row>
    <row r="1088" spans="1:15" x14ac:dyDescent="0.3">
      <c r="A1088" t="s">
        <v>1184</v>
      </c>
      <c r="B1088" t="s">
        <v>25</v>
      </c>
      <c r="C1088" s="7">
        <v>45700</v>
      </c>
      <c r="D1088" s="7">
        <v>45702</v>
      </c>
      <c r="E1088" t="s">
        <v>26</v>
      </c>
      <c r="F1088" t="s">
        <v>17</v>
      </c>
      <c r="G1088">
        <v>3</v>
      </c>
      <c r="H1088" t="s">
        <v>18</v>
      </c>
      <c r="I1088" t="s">
        <v>640</v>
      </c>
      <c r="J1088">
        <f>orders[[#This Row],[Ship Date]]-orders[[#This Row],[Order Date]]</f>
        <v>2</v>
      </c>
      <c r="K1088">
        <f>WEEKNUM(orders[[#This Row],[Order Date]])</f>
        <v>7</v>
      </c>
      <c r="L1088" t="str" cm="1">
        <f t="array" ref="L1088">_xlfn.IFS(orders[[#This Row],[Customer Gender]]="M","Male", orders[[#This Row],[Customer Gender]]="F","Female", orders[[#This Row],[Customer Gender]]="O","Other", TRUE,"Unknown")</f>
        <v>Female</v>
      </c>
      <c r="M1088">
        <v>2</v>
      </c>
      <c r="N1088">
        <v>174.1</v>
      </c>
      <c r="O1088" s="5">
        <v>348.2</v>
      </c>
    </row>
    <row r="1089" spans="1:15" x14ac:dyDescent="0.3">
      <c r="A1089" t="s">
        <v>1185</v>
      </c>
      <c r="B1089" t="s">
        <v>38</v>
      </c>
      <c r="C1089" s="7">
        <v>45700</v>
      </c>
      <c r="D1089" s="7">
        <v>45703</v>
      </c>
      <c r="E1089" t="s">
        <v>22</v>
      </c>
      <c r="F1089" t="s">
        <v>39</v>
      </c>
      <c r="G1089">
        <v>4</v>
      </c>
      <c r="H1089" t="s">
        <v>18</v>
      </c>
      <c r="I1089" t="s">
        <v>146</v>
      </c>
      <c r="J1089">
        <f>orders[[#This Row],[Ship Date]]-orders[[#This Row],[Order Date]]</f>
        <v>3</v>
      </c>
      <c r="K1089">
        <f>WEEKNUM(orders[[#This Row],[Order Date]])</f>
        <v>7</v>
      </c>
      <c r="L1089" t="str" cm="1">
        <f t="array" ref="L1089">_xlfn.IFS(orders[[#This Row],[Customer Gender]]="M","Male", orders[[#This Row],[Customer Gender]]="F","Female", orders[[#This Row],[Customer Gender]]="O","Other", TRUE,"Unknown")</f>
        <v>Male</v>
      </c>
      <c r="M1089">
        <v>2</v>
      </c>
      <c r="N1089">
        <v>70.8</v>
      </c>
      <c r="O1089">
        <v>141.6</v>
      </c>
    </row>
    <row r="1090" spans="1:15" x14ac:dyDescent="0.3">
      <c r="A1090" t="s">
        <v>1186</v>
      </c>
      <c r="B1090" t="s">
        <v>41</v>
      </c>
      <c r="C1090" s="7">
        <v>45700</v>
      </c>
      <c r="D1090" s="7">
        <v>45702</v>
      </c>
      <c r="E1090" t="s">
        <v>26</v>
      </c>
      <c r="F1090" t="s">
        <v>34</v>
      </c>
      <c r="G1090">
        <v>3</v>
      </c>
      <c r="H1090" t="s">
        <v>18</v>
      </c>
      <c r="I1090" t="s">
        <v>333</v>
      </c>
      <c r="J1090">
        <f>orders[[#This Row],[Ship Date]]-orders[[#This Row],[Order Date]]</f>
        <v>2</v>
      </c>
      <c r="K1090">
        <f>WEEKNUM(orders[[#This Row],[Order Date]])</f>
        <v>7</v>
      </c>
      <c r="L1090" t="str" cm="1">
        <f t="array" ref="L1090">_xlfn.IFS(orders[[#This Row],[Customer Gender]]="M","Male", orders[[#This Row],[Customer Gender]]="F","Female", orders[[#This Row],[Customer Gender]]="O","Other", TRUE,"Unknown")</f>
        <v>Female</v>
      </c>
      <c r="M1090">
        <v>2</v>
      </c>
      <c r="N1090">
        <v>57.4</v>
      </c>
      <c r="O1090" s="5">
        <v>114.8</v>
      </c>
    </row>
    <row r="1091" spans="1:15" x14ac:dyDescent="0.3">
      <c r="A1091" t="s">
        <v>1187</v>
      </c>
      <c r="B1091" t="s">
        <v>16</v>
      </c>
      <c r="C1091" s="7">
        <v>45700</v>
      </c>
      <c r="D1091" s="7">
        <v>45702</v>
      </c>
      <c r="E1091" t="s">
        <v>22</v>
      </c>
      <c r="F1091" t="s">
        <v>50</v>
      </c>
      <c r="G1091">
        <v>3</v>
      </c>
      <c r="H1091" t="s">
        <v>18</v>
      </c>
      <c r="I1091" t="s">
        <v>32</v>
      </c>
      <c r="J1091">
        <f>orders[[#This Row],[Ship Date]]-orders[[#This Row],[Order Date]]</f>
        <v>2</v>
      </c>
      <c r="K1091">
        <f>WEEKNUM(orders[[#This Row],[Order Date]])</f>
        <v>7</v>
      </c>
      <c r="L1091" t="str" cm="1">
        <f t="array" ref="L1091">_xlfn.IFS(orders[[#This Row],[Customer Gender]]="M","Male", orders[[#This Row],[Customer Gender]]="F","Female", orders[[#This Row],[Customer Gender]]="O","Other", TRUE,"Unknown")</f>
        <v>Male</v>
      </c>
      <c r="M1091">
        <v>2</v>
      </c>
      <c r="N1091">
        <v>28.5</v>
      </c>
      <c r="O1091">
        <v>57</v>
      </c>
    </row>
    <row r="1092" spans="1:15" x14ac:dyDescent="0.3">
      <c r="A1092" t="s">
        <v>1188</v>
      </c>
      <c r="B1092" t="s">
        <v>25</v>
      </c>
      <c r="C1092" s="7">
        <v>45700</v>
      </c>
      <c r="D1092" s="7">
        <v>45701</v>
      </c>
      <c r="E1092" t="s">
        <v>2517</v>
      </c>
      <c r="F1092" t="s">
        <v>34</v>
      </c>
      <c r="G1092">
        <v>2</v>
      </c>
      <c r="H1092" t="s">
        <v>18</v>
      </c>
      <c r="I1092" t="s">
        <v>32</v>
      </c>
      <c r="J1092">
        <f>orders[[#This Row],[Ship Date]]-orders[[#This Row],[Order Date]]</f>
        <v>1</v>
      </c>
      <c r="K1092">
        <f>WEEKNUM(orders[[#This Row],[Order Date]])</f>
        <v>7</v>
      </c>
      <c r="L1092" t="str" cm="1">
        <f t="array" ref="L1092">_xlfn.IFS(orders[[#This Row],[Customer Gender]]="M","Male", orders[[#This Row],[Customer Gender]]="F","Female", orders[[#This Row],[Customer Gender]]="O","Other", TRUE,"Unknown")</f>
        <v>Unknown</v>
      </c>
      <c r="M1092">
        <v>20</v>
      </c>
      <c r="N1092">
        <v>106.6</v>
      </c>
      <c r="O1092" s="5">
        <v>2132</v>
      </c>
    </row>
    <row r="1093" spans="1:15" x14ac:dyDescent="0.3">
      <c r="A1093" t="s">
        <v>1189</v>
      </c>
      <c r="B1093" t="s">
        <v>25</v>
      </c>
      <c r="C1093" s="7">
        <v>45700</v>
      </c>
      <c r="D1093" s="7">
        <v>45701</v>
      </c>
      <c r="E1093" t="s">
        <v>26</v>
      </c>
      <c r="F1093" t="s">
        <v>34</v>
      </c>
      <c r="G1093">
        <v>2</v>
      </c>
      <c r="H1093" t="s">
        <v>18</v>
      </c>
      <c r="I1093" t="s">
        <v>32</v>
      </c>
      <c r="J1093">
        <f>orders[[#This Row],[Ship Date]]-orders[[#This Row],[Order Date]]</f>
        <v>1</v>
      </c>
      <c r="K1093">
        <f>WEEKNUM(orders[[#This Row],[Order Date]])</f>
        <v>7</v>
      </c>
      <c r="L1093" t="str" cm="1">
        <f t="array" ref="L1093">_xlfn.IFS(orders[[#This Row],[Customer Gender]]="M","Male", orders[[#This Row],[Customer Gender]]="F","Female", orders[[#This Row],[Customer Gender]]="O","Other", TRUE,"Unknown")</f>
        <v>Female</v>
      </c>
      <c r="M1093">
        <v>3</v>
      </c>
      <c r="N1093">
        <v>119.7</v>
      </c>
      <c r="O1093">
        <v>359.1</v>
      </c>
    </row>
    <row r="1094" spans="1:15" x14ac:dyDescent="0.3">
      <c r="A1094" t="s">
        <v>1190</v>
      </c>
      <c r="B1094" t="s">
        <v>145</v>
      </c>
      <c r="C1094" s="7">
        <v>45700</v>
      </c>
      <c r="D1094" s="7">
        <v>45705</v>
      </c>
      <c r="E1094" t="s">
        <v>26</v>
      </c>
      <c r="F1094" t="s">
        <v>17</v>
      </c>
      <c r="G1094">
        <v>5</v>
      </c>
      <c r="H1094" t="s">
        <v>18</v>
      </c>
      <c r="I1094" t="s">
        <v>32</v>
      </c>
      <c r="J1094">
        <f>orders[[#This Row],[Ship Date]]-orders[[#This Row],[Order Date]]</f>
        <v>5</v>
      </c>
      <c r="K1094">
        <f>WEEKNUM(orders[[#This Row],[Order Date]])</f>
        <v>7</v>
      </c>
      <c r="L1094" t="str" cm="1">
        <f t="array" ref="L1094">_xlfn.IFS(orders[[#This Row],[Customer Gender]]="M","Male", orders[[#This Row],[Customer Gender]]="F","Female", orders[[#This Row],[Customer Gender]]="O","Other", TRUE,"Unknown")</f>
        <v>Female</v>
      </c>
      <c r="M1094">
        <v>1</v>
      </c>
      <c r="N1094">
        <v>73.3</v>
      </c>
      <c r="O1094" s="5">
        <v>73.3</v>
      </c>
    </row>
    <row r="1095" spans="1:15" x14ac:dyDescent="0.3">
      <c r="A1095" t="s">
        <v>1191</v>
      </c>
      <c r="B1095" t="s">
        <v>16</v>
      </c>
      <c r="C1095" s="7">
        <v>45700</v>
      </c>
      <c r="D1095" s="7">
        <v>45714</v>
      </c>
      <c r="E1095" t="s">
        <v>22</v>
      </c>
      <c r="F1095" t="s">
        <v>39</v>
      </c>
      <c r="G1095">
        <v>4</v>
      </c>
      <c r="H1095" t="s">
        <v>18</v>
      </c>
      <c r="I1095" t="s">
        <v>32</v>
      </c>
      <c r="J1095">
        <f>orders[[#This Row],[Ship Date]]-orders[[#This Row],[Order Date]]</f>
        <v>14</v>
      </c>
      <c r="K1095">
        <f>WEEKNUM(orders[[#This Row],[Order Date]])</f>
        <v>7</v>
      </c>
      <c r="L1095" t="str" cm="1">
        <f t="array" ref="L1095">_xlfn.IFS(orders[[#This Row],[Customer Gender]]="M","Male", orders[[#This Row],[Customer Gender]]="F","Female", orders[[#This Row],[Customer Gender]]="O","Other", TRUE,"Unknown")</f>
        <v>Male</v>
      </c>
      <c r="M1095">
        <v>2</v>
      </c>
      <c r="N1095">
        <v>25.8</v>
      </c>
      <c r="O1095">
        <v>51.6</v>
      </c>
    </row>
    <row r="1096" spans="1:15" x14ac:dyDescent="0.3">
      <c r="A1096" t="s">
        <v>1192</v>
      </c>
      <c r="B1096" t="s">
        <v>134</v>
      </c>
      <c r="C1096" s="7">
        <v>45700</v>
      </c>
      <c r="D1096" s="7">
        <v>45702</v>
      </c>
      <c r="E1096" t="s">
        <v>26</v>
      </c>
      <c r="F1096" t="s">
        <v>17</v>
      </c>
      <c r="G1096">
        <v>4</v>
      </c>
      <c r="H1096" t="s">
        <v>18</v>
      </c>
      <c r="I1096" t="s">
        <v>185</v>
      </c>
      <c r="J1096">
        <f>orders[[#This Row],[Ship Date]]-orders[[#This Row],[Order Date]]</f>
        <v>2</v>
      </c>
      <c r="K1096">
        <f>WEEKNUM(orders[[#This Row],[Order Date]])</f>
        <v>7</v>
      </c>
      <c r="L1096" t="str" cm="1">
        <f t="array" ref="L1096">_xlfn.IFS(orders[[#This Row],[Customer Gender]]="M","Male", orders[[#This Row],[Customer Gender]]="F","Female", orders[[#This Row],[Customer Gender]]="O","Other", TRUE,"Unknown")</f>
        <v>Female</v>
      </c>
      <c r="M1096">
        <v>3</v>
      </c>
      <c r="N1096">
        <v>49.1</v>
      </c>
      <c r="O1096" s="5">
        <v>147.30000000000001</v>
      </c>
    </row>
    <row r="1097" spans="1:15" x14ac:dyDescent="0.3">
      <c r="A1097" t="s">
        <v>1193</v>
      </c>
      <c r="B1097" t="s">
        <v>21</v>
      </c>
      <c r="C1097" s="7">
        <v>45700</v>
      </c>
      <c r="D1097" s="7">
        <v>45703</v>
      </c>
      <c r="E1097" t="s">
        <v>26</v>
      </c>
      <c r="F1097" t="s">
        <v>50</v>
      </c>
      <c r="G1097">
        <v>5</v>
      </c>
      <c r="H1097" t="s">
        <v>18</v>
      </c>
      <c r="I1097" t="s">
        <v>54</v>
      </c>
      <c r="J1097">
        <f>orders[[#This Row],[Ship Date]]-orders[[#This Row],[Order Date]]</f>
        <v>3</v>
      </c>
      <c r="K1097">
        <f>WEEKNUM(orders[[#This Row],[Order Date]])</f>
        <v>7</v>
      </c>
      <c r="L1097" t="str" cm="1">
        <f t="array" ref="L1097">_xlfn.IFS(orders[[#This Row],[Customer Gender]]="M","Male", orders[[#This Row],[Customer Gender]]="F","Female", orders[[#This Row],[Customer Gender]]="O","Other", TRUE,"Unknown")</f>
        <v>Female</v>
      </c>
      <c r="M1097">
        <v>1</v>
      </c>
      <c r="N1097">
        <v>44.9</v>
      </c>
      <c r="O1097">
        <v>44.9</v>
      </c>
    </row>
    <row r="1098" spans="1:15" x14ac:dyDescent="0.3">
      <c r="A1098" t="s">
        <v>1194</v>
      </c>
      <c r="B1098" t="s">
        <v>122</v>
      </c>
      <c r="C1098" s="7">
        <v>45700</v>
      </c>
      <c r="D1098" s="7">
        <v>45701</v>
      </c>
      <c r="E1098" t="s">
        <v>26</v>
      </c>
      <c r="F1098" t="s">
        <v>17</v>
      </c>
      <c r="G1098">
        <v>4</v>
      </c>
      <c r="H1098" t="s">
        <v>18</v>
      </c>
      <c r="I1098" t="s">
        <v>54</v>
      </c>
      <c r="J1098">
        <f>orders[[#This Row],[Ship Date]]-orders[[#This Row],[Order Date]]</f>
        <v>1</v>
      </c>
      <c r="K1098">
        <f>WEEKNUM(orders[[#This Row],[Order Date]])</f>
        <v>7</v>
      </c>
      <c r="L1098" t="str" cm="1">
        <f t="array" ref="L1098">_xlfn.IFS(orders[[#This Row],[Customer Gender]]="M","Male", orders[[#This Row],[Customer Gender]]="F","Female", orders[[#This Row],[Customer Gender]]="O","Other", TRUE,"Unknown")</f>
        <v>Female</v>
      </c>
      <c r="M1098">
        <v>7</v>
      </c>
      <c r="N1098">
        <v>29.9</v>
      </c>
      <c r="O1098" s="5">
        <v>209.29999999999998</v>
      </c>
    </row>
    <row r="1099" spans="1:15" x14ac:dyDescent="0.3">
      <c r="A1099" t="s">
        <v>1195</v>
      </c>
      <c r="B1099" t="s">
        <v>41</v>
      </c>
      <c r="C1099" s="7">
        <v>45701</v>
      </c>
      <c r="D1099" s="7">
        <v>45702</v>
      </c>
      <c r="E1099" t="s">
        <v>22</v>
      </c>
      <c r="F1099" t="s">
        <v>50</v>
      </c>
      <c r="G1099">
        <v>4</v>
      </c>
      <c r="H1099" t="s">
        <v>18</v>
      </c>
      <c r="I1099" t="s">
        <v>341</v>
      </c>
      <c r="J1099">
        <f>orders[[#This Row],[Ship Date]]-orders[[#This Row],[Order Date]]</f>
        <v>1</v>
      </c>
      <c r="K1099">
        <f>WEEKNUM(orders[[#This Row],[Order Date]])</f>
        <v>7</v>
      </c>
      <c r="L1099" t="str" cm="1">
        <f t="array" ref="L1099">_xlfn.IFS(orders[[#This Row],[Customer Gender]]="M","Male", orders[[#This Row],[Customer Gender]]="F","Female", orders[[#This Row],[Customer Gender]]="O","Other", TRUE,"Unknown")</f>
        <v>Male</v>
      </c>
      <c r="M1099">
        <v>2</v>
      </c>
      <c r="N1099">
        <v>54.3</v>
      </c>
      <c r="O1099">
        <v>108.6</v>
      </c>
    </row>
    <row r="1100" spans="1:15" x14ac:dyDescent="0.3">
      <c r="A1100" t="s">
        <v>1196</v>
      </c>
      <c r="B1100" t="s">
        <v>45</v>
      </c>
      <c r="C1100" s="7">
        <v>45701</v>
      </c>
      <c r="D1100" s="7">
        <v>45703</v>
      </c>
      <c r="E1100" t="s">
        <v>26</v>
      </c>
      <c r="F1100" t="s">
        <v>17</v>
      </c>
      <c r="G1100">
        <v>4</v>
      </c>
      <c r="H1100" t="s">
        <v>18</v>
      </c>
      <c r="I1100" t="s">
        <v>61</v>
      </c>
      <c r="J1100">
        <f>orders[[#This Row],[Ship Date]]-orders[[#This Row],[Order Date]]</f>
        <v>2</v>
      </c>
      <c r="K1100">
        <f>WEEKNUM(orders[[#This Row],[Order Date]])</f>
        <v>7</v>
      </c>
      <c r="L1100" t="str" cm="1">
        <f t="array" ref="L1100">_xlfn.IFS(orders[[#This Row],[Customer Gender]]="M","Male", orders[[#This Row],[Customer Gender]]="F","Female", orders[[#This Row],[Customer Gender]]="O","Other", TRUE,"Unknown")</f>
        <v>Female</v>
      </c>
      <c r="M1100">
        <v>4</v>
      </c>
      <c r="N1100">
        <v>57</v>
      </c>
      <c r="O1100" s="5">
        <v>228</v>
      </c>
    </row>
    <row r="1101" spans="1:15" x14ac:dyDescent="0.3">
      <c r="A1101" t="s">
        <v>1197</v>
      </c>
      <c r="B1101" t="s">
        <v>25</v>
      </c>
      <c r="C1101" s="7">
        <v>45701</v>
      </c>
      <c r="D1101" s="7">
        <v>45702</v>
      </c>
      <c r="E1101" t="s">
        <v>26</v>
      </c>
      <c r="F1101" t="s">
        <v>50</v>
      </c>
      <c r="G1101">
        <v>5</v>
      </c>
      <c r="H1101" t="s">
        <v>18</v>
      </c>
      <c r="I1101" t="s">
        <v>61</v>
      </c>
      <c r="J1101">
        <f>orders[[#This Row],[Ship Date]]-orders[[#This Row],[Order Date]]</f>
        <v>1</v>
      </c>
      <c r="K1101">
        <f>WEEKNUM(orders[[#This Row],[Order Date]])</f>
        <v>7</v>
      </c>
      <c r="L1101" t="str" cm="1">
        <f t="array" ref="L1101">_xlfn.IFS(orders[[#This Row],[Customer Gender]]="M","Male", orders[[#This Row],[Customer Gender]]="F","Female", orders[[#This Row],[Customer Gender]]="O","Other", TRUE,"Unknown")</f>
        <v>Female</v>
      </c>
      <c r="M1101">
        <v>1</v>
      </c>
      <c r="N1101">
        <v>139.19999999999999</v>
      </c>
      <c r="O1101">
        <v>139.19999999999999</v>
      </c>
    </row>
    <row r="1102" spans="1:15" x14ac:dyDescent="0.3">
      <c r="A1102" t="s">
        <v>1198</v>
      </c>
      <c r="B1102" t="s">
        <v>53</v>
      </c>
      <c r="C1102" s="7">
        <v>45701</v>
      </c>
      <c r="D1102" s="7">
        <v>45704</v>
      </c>
      <c r="E1102" t="s">
        <v>26</v>
      </c>
      <c r="F1102" t="s">
        <v>17</v>
      </c>
      <c r="G1102">
        <v>5</v>
      </c>
      <c r="H1102" t="s">
        <v>18</v>
      </c>
      <c r="I1102" t="s">
        <v>61</v>
      </c>
      <c r="J1102">
        <f>orders[[#This Row],[Ship Date]]-orders[[#This Row],[Order Date]]</f>
        <v>3</v>
      </c>
      <c r="K1102">
        <f>WEEKNUM(orders[[#This Row],[Order Date]])</f>
        <v>7</v>
      </c>
      <c r="L1102" t="str" cm="1">
        <f t="array" ref="L1102">_xlfn.IFS(orders[[#This Row],[Customer Gender]]="M","Male", orders[[#This Row],[Customer Gender]]="F","Female", orders[[#This Row],[Customer Gender]]="O","Other", TRUE,"Unknown")</f>
        <v>Female</v>
      </c>
      <c r="M1102">
        <v>1</v>
      </c>
      <c r="N1102">
        <v>33</v>
      </c>
      <c r="O1102" s="5">
        <v>33</v>
      </c>
    </row>
    <row r="1103" spans="1:15" x14ac:dyDescent="0.3">
      <c r="A1103" t="s">
        <v>1199</v>
      </c>
      <c r="B1103" t="s">
        <v>66</v>
      </c>
      <c r="C1103" s="7">
        <v>45701</v>
      </c>
      <c r="D1103" s="7">
        <v>45703</v>
      </c>
      <c r="E1103" t="s">
        <v>22</v>
      </c>
      <c r="F1103" t="s">
        <v>34</v>
      </c>
      <c r="G1103">
        <v>2</v>
      </c>
      <c r="H1103" t="s">
        <v>18</v>
      </c>
      <c r="I1103" t="s">
        <v>61</v>
      </c>
      <c r="J1103">
        <f>orders[[#This Row],[Ship Date]]-orders[[#This Row],[Order Date]]</f>
        <v>2</v>
      </c>
      <c r="K1103">
        <f>WEEKNUM(orders[[#This Row],[Order Date]])</f>
        <v>7</v>
      </c>
      <c r="L1103" t="str" cm="1">
        <f t="array" ref="L1103">_xlfn.IFS(orders[[#This Row],[Customer Gender]]="M","Male", orders[[#This Row],[Customer Gender]]="F","Female", orders[[#This Row],[Customer Gender]]="O","Other", TRUE,"Unknown")</f>
        <v>Male</v>
      </c>
      <c r="M1103">
        <v>6</v>
      </c>
      <c r="N1103">
        <v>80.2</v>
      </c>
      <c r="O1103">
        <v>481.20000000000005</v>
      </c>
    </row>
    <row r="1104" spans="1:15" x14ac:dyDescent="0.3">
      <c r="A1104" t="s">
        <v>1200</v>
      </c>
      <c r="B1104" t="s">
        <v>145</v>
      </c>
      <c r="C1104" s="7">
        <v>45701</v>
      </c>
      <c r="D1104" s="7">
        <v>45702</v>
      </c>
      <c r="E1104" t="s">
        <v>2517</v>
      </c>
      <c r="F1104" t="s">
        <v>39</v>
      </c>
      <c r="G1104">
        <v>3</v>
      </c>
      <c r="H1104" t="s">
        <v>18</v>
      </c>
      <c r="I1104" t="s">
        <v>71</v>
      </c>
      <c r="J1104">
        <f>orders[[#This Row],[Ship Date]]-orders[[#This Row],[Order Date]]</f>
        <v>1</v>
      </c>
      <c r="K1104">
        <f>WEEKNUM(orders[[#This Row],[Order Date]])</f>
        <v>7</v>
      </c>
      <c r="L1104" t="str" cm="1">
        <f t="array" ref="L1104">_xlfn.IFS(orders[[#This Row],[Customer Gender]]="M","Male", orders[[#This Row],[Customer Gender]]="F","Female", orders[[#This Row],[Customer Gender]]="O","Other", TRUE,"Unknown")</f>
        <v>Unknown</v>
      </c>
      <c r="M1104">
        <v>8</v>
      </c>
      <c r="N1104">
        <v>49</v>
      </c>
      <c r="O1104" s="5">
        <v>392</v>
      </c>
    </row>
    <row r="1105" spans="1:15" x14ac:dyDescent="0.3">
      <c r="A1105" t="s">
        <v>1201</v>
      </c>
      <c r="B1105" t="s">
        <v>21</v>
      </c>
      <c r="C1105" s="7">
        <v>45701</v>
      </c>
      <c r="D1105" s="7">
        <v>45701</v>
      </c>
      <c r="E1105" t="s">
        <v>26</v>
      </c>
      <c r="F1105" t="s">
        <v>17</v>
      </c>
      <c r="G1105">
        <v>4</v>
      </c>
      <c r="H1105" t="s">
        <v>18</v>
      </c>
      <c r="I1105" t="s">
        <v>71</v>
      </c>
      <c r="J1105">
        <f>orders[[#This Row],[Ship Date]]-orders[[#This Row],[Order Date]]</f>
        <v>0</v>
      </c>
      <c r="K1105">
        <f>WEEKNUM(orders[[#This Row],[Order Date]])</f>
        <v>7</v>
      </c>
      <c r="L1105" t="str" cm="1">
        <f t="array" ref="L1105">_xlfn.IFS(orders[[#This Row],[Customer Gender]]="M","Male", orders[[#This Row],[Customer Gender]]="F","Female", orders[[#This Row],[Customer Gender]]="O","Other", TRUE,"Unknown")</f>
        <v>Female</v>
      </c>
      <c r="M1105">
        <v>4</v>
      </c>
      <c r="N1105">
        <v>104.4</v>
      </c>
      <c r="O1105">
        <v>417.6</v>
      </c>
    </row>
    <row r="1106" spans="1:15" x14ac:dyDescent="0.3">
      <c r="A1106" t="s">
        <v>1202</v>
      </c>
      <c r="B1106" t="s">
        <v>29</v>
      </c>
      <c r="C1106" s="7">
        <v>45701</v>
      </c>
      <c r="D1106" s="7">
        <v>45704</v>
      </c>
      <c r="E1106" t="s">
        <v>22</v>
      </c>
      <c r="F1106" t="s">
        <v>50</v>
      </c>
      <c r="G1106">
        <v>4</v>
      </c>
      <c r="H1106" t="s">
        <v>18</v>
      </c>
      <c r="I1106" t="s">
        <v>76</v>
      </c>
      <c r="J1106">
        <f>orders[[#This Row],[Ship Date]]-orders[[#This Row],[Order Date]]</f>
        <v>3</v>
      </c>
      <c r="K1106">
        <f>WEEKNUM(orders[[#This Row],[Order Date]])</f>
        <v>7</v>
      </c>
      <c r="L1106" t="str" cm="1">
        <f t="array" ref="L1106">_xlfn.IFS(orders[[#This Row],[Customer Gender]]="M","Male", orders[[#This Row],[Customer Gender]]="F","Female", orders[[#This Row],[Customer Gender]]="O","Other", TRUE,"Unknown")</f>
        <v>Male</v>
      </c>
      <c r="M1106">
        <v>1</v>
      </c>
      <c r="N1106">
        <v>41.6</v>
      </c>
      <c r="O1106" s="5">
        <v>41.6</v>
      </c>
    </row>
    <row r="1107" spans="1:15" x14ac:dyDescent="0.3">
      <c r="A1107" t="s">
        <v>1203</v>
      </c>
      <c r="B1107" t="s">
        <v>170</v>
      </c>
      <c r="C1107" s="7">
        <v>45701</v>
      </c>
      <c r="D1107" s="7">
        <v>45702</v>
      </c>
      <c r="E1107" t="s">
        <v>88</v>
      </c>
      <c r="F1107" t="s">
        <v>17</v>
      </c>
      <c r="G1107">
        <v>5</v>
      </c>
      <c r="H1107" t="s">
        <v>18</v>
      </c>
      <c r="I1107" t="s">
        <v>76</v>
      </c>
      <c r="J1107">
        <f>orders[[#This Row],[Ship Date]]-orders[[#This Row],[Order Date]]</f>
        <v>1</v>
      </c>
      <c r="K1107">
        <f>WEEKNUM(orders[[#This Row],[Order Date]])</f>
        <v>7</v>
      </c>
      <c r="L1107" t="str" cm="1">
        <f t="array" ref="L1107">_xlfn.IFS(orders[[#This Row],[Customer Gender]]="M","Male", orders[[#This Row],[Customer Gender]]="F","Female", orders[[#This Row],[Customer Gender]]="O","Other", TRUE,"Unknown")</f>
        <v>Other</v>
      </c>
      <c r="M1107">
        <v>2</v>
      </c>
      <c r="N1107">
        <v>16.399999999999999</v>
      </c>
      <c r="O1107">
        <v>32.799999999999997</v>
      </c>
    </row>
    <row r="1108" spans="1:15" x14ac:dyDescent="0.3">
      <c r="A1108" t="s">
        <v>1204</v>
      </c>
      <c r="B1108" t="s">
        <v>43</v>
      </c>
      <c r="C1108" s="7">
        <v>45701</v>
      </c>
      <c r="D1108" s="7">
        <v>45702</v>
      </c>
      <c r="E1108" t="s">
        <v>22</v>
      </c>
      <c r="F1108" t="s">
        <v>39</v>
      </c>
      <c r="G1108">
        <v>5</v>
      </c>
      <c r="H1108" t="s">
        <v>18</v>
      </c>
      <c r="I1108" t="s">
        <v>1115</v>
      </c>
      <c r="J1108">
        <f>orders[[#This Row],[Ship Date]]-orders[[#This Row],[Order Date]]</f>
        <v>1</v>
      </c>
      <c r="K1108">
        <f>WEEKNUM(orders[[#This Row],[Order Date]])</f>
        <v>7</v>
      </c>
      <c r="L1108" t="str" cm="1">
        <f t="array" ref="L1108">_xlfn.IFS(orders[[#This Row],[Customer Gender]]="M","Male", orders[[#This Row],[Customer Gender]]="F","Female", orders[[#This Row],[Customer Gender]]="O","Other", TRUE,"Unknown")</f>
        <v>Male</v>
      </c>
      <c r="M1108">
        <v>2</v>
      </c>
      <c r="N1108">
        <v>22</v>
      </c>
      <c r="O1108" s="5">
        <v>44</v>
      </c>
    </row>
    <row r="1109" spans="1:15" x14ac:dyDescent="0.3">
      <c r="A1109" t="s">
        <v>1205</v>
      </c>
      <c r="B1109" t="s">
        <v>122</v>
      </c>
      <c r="C1109" s="7">
        <v>45701</v>
      </c>
      <c r="D1109" s="7">
        <v>45706</v>
      </c>
      <c r="E1109" t="s">
        <v>26</v>
      </c>
      <c r="F1109" t="s">
        <v>17</v>
      </c>
      <c r="G1109">
        <v>4</v>
      </c>
      <c r="H1109" t="s">
        <v>18</v>
      </c>
      <c r="I1109" t="s">
        <v>114</v>
      </c>
      <c r="J1109">
        <f>orders[[#This Row],[Ship Date]]-orders[[#This Row],[Order Date]]</f>
        <v>5</v>
      </c>
      <c r="K1109">
        <f>WEEKNUM(orders[[#This Row],[Order Date]])</f>
        <v>7</v>
      </c>
      <c r="L1109" t="str" cm="1">
        <f t="array" ref="L1109">_xlfn.IFS(orders[[#This Row],[Customer Gender]]="M","Male", orders[[#This Row],[Customer Gender]]="F","Female", orders[[#This Row],[Customer Gender]]="O","Other", TRUE,"Unknown")</f>
        <v>Female</v>
      </c>
      <c r="M1109">
        <v>2</v>
      </c>
      <c r="N1109">
        <v>33.6</v>
      </c>
      <c r="O1109">
        <v>67.2</v>
      </c>
    </row>
    <row r="1110" spans="1:15" x14ac:dyDescent="0.3">
      <c r="A1110" t="s">
        <v>1206</v>
      </c>
      <c r="B1110" t="s">
        <v>66</v>
      </c>
      <c r="C1110" s="7">
        <v>45701</v>
      </c>
      <c r="D1110" s="7">
        <v>45702</v>
      </c>
      <c r="E1110" t="s">
        <v>26</v>
      </c>
      <c r="F1110" t="s">
        <v>39</v>
      </c>
      <c r="G1110">
        <v>4</v>
      </c>
      <c r="H1110" t="s">
        <v>18</v>
      </c>
      <c r="I1110" t="s">
        <v>114</v>
      </c>
      <c r="J1110">
        <f>orders[[#This Row],[Ship Date]]-orders[[#This Row],[Order Date]]</f>
        <v>1</v>
      </c>
      <c r="K1110">
        <f>WEEKNUM(orders[[#This Row],[Order Date]])</f>
        <v>7</v>
      </c>
      <c r="L1110" t="str" cm="1">
        <f t="array" ref="L1110">_xlfn.IFS(orders[[#This Row],[Customer Gender]]="M","Male", orders[[#This Row],[Customer Gender]]="F","Female", orders[[#This Row],[Customer Gender]]="O","Other", TRUE,"Unknown")</f>
        <v>Female</v>
      </c>
      <c r="M1110">
        <v>6</v>
      </c>
      <c r="N1110">
        <v>43</v>
      </c>
      <c r="O1110" s="5">
        <v>258</v>
      </c>
    </row>
    <row r="1111" spans="1:15" x14ac:dyDescent="0.3">
      <c r="A1111" t="s">
        <v>1207</v>
      </c>
      <c r="B1111" t="s">
        <v>38</v>
      </c>
      <c r="C1111" s="7">
        <v>45701</v>
      </c>
      <c r="D1111" s="7">
        <v>45704</v>
      </c>
      <c r="E1111" t="s">
        <v>26</v>
      </c>
      <c r="F1111" t="s">
        <v>69</v>
      </c>
      <c r="G1111">
        <v>5</v>
      </c>
      <c r="H1111" t="s">
        <v>18</v>
      </c>
      <c r="I1111" t="s">
        <v>114</v>
      </c>
      <c r="J1111">
        <f>orders[[#This Row],[Ship Date]]-orders[[#This Row],[Order Date]]</f>
        <v>3</v>
      </c>
      <c r="K1111">
        <f>WEEKNUM(orders[[#This Row],[Order Date]])</f>
        <v>7</v>
      </c>
      <c r="L1111" t="str" cm="1">
        <f t="array" ref="L1111">_xlfn.IFS(orders[[#This Row],[Customer Gender]]="M","Male", orders[[#This Row],[Customer Gender]]="F","Female", orders[[#This Row],[Customer Gender]]="O","Other", TRUE,"Unknown")</f>
        <v>Female</v>
      </c>
      <c r="M1111">
        <v>5</v>
      </c>
      <c r="N1111">
        <v>108.8</v>
      </c>
      <c r="O1111">
        <v>544</v>
      </c>
    </row>
    <row r="1112" spans="1:15" x14ac:dyDescent="0.3">
      <c r="A1112" t="s">
        <v>1208</v>
      </c>
      <c r="B1112" t="s">
        <v>16</v>
      </c>
      <c r="C1112" s="7">
        <v>45701</v>
      </c>
      <c r="D1112" s="7">
        <v>45703</v>
      </c>
      <c r="E1112" t="s">
        <v>22</v>
      </c>
      <c r="F1112" t="s">
        <v>69</v>
      </c>
      <c r="G1112">
        <v>5</v>
      </c>
      <c r="H1112" t="s">
        <v>18</v>
      </c>
      <c r="I1112" t="s">
        <v>114</v>
      </c>
      <c r="J1112">
        <f>orders[[#This Row],[Ship Date]]-orders[[#This Row],[Order Date]]</f>
        <v>2</v>
      </c>
      <c r="K1112">
        <f>WEEKNUM(orders[[#This Row],[Order Date]])</f>
        <v>7</v>
      </c>
      <c r="L1112" t="str" cm="1">
        <f t="array" ref="L1112">_xlfn.IFS(orders[[#This Row],[Customer Gender]]="M","Male", orders[[#This Row],[Customer Gender]]="F","Female", orders[[#This Row],[Customer Gender]]="O","Other", TRUE,"Unknown")</f>
        <v>Male</v>
      </c>
      <c r="M1112">
        <v>9</v>
      </c>
      <c r="N1112">
        <v>29.3</v>
      </c>
      <c r="O1112" s="5">
        <v>263.7</v>
      </c>
    </row>
    <row r="1113" spans="1:15" x14ac:dyDescent="0.3">
      <c r="A1113" t="s">
        <v>1209</v>
      </c>
      <c r="B1113" t="s">
        <v>25</v>
      </c>
      <c r="C1113" s="7">
        <v>45701</v>
      </c>
      <c r="D1113" s="7">
        <v>45704</v>
      </c>
      <c r="E1113" t="s">
        <v>88</v>
      </c>
      <c r="F1113" t="s">
        <v>17</v>
      </c>
      <c r="G1113">
        <v>5</v>
      </c>
      <c r="H1113" t="s">
        <v>18</v>
      </c>
      <c r="I1113" t="s">
        <v>23</v>
      </c>
      <c r="J1113">
        <f>orders[[#This Row],[Ship Date]]-orders[[#This Row],[Order Date]]</f>
        <v>3</v>
      </c>
      <c r="K1113">
        <f>WEEKNUM(orders[[#This Row],[Order Date]])</f>
        <v>7</v>
      </c>
      <c r="L1113" t="str" cm="1">
        <f t="array" ref="L1113">_xlfn.IFS(orders[[#This Row],[Customer Gender]]="M","Male", orders[[#This Row],[Customer Gender]]="F","Female", orders[[#This Row],[Customer Gender]]="O","Other", TRUE,"Unknown")</f>
        <v>Other</v>
      </c>
      <c r="M1113">
        <v>1</v>
      </c>
      <c r="N1113">
        <v>122.7</v>
      </c>
      <c r="O1113">
        <v>122.7</v>
      </c>
    </row>
    <row r="1114" spans="1:15" x14ac:dyDescent="0.3">
      <c r="A1114" t="s">
        <v>1210</v>
      </c>
      <c r="B1114" t="s">
        <v>31</v>
      </c>
      <c r="C1114" s="7">
        <v>45701</v>
      </c>
      <c r="D1114" s="7">
        <v>45702</v>
      </c>
      <c r="E1114" t="s">
        <v>26</v>
      </c>
      <c r="F1114" t="s">
        <v>17</v>
      </c>
      <c r="G1114">
        <v>4</v>
      </c>
      <c r="H1114" t="s">
        <v>18</v>
      </c>
      <c r="I1114" t="s">
        <v>436</v>
      </c>
      <c r="J1114">
        <f>orders[[#This Row],[Ship Date]]-orders[[#This Row],[Order Date]]</f>
        <v>1</v>
      </c>
      <c r="K1114">
        <f>WEEKNUM(orders[[#This Row],[Order Date]])</f>
        <v>7</v>
      </c>
      <c r="L1114" t="str" cm="1">
        <f t="array" ref="L1114">_xlfn.IFS(orders[[#This Row],[Customer Gender]]="M","Male", orders[[#This Row],[Customer Gender]]="F","Female", orders[[#This Row],[Customer Gender]]="O","Other", TRUE,"Unknown")</f>
        <v>Female</v>
      </c>
      <c r="M1114">
        <v>7</v>
      </c>
      <c r="N1114">
        <v>22.9</v>
      </c>
      <c r="O1114" s="5">
        <v>160.29999999999998</v>
      </c>
    </row>
    <row r="1115" spans="1:15" x14ac:dyDescent="0.3">
      <c r="A1115" t="s">
        <v>1211</v>
      </c>
      <c r="B1115" t="s">
        <v>43</v>
      </c>
      <c r="C1115" s="7">
        <v>45701</v>
      </c>
      <c r="D1115" s="7">
        <v>45708</v>
      </c>
      <c r="E1115" t="s">
        <v>26</v>
      </c>
      <c r="F1115" t="s">
        <v>17</v>
      </c>
      <c r="G1115">
        <v>4</v>
      </c>
      <c r="H1115" t="s">
        <v>18</v>
      </c>
      <c r="I1115" t="s">
        <v>330</v>
      </c>
      <c r="J1115">
        <f>orders[[#This Row],[Ship Date]]-orders[[#This Row],[Order Date]]</f>
        <v>7</v>
      </c>
      <c r="K1115">
        <f>WEEKNUM(orders[[#This Row],[Order Date]])</f>
        <v>7</v>
      </c>
      <c r="L1115" t="str" cm="1">
        <f t="array" ref="L1115">_xlfn.IFS(orders[[#This Row],[Customer Gender]]="M","Male", orders[[#This Row],[Customer Gender]]="F","Female", orders[[#This Row],[Customer Gender]]="O","Other", TRUE,"Unknown")</f>
        <v>Female</v>
      </c>
      <c r="M1115">
        <v>10</v>
      </c>
      <c r="N1115">
        <v>25.5</v>
      </c>
      <c r="O1115">
        <v>255</v>
      </c>
    </row>
    <row r="1116" spans="1:15" x14ac:dyDescent="0.3">
      <c r="A1116" t="s">
        <v>1212</v>
      </c>
      <c r="B1116" t="s">
        <v>134</v>
      </c>
      <c r="C1116" s="7">
        <v>45701</v>
      </c>
      <c r="D1116" s="7">
        <v>45705</v>
      </c>
      <c r="E1116" t="s">
        <v>26</v>
      </c>
      <c r="F1116" t="s">
        <v>17</v>
      </c>
      <c r="G1116">
        <v>5</v>
      </c>
      <c r="H1116" t="s">
        <v>18</v>
      </c>
      <c r="I1116" t="s">
        <v>32</v>
      </c>
      <c r="J1116">
        <f>orders[[#This Row],[Ship Date]]-orders[[#This Row],[Order Date]]</f>
        <v>4</v>
      </c>
      <c r="K1116">
        <f>WEEKNUM(orders[[#This Row],[Order Date]])</f>
        <v>7</v>
      </c>
      <c r="L1116" t="str" cm="1">
        <f t="array" ref="L1116">_xlfn.IFS(orders[[#This Row],[Customer Gender]]="M","Male", orders[[#This Row],[Customer Gender]]="F","Female", orders[[#This Row],[Customer Gender]]="O","Other", TRUE,"Unknown")</f>
        <v>Female</v>
      </c>
      <c r="M1116">
        <v>3</v>
      </c>
      <c r="N1116">
        <v>23.4</v>
      </c>
      <c r="O1116" s="5">
        <v>70.199999999999989</v>
      </c>
    </row>
    <row r="1117" spans="1:15" x14ac:dyDescent="0.3">
      <c r="A1117" t="s">
        <v>1213</v>
      </c>
      <c r="B1117" t="s">
        <v>36</v>
      </c>
      <c r="C1117" s="7">
        <v>45701</v>
      </c>
      <c r="D1117" s="7">
        <v>45704</v>
      </c>
      <c r="E1117" t="s">
        <v>26</v>
      </c>
      <c r="F1117" t="s">
        <v>39</v>
      </c>
      <c r="G1117">
        <v>4</v>
      </c>
      <c r="H1117" t="s">
        <v>18</v>
      </c>
      <c r="I1117" t="s">
        <v>32</v>
      </c>
      <c r="J1117">
        <f>orders[[#This Row],[Ship Date]]-orders[[#This Row],[Order Date]]</f>
        <v>3</v>
      </c>
      <c r="K1117">
        <f>WEEKNUM(orders[[#This Row],[Order Date]])</f>
        <v>7</v>
      </c>
      <c r="L1117" t="str" cm="1">
        <f t="array" ref="L1117">_xlfn.IFS(orders[[#This Row],[Customer Gender]]="M","Male", orders[[#This Row],[Customer Gender]]="F","Female", orders[[#This Row],[Customer Gender]]="O","Other", TRUE,"Unknown")</f>
        <v>Female</v>
      </c>
      <c r="M1117">
        <v>8</v>
      </c>
      <c r="N1117">
        <v>27.4</v>
      </c>
      <c r="O1117">
        <v>219.2</v>
      </c>
    </row>
    <row r="1118" spans="1:15" x14ac:dyDescent="0.3">
      <c r="A1118" t="s">
        <v>1214</v>
      </c>
      <c r="B1118" t="s">
        <v>36</v>
      </c>
      <c r="C1118" s="7">
        <v>45701</v>
      </c>
      <c r="D1118" s="7">
        <v>45702</v>
      </c>
      <c r="E1118" t="s">
        <v>26</v>
      </c>
      <c r="F1118" t="s">
        <v>17</v>
      </c>
      <c r="G1118">
        <v>4</v>
      </c>
      <c r="H1118" t="s">
        <v>18</v>
      </c>
      <c r="I1118" t="s">
        <v>32</v>
      </c>
      <c r="J1118">
        <f>orders[[#This Row],[Ship Date]]-orders[[#This Row],[Order Date]]</f>
        <v>1</v>
      </c>
      <c r="K1118">
        <f>WEEKNUM(orders[[#This Row],[Order Date]])</f>
        <v>7</v>
      </c>
      <c r="L1118" t="str" cm="1">
        <f t="array" ref="L1118">_xlfn.IFS(orders[[#This Row],[Customer Gender]]="M","Male", orders[[#This Row],[Customer Gender]]="F","Female", orders[[#This Row],[Customer Gender]]="O","Other", TRUE,"Unknown")</f>
        <v>Female</v>
      </c>
      <c r="M1118">
        <v>5</v>
      </c>
      <c r="N1118">
        <v>68.400000000000006</v>
      </c>
      <c r="O1118" s="5">
        <v>342</v>
      </c>
    </row>
    <row r="1119" spans="1:15" x14ac:dyDescent="0.3">
      <c r="A1119" t="s">
        <v>1215</v>
      </c>
      <c r="B1119" t="s">
        <v>38</v>
      </c>
      <c r="C1119" s="7">
        <v>45701</v>
      </c>
      <c r="D1119" s="7">
        <v>45701</v>
      </c>
      <c r="E1119" t="s">
        <v>26</v>
      </c>
      <c r="F1119" t="s">
        <v>17</v>
      </c>
      <c r="G1119">
        <v>4</v>
      </c>
      <c r="H1119" t="s">
        <v>18</v>
      </c>
      <c r="I1119" t="s">
        <v>32</v>
      </c>
      <c r="J1119">
        <f>orders[[#This Row],[Ship Date]]-orders[[#This Row],[Order Date]]</f>
        <v>0</v>
      </c>
      <c r="K1119">
        <f>WEEKNUM(orders[[#This Row],[Order Date]])</f>
        <v>7</v>
      </c>
      <c r="L1119" t="str" cm="1">
        <f t="array" ref="L1119">_xlfn.IFS(orders[[#This Row],[Customer Gender]]="M","Male", orders[[#This Row],[Customer Gender]]="F","Female", orders[[#This Row],[Customer Gender]]="O","Other", TRUE,"Unknown")</f>
        <v>Female</v>
      </c>
      <c r="M1119">
        <v>1</v>
      </c>
      <c r="N1119">
        <v>51.9</v>
      </c>
      <c r="O1119">
        <v>51.9</v>
      </c>
    </row>
    <row r="1120" spans="1:15" x14ac:dyDescent="0.3">
      <c r="A1120" t="s">
        <v>1216</v>
      </c>
      <c r="B1120" t="s">
        <v>16</v>
      </c>
      <c r="C1120" s="7">
        <v>45701</v>
      </c>
      <c r="D1120" s="7">
        <v>45704</v>
      </c>
      <c r="E1120" t="s">
        <v>26</v>
      </c>
      <c r="F1120" t="s">
        <v>17</v>
      </c>
      <c r="G1120">
        <v>5</v>
      </c>
      <c r="H1120" t="s">
        <v>18</v>
      </c>
      <c r="I1120" t="s">
        <v>32</v>
      </c>
      <c r="J1120">
        <f>orders[[#This Row],[Ship Date]]-orders[[#This Row],[Order Date]]</f>
        <v>3</v>
      </c>
      <c r="K1120">
        <f>WEEKNUM(orders[[#This Row],[Order Date]])</f>
        <v>7</v>
      </c>
      <c r="L1120" t="str" cm="1">
        <f t="array" ref="L1120">_xlfn.IFS(orders[[#This Row],[Customer Gender]]="M","Male", orders[[#This Row],[Customer Gender]]="F","Female", orders[[#This Row],[Customer Gender]]="O","Other", TRUE,"Unknown")</f>
        <v>Female</v>
      </c>
      <c r="M1120">
        <v>5</v>
      </c>
      <c r="N1120">
        <v>26.4</v>
      </c>
      <c r="O1120" s="5">
        <v>132</v>
      </c>
    </row>
    <row r="1121" spans="1:15" x14ac:dyDescent="0.3">
      <c r="A1121" t="s">
        <v>1217</v>
      </c>
      <c r="B1121" t="s">
        <v>68</v>
      </c>
      <c r="C1121" s="7">
        <v>45701</v>
      </c>
      <c r="D1121" s="7">
        <v>45702</v>
      </c>
      <c r="E1121" t="s">
        <v>26</v>
      </c>
      <c r="F1121" t="s">
        <v>34</v>
      </c>
      <c r="G1121">
        <v>3</v>
      </c>
      <c r="H1121" t="s">
        <v>18</v>
      </c>
      <c r="I1121" t="s">
        <v>32</v>
      </c>
      <c r="J1121">
        <f>orders[[#This Row],[Ship Date]]-orders[[#This Row],[Order Date]]</f>
        <v>1</v>
      </c>
      <c r="K1121">
        <f>WEEKNUM(orders[[#This Row],[Order Date]])</f>
        <v>7</v>
      </c>
      <c r="L1121" t="str" cm="1">
        <f t="array" ref="L1121">_xlfn.IFS(orders[[#This Row],[Customer Gender]]="M","Male", orders[[#This Row],[Customer Gender]]="F","Female", orders[[#This Row],[Customer Gender]]="O","Other", TRUE,"Unknown")</f>
        <v>Female</v>
      </c>
      <c r="M1121">
        <v>2</v>
      </c>
      <c r="N1121">
        <v>117</v>
      </c>
      <c r="O1121">
        <v>234</v>
      </c>
    </row>
    <row r="1122" spans="1:15" x14ac:dyDescent="0.3">
      <c r="A1122" t="s">
        <v>1218</v>
      </c>
      <c r="B1122" t="s">
        <v>41</v>
      </c>
      <c r="C1122" s="7">
        <v>45702</v>
      </c>
      <c r="D1122" s="7">
        <v>45704</v>
      </c>
      <c r="E1122" t="s">
        <v>26</v>
      </c>
      <c r="F1122" t="s">
        <v>17</v>
      </c>
      <c r="G1122">
        <v>4</v>
      </c>
      <c r="H1122" t="s">
        <v>18</v>
      </c>
      <c r="I1122" t="s">
        <v>32</v>
      </c>
      <c r="J1122">
        <f>orders[[#This Row],[Ship Date]]-orders[[#This Row],[Order Date]]</f>
        <v>2</v>
      </c>
      <c r="K1122">
        <f>WEEKNUM(orders[[#This Row],[Order Date]])</f>
        <v>7</v>
      </c>
      <c r="L1122" t="str" cm="1">
        <f t="array" ref="L1122">_xlfn.IFS(orders[[#This Row],[Customer Gender]]="M","Male", orders[[#This Row],[Customer Gender]]="F","Female", orders[[#This Row],[Customer Gender]]="O","Other", TRUE,"Unknown")</f>
        <v>Female</v>
      </c>
      <c r="M1122">
        <v>3</v>
      </c>
      <c r="N1122">
        <v>49.6</v>
      </c>
      <c r="O1122" s="5">
        <v>148.80000000000001</v>
      </c>
    </row>
    <row r="1123" spans="1:15" x14ac:dyDescent="0.3">
      <c r="A1123" t="s">
        <v>1219</v>
      </c>
      <c r="B1123" t="s">
        <v>31</v>
      </c>
      <c r="C1123" s="7">
        <v>45702</v>
      </c>
      <c r="D1123" s="7">
        <v>45705</v>
      </c>
      <c r="E1123" t="s">
        <v>22</v>
      </c>
      <c r="F1123" t="s">
        <v>39</v>
      </c>
      <c r="G1123">
        <v>2</v>
      </c>
      <c r="H1123" t="s">
        <v>18</v>
      </c>
      <c r="I1123" t="s">
        <v>32</v>
      </c>
      <c r="J1123">
        <f>orders[[#This Row],[Ship Date]]-orders[[#This Row],[Order Date]]</f>
        <v>3</v>
      </c>
      <c r="K1123">
        <f>WEEKNUM(orders[[#This Row],[Order Date]])</f>
        <v>7</v>
      </c>
      <c r="L1123" t="str" cm="1">
        <f t="array" ref="L1123">_xlfn.IFS(orders[[#This Row],[Customer Gender]]="M","Male", orders[[#This Row],[Customer Gender]]="F","Female", orders[[#This Row],[Customer Gender]]="O","Other", TRUE,"Unknown")</f>
        <v>Male</v>
      </c>
      <c r="M1123">
        <v>3</v>
      </c>
      <c r="N1123">
        <v>38</v>
      </c>
      <c r="O1123">
        <v>114</v>
      </c>
    </row>
    <row r="1124" spans="1:15" x14ac:dyDescent="0.3">
      <c r="A1124" t="s">
        <v>1220</v>
      </c>
      <c r="B1124" t="s">
        <v>16</v>
      </c>
      <c r="C1124" s="7">
        <v>45702</v>
      </c>
      <c r="D1124" s="7">
        <v>45704</v>
      </c>
      <c r="E1124" t="s">
        <v>26</v>
      </c>
      <c r="F1124" t="s">
        <v>69</v>
      </c>
      <c r="G1124">
        <v>5</v>
      </c>
      <c r="H1124" t="s">
        <v>18</v>
      </c>
      <c r="I1124" t="s">
        <v>32</v>
      </c>
      <c r="J1124">
        <f>orders[[#This Row],[Ship Date]]-orders[[#This Row],[Order Date]]</f>
        <v>2</v>
      </c>
      <c r="K1124">
        <f>WEEKNUM(orders[[#This Row],[Order Date]])</f>
        <v>7</v>
      </c>
      <c r="L1124" t="str" cm="1">
        <f t="array" ref="L1124">_xlfn.IFS(orders[[#This Row],[Customer Gender]]="M","Male", orders[[#This Row],[Customer Gender]]="F","Female", orders[[#This Row],[Customer Gender]]="O","Other", TRUE,"Unknown")</f>
        <v>Female</v>
      </c>
      <c r="M1124">
        <v>3</v>
      </c>
      <c r="N1124">
        <v>20.6</v>
      </c>
      <c r="O1124" s="5">
        <v>61.800000000000004</v>
      </c>
    </row>
    <row r="1125" spans="1:15" x14ac:dyDescent="0.3">
      <c r="A1125" t="s">
        <v>1221</v>
      </c>
      <c r="B1125" t="s">
        <v>16</v>
      </c>
      <c r="C1125" s="7">
        <v>45702</v>
      </c>
      <c r="D1125" s="7">
        <v>45703</v>
      </c>
      <c r="E1125" t="s">
        <v>22</v>
      </c>
      <c r="F1125" t="s">
        <v>34</v>
      </c>
      <c r="G1125">
        <v>3</v>
      </c>
      <c r="H1125" t="s">
        <v>18</v>
      </c>
      <c r="I1125" t="s">
        <v>801</v>
      </c>
      <c r="J1125">
        <f>orders[[#This Row],[Ship Date]]-orders[[#This Row],[Order Date]]</f>
        <v>1</v>
      </c>
      <c r="K1125">
        <f>WEEKNUM(orders[[#This Row],[Order Date]])</f>
        <v>7</v>
      </c>
      <c r="L1125" t="str" cm="1">
        <f t="array" ref="L1125">_xlfn.IFS(orders[[#This Row],[Customer Gender]]="M","Male", orders[[#This Row],[Customer Gender]]="F","Female", orders[[#This Row],[Customer Gender]]="O","Other", TRUE,"Unknown")</f>
        <v>Male</v>
      </c>
      <c r="M1125">
        <v>2</v>
      </c>
      <c r="N1125">
        <v>16</v>
      </c>
      <c r="O1125">
        <v>32</v>
      </c>
    </row>
    <row r="1126" spans="1:15" x14ac:dyDescent="0.3">
      <c r="A1126" t="s">
        <v>1222</v>
      </c>
      <c r="B1126" t="s">
        <v>122</v>
      </c>
      <c r="C1126" s="7">
        <v>45702</v>
      </c>
      <c r="D1126" s="7">
        <v>45703</v>
      </c>
      <c r="E1126" t="s">
        <v>26</v>
      </c>
      <c r="F1126" t="s">
        <v>39</v>
      </c>
      <c r="G1126">
        <v>4</v>
      </c>
      <c r="H1126" t="s">
        <v>18</v>
      </c>
      <c r="I1126" t="s">
        <v>157</v>
      </c>
      <c r="J1126">
        <f>orders[[#This Row],[Ship Date]]-orders[[#This Row],[Order Date]]</f>
        <v>1</v>
      </c>
      <c r="K1126">
        <f>WEEKNUM(orders[[#This Row],[Order Date]])</f>
        <v>7</v>
      </c>
      <c r="L1126" t="str" cm="1">
        <f t="array" ref="L1126">_xlfn.IFS(orders[[#This Row],[Customer Gender]]="M","Male", orders[[#This Row],[Customer Gender]]="F","Female", orders[[#This Row],[Customer Gender]]="O","Other", TRUE,"Unknown")</f>
        <v>Female</v>
      </c>
      <c r="M1126">
        <v>4</v>
      </c>
      <c r="N1126">
        <v>49.3</v>
      </c>
      <c r="O1126" s="5">
        <v>197.2</v>
      </c>
    </row>
    <row r="1127" spans="1:15" x14ac:dyDescent="0.3">
      <c r="A1127" t="s">
        <v>1223</v>
      </c>
      <c r="B1127" t="s">
        <v>45</v>
      </c>
      <c r="C1127" s="7">
        <v>45702</v>
      </c>
      <c r="D1127" s="7">
        <v>45706</v>
      </c>
      <c r="E1127" t="s">
        <v>26</v>
      </c>
      <c r="F1127" t="s">
        <v>17</v>
      </c>
      <c r="G1127">
        <v>4</v>
      </c>
      <c r="H1127" t="s">
        <v>18</v>
      </c>
      <c r="I1127" t="s">
        <v>54</v>
      </c>
      <c r="J1127">
        <f>orders[[#This Row],[Ship Date]]-orders[[#This Row],[Order Date]]</f>
        <v>4</v>
      </c>
      <c r="K1127">
        <f>WEEKNUM(orders[[#This Row],[Order Date]])</f>
        <v>7</v>
      </c>
      <c r="L1127" t="str" cm="1">
        <f t="array" ref="L1127">_xlfn.IFS(orders[[#This Row],[Customer Gender]]="M","Male", orders[[#This Row],[Customer Gender]]="F","Female", orders[[#This Row],[Customer Gender]]="O","Other", TRUE,"Unknown")</f>
        <v>Female</v>
      </c>
      <c r="M1127">
        <v>2</v>
      </c>
      <c r="N1127">
        <v>24.1</v>
      </c>
      <c r="O1127">
        <v>48.2</v>
      </c>
    </row>
    <row r="1128" spans="1:15" x14ac:dyDescent="0.3">
      <c r="A1128" t="s">
        <v>1224</v>
      </c>
      <c r="B1128" t="s">
        <v>122</v>
      </c>
      <c r="C1128" s="7">
        <v>45702</v>
      </c>
      <c r="D1128" s="7">
        <v>45703</v>
      </c>
      <c r="E1128" t="s">
        <v>26</v>
      </c>
      <c r="F1128" t="s">
        <v>34</v>
      </c>
      <c r="G1128">
        <v>4</v>
      </c>
      <c r="H1128" t="s">
        <v>18</v>
      </c>
      <c r="I1128" t="s">
        <v>54</v>
      </c>
      <c r="J1128">
        <f>orders[[#This Row],[Ship Date]]-orders[[#This Row],[Order Date]]</f>
        <v>1</v>
      </c>
      <c r="K1128">
        <f>WEEKNUM(orders[[#This Row],[Order Date]])</f>
        <v>7</v>
      </c>
      <c r="L1128" t="str" cm="1">
        <f t="array" ref="L1128">_xlfn.IFS(orders[[#This Row],[Customer Gender]]="M","Male", orders[[#This Row],[Customer Gender]]="F","Female", orders[[#This Row],[Customer Gender]]="O","Other", TRUE,"Unknown")</f>
        <v>Female</v>
      </c>
      <c r="M1128">
        <v>8</v>
      </c>
      <c r="N1128">
        <v>32.700000000000003</v>
      </c>
      <c r="O1128" s="5">
        <v>261.60000000000002</v>
      </c>
    </row>
    <row r="1129" spans="1:15" x14ac:dyDescent="0.3">
      <c r="A1129" t="s">
        <v>1225</v>
      </c>
      <c r="B1129" t="s">
        <v>38</v>
      </c>
      <c r="C1129" s="7">
        <v>45702</v>
      </c>
      <c r="D1129" s="7">
        <v>45703</v>
      </c>
      <c r="E1129" t="s">
        <v>26</v>
      </c>
      <c r="F1129" t="s">
        <v>50</v>
      </c>
      <c r="G1129">
        <v>5</v>
      </c>
      <c r="H1129" t="s">
        <v>18</v>
      </c>
      <c r="I1129" t="s">
        <v>61</v>
      </c>
      <c r="J1129">
        <f>orders[[#This Row],[Ship Date]]-orders[[#This Row],[Order Date]]</f>
        <v>1</v>
      </c>
      <c r="K1129">
        <f>WEEKNUM(orders[[#This Row],[Order Date]])</f>
        <v>7</v>
      </c>
      <c r="L1129" t="str" cm="1">
        <f t="array" ref="L1129">_xlfn.IFS(orders[[#This Row],[Customer Gender]]="M","Male", orders[[#This Row],[Customer Gender]]="F","Female", orders[[#This Row],[Customer Gender]]="O","Other", TRUE,"Unknown")</f>
        <v>Female</v>
      </c>
      <c r="M1129">
        <v>3</v>
      </c>
      <c r="N1129">
        <v>74.400000000000006</v>
      </c>
      <c r="O1129">
        <v>223.20000000000002</v>
      </c>
    </row>
    <row r="1130" spans="1:15" x14ac:dyDescent="0.3">
      <c r="A1130" t="s">
        <v>1226</v>
      </c>
      <c r="B1130" t="s">
        <v>68</v>
      </c>
      <c r="C1130" s="7">
        <v>45702</v>
      </c>
      <c r="D1130" s="7">
        <v>45706</v>
      </c>
      <c r="E1130" t="s">
        <v>26</v>
      </c>
      <c r="F1130" t="s">
        <v>69</v>
      </c>
      <c r="G1130">
        <v>4</v>
      </c>
      <c r="H1130" t="s">
        <v>18</v>
      </c>
      <c r="I1130" t="s">
        <v>61</v>
      </c>
      <c r="J1130">
        <f>orders[[#This Row],[Ship Date]]-orders[[#This Row],[Order Date]]</f>
        <v>4</v>
      </c>
      <c r="K1130">
        <f>WEEKNUM(orders[[#This Row],[Order Date]])</f>
        <v>7</v>
      </c>
      <c r="L1130" t="str" cm="1">
        <f t="array" ref="L1130">_xlfn.IFS(orders[[#This Row],[Customer Gender]]="M","Male", orders[[#This Row],[Customer Gender]]="F","Female", orders[[#This Row],[Customer Gender]]="O","Other", TRUE,"Unknown")</f>
        <v>Female</v>
      </c>
      <c r="M1130">
        <v>1</v>
      </c>
      <c r="N1130">
        <v>45.6</v>
      </c>
      <c r="O1130" s="5">
        <v>45.6</v>
      </c>
    </row>
    <row r="1131" spans="1:15" x14ac:dyDescent="0.3">
      <c r="A1131" t="s">
        <v>1227</v>
      </c>
      <c r="B1131" t="s">
        <v>43</v>
      </c>
      <c r="C1131" s="7">
        <v>45702</v>
      </c>
      <c r="D1131" s="7">
        <v>45715</v>
      </c>
      <c r="E1131" t="s">
        <v>26</v>
      </c>
      <c r="F1131" t="s">
        <v>17</v>
      </c>
      <c r="G1131">
        <v>4</v>
      </c>
      <c r="H1131" t="s">
        <v>18</v>
      </c>
      <c r="I1131" t="s">
        <v>61</v>
      </c>
      <c r="J1131">
        <f>orders[[#This Row],[Ship Date]]-orders[[#This Row],[Order Date]]</f>
        <v>13</v>
      </c>
      <c r="K1131">
        <f>WEEKNUM(orders[[#This Row],[Order Date]])</f>
        <v>7</v>
      </c>
      <c r="L1131" t="str" cm="1">
        <f t="array" ref="L1131">_xlfn.IFS(orders[[#This Row],[Customer Gender]]="M","Male", orders[[#This Row],[Customer Gender]]="F","Female", orders[[#This Row],[Customer Gender]]="O","Other", TRUE,"Unknown")</f>
        <v>Female</v>
      </c>
      <c r="M1131">
        <v>8</v>
      </c>
      <c r="N1131">
        <v>19.600000000000001</v>
      </c>
      <c r="O1131">
        <v>156.80000000000001</v>
      </c>
    </row>
    <row r="1132" spans="1:15" x14ac:dyDescent="0.3">
      <c r="A1132" t="s">
        <v>1228</v>
      </c>
      <c r="B1132" t="s">
        <v>45</v>
      </c>
      <c r="C1132" s="7">
        <v>45702</v>
      </c>
      <c r="D1132" s="7">
        <v>45703</v>
      </c>
      <c r="E1132" t="s">
        <v>26</v>
      </c>
      <c r="F1132" t="s">
        <v>34</v>
      </c>
      <c r="G1132">
        <v>4</v>
      </c>
      <c r="H1132" t="s">
        <v>18</v>
      </c>
      <c r="I1132" t="s">
        <v>61</v>
      </c>
      <c r="J1132">
        <f>orders[[#This Row],[Ship Date]]-orders[[#This Row],[Order Date]]</f>
        <v>1</v>
      </c>
      <c r="K1132">
        <f>WEEKNUM(orders[[#This Row],[Order Date]])</f>
        <v>7</v>
      </c>
      <c r="L1132" t="str" cm="1">
        <f t="array" ref="L1132">_xlfn.IFS(orders[[#This Row],[Customer Gender]]="M","Male", orders[[#This Row],[Customer Gender]]="F","Female", orders[[#This Row],[Customer Gender]]="O","Other", TRUE,"Unknown")</f>
        <v>Female</v>
      </c>
      <c r="M1132">
        <v>1</v>
      </c>
      <c r="N1132">
        <v>51.8</v>
      </c>
      <c r="O1132" s="5">
        <v>51.8</v>
      </c>
    </row>
    <row r="1133" spans="1:15" x14ac:dyDescent="0.3">
      <c r="A1133" t="s">
        <v>1229</v>
      </c>
      <c r="B1133" t="s">
        <v>38</v>
      </c>
      <c r="C1133" s="7">
        <v>45702</v>
      </c>
      <c r="D1133" s="7">
        <v>45703</v>
      </c>
      <c r="E1133" t="s">
        <v>22</v>
      </c>
      <c r="F1133" t="s">
        <v>17</v>
      </c>
      <c r="G1133">
        <v>3</v>
      </c>
      <c r="H1133" t="s">
        <v>18</v>
      </c>
      <c r="I1133" t="s">
        <v>61</v>
      </c>
      <c r="J1133">
        <f>orders[[#This Row],[Ship Date]]-orders[[#This Row],[Order Date]]</f>
        <v>1</v>
      </c>
      <c r="K1133">
        <f>WEEKNUM(orders[[#This Row],[Order Date]])</f>
        <v>7</v>
      </c>
      <c r="L1133" t="str" cm="1">
        <f t="array" ref="L1133">_xlfn.IFS(orders[[#This Row],[Customer Gender]]="M","Male", orders[[#This Row],[Customer Gender]]="F","Female", orders[[#This Row],[Customer Gender]]="O","Other", TRUE,"Unknown")</f>
        <v>Male</v>
      </c>
      <c r="M1133">
        <v>1</v>
      </c>
      <c r="N1133">
        <v>74.7</v>
      </c>
      <c r="O1133">
        <v>74.7</v>
      </c>
    </row>
    <row r="1134" spans="1:15" x14ac:dyDescent="0.3">
      <c r="A1134" t="s">
        <v>1230</v>
      </c>
      <c r="B1134" t="s">
        <v>170</v>
      </c>
      <c r="C1134" s="7">
        <v>45702</v>
      </c>
      <c r="D1134" s="7">
        <v>45703</v>
      </c>
      <c r="E1134" t="s">
        <v>26</v>
      </c>
      <c r="F1134" t="s">
        <v>34</v>
      </c>
      <c r="G1134">
        <v>5</v>
      </c>
      <c r="H1134" t="s">
        <v>18</v>
      </c>
      <c r="I1134" t="s">
        <v>71</v>
      </c>
      <c r="J1134">
        <f>orders[[#This Row],[Ship Date]]-orders[[#This Row],[Order Date]]</f>
        <v>1</v>
      </c>
      <c r="K1134">
        <f>WEEKNUM(orders[[#This Row],[Order Date]])</f>
        <v>7</v>
      </c>
      <c r="L1134" t="str" cm="1">
        <f t="array" ref="L1134">_xlfn.IFS(orders[[#This Row],[Customer Gender]]="M","Male", orders[[#This Row],[Customer Gender]]="F","Female", orders[[#This Row],[Customer Gender]]="O","Other", TRUE,"Unknown")</f>
        <v>Female</v>
      </c>
      <c r="M1134">
        <v>3</v>
      </c>
      <c r="N1134">
        <v>22.4</v>
      </c>
      <c r="O1134" s="5">
        <v>67.199999999999989</v>
      </c>
    </row>
    <row r="1135" spans="1:15" x14ac:dyDescent="0.3">
      <c r="A1135" t="s">
        <v>1231</v>
      </c>
      <c r="B1135" t="s">
        <v>21</v>
      </c>
      <c r="C1135" s="7">
        <v>45702</v>
      </c>
      <c r="D1135" s="7">
        <v>45703</v>
      </c>
      <c r="E1135" t="s">
        <v>26</v>
      </c>
      <c r="F1135" t="s">
        <v>34</v>
      </c>
      <c r="G1135">
        <v>4</v>
      </c>
      <c r="H1135" t="s">
        <v>18</v>
      </c>
      <c r="I1135" t="s">
        <v>71</v>
      </c>
      <c r="J1135">
        <f>orders[[#This Row],[Ship Date]]-orders[[#This Row],[Order Date]]</f>
        <v>1</v>
      </c>
      <c r="K1135">
        <f>WEEKNUM(orders[[#This Row],[Order Date]])</f>
        <v>7</v>
      </c>
      <c r="L1135" t="str" cm="1">
        <f t="array" ref="L1135">_xlfn.IFS(orders[[#This Row],[Customer Gender]]="M","Male", orders[[#This Row],[Customer Gender]]="F","Female", orders[[#This Row],[Customer Gender]]="O","Other", TRUE,"Unknown")</f>
        <v>Female</v>
      </c>
      <c r="M1135">
        <v>4</v>
      </c>
      <c r="N1135">
        <v>31.4</v>
      </c>
      <c r="O1135">
        <v>125.6</v>
      </c>
    </row>
    <row r="1136" spans="1:15" x14ac:dyDescent="0.3">
      <c r="A1136" t="s">
        <v>1232</v>
      </c>
      <c r="B1136" t="s">
        <v>38</v>
      </c>
      <c r="C1136" s="7">
        <v>45702</v>
      </c>
      <c r="D1136" s="7">
        <v>45702</v>
      </c>
      <c r="E1136" t="s">
        <v>26</v>
      </c>
      <c r="F1136" t="s">
        <v>34</v>
      </c>
      <c r="G1136">
        <v>5</v>
      </c>
      <c r="H1136" t="s">
        <v>18</v>
      </c>
      <c r="I1136" t="s">
        <v>73</v>
      </c>
      <c r="J1136">
        <f>orders[[#This Row],[Ship Date]]-orders[[#This Row],[Order Date]]</f>
        <v>0</v>
      </c>
      <c r="K1136">
        <f>WEEKNUM(orders[[#This Row],[Order Date]])</f>
        <v>7</v>
      </c>
      <c r="L1136" t="str" cm="1">
        <f t="array" ref="L1136">_xlfn.IFS(orders[[#This Row],[Customer Gender]]="M","Male", orders[[#This Row],[Customer Gender]]="F","Female", orders[[#This Row],[Customer Gender]]="O","Other", TRUE,"Unknown")</f>
        <v>Female</v>
      </c>
      <c r="M1136">
        <v>1</v>
      </c>
      <c r="N1136">
        <v>94</v>
      </c>
      <c r="O1136" s="5">
        <v>94</v>
      </c>
    </row>
    <row r="1137" spans="1:15" x14ac:dyDescent="0.3">
      <c r="A1137" t="s">
        <v>1233</v>
      </c>
      <c r="B1137" t="s">
        <v>53</v>
      </c>
      <c r="C1137" s="7">
        <v>45702</v>
      </c>
      <c r="D1137" s="7">
        <v>45703</v>
      </c>
      <c r="E1137" t="s">
        <v>22</v>
      </c>
      <c r="F1137" t="s">
        <v>69</v>
      </c>
      <c r="G1137">
        <v>4</v>
      </c>
      <c r="H1137" t="s">
        <v>18</v>
      </c>
      <c r="I1137" t="s">
        <v>112</v>
      </c>
      <c r="J1137">
        <f>orders[[#This Row],[Ship Date]]-orders[[#This Row],[Order Date]]</f>
        <v>1</v>
      </c>
      <c r="K1137">
        <f>WEEKNUM(orders[[#This Row],[Order Date]])</f>
        <v>7</v>
      </c>
      <c r="L1137" t="str" cm="1">
        <f t="array" ref="L1137">_xlfn.IFS(orders[[#This Row],[Customer Gender]]="M","Male", orders[[#This Row],[Customer Gender]]="F","Female", orders[[#This Row],[Customer Gender]]="O","Other", TRUE,"Unknown")</f>
        <v>Male</v>
      </c>
      <c r="M1137">
        <v>1</v>
      </c>
      <c r="N1137">
        <v>22.3</v>
      </c>
      <c r="O1137">
        <v>22.3</v>
      </c>
    </row>
    <row r="1138" spans="1:15" x14ac:dyDescent="0.3">
      <c r="A1138" t="s">
        <v>1234</v>
      </c>
      <c r="B1138" t="s">
        <v>16</v>
      </c>
      <c r="C1138" s="7">
        <v>45702</v>
      </c>
      <c r="D1138" s="7">
        <v>45705</v>
      </c>
      <c r="E1138" t="s">
        <v>26</v>
      </c>
      <c r="F1138" t="s">
        <v>39</v>
      </c>
      <c r="G1138">
        <v>4</v>
      </c>
      <c r="H1138" t="s">
        <v>18</v>
      </c>
      <c r="I1138" t="s">
        <v>114</v>
      </c>
      <c r="J1138">
        <f>orders[[#This Row],[Ship Date]]-orders[[#This Row],[Order Date]]</f>
        <v>3</v>
      </c>
      <c r="K1138">
        <f>WEEKNUM(orders[[#This Row],[Order Date]])</f>
        <v>7</v>
      </c>
      <c r="L1138" t="str" cm="1">
        <f t="array" ref="L1138">_xlfn.IFS(orders[[#This Row],[Customer Gender]]="M","Male", orders[[#This Row],[Customer Gender]]="F","Female", orders[[#This Row],[Customer Gender]]="O","Other", TRUE,"Unknown")</f>
        <v>Female</v>
      </c>
      <c r="M1138">
        <v>1</v>
      </c>
      <c r="N1138">
        <v>21.9</v>
      </c>
      <c r="O1138" s="5">
        <v>21.9</v>
      </c>
    </row>
    <row r="1139" spans="1:15" x14ac:dyDescent="0.3">
      <c r="A1139" t="s">
        <v>1235</v>
      </c>
      <c r="B1139" t="s">
        <v>134</v>
      </c>
      <c r="C1139" s="7">
        <v>45702</v>
      </c>
      <c r="D1139" s="7">
        <v>45704</v>
      </c>
      <c r="E1139" t="s">
        <v>26</v>
      </c>
      <c r="F1139" t="s">
        <v>69</v>
      </c>
      <c r="G1139">
        <v>5</v>
      </c>
      <c r="H1139" t="s">
        <v>18</v>
      </c>
      <c r="I1139" t="s">
        <v>27</v>
      </c>
      <c r="J1139">
        <f>orders[[#This Row],[Ship Date]]-orders[[#This Row],[Order Date]]</f>
        <v>2</v>
      </c>
      <c r="K1139">
        <f>WEEKNUM(orders[[#This Row],[Order Date]])</f>
        <v>7</v>
      </c>
      <c r="L1139" t="str" cm="1">
        <f t="array" ref="L1139">_xlfn.IFS(orders[[#This Row],[Customer Gender]]="M","Male", orders[[#This Row],[Customer Gender]]="F","Female", orders[[#This Row],[Customer Gender]]="O","Other", TRUE,"Unknown")</f>
        <v>Female</v>
      </c>
      <c r="M1139">
        <v>3</v>
      </c>
      <c r="N1139">
        <v>27</v>
      </c>
      <c r="O1139">
        <v>81</v>
      </c>
    </row>
    <row r="1140" spans="1:15" x14ac:dyDescent="0.3">
      <c r="A1140" t="s">
        <v>1236</v>
      </c>
      <c r="B1140" t="s">
        <v>25</v>
      </c>
      <c r="C1140" s="7">
        <v>45702</v>
      </c>
      <c r="D1140" s="7">
        <v>45702</v>
      </c>
      <c r="E1140" t="s">
        <v>26</v>
      </c>
      <c r="F1140" t="s">
        <v>69</v>
      </c>
      <c r="G1140">
        <v>4</v>
      </c>
      <c r="H1140" t="s">
        <v>18</v>
      </c>
      <c r="I1140" t="s">
        <v>146</v>
      </c>
      <c r="J1140">
        <f>orders[[#This Row],[Ship Date]]-orders[[#This Row],[Order Date]]</f>
        <v>0</v>
      </c>
      <c r="K1140">
        <f>WEEKNUM(orders[[#This Row],[Order Date]])</f>
        <v>7</v>
      </c>
      <c r="L1140" t="str" cm="1">
        <f t="array" ref="L1140">_xlfn.IFS(orders[[#This Row],[Customer Gender]]="M","Male", orders[[#This Row],[Customer Gender]]="F","Female", orders[[#This Row],[Customer Gender]]="O","Other", TRUE,"Unknown")</f>
        <v>Female</v>
      </c>
      <c r="M1140">
        <v>4</v>
      </c>
      <c r="N1140">
        <v>149.6</v>
      </c>
      <c r="O1140" s="5">
        <v>598.4</v>
      </c>
    </row>
    <row r="1141" spans="1:15" x14ac:dyDescent="0.3">
      <c r="A1141" t="s">
        <v>1237</v>
      </c>
      <c r="B1141" t="s">
        <v>25</v>
      </c>
      <c r="C1141" s="7">
        <v>45702</v>
      </c>
      <c r="D1141" s="7">
        <v>45712</v>
      </c>
      <c r="E1141" t="s">
        <v>22</v>
      </c>
      <c r="F1141" t="s">
        <v>17</v>
      </c>
      <c r="G1141">
        <v>3</v>
      </c>
      <c r="H1141" t="s">
        <v>18</v>
      </c>
      <c r="I1141" t="s">
        <v>32</v>
      </c>
      <c r="J1141">
        <f>orders[[#This Row],[Ship Date]]-orders[[#This Row],[Order Date]]</f>
        <v>10</v>
      </c>
      <c r="K1141">
        <f>WEEKNUM(orders[[#This Row],[Order Date]])</f>
        <v>7</v>
      </c>
      <c r="L1141" t="str" cm="1">
        <f t="array" ref="L1141">_xlfn.IFS(orders[[#This Row],[Customer Gender]]="M","Male", orders[[#This Row],[Customer Gender]]="F","Female", orders[[#This Row],[Customer Gender]]="O","Other", TRUE,"Unknown")</f>
        <v>Male</v>
      </c>
      <c r="M1141">
        <v>4</v>
      </c>
      <c r="N1141">
        <v>129.1</v>
      </c>
      <c r="O1141">
        <v>516.4</v>
      </c>
    </row>
    <row r="1142" spans="1:15" x14ac:dyDescent="0.3">
      <c r="A1142" t="s">
        <v>1238</v>
      </c>
      <c r="B1142" t="s">
        <v>21</v>
      </c>
      <c r="C1142" s="7">
        <v>45702</v>
      </c>
      <c r="D1142" s="7">
        <v>45703</v>
      </c>
      <c r="E1142" t="s">
        <v>22</v>
      </c>
      <c r="F1142" t="s">
        <v>34</v>
      </c>
      <c r="G1142">
        <v>3</v>
      </c>
      <c r="H1142" t="s">
        <v>18</v>
      </c>
      <c r="I1142" t="s">
        <v>32</v>
      </c>
      <c r="J1142">
        <f>orders[[#This Row],[Ship Date]]-orders[[#This Row],[Order Date]]</f>
        <v>1</v>
      </c>
      <c r="K1142">
        <f>WEEKNUM(orders[[#This Row],[Order Date]])</f>
        <v>7</v>
      </c>
      <c r="L1142" t="str" cm="1">
        <f t="array" ref="L1142">_xlfn.IFS(orders[[#This Row],[Customer Gender]]="M","Male", orders[[#This Row],[Customer Gender]]="F","Female", orders[[#This Row],[Customer Gender]]="O","Other", TRUE,"Unknown")</f>
        <v>Male</v>
      </c>
      <c r="M1142">
        <v>12</v>
      </c>
      <c r="N1142">
        <v>40.4</v>
      </c>
      <c r="O1142" s="5">
        <v>484.79999999999995</v>
      </c>
    </row>
    <row r="1143" spans="1:15" x14ac:dyDescent="0.3">
      <c r="A1143" t="s">
        <v>1239</v>
      </c>
      <c r="B1143" t="s">
        <v>31</v>
      </c>
      <c r="C1143" s="7">
        <v>45702</v>
      </c>
      <c r="D1143" s="7">
        <v>45704</v>
      </c>
      <c r="E1143" t="s">
        <v>26</v>
      </c>
      <c r="F1143" t="s">
        <v>17</v>
      </c>
      <c r="G1143">
        <v>2</v>
      </c>
      <c r="H1143" t="s">
        <v>18</v>
      </c>
      <c r="I1143" t="s">
        <v>32</v>
      </c>
      <c r="J1143">
        <f>orders[[#This Row],[Ship Date]]-orders[[#This Row],[Order Date]]</f>
        <v>2</v>
      </c>
      <c r="K1143">
        <f>WEEKNUM(orders[[#This Row],[Order Date]])</f>
        <v>7</v>
      </c>
      <c r="L1143" t="str" cm="1">
        <f t="array" ref="L1143">_xlfn.IFS(orders[[#This Row],[Customer Gender]]="M","Male", orders[[#This Row],[Customer Gender]]="F","Female", orders[[#This Row],[Customer Gender]]="O","Other", TRUE,"Unknown")</f>
        <v>Female</v>
      </c>
      <c r="M1143">
        <v>3</v>
      </c>
      <c r="N1143">
        <v>48.5</v>
      </c>
      <c r="O1143">
        <v>145.5</v>
      </c>
    </row>
    <row r="1144" spans="1:15" x14ac:dyDescent="0.3">
      <c r="A1144" t="s">
        <v>1240</v>
      </c>
      <c r="B1144" t="s">
        <v>45</v>
      </c>
      <c r="C1144" s="7">
        <v>45702</v>
      </c>
      <c r="D1144" s="7">
        <v>45704</v>
      </c>
      <c r="E1144" t="s">
        <v>26</v>
      </c>
      <c r="F1144" t="s">
        <v>34</v>
      </c>
      <c r="G1144">
        <v>5</v>
      </c>
      <c r="H1144" t="s">
        <v>18</v>
      </c>
      <c r="I1144" t="s">
        <v>32</v>
      </c>
      <c r="J1144">
        <f>orders[[#This Row],[Ship Date]]-orders[[#This Row],[Order Date]]</f>
        <v>2</v>
      </c>
      <c r="K1144">
        <f>WEEKNUM(orders[[#This Row],[Order Date]])</f>
        <v>7</v>
      </c>
      <c r="L1144" t="str" cm="1">
        <f t="array" ref="L1144">_xlfn.IFS(orders[[#This Row],[Customer Gender]]="M","Male", orders[[#This Row],[Customer Gender]]="F","Female", orders[[#This Row],[Customer Gender]]="O","Other", TRUE,"Unknown")</f>
        <v>Female</v>
      </c>
      <c r="M1144">
        <v>2</v>
      </c>
      <c r="N1144">
        <v>37.6</v>
      </c>
      <c r="O1144" s="5">
        <v>75.2</v>
      </c>
    </row>
    <row r="1145" spans="1:15" x14ac:dyDescent="0.3">
      <c r="A1145" t="s">
        <v>1241</v>
      </c>
      <c r="B1145" t="s">
        <v>43</v>
      </c>
      <c r="C1145" s="7">
        <v>45702</v>
      </c>
      <c r="D1145" s="7">
        <v>45703</v>
      </c>
      <c r="E1145" t="s">
        <v>22</v>
      </c>
      <c r="F1145" t="s">
        <v>50</v>
      </c>
      <c r="G1145">
        <v>2</v>
      </c>
      <c r="H1145" t="s">
        <v>18</v>
      </c>
      <c r="I1145" t="s">
        <v>544</v>
      </c>
      <c r="J1145">
        <f>orders[[#This Row],[Ship Date]]-orders[[#This Row],[Order Date]]</f>
        <v>1</v>
      </c>
      <c r="K1145">
        <f>WEEKNUM(orders[[#This Row],[Order Date]])</f>
        <v>7</v>
      </c>
      <c r="L1145" t="str" cm="1">
        <f t="array" ref="L1145">_xlfn.IFS(orders[[#This Row],[Customer Gender]]="M","Male", orders[[#This Row],[Customer Gender]]="F","Female", orders[[#This Row],[Customer Gender]]="O","Other", TRUE,"Unknown")</f>
        <v>Male</v>
      </c>
      <c r="M1145">
        <v>2</v>
      </c>
      <c r="N1145">
        <v>19.600000000000001</v>
      </c>
      <c r="O1145">
        <v>39.200000000000003</v>
      </c>
    </row>
    <row r="1146" spans="1:15" x14ac:dyDescent="0.3">
      <c r="A1146" t="s">
        <v>1242</v>
      </c>
      <c r="B1146" t="s">
        <v>43</v>
      </c>
      <c r="C1146" s="7">
        <v>45702</v>
      </c>
      <c r="D1146" s="7">
        <v>45703</v>
      </c>
      <c r="E1146" t="s">
        <v>26</v>
      </c>
      <c r="F1146" t="s">
        <v>39</v>
      </c>
      <c r="G1146">
        <v>3</v>
      </c>
      <c r="H1146" t="s">
        <v>18</v>
      </c>
      <c r="I1146" t="s">
        <v>54</v>
      </c>
      <c r="J1146">
        <f>orders[[#This Row],[Ship Date]]-orders[[#This Row],[Order Date]]</f>
        <v>1</v>
      </c>
      <c r="K1146">
        <f>WEEKNUM(orders[[#This Row],[Order Date]])</f>
        <v>7</v>
      </c>
      <c r="L1146" t="str" cm="1">
        <f t="array" ref="L1146">_xlfn.IFS(orders[[#This Row],[Customer Gender]]="M","Male", orders[[#This Row],[Customer Gender]]="F","Female", orders[[#This Row],[Customer Gender]]="O","Other", TRUE,"Unknown")</f>
        <v>Female</v>
      </c>
      <c r="M1146">
        <v>5</v>
      </c>
      <c r="N1146">
        <v>18.5</v>
      </c>
      <c r="O1146" s="5">
        <v>92.5</v>
      </c>
    </row>
    <row r="1147" spans="1:15" x14ac:dyDescent="0.3">
      <c r="A1147" t="s">
        <v>1243</v>
      </c>
      <c r="B1147" t="s">
        <v>36</v>
      </c>
      <c r="C1147" s="7">
        <v>45702</v>
      </c>
      <c r="D1147" s="7">
        <v>45704</v>
      </c>
      <c r="E1147" t="s">
        <v>26</v>
      </c>
      <c r="F1147" t="s">
        <v>69</v>
      </c>
      <c r="G1147">
        <v>3</v>
      </c>
      <c r="H1147" t="s">
        <v>18</v>
      </c>
      <c r="I1147" t="s">
        <v>54</v>
      </c>
      <c r="J1147">
        <f>orders[[#This Row],[Ship Date]]-orders[[#This Row],[Order Date]]</f>
        <v>2</v>
      </c>
      <c r="K1147">
        <f>WEEKNUM(orders[[#This Row],[Order Date]])</f>
        <v>7</v>
      </c>
      <c r="L1147" t="str" cm="1">
        <f t="array" ref="L1147">_xlfn.IFS(orders[[#This Row],[Customer Gender]]="M","Male", orders[[#This Row],[Customer Gender]]="F","Female", orders[[#This Row],[Customer Gender]]="O","Other", TRUE,"Unknown")</f>
        <v>Female</v>
      </c>
      <c r="M1147">
        <v>3</v>
      </c>
      <c r="N1147">
        <v>25.5</v>
      </c>
      <c r="O1147">
        <v>76.5</v>
      </c>
    </row>
    <row r="1148" spans="1:15" x14ac:dyDescent="0.3">
      <c r="A1148" t="s">
        <v>1244</v>
      </c>
      <c r="B1148" t="s">
        <v>25</v>
      </c>
      <c r="C1148" s="7">
        <v>45702</v>
      </c>
      <c r="D1148" s="7">
        <v>45703</v>
      </c>
      <c r="E1148" t="s">
        <v>26</v>
      </c>
      <c r="F1148" t="s">
        <v>39</v>
      </c>
      <c r="G1148">
        <v>4</v>
      </c>
      <c r="H1148" t="s">
        <v>18</v>
      </c>
      <c r="I1148" t="s">
        <v>341</v>
      </c>
      <c r="J1148">
        <f>orders[[#This Row],[Ship Date]]-orders[[#This Row],[Order Date]]</f>
        <v>1</v>
      </c>
      <c r="K1148">
        <f>WEEKNUM(orders[[#This Row],[Order Date]])</f>
        <v>7</v>
      </c>
      <c r="L1148" t="str" cm="1">
        <f t="array" ref="L1148">_xlfn.IFS(orders[[#This Row],[Customer Gender]]="M","Male", orders[[#This Row],[Customer Gender]]="F","Female", orders[[#This Row],[Customer Gender]]="O","Other", TRUE,"Unknown")</f>
        <v>Female</v>
      </c>
      <c r="M1148">
        <v>2</v>
      </c>
      <c r="N1148">
        <v>94.7</v>
      </c>
      <c r="O1148" s="5">
        <v>189.4</v>
      </c>
    </row>
    <row r="1149" spans="1:15" x14ac:dyDescent="0.3">
      <c r="A1149" t="s">
        <v>1245</v>
      </c>
      <c r="B1149" t="s">
        <v>21</v>
      </c>
      <c r="C1149" s="7">
        <v>45702</v>
      </c>
      <c r="D1149" s="7">
        <v>45707</v>
      </c>
      <c r="E1149" t="s">
        <v>26</v>
      </c>
      <c r="F1149" t="s">
        <v>39</v>
      </c>
      <c r="G1149">
        <v>5</v>
      </c>
      <c r="H1149" t="s">
        <v>18</v>
      </c>
      <c r="I1149" t="s">
        <v>61</v>
      </c>
      <c r="J1149">
        <f>orders[[#This Row],[Ship Date]]-orders[[#This Row],[Order Date]]</f>
        <v>5</v>
      </c>
      <c r="K1149">
        <f>WEEKNUM(orders[[#This Row],[Order Date]])</f>
        <v>7</v>
      </c>
      <c r="L1149" t="str" cm="1">
        <f t="array" ref="L1149">_xlfn.IFS(orders[[#This Row],[Customer Gender]]="M","Male", orders[[#This Row],[Customer Gender]]="F","Female", orders[[#This Row],[Customer Gender]]="O","Other", TRUE,"Unknown")</f>
        <v>Female</v>
      </c>
      <c r="M1149">
        <v>6</v>
      </c>
      <c r="N1149">
        <v>38.799999999999997</v>
      </c>
      <c r="O1149">
        <v>232.79999999999998</v>
      </c>
    </row>
    <row r="1150" spans="1:15" x14ac:dyDescent="0.3">
      <c r="A1150" t="s">
        <v>1246</v>
      </c>
      <c r="B1150" t="s">
        <v>45</v>
      </c>
      <c r="C1150" s="7">
        <v>45703</v>
      </c>
      <c r="D1150" s="7">
        <v>45711</v>
      </c>
      <c r="E1150" t="s">
        <v>22</v>
      </c>
      <c r="F1150" t="s">
        <v>69</v>
      </c>
      <c r="G1150">
        <v>3</v>
      </c>
      <c r="H1150" t="s">
        <v>18</v>
      </c>
      <c r="I1150" t="s">
        <v>61</v>
      </c>
      <c r="J1150">
        <f>orders[[#This Row],[Ship Date]]-orders[[#This Row],[Order Date]]</f>
        <v>8</v>
      </c>
      <c r="K1150">
        <f>WEEKNUM(orders[[#This Row],[Order Date]])</f>
        <v>7</v>
      </c>
      <c r="L1150" t="str" cm="1">
        <f t="array" ref="L1150">_xlfn.IFS(orders[[#This Row],[Customer Gender]]="M","Male", orders[[#This Row],[Customer Gender]]="F","Female", orders[[#This Row],[Customer Gender]]="O","Other", TRUE,"Unknown")</f>
        <v>Male</v>
      </c>
      <c r="M1150">
        <v>2</v>
      </c>
      <c r="N1150">
        <v>49.4</v>
      </c>
      <c r="O1150" s="5">
        <v>98.8</v>
      </c>
    </row>
    <row r="1151" spans="1:15" x14ac:dyDescent="0.3">
      <c r="A1151" t="s">
        <v>1247</v>
      </c>
      <c r="B1151" t="s">
        <v>41</v>
      </c>
      <c r="C1151" s="7">
        <v>45703</v>
      </c>
      <c r="D1151" s="7">
        <v>45706</v>
      </c>
      <c r="E1151" t="s">
        <v>22</v>
      </c>
      <c r="F1151" t="s">
        <v>17</v>
      </c>
      <c r="G1151">
        <v>5</v>
      </c>
      <c r="H1151" t="s">
        <v>18</v>
      </c>
      <c r="I1151" t="s">
        <v>61</v>
      </c>
      <c r="J1151">
        <f>orders[[#This Row],[Ship Date]]-orders[[#This Row],[Order Date]]</f>
        <v>3</v>
      </c>
      <c r="K1151">
        <f>WEEKNUM(orders[[#This Row],[Order Date]])</f>
        <v>7</v>
      </c>
      <c r="L1151" t="str" cm="1">
        <f t="array" ref="L1151">_xlfn.IFS(orders[[#This Row],[Customer Gender]]="M","Male", orders[[#This Row],[Customer Gender]]="F","Female", orders[[#This Row],[Customer Gender]]="O","Other", TRUE,"Unknown")</f>
        <v>Male</v>
      </c>
      <c r="M1151">
        <v>3</v>
      </c>
      <c r="N1151">
        <v>68</v>
      </c>
      <c r="O1151">
        <v>204</v>
      </c>
    </row>
    <row r="1152" spans="1:15" x14ac:dyDescent="0.3">
      <c r="A1152" t="s">
        <v>1248</v>
      </c>
      <c r="B1152" t="s">
        <v>122</v>
      </c>
      <c r="C1152" s="7">
        <v>45703</v>
      </c>
      <c r="D1152" s="7">
        <v>45704</v>
      </c>
      <c r="E1152" t="s">
        <v>26</v>
      </c>
      <c r="F1152" t="s">
        <v>39</v>
      </c>
      <c r="G1152">
        <v>5</v>
      </c>
      <c r="H1152" t="s">
        <v>18</v>
      </c>
      <c r="I1152" t="s">
        <v>61</v>
      </c>
      <c r="J1152">
        <f>orders[[#This Row],[Ship Date]]-orders[[#This Row],[Order Date]]</f>
        <v>1</v>
      </c>
      <c r="K1152">
        <f>WEEKNUM(orders[[#This Row],[Order Date]])</f>
        <v>7</v>
      </c>
      <c r="L1152" t="str" cm="1">
        <f t="array" ref="L1152">_xlfn.IFS(orders[[#This Row],[Customer Gender]]="M","Male", orders[[#This Row],[Customer Gender]]="F","Female", orders[[#This Row],[Customer Gender]]="O","Other", TRUE,"Unknown")</f>
        <v>Female</v>
      </c>
      <c r="M1152">
        <v>7</v>
      </c>
      <c r="N1152">
        <v>63.7</v>
      </c>
      <c r="O1152" s="5">
        <v>445.90000000000003</v>
      </c>
    </row>
    <row r="1153" spans="1:15" x14ac:dyDescent="0.3">
      <c r="A1153" t="s">
        <v>1249</v>
      </c>
      <c r="B1153" t="s">
        <v>53</v>
      </c>
      <c r="C1153" s="7">
        <v>45703</v>
      </c>
      <c r="D1153" s="7">
        <v>45704</v>
      </c>
      <c r="E1153" t="s">
        <v>26</v>
      </c>
      <c r="F1153" t="s">
        <v>69</v>
      </c>
      <c r="G1153">
        <v>5</v>
      </c>
      <c r="H1153" t="s">
        <v>18</v>
      </c>
      <c r="I1153" t="s">
        <v>102</v>
      </c>
      <c r="J1153">
        <f>orders[[#This Row],[Ship Date]]-orders[[#This Row],[Order Date]]</f>
        <v>1</v>
      </c>
      <c r="K1153">
        <f>WEEKNUM(orders[[#This Row],[Order Date]])</f>
        <v>7</v>
      </c>
      <c r="L1153" t="str" cm="1">
        <f t="array" ref="L1153">_xlfn.IFS(orders[[#This Row],[Customer Gender]]="M","Male", orders[[#This Row],[Customer Gender]]="F","Female", orders[[#This Row],[Customer Gender]]="O","Other", TRUE,"Unknown")</f>
        <v>Female</v>
      </c>
      <c r="M1153">
        <v>2</v>
      </c>
      <c r="N1153">
        <v>66.2</v>
      </c>
      <c r="O1153">
        <v>132.4</v>
      </c>
    </row>
    <row r="1154" spans="1:15" x14ac:dyDescent="0.3">
      <c r="A1154" t="s">
        <v>1250</v>
      </c>
      <c r="B1154" t="s">
        <v>68</v>
      </c>
      <c r="C1154" s="7">
        <v>45703</v>
      </c>
      <c r="D1154" s="7">
        <v>45704</v>
      </c>
      <c r="E1154" t="s">
        <v>88</v>
      </c>
      <c r="F1154" t="s">
        <v>39</v>
      </c>
      <c r="G1154">
        <v>3</v>
      </c>
      <c r="H1154" t="s">
        <v>18</v>
      </c>
      <c r="I1154" t="s">
        <v>71</v>
      </c>
      <c r="J1154">
        <f>orders[[#This Row],[Ship Date]]-orders[[#This Row],[Order Date]]</f>
        <v>1</v>
      </c>
      <c r="K1154">
        <f>WEEKNUM(orders[[#This Row],[Order Date]])</f>
        <v>7</v>
      </c>
      <c r="L1154" t="str" cm="1">
        <f t="array" ref="L1154">_xlfn.IFS(orders[[#This Row],[Customer Gender]]="M","Male", orders[[#This Row],[Customer Gender]]="F","Female", orders[[#This Row],[Customer Gender]]="O","Other", TRUE,"Unknown")</f>
        <v>Other</v>
      </c>
      <c r="M1154">
        <v>3</v>
      </c>
      <c r="N1154">
        <v>32.299999999999997</v>
      </c>
      <c r="O1154" s="5">
        <v>96.899999999999991</v>
      </c>
    </row>
    <row r="1155" spans="1:15" x14ac:dyDescent="0.3">
      <c r="A1155" t="s">
        <v>1251</v>
      </c>
      <c r="B1155" t="s">
        <v>31</v>
      </c>
      <c r="C1155" s="7">
        <v>45703</v>
      </c>
      <c r="D1155" s="7">
        <v>45706</v>
      </c>
      <c r="E1155" t="s">
        <v>22</v>
      </c>
      <c r="F1155" t="s">
        <v>34</v>
      </c>
      <c r="G1155">
        <v>4</v>
      </c>
      <c r="H1155" t="s">
        <v>18</v>
      </c>
      <c r="I1155" t="s">
        <v>76</v>
      </c>
      <c r="J1155">
        <f>orders[[#This Row],[Ship Date]]-orders[[#This Row],[Order Date]]</f>
        <v>3</v>
      </c>
      <c r="K1155">
        <f>WEEKNUM(orders[[#This Row],[Order Date]])</f>
        <v>7</v>
      </c>
      <c r="L1155" t="str" cm="1">
        <f t="array" ref="L1155">_xlfn.IFS(orders[[#This Row],[Customer Gender]]="M","Male", orders[[#This Row],[Customer Gender]]="F","Female", orders[[#This Row],[Customer Gender]]="O","Other", TRUE,"Unknown")</f>
        <v>Male</v>
      </c>
      <c r="M1155">
        <v>2</v>
      </c>
      <c r="N1155">
        <v>66.900000000000006</v>
      </c>
      <c r="O1155">
        <v>133.80000000000001</v>
      </c>
    </row>
    <row r="1156" spans="1:15" x14ac:dyDescent="0.3">
      <c r="A1156" t="s">
        <v>1252</v>
      </c>
      <c r="B1156" t="s">
        <v>31</v>
      </c>
      <c r="C1156" s="7">
        <v>45703</v>
      </c>
      <c r="D1156" s="7">
        <v>45707</v>
      </c>
      <c r="E1156" t="s">
        <v>26</v>
      </c>
      <c r="F1156" t="s">
        <v>17</v>
      </c>
      <c r="G1156">
        <v>3</v>
      </c>
      <c r="H1156" t="s">
        <v>18</v>
      </c>
      <c r="I1156" t="s">
        <v>76</v>
      </c>
      <c r="J1156">
        <f>orders[[#This Row],[Ship Date]]-orders[[#This Row],[Order Date]]</f>
        <v>4</v>
      </c>
      <c r="K1156">
        <f>WEEKNUM(orders[[#This Row],[Order Date]])</f>
        <v>7</v>
      </c>
      <c r="L1156" t="str" cm="1">
        <f t="array" ref="L1156">_xlfn.IFS(orders[[#This Row],[Customer Gender]]="M","Male", orders[[#This Row],[Customer Gender]]="F","Female", orders[[#This Row],[Customer Gender]]="O","Other", TRUE,"Unknown")</f>
        <v>Female</v>
      </c>
      <c r="M1156">
        <v>12</v>
      </c>
      <c r="N1156">
        <v>25.2</v>
      </c>
      <c r="O1156" s="5">
        <v>302.39999999999998</v>
      </c>
    </row>
    <row r="1157" spans="1:15" x14ac:dyDescent="0.3">
      <c r="A1157" t="s">
        <v>1253</v>
      </c>
      <c r="B1157" t="s">
        <v>53</v>
      </c>
      <c r="C1157" s="7">
        <v>45703</v>
      </c>
      <c r="D1157" s="7">
        <v>45704</v>
      </c>
      <c r="E1157" t="s">
        <v>22</v>
      </c>
      <c r="F1157" t="s">
        <v>39</v>
      </c>
      <c r="G1157">
        <v>4</v>
      </c>
      <c r="H1157" t="s">
        <v>18</v>
      </c>
      <c r="I1157" t="s">
        <v>76</v>
      </c>
      <c r="J1157">
        <f>orders[[#This Row],[Ship Date]]-orders[[#This Row],[Order Date]]</f>
        <v>1</v>
      </c>
      <c r="K1157">
        <f>WEEKNUM(orders[[#This Row],[Order Date]])</f>
        <v>7</v>
      </c>
      <c r="L1157" t="str" cm="1">
        <f t="array" ref="L1157">_xlfn.IFS(orders[[#This Row],[Customer Gender]]="M","Male", orders[[#This Row],[Customer Gender]]="F","Female", orders[[#This Row],[Customer Gender]]="O","Other", TRUE,"Unknown")</f>
        <v>Male</v>
      </c>
      <c r="M1157">
        <v>6</v>
      </c>
      <c r="N1157">
        <v>29.5</v>
      </c>
      <c r="O1157">
        <v>177</v>
      </c>
    </row>
    <row r="1158" spans="1:15" x14ac:dyDescent="0.3">
      <c r="A1158" t="s">
        <v>1254</v>
      </c>
      <c r="B1158" t="s">
        <v>43</v>
      </c>
      <c r="C1158" s="7">
        <v>45703</v>
      </c>
      <c r="D1158" s="7">
        <v>45705</v>
      </c>
      <c r="E1158" t="s">
        <v>26</v>
      </c>
      <c r="F1158" t="s">
        <v>17</v>
      </c>
      <c r="G1158">
        <v>5</v>
      </c>
      <c r="H1158" t="s">
        <v>18</v>
      </c>
      <c r="I1158" t="s">
        <v>308</v>
      </c>
      <c r="J1158">
        <f>orders[[#This Row],[Ship Date]]-orders[[#This Row],[Order Date]]</f>
        <v>2</v>
      </c>
      <c r="K1158">
        <f>WEEKNUM(orders[[#This Row],[Order Date]])</f>
        <v>7</v>
      </c>
      <c r="L1158" t="str" cm="1">
        <f t="array" ref="L1158">_xlfn.IFS(orders[[#This Row],[Customer Gender]]="M","Male", orders[[#This Row],[Customer Gender]]="F","Female", orders[[#This Row],[Customer Gender]]="O","Other", TRUE,"Unknown")</f>
        <v>Female</v>
      </c>
      <c r="M1158">
        <v>5</v>
      </c>
      <c r="N1158">
        <v>21.6</v>
      </c>
      <c r="O1158" s="5">
        <v>108</v>
      </c>
    </row>
    <row r="1159" spans="1:15" x14ac:dyDescent="0.3">
      <c r="A1159" t="s">
        <v>1255</v>
      </c>
      <c r="B1159" t="s">
        <v>68</v>
      </c>
      <c r="C1159" s="7">
        <v>45703</v>
      </c>
      <c r="D1159" s="7">
        <v>45704</v>
      </c>
      <c r="E1159" t="s">
        <v>26</v>
      </c>
      <c r="F1159" t="s">
        <v>17</v>
      </c>
      <c r="G1159">
        <v>4</v>
      </c>
      <c r="H1159" t="s">
        <v>18</v>
      </c>
      <c r="I1159" t="s">
        <v>107</v>
      </c>
      <c r="J1159">
        <f>orders[[#This Row],[Ship Date]]-orders[[#This Row],[Order Date]]</f>
        <v>1</v>
      </c>
      <c r="K1159">
        <f>WEEKNUM(orders[[#This Row],[Order Date]])</f>
        <v>7</v>
      </c>
      <c r="L1159" t="str" cm="1">
        <f t="array" ref="L1159">_xlfn.IFS(orders[[#This Row],[Customer Gender]]="M","Male", orders[[#This Row],[Customer Gender]]="F","Female", orders[[#This Row],[Customer Gender]]="O","Other", TRUE,"Unknown")</f>
        <v>Female</v>
      </c>
      <c r="M1159">
        <v>3</v>
      </c>
      <c r="N1159">
        <v>69</v>
      </c>
      <c r="O1159">
        <v>207</v>
      </c>
    </row>
    <row r="1160" spans="1:15" x14ac:dyDescent="0.3">
      <c r="A1160" t="s">
        <v>1256</v>
      </c>
      <c r="B1160" t="s">
        <v>41</v>
      </c>
      <c r="C1160" s="7">
        <v>45703</v>
      </c>
      <c r="D1160" s="7">
        <v>45707</v>
      </c>
      <c r="E1160" t="s">
        <v>22</v>
      </c>
      <c r="F1160" t="s">
        <v>17</v>
      </c>
      <c r="G1160">
        <v>5</v>
      </c>
      <c r="H1160" t="s">
        <v>18</v>
      </c>
      <c r="I1160" t="s">
        <v>107</v>
      </c>
      <c r="J1160">
        <f>orders[[#This Row],[Ship Date]]-orders[[#This Row],[Order Date]]</f>
        <v>4</v>
      </c>
      <c r="K1160">
        <f>WEEKNUM(orders[[#This Row],[Order Date]])</f>
        <v>7</v>
      </c>
      <c r="L1160" t="str" cm="1">
        <f t="array" ref="L1160">_xlfn.IFS(orders[[#This Row],[Customer Gender]]="M","Male", orders[[#This Row],[Customer Gender]]="F","Female", orders[[#This Row],[Customer Gender]]="O","Other", TRUE,"Unknown")</f>
        <v>Male</v>
      </c>
      <c r="M1160">
        <v>2</v>
      </c>
      <c r="N1160">
        <v>115</v>
      </c>
      <c r="O1160" s="5">
        <v>230</v>
      </c>
    </row>
    <row r="1161" spans="1:15" x14ac:dyDescent="0.3">
      <c r="A1161" t="s">
        <v>1257</v>
      </c>
      <c r="B1161" t="s">
        <v>25</v>
      </c>
      <c r="C1161" s="7">
        <v>45703</v>
      </c>
      <c r="D1161" s="7">
        <v>45705</v>
      </c>
      <c r="E1161" t="s">
        <v>2517</v>
      </c>
      <c r="F1161" t="s">
        <v>50</v>
      </c>
      <c r="G1161">
        <v>3</v>
      </c>
      <c r="H1161" t="s">
        <v>18</v>
      </c>
      <c r="I1161" t="s">
        <v>109</v>
      </c>
      <c r="J1161">
        <f>orders[[#This Row],[Ship Date]]-orders[[#This Row],[Order Date]]</f>
        <v>2</v>
      </c>
      <c r="K1161">
        <f>WEEKNUM(orders[[#This Row],[Order Date]])</f>
        <v>7</v>
      </c>
      <c r="L1161" t="str" cm="1">
        <f t="array" ref="L1161">_xlfn.IFS(orders[[#This Row],[Customer Gender]]="M","Male", orders[[#This Row],[Customer Gender]]="F","Female", orders[[#This Row],[Customer Gender]]="O","Other", TRUE,"Unknown")</f>
        <v>Unknown</v>
      </c>
      <c r="M1161">
        <v>2</v>
      </c>
      <c r="N1161">
        <v>109.3</v>
      </c>
      <c r="O1161">
        <v>218.6</v>
      </c>
    </row>
    <row r="1162" spans="1:15" x14ac:dyDescent="0.3">
      <c r="A1162" t="s">
        <v>1258</v>
      </c>
      <c r="B1162" t="s">
        <v>45</v>
      </c>
      <c r="C1162" s="7">
        <v>45703</v>
      </c>
      <c r="D1162" s="7">
        <v>45706</v>
      </c>
      <c r="E1162" t="s">
        <v>2517</v>
      </c>
      <c r="F1162" t="s">
        <v>69</v>
      </c>
      <c r="G1162">
        <v>3</v>
      </c>
      <c r="H1162" t="s">
        <v>18</v>
      </c>
      <c r="I1162" t="s">
        <v>109</v>
      </c>
      <c r="J1162">
        <f>orders[[#This Row],[Ship Date]]-orders[[#This Row],[Order Date]]</f>
        <v>3</v>
      </c>
      <c r="K1162">
        <f>WEEKNUM(orders[[#This Row],[Order Date]])</f>
        <v>7</v>
      </c>
      <c r="L1162" t="str" cm="1">
        <f t="array" ref="L1162">_xlfn.IFS(orders[[#This Row],[Customer Gender]]="M","Male", orders[[#This Row],[Customer Gender]]="F","Female", orders[[#This Row],[Customer Gender]]="O","Other", TRUE,"Unknown")</f>
        <v>Unknown</v>
      </c>
      <c r="M1162">
        <v>2</v>
      </c>
      <c r="N1162">
        <v>66.599999999999994</v>
      </c>
      <c r="O1162" s="5">
        <v>133.19999999999999</v>
      </c>
    </row>
    <row r="1163" spans="1:15" x14ac:dyDescent="0.3">
      <c r="A1163" t="s">
        <v>1259</v>
      </c>
      <c r="B1163" t="s">
        <v>68</v>
      </c>
      <c r="C1163" s="7">
        <v>45703</v>
      </c>
      <c r="D1163" s="7">
        <v>45704</v>
      </c>
      <c r="E1163" t="s">
        <v>22</v>
      </c>
      <c r="F1163" t="s">
        <v>50</v>
      </c>
      <c r="G1163">
        <v>5</v>
      </c>
      <c r="H1163" t="s">
        <v>18</v>
      </c>
      <c r="I1163" t="s">
        <v>114</v>
      </c>
      <c r="J1163">
        <f>orders[[#This Row],[Ship Date]]-orders[[#This Row],[Order Date]]</f>
        <v>1</v>
      </c>
      <c r="K1163">
        <f>WEEKNUM(orders[[#This Row],[Order Date]])</f>
        <v>7</v>
      </c>
      <c r="L1163" t="str" cm="1">
        <f t="array" ref="L1163">_xlfn.IFS(orders[[#This Row],[Customer Gender]]="M","Male", orders[[#This Row],[Customer Gender]]="F","Female", orders[[#This Row],[Customer Gender]]="O","Other", TRUE,"Unknown")</f>
        <v>Male</v>
      </c>
      <c r="M1163">
        <v>5</v>
      </c>
      <c r="N1163">
        <v>47.7</v>
      </c>
      <c r="O1163">
        <v>238.5</v>
      </c>
    </row>
    <row r="1164" spans="1:15" x14ac:dyDescent="0.3">
      <c r="A1164" t="s">
        <v>1260</v>
      </c>
      <c r="B1164" t="s">
        <v>43</v>
      </c>
      <c r="C1164" s="7">
        <v>45703</v>
      </c>
      <c r="D1164" s="7">
        <v>45704</v>
      </c>
      <c r="E1164" t="s">
        <v>26</v>
      </c>
      <c r="F1164" t="s">
        <v>69</v>
      </c>
      <c r="G1164">
        <v>2</v>
      </c>
      <c r="H1164" t="s">
        <v>18</v>
      </c>
      <c r="I1164" t="s">
        <v>146</v>
      </c>
      <c r="J1164">
        <f>orders[[#This Row],[Ship Date]]-orders[[#This Row],[Order Date]]</f>
        <v>1</v>
      </c>
      <c r="K1164">
        <f>WEEKNUM(orders[[#This Row],[Order Date]])</f>
        <v>7</v>
      </c>
      <c r="L1164" t="str" cm="1">
        <f t="array" ref="L1164">_xlfn.IFS(orders[[#This Row],[Customer Gender]]="M","Male", orders[[#This Row],[Customer Gender]]="F","Female", orders[[#This Row],[Customer Gender]]="O","Other", TRUE,"Unknown")</f>
        <v>Female</v>
      </c>
      <c r="M1164">
        <v>2</v>
      </c>
      <c r="N1164">
        <v>46</v>
      </c>
      <c r="O1164" s="5">
        <v>92</v>
      </c>
    </row>
    <row r="1165" spans="1:15" x14ac:dyDescent="0.3">
      <c r="A1165" t="s">
        <v>1261</v>
      </c>
      <c r="B1165" t="s">
        <v>21</v>
      </c>
      <c r="C1165" s="7">
        <v>45703</v>
      </c>
      <c r="D1165" s="7">
        <v>45705</v>
      </c>
      <c r="E1165" t="s">
        <v>22</v>
      </c>
      <c r="F1165" t="s">
        <v>50</v>
      </c>
      <c r="G1165">
        <v>5</v>
      </c>
      <c r="H1165" t="s">
        <v>18</v>
      </c>
      <c r="I1165" t="s">
        <v>32</v>
      </c>
      <c r="J1165">
        <f>orders[[#This Row],[Ship Date]]-orders[[#This Row],[Order Date]]</f>
        <v>2</v>
      </c>
      <c r="K1165">
        <f>WEEKNUM(orders[[#This Row],[Order Date]])</f>
        <v>7</v>
      </c>
      <c r="L1165" t="str" cm="1">
        <f t="array" ref="L1165">_xlfn.IFS(orders[[#This Row],[Customer Gender]]="M","Male", orders[[#This Row],[Customer Gender]]="F","Female", orders[[#This Row],[Customer Gender]]="O","Other", TRUE,"Unknown")</f>
        <v>Male</v>
      </c>
      <c r="M1165">
        <v>6</v>
      </c>
      <c r="N1165">
        <v>39.299999999999997</v>
      </c>
      <c r="O1165">
        <v>235.79999999999998</v>
      </c>
    </row>
    <row r="1166" spans="1:15" x14ac:dyDescent="0.3">
      <c r="A1166" t="s">
        <v>1262</v>
      </c>
      <c r="B1166" t="s">
        <v>45</v>
      </c>
      <c r="C1166" s="7">
        <v>45703</v>
      </c>
      <c r="D1166" s="7">
        <v>45704</v>
      </c>
      <c r="E1166" t="s">
        <v>26</v>
      </c>
      <c r="F1166" t="s">
        <v>17</v>
      </c>
      <c r="G1166">
        <v>2</v>
      </c>
      <c r="H1166" t="s">
        <v>18</v>
      </c>
      <c r="I1166" t="s">
        <v>32</v>
      </c>
      <c r="J1166">
        <f>orders[[#This Row],[Ship Date]]-orders[[#This Row],[Order Date]]</f>
        <v>1</v>
      </c>
      <c r="K1166">
        <f>WEEKNUM(orders[[#This Row],[Order Date]])</f>
        <v>7</v>
      </c>
      <c r="L1166" t="str" cm="1">
        <f t="array" ref="L1166">_xlfn.IFS(orders[[#This Row],[Customer Gender]]="M","Male", orders[[#This Row],[Customer Gender]]="F","Female", orders[[#This Row],[Customer Gender]]="O","Other", TRUE,"Unknown")</f>
        <v>Female</v>
      </c>
      <c r="M1166">
        <v>1</v>
      </c>
      <c r="N1166">
        <v>70.2</v>
      </c>
      <c r="O1166" s="5">
        <v>70.2</v>
      </c>
    </row>
    <row r="1167" spans="1:15" x14ac:dyDescent="0.3">
      <c r="A1167" t="s">
        <v>1263</v>
      </c>
      <c r="B1167" t="s">
        <v>29</v>
      </c>
      <c r="C1167" s="7">
        <v>45703</v>
      </c>
      <c r="D1167" s="7">
        <v>45703</v>
      </c>
      <c r="E1167" t="s">
        <v>26</v>
      </c>
      <c r="F1167" t="s">
        <v>34</v>
      </c>
      <c r="G1167">
        <v>5</v>
      </c>
      <c r="H1167" t="s">
        <v>18</v>
      </c>
      <c r="I1167" t="s">
        <v>32</v>
      </c>
      <c r="J1167">
        <f>orders[[#This Row],[Ship Date]]-orders[[#This Row],[Order Date]]</f>
        <v>0</v>
      </c>
      <c r="K1167">
        <f>WEEKNUM(orders[[#This Row],[Order Date]])</f>
        <v>7</v>
      </c>
      <c r="L1167" t="str" cm="1">
        <f t="array" ref="L1167">_xlfn.IFS(orders[[#This Row],[Customer Gender]]="M","Male", orders[[#This Row],[Customer Gender]]="F","Female", orders[[#This Row],[Customer Gender]]="O","Other", TRUE,"Unknown")</f>
        <v>Female</v>
      </c>
      <c r="M1167">
        <v>4</v>
      </c>
      <c r="N1167">
        <v>71.5</v>
      </c>
      <c r="O1167">
        <v>286</v>
      </c>
    </row>
    <row r="1168" spans="1:15" x14ac:dyDescent="0.3">
      <c r="A1168" t="s">
        <v>1264</v>
      </c>
      <c r="B1168" t="s">
        <v>53</v>
      </c>
      <c r="C1168" s="7">
        <v>45703</v>
      </c>
      <c r="D1168" s="7">
        <v>45710</v>
      </c>
      <c r="E1168" t="s">
        <v>26</v>
      </c>
      <c r="F1168" t="s">
        <v>50</v>
      </c>
      <c r="G1168">
        <v>5</v>
      </c>
      <c r="H1168" t="s">
        <v>18</v>
      </c>
      <c r="I1168" t="s">
        <v>32</v>
      </c>
      <c r="J1168">
        <f>orders[[#This Row],[Ship Date]]-orders[[#This Row],[Order Date]]</f>
        <v>7</v>
      </c>
      <c r="K1168">
        <f>WEEKNUM(orders[[#This Row],[Order Date]])</f>
        <v>7</v>
      </c>
      <c r="L1168" t="str" cm="1">
        <f t="array" ref="L1168">_xlfn.IFS(orders[[#This Row],[Customer Gender]]="M","Male", orders[[#This Row],[Customer Gender]]="F","Female", orders[[#This Row],[Customer Gender]]="O","Other", TRUE,"Unknown")</f>
        <v>Female</v>
      </c>
      <c r="M1168">
        <v>7</v>
      </c>
      <c r="N1168">
        <v>31</v>
      </c>
      <c r="O1168" s="5">
        <v>217</v>
      </c>
    </row>
    <row r="1169" spans="1:15" x14ac:dyDescent="0.3">
      <c r="A1169" t="s">
        <v>1265</v>
      </c>
      <c r="B1169" t="s">
        <v>25</v>
      </c>
      <c r="C1169" s="7">
        <v>45703</v>
      </c>
      <c r="D1169" s="7">
        <v>45708</v>
      </c>
      <c r="E1169" t="s">
        <v>26</v>
      </c>
      <c r="F1169" t="s">
        <v>17</v>
      </c>
      <c r="G1169">
        <v>5</v>
      </c>
      <c r="H1169" t="s">
        <v>18</v>
      </c>
      <c r="I1169" t="s">
        <v>32</v>
      </c>
      <c r="J1169">
        <f>orders[[#This Row],[Ship Date]]-orders[[#This Row],[Order Date]]</f>
        <v>5</v>
      </c>
      <c r="K1169">
        <f>WEEKNUM(orders[[#This Row],[Order Date]])</f>
        <v>7</v>
      </c>
      <c r="L1169" t="str" cm="1">
        <f t="array" ref="L1169">_xlfn.IFS(orders[[#This Row],[Customer Gender]]="M","Male", orders[[#This Row],[Customer Gender]]="F","Female", orders[[#This Row],[Customer Gender]]="O","Other", TRUE,"Unknown")</f>
        <v>Female</v>
      </c>
      <c r="M1169">
        <v>5</v>
      </c>
      <c r="N1169">
        <v>68.2</v>
      </c>
      <c r="O1169">
        <v>341</v>
      </c>
    </row>
    <row r="1170" spans="1:15" x14ac:dyDescent="0.3">
      <c r="A1170" t="s">
        <v>1266</v>
      </c>
      <c r="B1170" t="s">
        <v>25</v>
      </c>
      <c r="C1170" s="7">
        <v>45703</v>
      </c>
      <c r="D1170" s="7">
        <v>45707</v>
      </c>
      <c r="E1170" t="s">
        <v>26</v>
      </c>
      <c r="F1170" t="s">
        <v>34</v>
      </c>
      <c r="G1170">
        <v>5</v>
      </c>
      <c r="H1170" t="s">
        <v>18</v>
      </c>
      <c r="I1170" t="s">
        <v>54</v>
      </c>
      <c r="J1170">
        <f>orders[[#This Row],[Ship Date]]-orders[[#This Row],[Order Date]]</f>
        <v>4</v>
      </c>
      <c r="K1170">
        <f>WEEKNUM(orders[[#This Row],[Order Date]])</f>
        <v>7</v>
      </c>
      <c r="L1170" t="str" cm="1">
        <f t="array" ref="L1170">_xlfn.IFS(orders[[#This Row],[Customer Gender]]="M","Male", orders[[#This Row],[Customer Gender]]="F","Female", orders[[#This Row],[Customer Gender]]="O","Other", TRUE,"Unknown")</f>
        <v>Female</v>
      </c>
      <c r="M1170">
        <v>1</v>
      </c>
      <c r="N1170">
        <v>91.4</v>
      </c>
      <c r="O1170" s="5">
        <v>91.4</v>
      </c>
    </row>
    <row r="1171" spans="1:15" x14ac:dyDescent="0.3">
      <c r="A1171" t="s">
        <v>1267</v>
      </c>
      <c r="B1171" t="s">
        <v>38</v>
      </c>
      <c r="C1171" s="7">
        <v>45703</v>
      </c>
      <c r="D1171" s="7">
        <v>45704</v>
      </c>
      <c r="E1171" t="s">
        <v>26</v>
      </c>
      <c r="F1171" t="s">
        <v>17</v>
      </c>
      <c r="G1171">
        <v>4</v>
      </c>
      <c r="H1171" t="s">
        <v>18</v>
      </c>
      <c r="I1171" t="s">
        <v>54</v>
      </c>
      <c r="J1171">
        <f>orders[[#This Row],[Ship Date]]-orders[[#This Row],[Order Date]]</f>
        <v>1</v>
      </c>
      <c r="K1171">
        <f>WEEKNUM(orders[[#This Row],[Order Date]])</f>
        <v>7</v>
      </c>
      <c r="L1171" t="str" cm="1">
        <f t="array" ref="L1171">_xlfn.IFS(orders[[#This Row],[Customer Gender]]="M","Male", orders[[#This Row],[Customer Gender]]="F","Female", orders[[#This Row],[Customer Gender]]="O","Other", TRUE,"Unknown")</f>
        <v>Female</v>
      </c>
      <c r="M1171">
        <v>10</v>
      </c>
      <c r="N1171">
        <v>112.9</v>
      </c>
      <c r="O1171">
        <v>1129</v>
      </c>
    </row>
    <row r="1172" spans="1:15" x14ac:dyDescent="0.3">
      <c r="A1172" t="s">
        <v>1268</v>
      </c>
      <c r="B1172" t="s">
        <v>134</v>
      </c>
      <c r="C1172" s="7">
        <v>45703</v>
      </c>
      <c r="D1172" s="7">
        <v>45704</v>
      </c>
      <c r="E1172" t="s">
        <v>26</v>
      </c>
      <c r="F1172" t="s">
        <v>34</v>
      </c>
      <c r="G1172">
        <v>5</v>
      </c>
      <c r="H1172" t="s">
        <v>18</v>
      </c>
      <c r="I1172" t="s">
        <v>61</v>
      </c>
      <c r="J1172">
        <f>orders[[#This Row],[Ship Date]]-orders[[#This Row],[Order Date]]</f>
        <v>1</v>
      </c>
      <c r="K1172">
        <f>WEEKNUM(orders[[#This Row],[Order Date]])</f>
        <v>7</v>
      </c>
      <c r="L1172" t="str" cm="1">
        <f t="array" ref="L1172">_xlfn.IFS(orders[[#This Row],[Customer Gender]]="M","Male", orders[[#This Row],[Customer Gender]]="F","Female", orders[[#This Row],[Customer Gender]]="O","Other", TRUE,"Unknown")</f>
        <v>Female</v>
      </c>
      <c r="M1172">
        <v>9</v>
      </c>
      <c r="N1172">
        <v>33.700000000000003</v>
      </c>
      <c r="O1172" s="5">
        <v>303.3</v>
      </c>
    </row>
    <row r="1173" spans="1:15" x14ac:dyDescent="0.3">
      <c r="A1173" t="s">
        <v>1269</v>
      </c>
      <c r="B1173" t="s">
        <v>122</v>
      </c>
      <c r="C1173" s="7">
        <v>45703</v>
      </c>
      <c r="D1173" s="7">
        <v>45705</v>
      </c>
      <c r="E1173" t="s">
        <v>22</v>
      </c>
      <c r="F1173" t="s">
        <v>39</v>
      </c>
      <c r="G1173">
        <v>4</v>
      </c>
      <c r="H1173" t="s">
        <v>18</v>
      </c>
      <c r="I1173" t="s">
        <v>61</v>
      </c>
      <c r="J1173">
        <f>orders[[#This Row],[Ship Date]]-orders[[#This Row],[Order Date]]</f>
        <v>2</v>
      </c>
      <c r="K1173">
        <f>WEEKNUM(orders[[#This Row],[Order Date]])</f>
        <v>7</v>
      </c>
      <c r="L1173" t="str" cm="1">
        <f t="array" ref="L1173">_xlfn.IFS(orders[[#This Row],[Customer Gender]]="M","Male", orders[[#This Row],[Customer Gender]]="F","Female", orders[[#This Row],[Customer Gender]]="O","Other", TRUE,"Unknown")</f>
        <v>Male</v>
      </c>
      <c r="M1173">
        <v>10</v>
      </c>
      <c r="N1173">
        <v>35.299999999999997</v>
      </c>
      <c r="O1173">
        <v>353</v>
      </c>
    </row>
    <row r="1174" spans="1:15" x14ac:dyDescent="0.3">
      <c r="A1174" t="s">
        <v>1270</v>
      </c>
      <c r="B1174" t="s">
        <v>145</v>
      </c>
      <c r="C1174" s="7">
        <v>45703</v>
      </c>
      <c r="D1174" s="7">
        <v>45707</v>
      </c>
      <c r="E1174" t="s">
        <v>22</v>
      </c>
      <c r="F1174" t="s">
        <v>50</v>
      </c>
      <c r="G1174">
        <v>4</v>
      </c>
      <c r="H1174" t="s">
        <v>18</v>
      </c>
      <c r="I1174" t="s">
        <v>61</v>
      </c>
      <c r="J1174">
        <f>orders[[#This Row],[Ship Date]]-orders[[#This Row],[Order Date]]</f>
        <v>4</v>
      </c>
      <c r="K1174">
        <f>WEEKNUM(orders[[#This Row],[Order Date]])</f>
        <v>7</v>
      </c>
      <c r="L1174" t="str" cm="1">
        <f t="array" ref="L1174">_xlfn.IFS(orders[[#This Row],[Customer Gender]]="M","Male", orders[[#This Row],[Customer Gender]]="F","Female", orders[[#This Row],[Customer Gender]]="O","Other", TRUE,"Unknown")</f>
        <v>Male</v>
      </c>
      <c r="M1174">
        <v>3</v>
      </c>
      <c r="N1174">
        <v>45.6</v>
      </c>
      <c r="O1174" s="5">
        <v>136.80000000000001</v>
      </c>
    </row>
    <row r="1175" spans="1:15" x14ac:dyDescent="0.3">
      <c r="A1175" t="s">
        <v>1271</v>
      </c>
      <c r="B1175" t="s">
        <v>41</v>
      </c>
      <c r="C1175" s="7">
        <v>45703</v>
      </c>
      <c r="D1175" s="7">
        <v>45704</v>
      </c>
      <c r="E1175" t="s">
        <v>26</v>
      </c>
      <c r="F1175" t="s">
        <v>69</v>
      </c>
      <c r="G1175">
        <v>5</v>
      </c>
      <c r="H1175" t="s">
        <v>18</v>
      </c>
      <c r="I1175" t="s">
        <v>71</v>
      </c>
      <c r="J1175">
        <f>orders[[#This Row],[Ship Date]]-orders[[#This Row],[Order Date]]</f>
        <v>1</v>
      </c>
      <c r="K1175">
        <f>WEEKNUM(orders[[#This Row],[Order Date]])</f>
        <v>7</v>
      </c>
      <c r="L1175" t="str" cm="1">
        <f t="array" ref="L1175">_xlfn.IFS(orders[[#This Row],[Customer Gender]]="M","Male", orders[[#This Row],[Customer Gender]]="F","Female", orders[[#This Row],[Customer Gender]]="O","Other", TRUE,"Unknown")</f>
        <v>Female</v>
      </c>
      <c r="M1175">
        <v>7</v>
      </c>
      <c r="N1175">
        <v>47.1</v>
      </c>
      <c r="O1175">
        <v>329.7</v>
      </c>
    </row>
    <row r="1176" spans="1:15" x14ac:dyDescent="0.3">
      <c r="A1176" t="s">
        <v>1272</v>
      </c>
      <c r="B1176" t="s">
        <v>43</v>
      </c>
      <c r="C1176" s="7">
        <v>45703</v>
      </c>
      <c r="D1176" s="7">
        <v>45705</v>
      </c>
      <c r="E1176" t="s">
        <v>26</v>
      </c>
      <c r="F1176" t="s">
        <v>50</v>
      </c>
      <c r="G1176">
        <v>5</v>
      </c>
      <c r="H1176" t="s">
        <v>18</v>
      </c>
      <c r="I1176" t="s">
        <v>109</v>
      </c>
      <c r="J1176">
        <f>orders[[#This Row],[Ship Date]]-orders[[#This Row],[Order Date]]</f>
        <v>2</v>
      </c>
      <c r="K1176">
        <f>WEEKNUM(orders[[#This Row],[Order Date]])</f>
        <v>7</v>
      </c>
      <c r="L1176" t="str" cm="1">
        <f t="array" ref="L1176">_xlfn.IFS(orders[[#This Row],[Customer Gender]]="M","Male", orders[[#This Row],[Customer Gender]]="F","Female", orders[[#This Row],[Customer Gender]]="O","Other", TRUE,"Unknown")</f>
        <v>Female</v>
      </c>
      <c r="M1176">
        <v>5</v>
      </c>
      <c r="N1176">
        <v>16.2</v>
      </c>
      <c r="O1176" s="5">
        <v>81</v>
      </c>
    </row>
    <row r="1177" spans="1:15" x14ac:dyDescent="0.3">
      <c r="A1177" t="s">
        <v>1273</v>
      </c>
      <c r="B1177" t="s">
        <v>21</v>
      </c>
      <c r="C1177" s="7">
        <v>45704</v>
      </c>
      <c r="D1177" s="7">
        <v>45705</v>
      </c>
      <c r="E1177" t="s">
        <v>22</v>
      </c>
      <c r="F1177" t="s">
        <v>69</v>
      </c>
      <c r="G1177">
        <v>4</v>
      </c>
      <c r="H1177" t="s">
        <v>18</v>
      </c>
      <c r="I1177" t="s">
        <v>81</v>
      </c>
      <c r="J1177">
        <f>orders[[#This Row],[Ship Date]]-orders[[#This Row],[Order Date]]</f>
        <v>1</v>
      </c>
      <c r="K1177">
        <f>WEEKNUM(orders[[#This Row],[Order Date]])</f>
        <v>8</v>
      </c>
      <c r="L1177" t="str" cm="1">
        <f t="array" ref="L1177">_xlfn.IFS(orders[[#This Row],[Customer Gender]]="M","Male", orders[[#This Row],[Customer Gender]]="F","Female", orders[[#This Row],[Customer Gender]]="O","Other", TRUE,"Unknown")</f>
        <v>Male</v>
      </c>
      <c r="M1177">
        <v>2</v>
      </c>
      <c r="N1177">
        <v>159.69999999999999</v>
      </c>
      <c r="O1177">
        <v>319.39999999999998</v>
      </c>
    </row>
    <row r="1178" spans="1:15" x14ac:dyDescent="0.3">
      <c r="A1178" t="s">
        <v>1274</v>
      </c>
      <c r="B1178" t="s">
        <v>43</v>
      </c>
      <c r="C1178" s="7">
        <v>45704</v>
      </c>
      <c r="D1178" s="7">
        <v>45711</v>
      </c>
      <c r="E1178" t="s">
        <v>26</v>
      </c>
      <c r="F1178" t="s">
        <v>39</v>
      </c>
      <c r="G1178">
        <v>5</v>
      </c>
      <c r="H1178" t="s">
        <v>18</v>
      </c>
      <c r="I1178" t="s">
        <v>114</v>
      </c>
      <c r="J1178">
        <f>orders[[#This Row],[Ship Date]]-orders[[#This Row],[Order Date]]</f>
        <v>7</v>
      </c>
      <c r="K1178">
        <f>WEEKNUM(orders[[#This Row],[Order Date]])</f>
        <v>8</v>
      </c>
      <c r="L1178" t="str" cm="1">
        <f t="array" ref="L1178">_xlfn.IFS(orders[[#This Row],[Customer Gender]]="M","Male", orders[[#This Row],[Customer Gender]]="F","Female", orders[[#This Row],[Customer Gender]]="O","Other", TRUE,"Unknown")</f>
        <v>Female</v>
      </c>
      <c r="M1178">
        <v>4</v>
      </c>
      <c r="N1178">
        <v>19</v>
      </c>
      <c r="O1178" s="5">
        <v>76</v>
      </c>
    </row>
    <row r="1179" spans="1:15" x14ac:dyDescent="0.3">
      <c r="A1179" t="s">
        <v>1275</v>
      </c>
      <c r="B1179" t="s">
        <v>38</v>
      </c>
      <c r="C1179" s="7">
        <v>45704</v>
      </c>
      <c r="D1179" s="7">
        <v>45713</v>
      </c>
      <c r="E1179" t="s">
        <v>26</v>
      </c>
      <c r="F1179" t="s">
        <v>69</v>
      </c>
      <c r="G1179">
        <v>4</v>
      </c>
      <c r="H1179" t="s">
        <v>18</v>
      </c>
      <c r="I1179" t="s">
        <v>114</v>
      </c>
      <c r="J1179">
        <f>orders[[#This Row],[Ship Date]]-orders[[#This Row],[Order Date]]</f>
        <v>9</v>
      </c>
      <c r="K1179">
        <f>WEEKNUM(orders[[#This Row],[Order Date]])</f>
        <v>8</v>
      </c>
      <c r="L1179" t="str" cm="1">
        <f t="array" ref="L1179">_xlfn.IFS(orders[[#This Row],[Customer Gender]]="M","Male", orders[[#This Row],[Customer Gender]]="F","Female", orders[[#This Row],[Customer Gender]]="O","Other", TRUE,"Unknown")</f>
        <v>Female</v>
      </c>
      <c r="M1179">
        <v>6</v>
      </c>
      <c r="N1179">
        <v>91.1</v>
      </c>
      <c r="O1179">
        <v>546.59999999999991</v>
      </c>
    </row>
    <row r="1180" spans="1:15" x14ac:dyDescent="0.3">
      <c r="A1180" t="s">
        <v>1276</v>
      </c>
      <c r="B1180" t="s">
        <v>25</v>
      </c>
      <c r="C1180" s="7">
        <v>45704</v>
      </c>
      <c r="D1180" s="7">
        <v>45707</v>
      </c>
      <c r="E1180" t="s">
        <v>2517</v>
      </c>
      <c r="F1180" t="s">
        <v>34</v>
      </c>
      <c r="G1180">
        <v>3</v>
      </c>
      <c r="H1180" t="s">
        <v>18</v>
      </c>
      <c r="I1180" t="s">
        <v>114</v>
      </c>
      <c r="J1180">
        <f>orders[[#This Row],[Ship Date]]-orders[[#This Row],[Order Date]]</f>
        <v>3</v>
      </c>
      <c r="K1180">
        <f>WEEKNUM(orders[[#This Row],[Order Date]])</f>
        <v>8</v>
      </c>
      <c r="L1180" t="str" cm="1">
        <f t="array" ref="L1180">_xlfn.IFS(orders[[#This Row],[Customer Gender]]="M","Male", orders[[#This Row],[Customer Gender]]="F","Female", orders[[#This Row],[Customer Gender]]="O","Other", TRUE,"Unknown")</f>
        <v>Unknown</v>
      </c>
      <c r="M1180">
        <v>5</v>
      </c>
      <c r="N1180">
        <v>94.1</v>
      </c>
      <c r="O1180" s="5">
        <v>470.5</v>
      </c>
    </row>
    <row r="1181" spans="1:15" x14ac:dyDescent="0.3">
      <c r="A1181" t="s">
        <v>1277</v>
      </c>
      <c r="B1181" t="s">
        <v>45</v>
      </c>
      <c r="C1181" s="7">
        <v>45704</v>
      </c>
      <c r="D1181" s="7">
        <v>45705</v>
      </c>
      <c r="E1181" t="s">
        <v>26</v>
      </c>
      <c r="F1181" t="s">
        <v>69</v>
      </c>
      <c r="G1181">
        <v>5</v>
      </c>
      <c r="H1181" t="s">
        <v>18</v>
      </c>
      <c r="I1181" t="s">
        <v>966</v>
      </c>
      <c r="J1181">
        <f>orders[[#This Row],[Ship Date]]-orders[[#This Row],[Order Date]]</f>
        <v>1</v>
      </c>
      <c r="K1181">
        <f>WEEKNUM(orders[[#This Row],[Order Date]])</f>
        <v>8</v>
      </c>
      <c r="L1181" t="str" cm="1">
        <f t="array" ref="L1181">_xlfn.IFS(orders[[#This Row],[Customer Gender]]="M","Male", orders[[#This Row],[Customer Gender]]="F","Female", orders[[#This Row],[Customer Gender]]="O","Other", TRUE,"Unknown")</f>
        <v>Female</v>
      </c>
      <c r="M1181">
        <v>9</v>
      </c>
      <c r="N1181">
        <v>21.1</v>
      </c>
      <c r="O1181">
        <v>189.9</v>
      </c>
    </row>
    <row r="1182" spans="1:15" x14ac:dyDescent="0.3">
      <c r="A1182" t="s">
        <v>1278</v>
      </c>
      <c r="B1182" t="s">
        <v>43</v>
      </c>
      <c r="C1182" s="7">
        <v>45704</v>
      </c>
      <c r="D1182" s="7">
        <v>45712</v>
      </c>
      <c r="E1182" t="s">
        <v>26</v>
      </c>
      <c r="F1182" t="s">
        <v>39</v>
      </c>
      <c r="G1182">
        <v>4</v>
      </c>
      <c r="H1182" t="s">
        <v>18</v>
      </c>
      <c r="I1182" t="s">
        <v>23</v>
      </c>
      <c r="J1182">
        <f>orders[[#This Row],[Ship Date]]-orders[[#This Row],[Order Date]]</f>
        <v>8</v>
      </c>
      <c r="K1182">
        <f>WEEKNUM(orders[[#This Row],[Order Date]])</f>
        <v>8</v>
      </c>
      <c r="L1182" t="str" cm="1">
        <f t="array" ref="L1182">_xlfn.IFS(orders[[#This Row],[Customer Gender]]="M","Male", orders[[#This Row],[Customer Gender]]="F","Female", orders[[#This Row],[Customer Gender]]="O","Other", TRUE,"Unknown")</f>
        <v>Female</v>
      </c>
      <c r="M1182">
        <v>7</v>
      </c>
      <c r="N1182">
        <v>15.3</v>
      </c>
      <c r="O1182" s="5">
        <v>107.10000000000001</v>
      </c>
    </row>
    <row r="1183" spans="1:15" x14ac:dyDescent="0.3">
      <c r="A1183" t="s">
        <v>1279</v>
      </c>
      <c r="B1183" t="s">
        <v>122</v>
      </c>
      <c r="C1183" s="7">
        <v>45704</v>
      </c>
      <c r="D1183" s="7">
        <v>45707</v>
      </c>
      <c r="E1183" t="s">
        <v>22</v>
      </c>
      <c r="F1183" t="s">
        <v>34</v>
      </c>
      <c r="G1183">
        <v>4</v>
      </c>
      <c r="H1183" t="s">
        <v>18</v>
      </c>
      <c r="I1183" t="s">
        <v>32</v>
      </c>
      <c r="J1183">
        <f>orders[[#This Row],[Ship Date]]-orders[[#This Row],[Order Date]]</f>
        <v>3</v>
      </c>
      <c r="K1183">
        <f>WEEKNUM(orders[[#This Row],[Order Date]])</f>
        <v>8</v>
      </c>
      <c r="L1183" t="str" cm="1">
        <f t="array" ref="L1183">_xlfn.IFS(orders[[#This Row],[Customer Gender]]="M","Male", orders[[#This Row],[Customer Gender]]="F","Female", orders[[#This Row],[Customer Gender]]="O","Other", TRUE,"Unknown")</f>
        <v>Male</v>
      </c>
      <c r="M1183">
        <v>4</v>
      </c>
      <c r="N1183">
        <v>21.3</v>
      </c>
      <c r="O1183">
        <v>85.2</v>
      </c>
    </row>
    <row r="1184" spans="1:15" x14ac:dyDescent="0.3">
      <c r="A1184" t="s">
        <v>1280</v>
      </c>
      <c r="B1184" t="s">
        <v>16</v>
      </c>
      <c r="C1184" s="7">
        <v>45704</v>
      </c>
      <c r="D1184" s="7">
        <v>45704</v>
      </c>
      <c r="E1184" t="s">
        <v>2517</v>
      </c>
      <c r="F1184" t="s">
        <v>50</v>
      </c>
      <c r="G1184">
        <v>3</v>
      </c>
      <c r="H1184" t="s">
        <v>18</v>
      </c>
      <c r="I1184" t="s">
        <v>32</v>
      </c>
      <c r="J1184">
        <f>orders[[#This Row],[Ship Date]]-orders[[#This Row],[Order Date]]</f>
        <v>0</v>
      </c>
      <c r="K1184">
        <f>WEEKNUM(orders[[#This Row],[Order Date]])</f>
        <v>8</v>
      </c>
      <c r="L1184" t="str" cm="1">
        <f t="array" ref="L1184">_xlfn.IFS(orders[[#This Row],[Customer Gender]]="M","Male", orders[[#This Row],[Customer Gender]]="F","Female", orders[[#This Row],[Customer Gender]]="O","Other", TRUE,"Unknown")</f>
        <v>Unknown</v>
      </c>
      <c r="M1184">
        <v>2</v>
      </c>
      <c r="N1184">
        <v>23.2</v>
      </c>
      <c r="O1184" s="5">
        <v>46.4</v>
      </c>
    </row>
    <row r="1185" spans="1:15" x14ac:dyDescent="0.3">
      <c r="A1185" t="s">
        <v>1281</v>
      </c>
      <c r="B1185" t="s">
        <v>31</v>
      </c>
      <c r="C1185" s="7">
        <v>45704</v>
      </c>
      <c r="D1185" s="7">
        <v>45705</v>
      </c>
      <c r="E1185" t="s">
        <v>22</v>
      </c>
      <c r="F1185" t="s">
        <v>69</v>
      </c>
      <c r="G1185">
        <v>4</v>
      </c>
      <c r="H1185" t="s">
        <v>18</v>
      </c>
      <c r="I1185" t="s">
        <v>32</v>
      </c>
      <c r="J1185">
        <f>orders[[#This Row],[Ship Date]]-orders[[#This Row],[Order Date]]</f>
        <v>1</v>
      </c>
      <c r="K1185">
        <f>WEEKNUM(orders[[#This Row],[Order Date]])</f>
        <v>8</v>
      </c>
      <c r="L1185" t="str" cm="1">
        <f t="array" ref="L1185">_xlfn.IFS(orders[[#This Row],[Customer Gender]]="M","Male", orders[[#This Row],[Customer Gender]]="F","Female", orders[[#This Row],[Customer Gender]]="O","Other", TRUE,"Unknown")</f>
        <v>Male</v>
      </c>
      <c r="M1185">
        <v>3</v>
      </c>
      <c r="N1185">
        <v>25.7</v>
      </c>
      <c r="O1185">
        <v>77.099999999999994</v>
      </c>
    </row>
    <row r="1186" spans="1:15" x14ac:dyDescent="0.3">
      <c r="A1186" t="s">
        <v>1282</v>
      </c>
      <c r="B1186" t="s">
        <v>16</v>
      </c>
      <c r="C1186" s="7">
        <v>45704</v>
      </c>
      <c r="D1186" s="7">
        <v>45706</v>
      </c>
      <c r="E1186" t="s">
        <v>26</v>
      </c>
      <c r="F1186" t="s">
        <v>17</v>
      </c>
      <c r="G1186">
        <v>4</v>
      </c>
      <c r="H1186" t="s">
        <v>18</v>
      </c>
      <c r="I1186" t="s">
        <v>32</v>
      </c>
      <c r="J1186">
        <f>orders[[#This Row],[Ship Date]]-orders[[#This Row],[Order Date]]</f>
        <v>2</v>
      </c>
      <c r="K1186">
        <f>WEEKNUM(orders[[#This Row],[Order Date]])</f>
        <v>8</v>
      </c>
      <c r="L1186" t="str" cm="1">
        <f t="array" ref="L1186">_xlfn.IFS(orders[[#This Row],[Customer Gender]]="M","Male", orders[[#This Row],[Customer Gender]]="F","Female", orders[[#This Row],[Customer Gender]]="O","Other", TRUE,"Unknown")</f>
        <v>Female</v>
      </c>
      <c r="M1186">
        <v>9</v>
      </c>
      <c r="N1186">
        <v>31.6</v>
      </c>
      <c r="O1186" s="5">
        <v>284.40000000000003</v>
      </c>
    </row>
    <row r="1187" spans="1:15" x14ac:dyDescent="0.3">
      <c r="A1187" t="s">
        <v>1283</v>
      </c>
      <c r="B1187" t="s">
        <v>38</v>
      </c>
      <c r="C1187" s="7">
        <v>45704</v>
      </c>
      <c r="D1187" s="7">
        <v>45709</v>
      </c>
      <c r="E1187" t="s">
        <v>22</v>
      </c>
      <c r="F1187" t="s">
        <v>17</v>
      </c>
      <c r="G1187">
        <v>4</v>
      </c>
      <c r="H1187" t="s">
        <v>18</v>
      </c>
      <c r="I1187" t="s">
        <v>32</v>
      </c>
      <c r="J1187">
        <f>orders[[#This Row],[Ship Date]]-orders[[#This Row],[Order Date]]</f>
        <v>5</v>
      </c>
      <c r="K1187">
        <f>WEEKNUM(orders[[#This Row],[Order Date]])</f>
        <v>8</v>
      </c>
      <c r="L1187" t="str" cm="1">
        <f t="array" ref="L1187">_xlfn.IFS(orders[[#This Row],[Customer Gender]]="M","Male", orders[[#This Row],[Customer Gender]]="F","Female", orders[[#This Row],[Customer Gender]]="O","Other", TRUE,"Unknown")</f>
        <v>Male</v>
      </c>
      <c r="M1187">
        <v>1</v>
      </c>
      <c r="N1187">
        <v>64.2</v>
      </c>
      <c r="O1187">
        <v>64.2</v>
      </c>
    </row>
    <row r="1188" spans="1:15" x14ac:dyDescent="0.3">
      <c r="A1188" t="s">
        <v>1284</v>
      </c>
      <c r="B1188" t="s">
        <v>43</v>
      </c>
      <c r="C1188" s="7">
        <v>45704</v>
      </c>
      <c r="D1188" s="7">
        <v>45706</v>
      </c>
      <c r="E1188" t="s">
        <v>2517</v>
      </c>
      <c r="F1188" t="s">
        <v>17</v>
      </c>
      <c r="G1188">
        <v>4</v>
      </c>
      <c r="H1188" t="s">
        <v>18</v>
      </c>
      <c r="I1188" t="s">
        <v>32</v>
      </c>
      <c r="J1188">
        <f>orders[[#This Row],[Ship Date]]-orders[[#This Row],[Order Date]]</f>
        <v>2</v>
      </c>
      <c r="K1188">
        <f>WEEKNUM(orders[[#This Row],[Order Date]])</f>
        <v>8</v>
      </c>
      <c r="L1188" t="str" cm="1">
        <f t="array" ref="L1188">_xlfn.IFS(orders[[#This Row],[Customer Gender]]="M","Male", orders[[#This Row],[Customer Gender]]="F","Female", orders[[#This Row],[Customer Gender]]="O","Other", TRUE,"Unknown")</f>
        <v>Unknown</v>
      </c>
      <c r="M1188">
        <v>2</v>
      </c>
      <c r="N1188">
        <v>55.8</v>
      </c>
      <c r="O1188" s="5">
        <v>111.6</v>
      </c>
    </row>
    <row r="1189" spans="1:15" x14ac:dyDescent="0.3">
      <c r="A1189" t="s">
        <v>1285</v>
      </c>
      <c r="B1189" t="s">
        <v>43</v>
      </c>
      <c r="C1189" s="7">
        <v>45704</v>
      </c>
      <c r="D1189" s="7">
        <v>45705</v>
      </c>
      <c r="E1189" t="s">
        <v>26</v>
      </c>
      <c r="F1189" t="s">
        <v>69</v>
      </c>
      <c r="G1189">
        <v>3</v>
      </c>
      <c r="H1189" t="s">
        <v>18</v>
      </c>
      <c r="I1189" t="s">
        <v>32</v>
      </c>
      <c r="J1189">
        <f>orders[[#This Row],[Ship Date]]-orders[[#This Row],[Order Date]]</f>
        <v>1</v>
      </c>
      <c r="K1189">
        <f>WEEKNUM(orders[[#This Row],[Order Date]])</f>
        <v>8</v>
      </c>
      <c r="L1189" t="str" cm="1">
        <f t="array" ref="L1189">_xlfn.IFS(orders[[#This Row],[Customer Gender]]="M","Male", orders[[#This Row],[Customer Gender]]="F","Female", orders[[#This Row],[Customer Gender]]="O","Other", TRUE,"Unknown")</f>
        <v>Female</v>
      </c>
      <c r="M1189">
        <v>2</v>
      </c>
      <c r="N1189">
        <v>28.1</v>
      </c>
      <c r="O1189">
        <v>56.2</v>
      </c>
    </row>
    <row r="1190" spans="1:15" x14ac:dyDescent="0.3">
      <c r="A1190" t="s">
        <v>1286</v>
      </c>
      <c r="B1190" t="s">
        <v>16</v>
      </c>
      <c r="C1190" s="7">
        <v>45704</v>
      </c>
      <c r="D1190" s="7">
        <v>45706</v>
      </c>
      <c r="E1190" t="s">
        <v>26</v>
      </c>
      <c r="F1190" t="s">
        <v>34</v>
      </c>
      <c r="G1190">
        <v>4</v>
      </c>
      <c r="H1190" t="s">
        <v>18</v>
      </c>
      <c r="I1190" t="s">
        <v>185</v>
      </c>
      <c r="J1190">
        <f>orders[[#This Row],[Ship Date]]-orders[[#This Row],[Order Date]]</f>
        <v>2</v>
      </c>
      <c r="K1190">
        <f>WEEKNUM(orders[[#This Row],[Order Date]])</f>
        <v>8</v>
      </c>
      <c r="L1190" t="str" cm="1">
        <f t="array" ref="L1190">_xlfn.IFS(orders[[#This Row],[Customer Gender]]="M","Male", orders[[#This Row],[Customer Gender]]="F","Female", orders[[#This Row],[Customer Gender]]="O","Other", TRUE,"Unknown")</f>
        <v>Female</v>
      </c>
      <c r="M1190">
        <v>2</v>
      </c>
      <c r="N1190">
        <v>11.6</v>
      </c>
      <c r="O1190" s="5">
        <v>23.2</v>
      </c>
    </row>
    <row r="1191" spans="1:15" x14ac:dyDescent="0.3">
      <c r="A1191" t="s">
        <v>1287</v>
      </c>
      <c r="B1191" t="s">
        <v>36</v>
      </c>
      <c r="C1191" s="7">
        <v>45704</v>
      </c>
      <c r="D1191" s="7">
        <v>45705</v>
      </c>
      <c r="E1191" t="s">
        <v>22</v>
      </c>
      <c r="F1191" t="s">
        <v>69</v>
      </c>
      <c r="G1191">
        <v>5</v>
      </c>
      <c r="H1191" t="s">
        <v>18</v>
      </c>
      <c r="I1191" t="s">
        <v>187</v>
      </c>
      <c r="J1191">
        <f>orders[[#This Row],[Ship Date]]-orders[[#This Row],[Order Date]]</f>
        <v>1</v>
      </c>
      <c r="K1191">
        <f>WEEKNUM(orders[[#This Row],[Order Date]])</f>
        <v>8</v>
      </c>
      <c r="L1191" t="str" cm="1">
        <f t="array" ref="L1191">_xlfn.IFS(orders[[#This Row],[Customer Gender]]="M","Male", orders[[#This Row],[Customer Gender]]="F","Female", orders[[#This Row],[Customer Gender]]="O","Other", TRUE,"Unknown")</f>
        <v>Male</v>
      </c>
      <c r="M1191">
        <v>3</v>
      </c>
      <c r="N1191">
        <v>50.4</v>
      </c>
      <c r="O1191">
        <v>151.19999999999999</v>
      </c>
    </row>
    <row r="1192" spans="1:15" x14ac:dyDescent="0.3">
      <c r="A1192" t="s">
        <v>1288</v>
      </c>
      <c r="B1192" t="s">
        <v>38</v>
      </c>
      <c r="C1192" s="7">
        <v>45704</v>
      </c>
      <c r="D1192" s="7">
        <v>45708</v>
      </c>
      <c r="E1192" t="s">
        <v>26</v>
      </c>
      <c r="F1192" t="s">
        <v>17</v>
      </c>
      <c r="G1192">
        <v>4</v>
      </c>
      <c r="H1192" t="s">
        <v>18</v>
      </c>
      <c r="I1192" t="s">
        <v>187</v>
      </c>
      <c r="J1192">
        <f>orders[[#This Row],[Ship Date]]-orders[[#This Row],[Order Date]]</f>
        <v>4</v>
      </c>
      <c r="K1192">
        <f>WEEKNUM(orders[[#This Row],[Order Date]])</f>
        <v>8</v>
      </c>
      <c r="L1192" t="str" cm="1">
        <f t="array" ref="L1192">_xlfn.IFS(orders[[#This Row],[Customer Gender]]="M","Male", orders[[#This Row],[Customer Gender]]="F","Female", orders[[#This Row],[Customer Gender]]="O","Other", TRUE,"Unknown")</f>
        <v>Female</v>
      </c>
      <c r="M1192">
        <v>6</v>
      </c>
      <c r="N1192">
        <v>48.3</v>
      </c>
      <c r="O1192" s="5">
        <v>289.79999999999995</v>
      </c>
    </row>
    <row r="1193" spans="1:15" x14ac:dyDescent="0.3">
      <c r="A1193" t="s">
        <v>1289</v>
      </c>
      <c r="B1193" t="s">
        <v>134</v>
      </c>
      <c r="C1193" s="7">
        <v>45704</v>
      </c>
      <c r="D1193" s="7">
        <v>45706</v>
      </c>
      <c r="E1193" t="s">
        <v>26</v>
      </c>
      <c r="F1193" t="s">
        <v>39</v>
      </c>
      <c r="G1193">
        <v>4</v>
      </c>
      <c r="H1193" t="s">
        <v>18</v>
      </c>
      <c r="I1193" t="s">
        <v>187</v>
      </c>
      <c r="J1193">
        <f>orders[[#This Row],[Ship Date]]-orders[[#This Row],[Order Date]]</f>
        <v>2</v>
      </c>
      <c r="K1193">
        <f>WEEKNUM(orders[[#This Row],[Order Date]])</f>
        <v>8</v>
      </c>
      <c r="L1193" t="str" cm="1">
        <f t="array" ref="L1193">_xlfn.IFS(orders[[#This Row],[Customer Gender]]="M","Male", orders[[#This Row],[Customer Gender]]="F","Female", orders[[#This Row],[Customer Gender]]="O","Other", TRUE,"Unknown")</f>
        <v>Female</v>
      </c>
      <c r="M1193">
        <v>7</v>
      </c>
      <c r="N1193">
        <v>32.200000000000003</v>
      </c>
      <c r="O1193">
        <v>225.40000000000003</v>
      </c>
    </row>
    <row r="1194" spans="1:15" x14ac:dyDescent="0.3">
      <c r="A1194" t="s">
        <v>1290</v>
      </c>
      <c r="B1194" t="s">
        <v>41</v>
      </c>
      <c r="C1194" s="7">
        <v>45704</v>
      </c>
      <c r="D1194" s="7">
        <v>45705</v>
      </c>
      <c r="E1194" t="s">
        <v>22</v>
      </c>
      <c r="F1194" t="s">
        <v>17</v>
      </c>
      <c r="G1194">
        <v>4</v>
      </c>
      <c r="H1194" t="s">
        <v>18</v>
      </c>
      <c r="I1194" t="s">
        <v>51</v>
      </c>
      <c r="J1194">
        <f>orders[[#This Row],[Ship Date]]-orders[[#This Row],[Order Date]]</f>
        <v>1</v>
      </c>
      <c r="K1194">
        <f>WEEKNUM(orders[[#This Row],[Order Date]])</f>
        <v>8</v>
      </c>
      <c r="L1194" t="str" cm="1">
        <f t="array" ref="L1194">_xlfn.IFS(orders[[#This Row],[Customer Gender]]="M","Male", orders[[#This Row],[Customer Gender]]="F","Female", orders[[#This Row],[Customer Gender]]="O","Other", TRUE,"Unknown")</f>
        <v>Male</v>
      </c>
      <c r="M1194">
        <v>28</v>
      </c>
      <c r="N1194">
        <v>48.5</v>
      </c>
      <c r="O1194" s="5">
        <v>1358</v>
      </c>
    </row>
    <row r="1195" spans="1:15" x14ac:dyDescent="0.3">
      <c r="A1195" t="s">
        <v>1291</v>
      </c>
      <c r="B1195" t="s">
        <v>25</v>
      </c>
      <c r="C1195" s="7">
        <v>45704</v>
      </c>
      <c r="D1195" s="7">
        <v>45707</v>
      </c>
      <c r="E1195" t="s">
        <v>26</v>
      </c>
      <c r="F1195" t="s">
        <v>34</v>
      </c>
      <c r="G1195">
        <v>4</v>
      </c>
      <c r="H1195" t="s">
        <v>18</v>
      </c>
      <c r="I1195" t="s">
        <v>54</v>
      </c>
      <c r="J1195">
        <f>orders[[#This Row],[Ship Date]]-orders[[#This Row],[Order Date]]</f>
        <v>3</v>
      </c>
      <c r="K1195">
        <f>WEEKNUM(orders[[#This Row],[Order Date]])</f>
        <v>8</v>
      </c>
      <c r="L1195" t="str" cm="1">
        <f t="array" ref="L1195">_xlfn.IFS(orders[[#This Row],[Customer Gender]]="M","Male", orders[[#This Row],[Customer Gender]]="F","Female", orders[[#This Row],[Customer Gender]]="O","Other", TRUE,"Unknown")</f>
        <v>Female</v>
      </c>
      <c r="M1195">
        <v>5</v>
      </c>
      <c r="N1195">
        <v>62</v>
      </c>
      <c r="O1195">
        <v>310</v>
      </c>
    </row>
    <row r="1196" spans="1:15" x14ac:dyDescent="0.3">
      <c r="A1196" t="s">
        <v>1292</v>
      </c>
      <c r="B1196" t="s">
        <v>43</v>
      </c>
      <c r="C1196" s="7">
        <v>45705</v>
      </c>
      <c r="D1196" s="7">
        <v>45707</v>
      </c>
      <c r="E1196" t="s">
        <v>22</v>
      </c>
      <c r="F1196" t="s">
        <v>17</v>
      </c>
      <c r="G1196">
        <v>4</v>
      </c>
      <c r="H1196" t="s">
        <v>18</v>
      </c>
      <c r="I1196" t="s">
        <v>54</v>
      </c>
      <c r="J1196">
        <f>orders[[#This Row],[Ship Date]]-orders[[#This Row],[Order Date]]</f>
        <v>2</v>
      </c>
      <c r="K1196">
        <f>WEEKNUM(orders[[#This Row],[Order Date]])</f>
        <v>8</v>
      </c>
      <c r="L1196" t="str" cm="1">
        <f t="array" ref="L1196">_xlfn.IFS(orders[[#This Row],[Customer Gender]]="M","Male", orders[[#This Row],[Customer Gender]]="F","Female", orders[[#This Row],[Customer Gender]]="O","Other", TRUE,"Unknown")</f>
        <v>Male</v>
      </c>
      <c r="M1196">
        <v>3</v>
      </c>
      <c r="N1196">
        <v>32.1</v>
      </c>
      <c r="O1196" s="5">
        <v>96.300000000000011</v>
      </c>
    </row>
    <row r="1197" spans="1:15" x14ac:dyDescent="0.3">
      <c r="A1197" t="s">
        <v>1293</v>
      </c>
      <c r="B1197" t="s">
        <v>68</v>
      </c>
      <c r="C1197" s="7">
        <v>45705</v>
      </c>
      <c r="D1197" s="7">
        <v>45707</v>
      </c>
      <c r="E1197" t="s">
        <v>22</v>
      </c>
      <c r="F1197" t="s">
        <v>17</v>
      </c>
      <c r="G1197">
        <v>3</v>
      </c>
      <c r="H1197" t="s">
        <v>18</v>
      </c>
      <c r="I1197" t="s">
        <v>58</v>
      </c>
      <c r="J1197">
        <f>orders[[#This Row],[Ship Date]]-orders[[#This Row],[Order Date]]</f>
        <v>2</v>
      </c>
      <c r="K1197">
        <f>WEEKNUM(orders[[#This Row],[Order Date]])</f>
        <v>8</v>
      </c>
      <c r="L1197" t="str" cm="1">
        <f t="array" ref="L1197">_xlfn.IFS(orders[[#This Row],[Customer Gender]]="M","Male", orders[[#This Row],[Customer Gender]]="F","Female", orders[[#This Row],[Customer Gender]]="O","Other", TRUE,"Unknown")</f>
        <v>Male</v>
      </c>
      <c r="M1197">
        <v>3</v>
      </c>
      <c r="N1197">
        <v>106.1</v>
      </c>
      <c r="O1197">
        <v>318.29999999999995</v>
      </c>
    </row>
    <row r="1198" spans="1:15" x14ac:dyDescent="0.3">
      <c r="A1198" t="s">
        <v>1294</v>
      </c>
      <c r="B1198" t="s">
        <v>53</v>
      </c>
      <c r="C1198" s="7">
        <v>45705</v>
      </c>
      <c r="D1198" s="7">
        <v>45708</v>
      </c>
      <c r="E1198" t="s">
        <v>22</v>
      </c>
      <c r="F1198" t="s">
        <v>17</v>
      </c>
      <c r="G1198">
        <v>2</v>
      </c>
      <c r="H1198" t="s">
        <v>18</v>
      </c>
      <c r="I1198" t="s">
        <v>58</v>
      </c>
      <c r="J1198">
        <f>orders[[#This Row],[Ship Date]]-orders[[#This Row],[Order Date]]</f>
        <v>3</v>
      </c>
      <c r="K1198">
        <f>WEEKNUM(orders[[#This Row],[Order Date]])</f>
        <v>8</v>
      </c>
      <c r="L1198" t="str" cm="1">
        <f t="array" ref="L1198">_xlfn.IFS(orders[[#This Row],[Customer Gender]]="M","Male", orders[[#This Row],[Customer Gender]]="F","Female", orders[[#This Row],[Customer Gender]]="O","Other", TRUE,"Unknown")</f>
        <v>Male</v>
      </c>
      <c r="M1198">
        <v>3</v>
      </c>
      <c r="N1198">
        <v>23.5</v>
      </c>
      <c r="O1198" s="5">
        <v>70.5</v>
      </c>
    </row>
    <row r="1199" spans="1:15" x14ac:dyDescent="0.3">
      <c r="A1199" t="s">
        <v>1295</v>
      </c>
      <c r="B1199" t="s">
        <v>21</v>
      </c>
      <c r="C1199" s="7">
        <v>45705</v>
      </c>
      <c r="D1199" s="7">
        <v>45710</v>
      </c>
      <c r="E1199" t="s">
        <v>22</v>
      </c>
      <c r="F1199" t="s">
        <v>69</v>
      </c>
      <c r="G1199">
        <v>4</v>
      </c>
      <c r="H1199" t="s">
        <v>18</v>
      </c>
      <c r="I1199" t="s">
        <v>61</v>
      </c>
      <c r="J1199">
        <f>orders[[#This Row],[Ship Date]]-orders[[#This Row],[Order Date]]</f>
        <v>5</v>
      </c>
      <c r="K1199">
        <f>WEEKNUM(orders[[#This Row],[Order Date]])</f>
        <v>8</v>
      </c>
      <c r="L1199" t="str" cm="1">
        <f t="array" ref="L1199">_xlfn.IFS(orders[[#This Row],[Customer Gender]]="M","Male", orders[[#This Row],[Customer Gender]]="F","Female", orders[[#This Row],[Customer Gender]]="O","Other", TRUE,"Unknown")</f>
        <v>Male</v>
      </c>
      <c r="M1199">
        <v>2</v>
      </c>
      <c r="N1199">
        <v>35.6</v>
      </c>
      <c r="O1199">
        <v>71.2</v>
      </c>
    </row>
    <row r="1200" spans="1:15" x14ac:dyDescent="0.3">
      <c r="A1200" t="s">
        <v>1296</v>
      </c>
      <c r="B1200" t="s">
        <v>21</v>
      </c>
      <c r="C1200" s="7">
        <v>45705</v>
      </c>
      <c r="D1200" s="7">
        <v>45705</v>
      </c>
      <c r="E1200" t="s">
        <v>26</v>
      </c>
      <c r="F1200" t="s">
        <v>34</v>
      </c>
      <c r="G1200">
        <v>5</v>
      </c>
      <c r="H1200" t="s">
        <v>18</v>
      </c>
      <c r="I1200" t="s">
        <v>61</v>
      </c>
      <c r="J1200">
        <f>orders[[#This Row],[Ship Date]]-orders[[#This Row],[Order Date]]</f>
        <v>0</v>
      </c>
      <c r="K1200">
        <f>WEEKNUM(orders[[#This Row],[Order Date]])</f>
        <v>8</v>
      </c>
      <c r="L1200" t="str" cm="1">
        <f t="array" ref="L1200">_xlfn.IFS(orders[[#This Row],[Customer Gender]]="M","Male", orders[[#This Row],[Customer Gender]]="F","Female", orders[[#This Row],[Customer Gender]]="O","Other", TRUE,"Unknown")</f>
        <v>Female</v>
      </c>
      <c r="M1200">
        <v>2</v>
      </c>
      <c r="N1200">
        <v>63.5</v>
      </c>
      <c r="O1200" s="5">
        <v>127</v>
      </c>
    </row>
    <row r="1201" spans="1:15" x14ac:dyDescent="0.3">
      <c r="A1201" t="s">
        <v>1297</v>
      </c>
      <c r="B1201" t="s">
        <v>38</v>
      </c>
      <c r="C1201" s="7">
        <v>45705</v>
      </c>
      <c r="D1201" s="7">
        <v>45710</v>
      </c>
      <c r="E1201" t="s">
        <v>26</v>
      </c>
      <c r="F1201" t="s">
        <v>69</v>
      </c>
      <c r="G1201">
        <v>4</v>
      </c>
      <c r="H1201" t="s">
        <v>18</v>
      </c>
      <c r="I1201" t="s">
        <v>71</v>
      </c>
      <c r="J1201">
        <f>orders[[#This Row],[Ship Date]]-orders[[#This Row],[Order Date]]</f>
        <v>5</v>
      </c>
      <c r="K1201">
        <f>WEEKNUM(orders[[#This Row],[Order Date]])</f>
        <v>8</v>
      </c>
      <c r="L1201" t="str" cm="1">
        <f t="array" ref="L1201">_xlfn.IFS(orders[[#This Row],[Customer Gender]]="M","Male", orders[[#This Row],[Customer Gender]]="F","Female", orders[[#This Row],[Customer Gender]]="O","Other", TRUE,"Unknown")</f>
        <v>Female</v>
      </c>
      <c r="M1201">
        <v>7</v>
      </c>
      <c r="N1201">
        <v>82.9</v>
      </c>
      <c r="O1201">
        <v>580.30000000000007</v>
      </c>
    </row>
    <row r="1202" spans="1:15" x14ac:dyDescent="0.3">
      <c r="A1202" t="s">
        <v>1298</v>
      </c>
      <c r="B1202" t="s">
        <v>38</v>
      </c>
      <c r="C1202" s="7">
        <v>45705</v>
      </c>
      <c r="D1202" s="7">
        <v>45710</v>
      </c>
      <c r="E1202" t="s">
        <v>26</v>
      </c>
      <c r="F1202" t="s">
        <v>17</v>
      </c>
      <c r="G1202">
        <v>4</v>
      </c>
      <c r="H1202" t="s">
        <v>18</v>
      </c>
      <c r="I1202" t="s">
        <v>76</v>
      </c>
      <c r="J1202">
        <f>orders[[#This Row],[Ship Date]]-orders[[#This Row],[Order Date]]</f>
        <v>5</v>
      </c>
      <c r="K1202">
        <f>WEEKNUM(orders[[#This Row],[Order Date]])</f>
        <v>8</v>
      </c>
      <c r="L1202" t="str" cm="1">
        <f t="array" ref="L1202">_xlfn.IFS(orders[[#This Row],[Customer Gender]]="M","Male", orders[[#This Row],[Customer Gender]]="F","Female", orders[[#This Row],[Customer Gender]]="O","Other", TRUE,"Unknown")</f>
        <v>Female</v>
      </c>
      <c r="M1202">
        <v>2</v>
      </c>
      <c r="N1202">
        <v>83.6</v>
      </c>
      <c r="O1202" s="5">
        <v>167.2</v>
      </c>
    </row>
    <row r="1203" spans="1:15" x14ac:dyDescent="0.3">
      <c r="A1203" t="s">
        <v>1299</v>
      </c>
      <c r="B1203" t="s">
        <v>31</v>
      </c>
      <c r="C1203" s="7">
        <v>45705</v>
      </c>
      <c r="D1203" s="7">
        <v>45705</v>
      </c>
      <c r="E1203" t="s">
        <v>26</v>
      </c>
      <c r="F1203" t="s">
        <v>17</v>
      </c>
      <c r="G1203">
        <v>3</v>
      </c>
      <c r="H1203" t="s">
        <v>18</v>
      </c>
      <c r="I1203" t="s">
        <v>267</v>
      </c>
      <c r="J1203">
        <f>orders[[#This Row],[Ship Date]]-orders[[#This Row],[Order Date]]</f>
        <v>0</v>
      </c>
      <c r="K1203">
        <f>WEEKNUM(orders[[#This Row],[Order Date]])</f>
        <v>8</v>
      </c>
      <c r="L1203" t="str" cm="1">
        <f t="array" ref="L1203">_xlfn.IFS(orders[[#This Row],[Customer Gender]]="M","Male", orders[[#This Row],[Customer Gender]]="F","Female", orders[[#This Row],[Customer Gender]]="O","Other", TRUE,"Unknown")</f>
        <v>Female</v>
      </c>
      <c r="M1203">
        <v>2</v>
      </c>
      <c r="N1203">
        <v>29.4</v>
      </c>
      <c r="O1203">
        <v>58.8</v>
      </c>
    </row>
    <row r="1204" spans="1:15" x14ac:dyDescent="0.3">
      <c r="A1204" t="s">
        <v>1300</v>
      </c>
      <c r="B1204" t="s">
        <v>25</v>
      </c>
      <c r="C1204" s="7">
        <v>45705</v>
      </c>
      <c r="D1204" s="7">
        <v>45709</v>
      </c>
      <c r="E1204" t="s">
        <v>26</v>
      </c>
      <c r="F1204" t="s">
        <v>39</v>
      </c>
      <c r="G1204">
        <v>4</v>
      </c>
      <c r="H1204" t="s">
        <v>18</v>
      </c>
      <c r="I1204" t="s">
        <v>112</v>
      </c>
      <c r="J1204">
        <f>orders[[#This Row],[Ship Date]]-orders[[#This Row],[Order Date]]</f>
        <v>4</v>
      </c>
      <c r="K1204">
        <f>WEEKNUM(orders[[#This Row],[Order Date]])</f>
        <v>8</v>
      </c>
      <c r="L1204" t="str" cm="1">
        <f t="array" ref="L1204">_xlfn.IFS(orders[[#This Row],[Customer Gender]]="M","Male", orders[[#This Row],[Customer Gender]]="F","Female", orders[[#This Row],[Customer Gender]]="O","Other", TRUE,"Unknown")</f>
        <v>Female</v>
      </c>
      <c r="M1204">
        <v>3</v>
      </c>
      <c r="N1204">
        <v>107.1</v>
      </c>
      <c r="O1204" s="5">
        <v>321.29999999999995</v>
      </c>
    </row>
    <row r="1205" spans="1:15" x14ac:dyDescent="0.3">
      <c r="A1205" t="s">
        <v>1301</v>
      </c>
      <c r="B1205" t="s">
        <v>25</v>
      </c>
      <c r="C1205" s="7">
        <v>45705</v>
      </c>
      <c r="D1205" s="7">
        <v>45709</v>
      </c>
      <c r="E1205" t="s">
        <v>22</v>
      </c>
      <c r="F1205" t="s">
        <v>34</v>
      </c>
      <c r="G1205">
        <v>4</v>
      </c>
      <c r="H1205" t="s">
        <v>18</v>
      </c>
      <c r="I1205" t="s">
        <v>114</v>
      </c>
      <c r="J1205">
        <f>orders[[#This Row],[Ship Date]]-orders[[#This Row],[Order Date]]</f>
        <v>4</v>
      </c>
      <c r="K1205">
        <f>WEEKNUM(orders[[#This Row],[Order Date]])</f>
        <v>8</v>
      </c>
      <c r="L1205" t="str" cm="1">
        <f t="array" ref="L1205">_xlfn.IFS(orders[[#This Row],[Customer Gender]]="M","Male", orders[[#This Row],[Customer Gender]]="F","Female", orders[[#This Row],[Customer Gender]]="O","Other", TRUE,"Unknown")</f>
        <v>Male</v>
      </c>
      <c r="M1205">
        <v>1</v>
      </c>
      <c r="N1205">
        <v>62.7</v>
      </c>
      <c r="O1205">
        <v>62.7</v>
      </c>
    </row>
    <row r="1206" spans="1:15" x14ac:dyDescent="0.3">
      <c r="A1206" t="s">
        <v>1302</v>
      </c>
      <c r="B1206" t="s">
        <v>66</v>
      </c>
      <c r="C1206" s="7">
        <v>45705</v>
      </c>
      <c r="D1206" s="7">
        <v>45706</v>
      </c>
      <c r="E1206" t="s">
        <v>22</v>
      </c>
      <c r="F1206" t="s">
        <v>17</v>
      </c>
      <c r="G1206">
        <v>3</v>
      </c>
      <c r="H1206" t="s">
        <v>18</v>
      </c>
      <c r="I1206" t="s">
        <v>23</v>
      </c>
      <c r="J1206">
        <f>orders[[#This Row],[Ship Date]]-orders[[#This Row],[Order Date]]</f>
        <v>1</v>
      </c>
      <c r="K1206">
        <f>WEEKNUM(orders[[#This Row],[Order Date]])</f>
        <v>8</v>
      </c>
      <c r="L1206" t="str" cm="1">
        <f t="array" ref="L1206">_xlfn.IFS(orders[[#This Row],[Customer Gender]]="M","Male", orders[[#This Row],[Customer Gender]]="F","Female", orders[[#This Row],[Customer Gender]]="O","Other", TRUE,"Unknown")</f>
        <v>Male</v>
      </c>
      <c r="M1206">
        <v>1</v>
      </c>
      <c r="N1206">
        <v>41.6</v>
      </c>
      <c r="O1206" s="5">
        <v>41.6</v>
      </c>
    </row>
    <row r="1207" spans="1:15" x14ac:dyDescent="0.3">
      <c r="A1207" t="s">
        <v>1303</v>
      </c>
      <c r="B1207" t="s">
        <v>38</v>
      </c>
      <c r="C1207" s="7">
        <v>45705</v>
      </c>
      <c r="D1207" s="7">
        <v>45706</v>
      </c>
      <c r="E1207" t="s">
        <v>88</v>
      </c>
      <c r="F1207" t="s">
        <v>17</v>
      </c>
      <c r="G1207">
        <v>3</v>
      </c>
      <c r="H1207" t="s">
        <v>18</v>
      </c>
      <c r="I1207" t="s">
        <v>23</v>
      </c>
      <c r="J1207">
        <f>orders[[#This Row],[Ship Date]]-orders[[#This Row],[Order Date]]</f>
        <v>1</v>
      </c>
      <c r="K1207">
        <f>WEEKNUM(orders[[#This Row],[Order Date]])</f>
        <v>8</v>
      </c>
      <c r="L1207" t="str" cm="1">
        <f t="array" ref="L1207">_xlfn.IFS(orders[[#This Row],[Customer Gender]]="M","Male", orders[[#This Row],[Customer Gender]]="F","Female", orders[[#This Row],[Customer Gender]]="O","Other", TRUE,"Unknown")</f>
        <v>Other</v>
      </c>
      <c r="M1207">
        <v>1</v>
      </c>
      <c r="N1207">
        <v>44.2</v>
      </c>
      <c r="O1207">
        <v>44.2</v>
      </c>
    </row>
    <row r="1208" spans="1:15" x14ac:dyDescent="0.3">
      <c r="A1208" t="s">
        <v>1304</v>
      </c>
      <c r="B1208" t="s">
        <v>31</v>
      </c>
      <c r="C1208" s="7">
        <v>45705</v>
      </c>
      <c r="D1208" s="7">
        <v>45718</v>
      </c>
      <c r="E1208" t="s">
        <v>26</v>
      </c>
      <c r="F1208" t="s">
        <v>39</v>
      </c>
      <c r="G1208">
        <v>4</v>
      </c>
      <c r="H1208" t="s">
        <v>18</v>
      </c>
      <c r="I1208" t="s">
        <v>146</v>
      </c>
      <c r="J1208">
        <f>orders[[#This Row],[Ship Date]]-orders[[#This Row],[Order Date]]</f>
        <v>13</v>
      </c>
      <c r="K1208">
        <f>WEEKNUM(orders[[#This Row],[Order Date]])</f>
        <v>8</v>
      </c>
      <c r="L1208" t="str" cm="1">
        <f t="array" ref="L1208">_xlfn.IFS(orders[[#This Row],[Customer Gender]]="M","Male", orders[[#This Row],[Customer Gender]]="F","Female", orders[[#This Row],[Customer Gender]]="O","Other", TRUE,"Unknown")</f>
        <v>Female</v>
      </c>
      <c r="M1208">
        <v>6</v>
      </c>
      <c r="N1208">
        <v>40.4</v>
      </c>
      <c r="O1208" s="5">
        <v>242.39999999999998</v>
      </c>
    </row>
    <row r="1209" spans="1:15" x14ac:dyDescent="0.3">
      <c r="A1209" t="s">
        <v>1305</v>
      </c>
      <c r="B1209" t="s">
        <v>122</v>
      </c>
      <c r="C1209" s="7">
        <v>45705</v>
      </c>
      <c r="D1209" s="7">
        <v>45706</v>
      </c>
      <c r="E1209" t="s">
        <v>26</v>
      </c>
      <c r="F1209" t="s">
        <v>69</v>
      </c>
      <c r="G1209">
        <v>4</v>
      </c>
      <c r="H1209" t="s">
        <v>18</v>
      </c>
      <c r="I1209" t="s">
        <v>333</v>
      </c>
      <c r="J1209">
        <f>orders[[#This Row],[Ship Date]]-orders[[#This Row],[Order Date]]</f>
        <v>1</v>
      </c>
      <c r="K1209">
        <f>WEEKNUM(orders[[#This Row],[Order Date]])</f>
        <v>8</v>
      </c>
      <c r="L1209" t="str" cm="1">
        <f t="array" ref="L1209">_xlfn.IFS(orders[[#This Row],[Customer Gender]]="M","Male", orders[[#This Row],[Customer Gender]]="F","Female", orders[[#This Row],[Customer Gender]]="O","Other", TRUE,"Unknown")</f>
        <v>Female</v>
      </c>
      <c r="M1209">
        <v>6</v>
      </c>
      <c r="N1209">
        <v>59.6</v>
      </c>
      <c r="O1209">
        <v>357.6</v>
      </c>
    </row>
    <row r="1210" spans="1:15" x14ac:dyDescent="0.3">
      <c r="A1210" t="s">
        <v>1306</v>
      </c>
      <c r="B1210" t="s">
        <v>134</v>
      </c>
      <c r="C1210" s="7">
        <v>45705</v>
      </c>
      <c r="D1210" s="7">
        <v>45706</v>
      </c>
      <c r="E1210" t="s">
        <v>22</v>
      </c>
      <c r="F1210" t="s">
        <v>34</v>
      </c>
      <c r="G1210">
        <v>4</v>
      </c>
      <c r="H1210" t="s">
        <v>18</v>
      </c>
      <c r="I1210" t="s">
        <v>32</v>
      </c>
      <c r="J1210">
        <f>orders[[#This Row],[Ship Date]]-orders[[#This Row],[Order Date]]</f>
        <v>1</v>
      </c>
      <c r="K1210">
        <f>WEEKNUM(orders[[#This Row],[Order Date]])</f>
        <v>8</v>
      </c>
      <c r="L1210" t="str" cm="1">
        <f t="array" ref="L1210">_xlfn.IFS(orders[[#This Row],[Customer Gender]]="M","Male", orders[[#This Row],[Customer Gender]]="F","Female", orders[[#This Row],[Customer Gender]]="O","Other", TRUE,"Unknown")</f>
        <v>Male</v>
      </c>
      <c r="M1210">
        <v>12</v>
      </c>
      <c r="N1210">
        <v>63.8</v>
      </c>
      <c r="O1210" s="5">
        <v>765.59999999999991</v>
      </c>
    </row>
    <row r="1211" spans="1:15" x14ac:dyDescent="0.3">
      <c r="A1211" t="s">
        <v>1307</v>
      </c>
      <c r="B1211" t="s">
        <v>45</v>
      </c>
      <c r="C1211" s="7">
        <v>45705</v>
      </c>
      <c r="D1211" s="7">
        <v>45707</v>
      </c>
      <c r="E1211" t="s">
        <v>22</v>
      </c>
      <c r="F1211" t="s">
        <v>69</v>
      </c>
      <c r="G1211">
        <v>4</v>
      </c>
      <c r="H1211" t="s">
        <v>18</v>
      </c>
      <c r="I1211" t="s">
        <v>32</v>
      </c>
      <c r="J1211">
        <f>orders[[#This Row],[Ship Date]]-orders[[#This Row],[Order Date]]</f>
        <v>2</v>
      </c>
      <c r="K1211">
        <f>WEEKNUM(orders[[#This Row],[Order Date]])</f>
        <v>8</v>
      </c>
      <c r="L1211" t="str" cm="1">
        <f t="array" ref="L1211">_xlfn.IFS(orders[[#This Row],[Customer Gender]]="M","Male", orders[[#This Row],[Customer Gender]]="F","Female", orders[[#This Row],[Customer Gender]]="O","Other", TRUE,"Unknown")</f>
        <v>Male</v>
      </c>
      <c r="M1211">
        <v>6</v>
      </c>
      <c r="N1211">
        <v>30.8</v>
      </c>
      <c r="O1211">
        <v>184.8</v>
      </c>
    </row>
    <row r="1212" spans="1:15" x14ac:dyDescent="0.3">
      <c r="A1212" t="s">
        <v>1308</v>
      </c>
      <c r="B1212" t="s">
        <v>21</v>
      </c>
      <c r="C1212" s="7">
        <v>45705</v>
      </c>
      <c r="D1212" s="7">
        <v>45708</v>
      </c>
      <c r="E1212" t="s">
        <v>88</v>
      </c>
      <c r="F1212" t="s">
        <v>17</v>
      </c>
      <c r="G1212">
        <v>4</v>
      </c>
      <c r="H1212" t="s">
        <v>18</v>
      </c>
      <c r="I1212" t="s">
        <v>32</v>
      </c>
      <c r="J1212">
        <f>orders[[#This Row],[Ship Date]]-orders[[#This Row],[Order Date]]</f>
        <v>3</v>
      </c>
      <c r="K1212">
        <f>WEEKNUM(orders[[#This Row],[Order Date]])</f>
        <v>8</v>
      </c>
      <c r="L1212" t="str" cm="1">
        <f t="array" ref="L1212">_xlfn.IFS(orders[[#This Row],[Customer Gender]]="M","Male", orders[[#This Row],[Customer Gender]]="F","Female", orders[[#This Row],[Customer Gender]]="O","Other", TRUE,"Unknown")</f>
        <v>Other</v>
      </c>
      <c r="M1212">
        <v>2</v>
      </c>
      <c r="N1212">
        <v>41.5</v>
      </c>
      <c r="O1212" s="5">
        <v>83</v>
      </c>
    </row>
    <row r="1213" spans="1:15" x14ac:dyDescent="0.3">
      <c r="A1213" t="s">
        <v>1309</v>
      </c>
      <c r="B1213" t="s">
        <v>53</v>
      </c>
      <c r="C1213" s="7">
        <v>45705</v>
      </c>
      <c r="D1213" s="7">
        <v>45707</v>
      </c>
      <c r="E1213" t="s">
        <v>26</v>
      </c>
      <c r="F1213" t="s">
        <v>39</v>
      </c>
      <c r="G1213">
        <v>3</v>
      </c>
      <c r="H1213" t="s">
        <v>18</v>
      </c>
      <c r="I1213" t="s">
        <v>32</v>
      </c>
      <c r="J1213">
        <f>orders[[#This Row],[Ship Date]]-orders[[#This Row],[Order Date]]</f>
        <v>2</v>
      </c>
      <c r="K1213">
        <f>WEEKNUM(orders[[#This Row],[Order Date]])</f>
        <v>8</v>
      </c>
      <c r="L1213" t="str" cm="1">
        <f t="array" ref="L1213">_xlfn.IFS(orders[[#This Row],[Customer Gender]]="M","Male", orders[[#This Row],[Customer Gender]]="F","Female", orders[[#This Row],[Customer Gender]]="O","Other", TRUE,"Unknown")</f>
        <v>Female</v>
      </c>
      <c r="M1213">
        <v>4</v>
      </c>
      <c r="N1213">
        <v>44.7</v>
      </c>
      <c r="O1213">
        <v>178.8</v>
      </c>
    </row>
    <row r="1214" spans="1:15" x14ac:dyDescent="0.3">
      <c r="A1214" t="s">
        <v>1310</v>
      </c>
      <c r="B1214" t="s">
        <v>68</v>
      </c>
      <c r="C1214" s="7">
        <v>45705</v>
      </c>
      <c r="D1214" s="7">
        <v>45709</v>
      </c>
      <c r="E1214" t="s">
        <v>26</v>
      </c>
      <c r="F1214" t="s">
        <v>34</v>
      </c>
      <c r="G1214">
        <v>2</v>
      </c>
      <c r="H1214" t="s">
        <v>18</v>
      </c>
      <c r="I1214" t="s">
        <v>32</v>
      </c>
      <c r="J1214">
        <f>orders[[#This Row],[Ship Date]]-orders[[#This Row],[Order Date]]</f>
        <v>4</v>
      </c>
      <c r="K1214">
        <f>WEEKNUM(orders[[#This Row],[Order Date]])</f>
        <v>8</v>
      </c>
      <c r="L1214" t="str" cm="1">
        <f t="array" ref="L1214">_xlfn.IFS(orders[[#This Row],[Customer Gender]]="M","Male", orders[[#This Row],[Customer Gender]]="F","Female", orders[[#This Row],[Customer Gender]]="O","Other", TRUE,"Unknown")</f>
        <v>Female</v>
      </c>
      <c r="M1214">
        <v>2</v>
      </c>
      <c r="N1214">
        <v>64.099999999999994</v>
      </c>
      <c r="O1214" s="5">
        <v>128.19999999999999</v>
      </c>
    </row>
    <row r="1215" spans="1:15" x14ac:dyDescent="0.3">
      <c r="A1215" t="s">
        <v>1311</v>
      </c>
      <c r="B1215" t="s">
        <v>43</v>
      </c>
      <c r="C1215" s="7">
        <v>45705</v>
      </c>
      <c r="D1215" s="7">
        <v>45708</v>
      </c>
      <c r="E1215" t="s">
        <v>2517</v>
      </c>
      <c r="F1215" t="s">
        <v>34</v>
      </c>
      <c r="G1215">
        <v>4</v>
      </c>
      <c r="H1215" t="s">
        <v>18</v>
      </c>
      <c r="I1215" t="s">
        <v>32</v>
      </c>
      <c r="J1215">
        <f>orders[[#This Row],[Ship Date]]-orders[[#This Row],[Order Date]]</f>
        <v>3</v>
      </c>
      <c r="K1215">
        <f>WEEKNUM(orders[[#This Row],[Order Date]])</f>
        <v>8</v>
      </c>
      <c r="L1215" t="str" cm="1">
        <f t="array" ref="L1215">_xlfn.IFS(orders[[#This Row],[Customer Gender]]="M","Male", orders[[#This Row],[Customer Gender]]="F","Female", orders[[#This Row],[Customer Gender]]="O","Other", TRUE,"Unknown")</f>
        <v>Unknown</v>
      </c>
      <c r="M1215">
        <v>1</v>
      </c>
      <c r="N1215">
        <v>15.9</v>
      </c>
      <c r="O1215">
        <v>15.9</v>
      </c>
    </row>
    <row r="1216" spans="1:15" x14ac:dyDescent="0.3">
      <c r="A1216" t="s">
        <v>1312</v>
      </c>
      <c r="B1216" t="s">
        <v>38</v>
      </c>
      <c r="C1216" s="7">
        <v>45705</v>
      </c>
      <c r="D1216" s="7">
        <v>45705</v>
      </c>
      <c r="E1216" t="s">
        <v>26</v>
      </c>
      <c r="F1216" t="s">
        <v>39</v>
      </c>
      <c r="G1216">
        <v>3</v>
      </c>
      <c r="H1216" t="s">
        <v>18</v>
      </c>
      <c r="I1216" t="s">
        <v>32</v>
      </c>
      <c r="J1216">
        <f>orders[[#This Row],[Ship Date]]-orders[[#This Row],[Order Date]]</f>
        <v>0</v>
      </c>
      <c r="K1216">
        <f>WEEKNUM(orders[[#This Row],[Order Date]])</f>
        <v>8</v>
      </c>
      <c r="L1216" t="str" cm="1">
        <f t="array" ref="L1216">_xlfn.IFS(orders[[#This Row],[Customer Gender]]="M","Male", orders[[#This Row],[Customer Gender]]="F","Female", orders[[#This Row],[Customer Gender]]="O","Other", TRUE,"Unknown")</f>
        <v>Female</v>
      </c>
      <c r="M1216">
        <v>2</v>
      </c>
      <c r="N1216">
        <v>78.7</v>
      </c>
      <c r="O1216" s="5">
        <v>157.4</v>
      </c>
    </row>
    <row r="1217" spans="1:15" x14ac:dyDescent="0.3">
      <c r="A1217" t="s">
        <v>1313</v>
      </c>
      <c r="B1217" t="s">
        <v>36</v>
      </c>
      <c r="C1217" s="7">
        <v>45705</v>
      </c>
      <c r="D1217" s="7">
        <v>45709</v>
      </c>
      <c r="E1217" t="s">
        <v>22</v>
      </c>
      <c r="F1217" t="s">
        <v>39</v>
      </c>
      <c r="G1217">
        <v>2</v>
      </c>
      <c r="H1217" t="s">
        <v>18</v>
      </c>
      <c r="I1217" t="s">
        <v>32</v>
      </c>
      <c r="J1217">
        <f>orders[[#This Row],[Ship Date]]-orders[[#This Row],[Order Date]]</f>
        <v>4</v>
      </c>
      <c r="K1217">
        <f>WEEKNUM(orders[[#This Row],[Order Date]])</f>
        <v>8</v>
      </c>
      <c r="L1217" t="str" cm="1">
        <f t="array" ref="L1217">_xlfn.IFS(orders[[#This Row],[Customer Gender]]="M","Male", orders[[#This Row],[Customer Gender]]="F","Female", orders[[#This Row],[Customer Gender]]="O","Other", TRUE,"Unknown")</f>
        <v>Male</v>
      </c>
      <c r="M1217">
        <v>12</v>
      </c>
      <c r="N1217">
        <v>29.6</v>
      </c>
      <c r="O1217">
        <v>355.20000000000005</v>
      </c>
    </row>
    <row r="1218" spans="1:15" x14ac:dyDescent="0.3">
      <c r="A1218" t="s">
        <v>1314</v>
      </c>
      <c r="B1218" t="s">
        <v>43</v>
      </c>
      <c r="C1218" s="7">
        <v>45705</v>
      </c>
      <c r="D1218" s="7">
        <v>45708</v>
      </c>
      <c r="E1218" t="s">
        <v>22</v>
      </c>
      <c r="F1218" t="s">
        <v>34</v>
      </c>
      <c r="G1218">
        <v>4</v>
      </c>
      <c r="H1218" t="s">
        <v>18</v>
      </c>
      <c r="I1218" t="s">
        <v>32</v>
      </c>
      <c r="J1218">
        <f>orders[[#This Row],[Ship Date]]-orders[[#This Row],[Order Date]]</f>
        <v>3</v>
      </c>
      <c r="K1218">
        <f>WEEKNUM(orders[[#This Row],[Order Date]])</f>
        <v>8</v>
      </c>
      <c r="L1218" t="str" cm="1">
        <f t="array" ref="L1218">_xlfn.IFS(orders[[#This Row],[Customer Gender]]="M","Male", orders[[#This Row],[Customer Gender]]="F","Female", orders[[#This Row],[Customer Gender]]="O","Other", TRUE,"Unknown")</f>
        <v>Male</v>
      </c>
      <c r="M1218">
        <v>4</v>
      </c>
      <c r="N1218">
        <v>21.5</v>
      </c>
      <c r="O1218" s="5">
        <v>86</v>
      </c>
    </row>
    <row r="1219" spans="1:15" x14ac:dyDescent="0.3">
      <c r="A1219" t="s">
        <v>1315</v>
      </c>
      <c r="B1219" t="s">
        <v>45</v>
      </c>
      <c r="C1219" s="7">
        <v>45705</v>
      </c>
      <c r="D1219" s="7">
        <v>45714</v>
      </c>
      <c r="E1219" t="s">
        <v>22</v>
      </c>
      <c r="F1219" t="s">
        <v>50</v>
      </c>
      <c r="G1219">
        <v>3</v>
      </c>
      <c r="H1219" t="s">
        <v>18</v>
      </c>
      <c r="I1219" t="s">
        <v>32</v>
      </c>
      <c r="J1219">
        <f>orders[[#This Row],[Ship Date]]-orders[[#This Row],[Order Date]]</f>
        <v>9</v>
      </c>
      <c r="K1219">
        <f>WEEKNUM(orders[[#This Row],[Order Date]])</f>
        <v>8</v>
      </c>
      <c r="L1219" t="str" cm="1">
        <f t="array" ref="L1219">_xlfn.IFS(orders[[#This Row],[Customer Gender]]="M","Male", orders[[#This Row],[Customer Gender]]="F","Female", orders[[#This Row],[Customer Gender]]="O","Other", TRUE,"Unknown")</f>
        <v>Male</v>
      </c>
      <c r="M1219">
        <v>3</v>
      </c>
      <c r="N1219">
        <v>74.900000000000006</v>
      </c>
      <c r="O1219">
        <v>224.70000000000002</v>
      </c>
    </row>
    <row r="1220" spans="1:15" x14ac:dyDescent="0.3">
      <c r="A1220" t="s">
        <v>1316</v>
      </c>
      <c r="B1220" t="s">
        <v>53</v>
      </c>
      <c r="C1220" s="7">
        <v>45705</v>
      </c>
      <c r="D1220" s="7">
        <v>45710</v>
      </c>
      <c r="E1220" t="s">
        <v>26</v>
      </c>
      <c r="F1220" t="s">
        <v>39</v>
      </c>
      <c r="G1220">
        <v>4</v>
      </c>
      <c r="H1220" t="s">
        <v>18</v>
      </c>
      <c r="I1220" t="s">
        <v>32</v>
      </c>
      <c r="J1220">
        <f>orders[[#This Row],[Ship Date]]-orders[[#This Row],[Order Date]]</f>
        <v>5</v>
      </c>
      <c r="K1220">
        <f>WEEKNUM(orders[[#This Row],[Order Date]])</f>
        <v>8</v>
      </c>
      <c r="L1220" t="str" cm="1">
        <f t="array" ref="L1220">_xlfn.IFS(orders[[#This Row],[Customer Gender]]="M","Male", orders[[#This Row],[Customer Gender]]="F","Female", orders[[#This Row],[Customer Gender]]="O","Other", TRUE,"Unknown")</f>
        <v>Female</v>
      </c>
      <c r="M1220">
        <v>6</v>
      </c>
      <c r="N1220">
        <v>45</v>
      </c>
      <c r="O1220" s="5">
        <v>270</v>
      </c>
    </row>
    <row r="1221" spans="1:15" x14ac:dyDescent="0.3">
      <c r="A1221" t="s">
        <v>1317</v>
      </c>
      <c r="B1221" t="s">
        <v>41</v>
      </c>
      <c r="C1221" s="7">
        <v>45705</v>
      </c>
      <c r="D1221" s="7">
        <v>45706</v>
      </c>
      <c r="E1221" t="s">
        <v>22</v>
      </c>
      <c r="F1221" t="s">
        <v>17</v>
      </c>
      <c r="G1221">
        <v>4</v>
      </c>
      <c r="H1221" t="s">
        <v>18</v>
      </c>
      <c r="I1221" t="s">
        <v>32</v>
      </c>
      <c r="J1221">
        <f>orders[[#This Row],[Ship Date]]-orders[[#This Row],[Order Date]]</f>
        <v>1</v>
      </c>
      <c r="K1221">
        <f>WEEKNUM(orders[[#This Row],[Order Date]])</f>
        <v>8</v>
      </c>
      <c r="L1221" t="str" cm="1">
        <f t="array" ref="L1221">_xlfn.IFS(orders[[#This Row],[Customer Gender]]="M","Male", orders[[#This Row],[Customer Gender]]="F","Female", orders[[#This Row],[Customer Gender]]="O","Other", TRUE,"Unknown")</f>
        <v>Male</v>
      </c>
      <c r="M1221">
        <v>34</v>
      </c>
      <c r="N1221">
        <v>37.9</v>
      </c>
      <c r="O1221">
        <v>1288.5999999999999</v>
      </c>
    </row>
    <row r="1222" spans="1:15" x14ac:dyDescent="0.3">
      <c r="A1222" t="s">
        <v>1318</v>
      </c>
      <c r="B1222" t="s">
        <v>38</v>
      </c>
      <c r="C1222" s="7">
        <v>45705</v>
      </c>
      <c r="D1222" s="7">
        <v>45706</v>
      </c>
      <c r="E1222" t="s">
        <v>22</v>
      </c>
      <c r="F1222" t="s">
        <v>50</v>
      </c>
      <c r="G1222">
        <v>4</v>
      </c>
      <c r="H1222" t="s">
        <v>18</v>
      </c>
      <c r="I1222" t="s">
        <v>32</v>
      </c>
      <c r="J1222">
        <f>orders[[#This Row],[Ship Date]]-orders[[#This Row],[Order Date]]</f>
        <v>1</v>
      </c>
      <c r="K1222">
        <f>WEEKNUM(orders[[#This Row],[Order Date]])</f>
        <v>8</v>
      </c>
      <c r="L1222" t="str" cm="1">
        <f t="array" ref="L1222">_xlfn.IFS(orders[[#This Row],[Customer Gender]]="M","Male", orders[[#This Row],[Customer Gender]]="F","Female", orders[[#This Row],[Customer Gender]]="O","Other", TRUE,"Unknown")</f>
        <v>Male</v>
      </c>
      <c r="M1222">
        <v>3</v>
      </c>
      <c r="N1222">
        <v>56.6</v>
      </c>
      <c r="O1222" s="5">
        <v>169.8</v>
      </c>
    </row>
    <row r="1223" spans="1:15" x14ac:dyDescent="0.3">
      <c r="A1223" t="s">
        <v>1319</v>
      </c>
      <c r="B1223" t="s">
        <v>29</v>
      </c>
      <c r="C1223" s="7">
        <v>45705</v>
      </c>
      <c r="D1223" s="7">
        <v>45708</v>
      </c>
      <c r="E1223" t="s">
        <v>26</v>
      </c>
      <c r="F1223" t="s">
        <v>34</v>
      </c>
      <c r="G1223">
        <v>2</v>
      </c>
      <c r="H1223" t="s">
        <v>18</v>
      </c>
      <c r="I1223" t="s">
        <v>32</v>
      </c>
      <c r="J1223">
        <f>orders[[#This Row],[Ship Date]]-orders[[#This Row],[Order Date]]</f>
        <v>3</v>
      </c>
      <c r="K1223">
        <f>WEEKNUM(orders[[#This Row],[Order Date]])</f>
        <v>8</v>
      </c>
      <c r="L1223" t="str" cm="1">
        <f t="array" ref="L1223">_xlfn.IFS(orders[[#This Row],[Customer Gender]]="M","Male", orders[[#This Row],[Customer Gender]]="F","Female", orders[[#This Row],[Customer Gender]]="O","Other", TRUE,"Unknown")</f>
        <v>Female</v>
      </c>
      <c r="M1223">
        <v>13</v>
      </c>
      <c r="N1223">
        <v>84.5</v>
      </c>
      <c r="O1223">
        <v>1098.5</v>
      </c>
    </row>
    <row r="1224" spans="1:15" x14ac:dyDescent="0.3">
      <c r="A1224" t="s">
        <v>1320</v>
      </c>
      <c r="B1224" t="s">
        <v>25</v>
      </c>
      <c r="C1224" s="7">
        <v>45705</v>
      </c>
      <c r="D1224" s="7">
        <v>45707</v>
      </c>
      <c r="E1224" t="s">
        <v>26</v>
      </c>
      <c r="F1224" t="s">
        <v>34</v>
      </c>
      <c r="G1224">
        <v>3</v>
      </c>
      <c r="H1224" t="s">
        <v>18</v>
      </c>
      <c r="I1224" t="s">
        <v>32</v>
      </c>
      <c r="J1224">
        <f>orders[[#This Row],[Ship Date]]-orders[[#This Row],[Order Date]]</f>
        <v>2</v>
      </c>
      <c r="K1224">
        <f>WEEKNUM(orders[[#This Row],[Order Date]])</f>
        <v>8</v>
      </c>
      <c r="L1224" t="str" cm="1">
        <f t="array" ref="L1224">_xlfn.IFS(orders[[#This Row],[Customer Gender]]="M","Male", orders[[#This Row],[Customer Gender]]="F","Female", orders[[#This Row],[Customer Gender]]="O","Other", TRUE,"Unknown")</f>
        <v>Female</v>
      </c>
      <c r="M1224">
        <v>5</v>
      </c>
      <c r="N1224">
        <v>105.4</v>
      </c>
      <c r="O1224" s="5">
        <v>527</v>
      </c>
    </row>
    <row r="1225" spans="1:15" x14ac:dyDescent="0.3">
      <c r="A1225" t="s">
        <v>1321</v>
      </c>
      <c r="B1225" t="s">
        <v>145</v>
      </c>
      <c r="C1225" s="7">
        <v>45706</v>
      </c>
      <c r="D1225" s="7">
        <v>45706</v>
      </c>
      <c r="E1225" t="s">
        <v>22</v>
      </c>
      <c r="F1225" t="s">
        <v>34</v>
      </c>
      <c r="G1225">
        <v>4</v>
      </c>
      <c r="H1225" t="s">
        <v>18</v>
      </c>
      <c r="I1225" t="s">
        <v>363</v>
      </c>
      <c r="J1225">
        <f>orders[[#This Row],[Ship Date]]-orders[[#This Row],[Order Date]]</f>
        <v>0</v>
      </c>
      <c r="K1225">
        <f>WEEKNUM(orders[[#This Row],[Order Date]])</f>
        <v>8</v>
      </c>
      <c r="L1225" t="str" cm="1">
        <f t="array" ref="L1225">_xlfn.IFS(orders[[#This Row],[Customer Gender]]="M","Male", orders[[#This Row],[Customer Gender]]="F","Female", orders[[#This Row],[Customer Gender]]="O","Other", TRUE,"Unknown")</f>
        <v>Male</v>
      </c>
      <c r="M1225">
        <v>7</v>
      </c>
      <c r="N1225">
        <v>39.4</v>
      </c>
      <c r="O1225">
        <v>275.8</v>
      </c>
    </row>
    <row r="1226" spans="1:15" x14ac:dyDescent="0.3">
      <c r="A1226" t="s">
        <v>1322</v>
      </c>
      <c r="B1226" t="s">
        <v>170</v>
      </c>
      <c r="C1226" s="7">
        <v>45706</v>
      </c>
      <c r="D1226" s="7">
        <v>45709</v>
      </c>
      <c r="E1226" t="s">
        <v>22</v>
      </c>
      <c r="F1226" t="s">
        <v>69</v>
      </c>
      <c r="G1226">
        <v>3</v>
      </c>
      <c r="H1226" t="s">
        <v>18</v>
      </c>
      <c r="I1226" t="s">
        <v>54</v>
      </c>
      <c r="J1226">
        <f>orders[[#This Row],[Ship Date]]-orders[[#This Row],[Order Date]]</f>
        <v>3</v>
      </c>
      <c r="K1226">
        <f>WEEKNUM(orders[[#This Row],[Order Date]])</f>
        <v>8</v>
      </c>
      <c r="L1226" t="str" cm="1">
        <f t="array" ref="L1226">_xlfn.IFS(orders[[#This Row],[Customer Gender]]="M","Male", orders[[#This Row],[Customer Gender]]="F","Female", orders[[#This Row],[Customer Gender]]="O","Other", TRUE,"Unknown")</f>
        <v>Male</v>
      </c>
      <c r="M1226">
        <v>3</v>
      </c>
      <c r="N1226">
        <v>38</v>
      </c>
      <c r="O1226" s="5">
        <v>114</v>
      </c>
    </row>
    <row r="1227" spans="1:15" x14ac:dyDescent="0.3">
      <c r="A1227" t="s">
        <v>1323</v>
      </c>
      <c r="B1227" t="s">
        <v>134</v>
      </c>
      <c r="C1227" s="7">
        <v>45706</v>
      </c>
      <c r="D1227" s="7">
        <v>45708</v>
      </c>
      <c r="E1227" t="s">
        <v>2517</v>
      </c>
      <c r="F1227" t="s">
        <v>17</v>
      </c>
      <c r="G1227">
        <v>4</v>
      </c>
      <c r="H1227" t="s">
        <v>18</v>
      </c>
      <c r="I1227" t="s">
        <v>54</v>
      </c>
      <c r="J1227">
        <f>orders[[#This Row],[Ship Date]]-orders[[#This Row],[Order Date]]</f>
        <v>2</v>
      </c>
      <c r="K1227">
        <f>WEEKNUM(orders[[#This Row],[Order Date]])</f>
        <v>8</v>
      </c>
      <c r="L1227" t="str" cm="1">
        <f t="array" ref="L1227">_xlfn.IFS(orders[[#This Row],[Customer Gender]]="M","Male", orders[[#This Row],[Customer Gender]]="F","Female", orders[[#This Row],[Customer Gender]]="O","Other", TRUE,"Unknown")</f>
        <v>Unknown</v>
      </c>
      <c r="M1227">
        <v>4</v>
      </c>
      <c r="N1227">
        <v>42.5</v>
      </c>
      <c r="O1227">
        <v>170</v>
      </c>
    </row>
    <row r="1228" spans="1:15" x14ac:dyDescent="0.3">
      <c r="A1228" t="s">
        <v>1324</v>
      </c>
      <c r="B1228" t="s">
        <v>122</v>
      </c>
      <c r="C1228" s="7">
        <v>45706</v>
      </c>
      <c r="D1228" s="7">
        <v>45715</v>
      </c>
      <c r="E1228" t="s">
        <v>22</v>
      </c>
      <c r="F1228" t="s">
        <v>17</v>
      </c>
      <c r="G1228">
        <v>5</v>
      </c>
      <c r="H1228" t="s">
        <v>18</v>
      </c>
      <c r="I1228" t="s">
        <v>54</v>
      </c>
      <c r="J1228">
        <f>orders[[#This Row],[Ship Date]]-orders[[#This Row],[Order Date]]</f>
        <v>9</v>
      </c>
      <c r="K1228">
        <f>WEEKNUM(orders[[#This Row],[Order Date]])</f>
        <v>8</v>
      </c>
      <c r="L1228" t="str" cm="1">
        <f t="array" ref="L1228">_xlfn.IFS(orders[[#This Row],[Customer Gender]]="M","Male", orders[[#This Row],[Customer Gender]]="F","Female", orders[[#This Row],[Customer Gender]]="O","Other", TRUE,"Unknown")</f>
        <v>Male</v>
      </c>
      <c r="M1228">
        <v>1</v>
      </c>
      <c r="N1228">
        <v>62.3</v>
      </c>
      <c r="O1228" s="5">
        <v>62.3</v>
      </c>
    </row>
    <row r="1229" spans="1:15" x14ac:dyDescent="0.3">
      <c r="A1229" t="s">
        <v>1325</v>
      </c>
      <c r="B1229" t="s">
        <v>38</v>
      </c>
      <c r="C1229" s="7">
        <v>45706</v>
      </c>
      <c r="D1229" s="7">
        <v>45708</v>
      </c>
      <c r="E1229" t="s">
        <v>26</v>
      </c>
      <c r="F1229" t="s">
        <v>34</v>
      </c>
      <c r="G1229">
        <v>5</v>
      </c>
      <c r="H1229" t="s">
        <v>18</v>
      </c>
      <c r="I1229" t="s">
        <v>58</v>
      </c>
      <c r="J1229">
        <f>orders[[#This Row],[Ship Date]]-orders[[#This Row],[Order Date]]</f>
        <v>2</v>
      </c>
      <c r="K1229">
        <f>WEEKNUM(orders[[#This Row],[Order Date]])</f>
        <v>8</v>
      </c>
      <c r="L1229" t="str" cm="1">
        <f t="array" ref="L1229">_xlfn.IFS(orders[[#This Row],[Customer Gender]]="M","Male", orders[[#This Row],[Customer Gender]]="F","Female", orders[[#This Row],[Customer Gender]]="O","Other", TRUE,"Unknown")</f>
        <v>Female</v>
      </c>
      <c r="M1229">
        <v>5</v>
      </c>
      <c r="N1229">
        <v>49.1</v>
      </c>
      <c r="O1229">
        <v>245.5</v>
      </c>
    </row>
    <row r="1230" spans="1:15" x14ac:dyDescent="0.3">
      <c r="A1230" t="s">
        <v>1326</v>
      </c>
      <c r="B1230" t="s">
        <v>29</v>
      </c>
      <c r="C1230" s="7">
        <v>45706</v>
      </c>
      <c r="D1230" s="7">
        <v>45709</v>
      </c>
      <c r="E1230" t="s">
        <v>22</v>
      </c>
      <c r="F1230" t="s">
        <v>17</v>
      </c>
      <c r="G1230">
        <v>5</v>
      </c>
      <c r="H1230" t="s">
        <v>18</v>
      </c>
      <c r="I1230" t="s">
        <v>61</v>
      </c>
      <c r="J1230">
        <f>orders[[#This Row],[Ship Date]]-orders[[#This Row],[Order Date]]</f>
        <v>3</v>
      </c>
      <c r="K1230">
        <f>WEEKNUM(orders[[#This Row],[Order Date]])</f>
        <v>8</v>
      </c>
      <c r="L1230" t="str" cm="1">
        <f t="array" ref="L1230">_xlfn.IFS(orders[[#This Row],[Customer Gender]]="M","Male", orders[[#This Row],[Customer Gender]]="F","Female", orders[[#This Row],[Customer Gender]]="O","Other", TRUE,"Unknown")</f>
        <v>Male</v>
      </c>
      <c r="M1230">
        <v>2</v>
      </c>
      <c r="N1230">
        <v>30.5</v>
      </c>
      <c r="O1230" s="5">
        <v>61</v>
      </c>
    </row>
    <row r="1231" spans="1:15" x14ac:dyDescent="0.3">
      <c r="A1231" t="s">
        <v>1327</v>
      </c>
      <c r="B1231" t="s">
        <v>25</v>
      </c>
      <c r="C1231" s="7">
        <v>45706</v>
      </c>
      <c r="D1231" s="7">
        <v>45709</v>
      </c>
      <c r="E1231" t="s">
        <v>26</v>
      </c>
      <c r="F1231" t="s">
        <v>34</v>
      </c>
      <c r="G1231">
        <v>2</v>
      </c>
      <c r="H1231" t="s">
        <v>18</v>
      </c>
      <c r="I1231" t="s">
        <v>61</v>
      </c>
      <c r="J1231">
        <f>orders[[#This Row],[Ship Date]]-orders[[#This Row],[Order Date]]</f>
        <v>3</v>
      </c>
      <c r="K1231">
        <f>WEEKNUM(orders[[#This Row],[Order Date]])</f>
        <v>8</v>
      </c>
      <c r="L1231" t="str" cm="1">
        <f t="array" ref="L1231">_xlfn.IFS(orders[[#This Row],[Customer Gender]]="M","Male", orders[[#This Row],[Customer Gender]]="F","Female", orders[[#This Row],[Customer Gender]]="O","Other", TRUE,"Unknown")</f>
        <v>Female</v>
      </c>
      <c r="M1231">
        <v>2</v>
      </c>
      <c r="N1231">
        <v>154.80000000000001</v>
      </c>
      <c r="O1231">
        <v>309.60000000000002</v>
      </c>
    </row>
    <row r="1232" spans="1:15" x14ac:dyDescent="0.3">
      <c r="A1232" t="s">
        <v>1328</v>
      </c>
      <c r="B1232" t="s">
        <v>38</v>
      </c>
      <c r="C1232" s="7">
        <v>45706</v>
      </c>
      <c r="D1232" s="7">
        <v>45710</v>
      </c>
      <c r="E1232" t="s">
        <v>22</v>
      </c>
      <c r="F1232" t="s">
        <v>50</v>
      </c>
      <c r="G1232">
        <v>3</v>
      </c>
      <c r="H1232" t="s">
        <v>18</v>
      </c>
      <c r="I1232" t="s">
        <v>61</v>
      </c>
      <c r="J1232">
        <f>orders[[#This Row],[Ship Date]]-orders[[#This Row],[Order Date]]</f>
        <v>4</v>
      </c>
      <c r="K1232">
        <f>WEEKNUM(orders[[#This Row],[Order Date]])</f>
        <v>8</v>
      </c>
      <c r="L1232" t="str" cm="1">
        <f t="array" ref="L1232">_xlfn.IFS(orders[[#This Row],[Customer Gender]]="M","Male", orders[[#This Row],[Customer Gender]]="F","Female", orders[[#This Row],[Customer Gender]]="O","Other", TRUE,"Unknown")</f>
        <v>Male</v>
      </c>
      <c r="M1232">
        <v>1</v>
      </c>
      <c r="N1232">
        <v>45</v>
      </c>
      <c r="O1232" s="5">
        <v>45</v>
      </c>
    </row>
    <row r="1233" spans="1:15" x14ac:dyDescent="0.3">
      <c r="A1233" t="s">
        <v>1329</v>
      </c>
      <c r="B1233" t="s">
        <v>16</v>
      </c>
      <c r="C1233" s="7">
        <v>45706</v>
      </c>
      <c r="D1233" s="7">
        <v>45707</v>
      </c>
      <c r="E1233" t="s">
        <v>22</v>
      </c>
      <c r="F1233" t="s">
        <v>17</v>
      </c>
      <c r="G1233">
        <v>5</v>
      </c>
      <c r="H1233" t="s">
        <v>18</v>
      </c>
      <c r="I1233" t="s">
        <v>61</v>
      </c>
      <c r="J1233">
        <f>orders[[#This Row],[Ship Date]]-orders[[#This Row],[Order Date]]</f>
        <v>1</v>
      </c>
      <c r="K1233">
        <f>WEEKNUM(orders[[#This Row],[Order Date]])</f>
        <v>8</v>
      </c>
      <c r="L1233" t="str" cm="1">
        <f t="array" ref="L1233">_xlfn.IFS(orders[[#This Row],[Customer Gender]]="M","Male", orders[[#This Row],[Customer Gender]]="F","Female", orders[[#This Row],[Customer Gender]]="O","Other", TRUE,"Unknown")</f>
        <v>Male</v>
      </c>
      <c r="M1233">
        <v>7</v>
      </c>
      <c r="N1233">
        <v>15.3</v>
      </c>
      <c r="O1233">
        <v>107.10000000000001</v>
      </c>
    </row>
    <row r="1234" spans="1:15" x14ac:dyDescent="0.3">
      <c r="A1234" t="s">
        <v>1330</v>
      </c>
      <c r="B1234" t="s">
        <v>25</v>
      </c>
      <c r="C1234" s="7">
        <v>45706</v>
      </c>
      <c r="D1234" s="7">
        <v>45709</v>
      </c>
      <c r="E1234" t="s">
        <v>26</v>
      </c>
      <c r="F1234" t="s">
        <v>17</v>
      </c>
      <c r="G1234">
        <v>2</v>
      </c>
      <c r="H1234" t="s">
        <v>18</v>
      </c>
      <c r="I1234" t="s">
        <v>102</v>
      </c>
      <c r="J1234">
        <f>orders[[#This Row],[Ship Date]]-orders[[#This Row],[Order Date]]</f>
        <v>3</v>
      </c>
      <c r="K1234">
        <f>WEEKNUM(orders[[#This Row],[Order Date]])</f>
        <v>8</v>
      </c>
      <c r="L1234" t="str" cm="1">
        <f t="array" ref="L1234">_xlfn.IFS(orders[[#This Row],[Customer Gender]]="M","Male", orders[[#This Row],[Customer Gender]]="F","Female", orders[[#This Row],[Customer Gender]]="O","Other", TRUE,"Unknown")</f>
        <v>Female</v>
      </c>
      <c r="M1234">
        <v>11</v>
      </c>
      <c r="N1234">
        <v>88.6</v>
      </c>
      <c r="O1234" s="5">
        <v>974.59999999999991</v>
      </c>
    </row>
    <row r="1235" spans="1:15" x14ac:dyDescent="0.3">
      <c r="A1235" t="s">
        <v>1331</v>
      </c>
      <c r="B1235" t="s">
        <v>45</v>
      </c>
      <c r="C1235" s="7">
        <v>45706</v>
      </c>
      <c r="D1235" s="7">
        <v>45708</v>
      </c>
      <c r="E1235" t="s">
        <v>88</v>
      </c>
      <c r="F1235" t="s">
        <v>69</v>
      </c>
      <c r="G1235">
        <v>4</v>
      </c>
      <c r="H1235" t="s">
        <v>18</v>
      </c>
      <c r="I1235" t="s">
        <v>73</v>
      </c>
      <c r="J1235">
        <f>orders[[#This Row],[Ship Date]]-orders[[#This Row],[Order Date]]</f>
        <v>2</v>
      </c>
      <c r="K1235">
        <f>WEEKNUM(orders[[#This Row],[Order Date]])</f>
        <v>8</v>
      </c>
      <c r="L1235" t="str" cm="1">
        <f t="array" ref="L1235">_xlfn.IFS(orders[[#This Row],[Customer Gender]]="M","Male", orders[[#This Row],[Customer Gender]]="F","Female", orders[[#This Row],[Customer Gender]]="O","Other", TRUE,"Unknown")</f>
        <v>Other</v>
      </c>
      <c r="M1235">
        <v>2</v>
      </c>
      <c r="N1235">
        <v>49.7</v>
      </c>
      <c r="O1235">
        <v>99.4</v>
      </c>
    </row>
    <row r="1236" spans="1:15" x14ac:dyDescent="0.3">
      <c r="A1236" t="s">
        <v>1332</v>
      </c>
      <c r="B1236" t="s">
        <v>53</v>
      </c>
      <c r="C1236" s="7">
        <v>45706</v>
      </c>
      <c r="D1236" s="7">
        <v>45707</v>
      </c>
      <c r="E1236" t="s">
        <v>22</v>
      </c>
      <c r="F1236" t="s">
        <v>17</v>
      </c>
      <c r="G1236">
        <v>4</v>
      </c>
      <c r="H1236" t="s">
        <v>18</v>
      </c>
      <c r="I1236" t="s">
        <v>76</v>
      </c>
      <c r="J1236">
        <f>orders[[#This Row],[Ship Date]]-orders[[#This Row],[Order Date]]</f>
        <v>1</v>
      </c>
      <c r="K1236">
        <f>WEEKNUM(orders[[#This Row],[Order Date]])</f>
        <v>8</v>
      </c>
      <c r="L1236" t="str" cm="1">
        <f t="array" ref="L1236">_xlfn.IFS(orders[[#This Row],[Customer Gender]]="M","Male", orders[[#This Row],[Customer Gender]]="F","Female", orders[[#This Row],[Customer Gender]]="O","Other", TRUE,"Unknown")</f>
        <v>Male</v>
      </c>
      <c r="M1236">
        <v>1</v>
      </c>
      <c r="N1236">
        <v>29</v>
      </c>
      <c r="O1236" s="5">
        <v>29</v>
      </c>
    </row>
    <row r="1237" spans="1:15" x14ac:dyDescent="0.3">
      <c r="A1237" t="s">
        <v>1333</v>
      </c>
      <c r="B1237" t="s">
        <v>21</v>
      </c>
      <c r="C1237" s="7">
        <v>45706</v>
      </c>
      <c r="D1237" s="7">
        <v>45707</v>
      </c>
      <c r="E1237" t="s">
        <v>88</v>
      </c>
      <c r="F1237" t="s">
        <v>17</v>
      </c>
      <c r="G1237">
        <v>3</v>
      </c>
      <c r="H1237" t="s">
        <v>18</v>
      </c>
      <c r="I1237" t="s">
        <v>76</v>
      </c>
      <c r="J1237">
        <f>orders[[#This Row],[Ship Date]]-orders[[#This Row],[Order Date]]</f>
        <v>1</v>
      </c>
      <c r="K1237">
        <f>WEEKNUM(orders[[#This Row],[Order Date]])</f>
        <v>8</v>
      </c>
      <c r="L1237" t="str" cm="1">
        <f t="array" ref="L1237">_xlfn.IFS(orders[[#This Row],[Customer Gender]]="M","Male", orders[[#This Row],[Customer Gender]]="F","Female", orders[[#This Row],[Customer Gender]]="O","Other", TRUE,"Unknown")</f>
        <v>Other</v>
      </c>
      <c r="M1237">
        <v>1</v>
      </c>
      <c r="N1237">
        <v>60.7</v>
      </c>
      <c r="O1237">
        <v>60.7</v>
      </c>
    </row>
    <row r="1238" spans="1:15" x14ac:dyDescent="0.3">
      <c r="A1238" t="s">
        <v>1334</v>
      </c>
      <c r="B1238" t="s">
        <v>134</v>
      </c>
      <c r="C1238" s="7">
        <v>45706</v>
      </c>
      <c r="D1238" s="7">
        <v>45708</v>
      </c>
      <c r="E1238" t="s">
        <v>2517</v>
      </c>
      <c r="F1238" t="s">
        <v>17</v>
      </c>
      <c r="G1238">
        <v>4</v>
      </c>
      <c r="H1238" t="s">
        <v>18</v>
      </c>
      <c r="I1238" t="s">
        <v>76</v>
      </c>
      <c r="J1238">
        <f>orders[[#This Row],[Ship Date]]-orders[[#This Row],[Order Date]]</f>
        <v>2</v>
      </c>
      <c r="K1238">
        <f>WEEKNUM(orders[[#This Row],[Order Date]])</f>
        <v>8</v>
      </c>
      <c r="L1238" t="str" cm="1">
        <f t="array" ref="L1238">_xlfn.IFS(orders[[#This Row],[Customer Gender]]="M","Male", orders[[#This Row],[Customer Gender]]="F","Female", orders[[#This Row],[Customer Gender]]="O","Other", TRUE,"Unknown")</f>
        <v>Unknown</v>
      </c>
      <c r="M1238">
        <v>4</v>
      </c>
      <c r="N1238">
        <v>87.4</v>
      </c>
      <c r="O1238" s="5">
        <v>349.6</v>
      </c>
    </row>
    <row r="1239" spans="1:15" x14ac:dyDescent="0.3">
      <c r="A1239" t="s">
        <v>1335</v>
      </c>
      <c r="B1239" t="s">
        <v>31</v>
      </c>
      <c r="C1239" s="7">
        <v>45706</v>
      </c>
      <c r="D1239" s="7">
        <v>45710</v>
      </c>
      <c r="E1239" t="s">
        <v>26</v>
      </c>
      <c r="F1239" t="s">
        <v>39</v>
      </c>
      <c r="G1239">
        <v>5</v>
      </c>
      <c r="H1239" t="s">
        <v>18</v>
      </c>
      <c r="I1239" t="s">
        <v>109</v>
      </c>
      <c r="J1239">
        <f>orders[[#This Row],[Ship Date]]-orders[[#This Row],[Order Date]]</f>
        <v>4</v>
      </c>
      <c r="K1239">
        <f>WEEKNUM(orders[[#This Row],[Order Date]])</f>
        <v>8</v>
      </c>
      <c r="L1239" t="str" cm="1">
        <f t="array" ref="L1239">_xlfn.IFS(orders[[#This Row],[Customer Gender]]="M","Male", orders[[#This Row],[Customer Gender]]="F","Female", orders[[#This Row],[Customer Gender]]="O","Other", TRUE,"Unknown")</f>
        <v>Female</v>
      </c>
      <c r="M1239">
        <v>7</v>
      </c>
      <c r="N1239">
        <v>44.5</v>
      </c>
      <c r="O1239">
        <v>311.5</v>
      </c>
    </row>
    <row r="1240" spans="1:15" x14ac:dyDescent="0.3">
      <c r="A1240" t="s">
        <v>1336</v>
      </c>
      <c r="B1240" t="s">
        <v>25</v>
      </c>
      <c r="C1240" s="7">
        <v>45706</v>
      </c>
      <c r="D1240" s="7">
        <v>45707</v>
      </c>
      <c r="E1240" t="s">
        <v>22</v>
      </c>
      <c r="F1240" t="s">
        <v>69</v>
      </c>
      <c r="G1240">
        <v>5</v>
      </c>
      <c r="H1240" t="s">
        <v>18</v>
      </c>
      <c r="I1240" t="s">
        <v>109</v>
      </c>
      <c r="J1240">
        <f>orders[[#This Row],[Ship Date]]-orders[[#This Row],[Order Date]]</f>
        <v>1</v>
      </c>
      <c r="K1240">
        <f>WEEKNUM(orders[[#This Row],[Order Date]])</f>
        <v>8</v>
      </c>
      <c r="L1240" t="str" cm="1">
        <f t="array" ref="L1240">_xlfn.IFS(orders[[#This Row],[Customer Gender]]="M","Male", orders[[#This Row],[Customer Gender]]="F","Female", orders[[#This Row],[Customer Gender]]="O","Other", TRUE,"Unknown")</f>
        <v>Male</v>
      </c>
      <c r="M1240">
        <v>1</v>
      </c>
      <c r="N1240">
        <v>141</v>
      </c>
      <c r="O1240" s="5">
        <v>141</v>
      </c>
    </row>
    <row r="1241" spans="1:15" x14ac:dyDescent="0.3">
      <c r="A1241" t="s">
        <v>1337</v>
      </c>
      <c r="B1241" t="s">
        <v>16</v>
      </c>
      <c r="C1241" s="7">
        <v>45706</v>
      </c>
      <c r="D1241" s="7">
        <v>45714</v>
      </c>
      <c r="E1241" t="s">
        <v>26</v>
      </c>
      <c r="F1241" t="s">
        <v>17</v>
      </c>
      <c r="G1241">
        <v>4</v>
      </c>
      <c r="H1241" t="s">
        <v>18</v>
      </c>
      <c r="I1241" t="s">
        <v>112</v>
      </c>
      <c r="J1241">
        <f>orders[[#This Row],[Ship Date]]-orders[[#This Row],[Order Date]]</f>
        <v>8</v>
      </c>
      <c r="K1241">
        <f>WEEKNUM(orders[[#This Row],[Order Date]])</f>
        <v>8</v>
      </c>
      <c r="L1241" t="str" cm="1">
        <f t="array" ref="L1241">_xlfn.IFS(orders[[#This Row],[Customer Gender]]="M","Male", orders[[#This Row],[Customer Gender]]="F","Female", orders[[#This Row],[Customer Gender]]="O","Other", TRUE,"Unknown")</f>
        <v>Female</v>
      </c>
      <c r="M1241">
        <v>3</v>
      </c>
      <c r="N1241">
        <v>16.7</v>
      </c>
      <c r="O1241">
        <v>50.099999999999994</v>
      </c>
    </row>
    <row r="1242" spans="1:15" x14ac:dyDescent="0.3">
      <c r="A1242" t="s">
        <v>1338</v>
      </c>
      <c r="B1242" t="s">
        <v>21</v>
      </c>
      <c r="C1242" s="7">
        <v>45706</v>
      </c>
      <c r="D1242" s="7">
        <v>45707</v>
      </c>
      <c r="E1242" t="s">
        <v>2517</v>
      </c>
      <c r="F1242" t="s">
        <v>39</v>
      </c>
      <c r="G1242">
        <v>5</v>
      </c>
      <c r="H1242" t="s">
        <v>18</v>
      </c>
      <c r="I1242" t="s">
        <v>81</v>
      </c>
      <c r="J1242">
        <f>orders[[#This Row],[Ship Date]]-orders[[#This Row],[Order Date]]</f>
        <v>1</v>
      </c>
      <c r="K1242">
        <f>WEEKNUM(orders[[#This Row],[Order Date]])</f>
        <v>8</v>
      </c>
      <c r="L1242" t="str" cm="1">
        <f t="array" ref="L1242">_xlfn.IFS(orders[[#This Row],[Customer Gender]]="M","Male", orders[[#This Row],[Customer Gender]]="F","Female", orders[[#This Row],[Customer Gender]]="O","Other", TRUE,"Unknown")</f>
        <v>Unknown</v>
      </c>
      <c r="M1242">
        <v>2</v>
      </c>
      <c r="N1242">
        <v>77.5</v>
      </c>
      <c r="O1242" s="5">
        <v>155</v>
      </c>
    </row>
    <row r="1243" spans="1:15" x14ac:dyDescent="0.3">
      <c r="A1243" t="s">
        <v>1339</v>
      </c>
      <c r="B1243" t="s">
        <v>25</v>
      </c>
      <c r="C1243" s="7">
        <v>45706</v>
      </c>
      <c r="D1243" s="7">
        <v>45712</v>
      </c>
      <c r="E1243" t="s">
        <v>26</v>
      </c>
      <c r="F1243" t="s">
        <v>69</v>
      </c>
      <c r="G1243">
        <v>4</v>
      </c>
      <c r="H1243" t="s">
        <v>18</v>
      </c>
      <c r="I1243" t="s">
        <v>114</v>
      </c>
      <c r="J1243">
        <f>orders[[#This Row],[Ship Date]]-orders[[#This Row],[Order Date]]</f>
        <v>6</v>
      </c>
      <c r="K1243">
        <f>WEEKNUM(orders[[#This Row],[Order Date]])</f>
        <v>8</v>
      </c>
      <c r="L1243" t="str" cm="1">
        <f t="array" ref="L1243">_xlfn.IFS(orders[[#This Row],[Customer Gender]]="M","Male", orders[[#This Row],[Customer Gender]]="F","Female", orders[[#This Row],[Customer Gender]]="O","Other", TRUE,"Unknown")</f>
        <v>Female</v>
      </c>
      <c r="M1243">
        <v>2</v>
      </c>
      <c r="N1243">
        <v>163</v>
      </c>
      <c r="O1243">
        <v>326</v>
      </c>
    </row>
    <row r="1244" spans="1:15" x14ac:dyDescent="0.3">
      <c r="A1244" t="s">
        <v>1340</v>
      </c>
      <c r="B1244" t="s">
        <v>31</v>
      </c>
      <c r="C1244" s="7">
        <v>45706</v>
      </c>
      <c r="D1244" s="7">
        <v>45709</v>
      </c>
      <c r="E1244" t="s">
        <v>26</v>
      </c>
      <c r="F1244" t="s">
        <v>17</v>
      </c>
      <c r="G1244">
        <v>4</v>
      </c>
      <c r="H1244" t="s">
        <v>18</v>
      </c>
      <c r="I1244" t="s">
        <v>966</v>
      </c>
      <c r="J1244">
        <f>orders[[#This Row],[Ship Date]]-orders[[#This Row],[Order Date]]</f>
        <v>3</v>
      </c>
      <c r="K1244">
        <f>WEEKNUM(orders[[#This Row],[Order Date]])</f>
        <v>8</v>
      </c>
      <c r="L1244" t="str" cm="1">
        <f t="array" ref="L1244">_xlfn.IFS(orders[[#This Row],[Customer Gender]]="M","Male", orders[[#This Row],[Customer Gender]]="F","Female", orders[[#This Row],[Customer Gender]]="O","Other", TRUE,"Unknown")</f>
        <v>Female</v>
      </c>
      <c r="M1244">
        <v>9</v>
      </c>
      <c r="N1244">
        <v>21.4</v>
      </c>
      <c r="O1244" s="5">
        <v>192.6</v>
      </c>
    </row>
    <row r="1245" spans="1:15" x14ac:dyDescent="0.3">
      <c r="A1245" t="s">
        <v>1341</v>
      </c>
      <c r="B1245" t="s">
        <v>53</v>
      </c>
      <c r="C1245" s="7">
        <v>45706</v>
      </c>
      <c r="D1245" s="7">
        <v>45708</v>
      </c>
      <c r="E1245" t="s">
        <v>26</v>
      </c>
      <c r="F1245" t="s">
        <v>50</v>
      </c>
      <c r="G1245">
        <v>5</v>
      </c>
      <c r="H1245" t="s">
        <v>18</v>
      </c>
      <c r="I1245" t="s">
        <v>23</v>
      </c>
      <c r="J1245">
        <f>orders[[#This Row],[Ship Date]]-orders[[#This Row],[Order Date]]</f>
        <v>2</v>
      </c>
      <c r="K1245">
        <f>WEEKNUM(orders[[#This Row],[Order Date]])</f>
        <v>8</v>
      </c>
      <c r="L1245" t="str" cm="1">
        <f t="array" ref="L1245">_xlfn.IFS(orders[[#This Row],[Customer Gender]]="M","Male", orders[[#This Row],[Customer Gender]]="F","Female", orders[[#This Row],[Customer Gender]]="O","Other", TRUE,"Unknown")</f>
        <v>Female</v>
      </c>
      <c r="M1245">
        <v>11</v>
      </c>
      <c r="N1245">
        <v>31</v>
      </c>
      <c r="O1245">
        <v>341</v>
      </c>
    </row>
    <row r="1246" spans="1:15" x14ac:dyDescent="0.3">
      <c r="A1246" t="s">
        <v>1342</v>
      </c>
      <c r="B1246" t="s">
        <v>41</v>
      </c>
      <c r="C1246" s="7">
        <v>45706</v>
      </c>
      <c r="D1246" s="7">
        <v>45708</v>
      </c>
      <c r="E1246" t="s">
        <v>26</v>
      </c>
      <c r="F1246" t="s">
        <v>17</v>
      </c>
      <c r="G1246">
        <v>1</v>
      </c>
      <c r="H1246" t="s">
        <v>18</v>
      </c>
      <c r="I1246" t="s">
        <v>23</v>
      </c>
      <c r="J1246">
        <f>orders[[#This Row],[Ship Date]]-orders[[#This Row],[Order Date]]</f>
        <v>2</v>
      </c>
      <c r="K1246">
        <f>WEEKNUM(orders[[#This Row],[Order Date]])</f>
        <v>8</v>
      </c>
      <c r="L1246" t="str" cm="1">
        <f t="array" ref="L1246">_xlfn.IFS(orders[[#This Row],[Customer Gender]]="M","Male", orders[[#This Row],[Customer Gender]]="F","Female", orders[[#This Row],[Customer Gender]]="O","Other", TRUE,"Unknown")</f>
        <v>Female</v>
      </c>
      <c r="M1246">
        <v>2</v>
      </c>
      <c r="N1246">
        <v>34.299999999999997</v>
      </c>
      <c r="O1246" s="5">
        <v>68.599999999999994</v>
      </c>
    </row>
    <row r="1247" spans="1:15" x14ac:dyDescent="0.3">
      <c r="A1247" t="s">
        <v>1343</v>
      </c>
      <c r="B1247" t="s">
        <v>134</v>
      </c>
      <c r="C1247" s="7">
        <v>45706</v>
      </c>
      <c r="D1247" s="7">
        <v>45707</v>
      </c>
      <c r="E1247" t="s">
        <v>22</v>
      </c>
      <c r="F1247" t="s">
        <v>34</v>
      </c>
      <c r="G1247">
        <v>3</v>
      </c>
      <c r="H1247" t="s">
        <v>18</v>
      </c>
      <c r="I1247" t="s">
        <v>27</v>
      </c>
      <c r="J1247">
        <f>orders[[#This Row],[Ship Date]]-orders[[#This Row],[Order Date]]</f>
        <v>1</v>
      </c>
      <c r="K1247">
        <f>WEEKNUM(orders[[#This Row],[Order Date]])</f>
        <v>8</v>
      </c>
      <c r="L1247" t="str" cm="1">
        <f t="array" ref="L1247">_xlfn.IFS(orders[[#This Row],[Customer Gender]]="M","Male", orders[[#This Row],[Customer Gender]]="F","Female", orders[[#This Row],[Customer Gender]]="O","Other", TRUE,"Unknown")</f>
        <v>Male</v>
      </c>
      <c r="M1247">
        <v>5</v>
      </c>
      <c r="N1247">
        <v>48.2</v>
      </c>
      <c r="O1247">
        <v>241</v>
      </c>
    </row>
    <row r="1248" spans="1:15" x14ac:dyDescent="0.3">
      <c r="A1248" t="s">
        <v>1344</v>
      </c>
      <c r="B1248" t="s">
        <v>53</v>
      </c>
      <c r="C1248" s="7">
        <v>45706</v>
      </c>
      <c r="D1248" s="7">
        <v>45707</v>
      </c>
      <c r="E1248" t="s">
        <v>22</v>
      </c>
      <c r="F1248" t="s">
        <v>17</v>
      </c>
      <c r="G1248">
        <v>4</v>
      </c>
      <c r="H1248" t="s">
        <v>18</v>
      </c>
      <c r="I1248" t="s">
        <v>32</v>
      </c>
      <c r="J1248">
        <f>orders[[#This Row],[Ship Date]]-orders[[#This Row],[Order Date]]</f>
        <v>1</v>
      </c>
      <c r="K1248">
        <f>WEEKNUM(orders[[#This Row],[Order Date]])</f>
        <v>8</v>
      </c>
      <c r="L1248" t="str" cm="1">
        <f t="array" ref="L1248">_xlfn.IFS(orders[[#This Row],[Customer Gender]]="M","Male", orders[[#This Row],[Customer Gender]]="F","Female", orders[[#This Row],[Customer Gender]]="O","Other", TRUE,"Unknown")</f>
        <v>Male</v>
      </c>
      <c r="M1248">
        <v>1</v>
      </c>
      <c r="N1248">
        <v>51.4</v>
      </c>
      <c r="O1248" s="5">
        <v>51.4</v>
      </c>
    </row>
    <row r="1249" spans="1:15" x14ac:dyDescent="0.3">
      <c r="A1249" t="s">
        <v>1345</v>
      </c>
      <c r="B1249" t="s">
        <v>25</v>
      </c>
      <c r="C1249" s="7">
        <v>45706</v>
      </c>
      <c r="D1249" s="7">
        <v>45709</v>
      </c>
      <c r="E1249" t="s">
        <v>26</v>
      </c>
      <c r="F1249" t="s">
        <v>69</v>
      </c>
      <c r="G1249">
        <v>2</v>
      </c>
      <c r="H1249" t="s">
        <v>18</v>
      </c>
      <c r="I1249" t="s">
        <v>32</v>
      </c>
      <c r="J1249">
        <f>orders[[#This Row],[Ship Date]]-orders[[#This Row],[Order Date]]</f>
        <v>3</v>
      </c>
      <c r="K1249">
        <f>WEEKNUM(orders[[#This Row],[Order Date]])</f>
        <v>8</v>
      </c>
      <c r="L1249" t="str" cm="1">
        <f t="array" ref="L1249">_xlfn.IFS(orders[[#This Row],[Customer Gender]]="M","Male", orders[[#This Row],[Customer Gender]]="F","Female", orders[[#This Row],[Customer Gender]]="O","Other", TRUE,"Unknown")</f>
        <v>Female</v>
      </c>
      <c r="M1249">
        <v>5</v>
      </c>
      <c r="N1249">
        <v>117.2</v>
      </c>
      <c r="O1249">
        <v>586</v>
      </c>
    </row>
    <row r="1250" spans="1:15" x14ac:dyDescent="0.3">
      <c r="A1250" t="s">
        <v>1346</v>
      </c>
      <c r="B1250" t="s">
        <v>43</v>
      </c>
      <c r="C1250" s="7">
        <v>45706</v>
      </c>
      <c r="D1250" s="7">
        <v>45706</v>
      </c>
      <c r="E1250" t="s">
        <v>22</v>
      </c>
      <c r="F1250" t="s">
        <v>69</v>
      </c>
      <c r="G1250">
        <v>3</v>
      </c>
      <c r="H1250" t="s">
        <v>18</v>
      </c>
      <c r="I1250" t="s">
        <v>32</v>
      </c>
      <c r="J1250">
        <f>orders[[#This Row],[Ship Date]]-orders[[#This Row],[Order Date]]</f>
        <v>0</v>
      </c>
      <c r="K1250">
        <f>WEEKNUM(orders[[#This Row],[Order Date]])</f>
        <v>8</v>
      </c>
      <c r="L1250" t="str" cm="1">
        <f t="array" ref="L1250">_xlfn.IFS(orders[[#This Row],[Customer Gender]]="M","Male", orders[[#This Row],[Customer Gender]]="F","Female", orders[[#This Row],[Customer Gender]]="O","Other", TRUE,"Unknown")</f>
        <v>Male</v>
      </c>
      <c r="M1250">
        <v>1</v>
      </c>
      <c r="N1250">
        <v>38.1</v>
      </c>
      <c r="O1250" s="5">
        <v>38.1</v>
      </c>
    </row>
    <row r="1251" spans="1:15" x14ac:dyDescent="0.3">
      <c r="A1251" t="s">
        <v>1347</v>
      </c>
      <c r="B1251" t="s">
        <v>16</v>
      </c>
      <c r="C1251" s="7">
        <v>45706</v>
      </c>
      <c r="D1251" s="7">
        <v>45708</v>
      </c>
      <c r="E1251" t="s">
        <v>26</v>
      </c>
      <c r="F1251" t="s">
        <v>39</v>
      </c>
      <c r="G1251">
        <v>4</v>
      </c>
      <c r="H1251" t="s">
        <v>18</v>
      </c>
      <c r="I1251" t="s">
        <v>32</v>
      </c>
      <c r="J1251">
        <f>orders[[#This Row],[Ship Date]]-orders[[#This Row],[Order Date]]</f>
        <v>2</v>
      </c>
      <c r="K1251">
        <f>WEEKNUM(orders[[#This Row],[Order Date]])</f>
        <v>8</v>
      </c>
      <c r="L1251" t="str" cm="1">
        <f t="array" ref="L1251">_xlfn.IFS(orders[[#This Row],[Customer Gender]]="M","Male", orders[[#This Row],[Customer Gender]]="F","Female", orders[[#This Row],[Customer Gender]]="O","Other", TRUE,"Unknown")</f>
        <v>Female</v>
      </c>
      <c r="M1251">
        <v>2</v>
      </c>
      <c r="N1251">
        <v>44.1</v>
      </c>
      <c r="O1251">
        <v>88.2</v>
      </c>
    </row>
    <row r="1252" spans="1:15" x14ac:dyDescent="0.3">
      <c r="A1252" t="s">
        <v>1348</v>
      </c>
      <c r="B1252" t="s">
        <v>122</v>
      </c>
      <c r="C1252" s="7">
        <v>45706</v>
      </c>
      <c r="D1252" s="7">
        <v>45711</v>
      </c>
      <c r="E1252" t="s">
        <v>22</v>
      </c>
      <c r="F1252" t="s">
        <v>17</v>
      </c>
      <c r="G1252">
        <v>4</v>
      </c>
      <c r="H1252" t="s">
        <v>18</v>
      </c>
      <c r="I1252" t="s">
        <v>32</v>
      </c>
      <c r="J1252">
        <f>orders[[#This Row],[Ship Date]]-orders[[#This Row],[Order Date]]</f>
        <v>5</v>
      </c>
      <c r="K1252">
        <f>WEEKNUM(orders[[#This Row],[Order Date]])</f>
        <v>8</v>
      </c>
      <c r="L1252" t="str" cm="1">
        <f t="array" ref="L1252">_xlfn.IFS(orders[[#This Row],[Customer Gender]]="M","Male", orders[[#This Row],[Customer Gender]]="F","Female", orders[[#This Row],[Customer Gender]]="O","Other", TRUE,"Unknown")</f>
        <v>Male</v>
      </c>
      <c r="M1252">
        <v>4</v>
      </c>
      <c r="N1252">
        <v>80.5</v>
      </c>
      <c r="O1252" s="5">
        <v>322</v>
      </c>
    </row>
    <row r="1253" spans="1:15" x14ac:dyDescent="0.3">
      <c r="A1253" t="s">
        <v>1349</v>
      </c>
      <c r="B1253" t="s">
        <v>145</v>
      </c>
      <c r="C1253" s="7">
        <v>45706</v>
      </c>
      <c r="D1253" s="7">
        <v>45711</v>
      </c>
      <c r="E1253" t="s">
        <v>2517</v>
      </c>
      <c r="F1253" t="s">
        <v>17</v>
      </c>
      <c r="G1253">
        <v>5</v>
      </c>
      <c r="H1253" t="s">
        <v>18</v>
      </c>
      <c r="I1253" t="s">
        <v>32</v>
      </c>
      <c r="J1253">
        <f>orders[[#This Row],[Ship Date]]-orders[[#This Row],[Order Date]]</f>
        <v>5</v>
      </c>
      <c r="K1253">
        <f>WEEKNUM(orders[[#This Row],[Order Date]])</f>
        <v>8</v>
      </c>
      <c r="L1253" t="str" cm="1">
        <f t="array" ref="L1253">_xlfn.IFS(orders[[#This Row],[Customer Gender]]="M","Male", orders[[#This Row],[Customer Gender]]="F","Female", orders[[#This Row],[Customer Gender]]="O","Other", TRUE,"Unknown")</f>
        <v>Unknown</v>
      </c>
      <c r="M1253">
        <v>4</v>
      </c>
      <c r="N1253">
        <v>33.6</v>
      </c>
      <c r="O1253">
        <v>134.4</v>
      </c>
    </row>
    <row r="1254" spans="1:15" x14ac:dyDescent="0.3">
      <c r="A1254" t="s">
        <v>1350</v>
      </c>
      <c r="B1254" t="s">
        <v>45</v>
      </c>
      <c r="C1254" s="7">
        <v>45706</v>
      </c>
      <c r="D1254" s="7">
        <v>45707</v>
      </c>
      <c r="E1254" t="s">
        <v>26</v>
      </c>
      <c r="F1254" t="s">
        <v>17</v>
      </c>
      <c r="G1254">
        <v>3</v>
      </c>
      <c r="H1254" t="s">
        <v>18</v>
      </c>
      <c r="I1254" t="s">
        <v>32</v>
      </c>
      <c r="J1254">
        <f>orders[[#This Row],[Ship Date]]-orders[[#This Row],[Order Date]]</f>
        <v>1</v>
      </c>
      <c r="K1254">
        <f>WEEKNUM(orders[[#This Row],[Order Date]])</f>
        <v>8</v>
      </c>
      <c r="L1254" t="str" cm="1">
        <f t="array" ref="L1254">_xlfn.IFS(orders[[#This Row],[Customer Gender]]="M","Male", orders[[#This Row],[Customer Gender]]="F","Female", orders[[#This Row],[Customer Gender]]="O","Other", TRUE,"Unknown")</f>
        <v>Female</v>
      </c>
      <c r="M1254">
        <v>9</v>
      </c>
      <c r="N1254">
        <v>41.8</v>
      </c>
      <c r="O1254" s="5">
        <v>376.2</v>
      </c>
    </row>
    <row r="1255" spans="1:15" x14ac:dyDescent="0.3">
      <c r="A1255" t="s">
        <v>1351</v>
      </c>
      <c r="B1255" t="s">
        <v>21</v>
      </c>
      <c r="C1255" s="7">
        <v>45706</v>
      </c>
      <c r="D1255" s="7">
        <v>45706</v>
      </c>
      <c r="E1255" t="s">
        <v>26</v>
      </c>
      <c r="F1255" t="s">
        <v>69</v>
      </c>
      <c r="G1255">
        <v>5</v>
      </c>
      <c r="H1255" t="s">
        <v>18</v>
      </c>
      <c r="I1255" t="s">
        <v>32</v>
      </c>
      <c r="J1255">
        <f>orders[[#This Row],[Ship Date]]-orders[[#This Row],[Order Date]]</f>
        <v>0</v>
      </c>
      <c r="K1255">
        <f>WEEKNUM(orders[[#This Row],[Order Date]])</f>
        <v>8</v>
      </c>
      <c r="L1255" t="str" cm="1">
        <f t="array" ref="L1255">_xlfn.IFS(orders[[#This Row],[Customer Gender]]="M","Male", orders[[#This Row],[Customer Gender]]="F","Female", orders[[#This Row],[Customer Gender]]="O","Other", TRUE,"Unknown")</f>
        <v>Female</v>
      </c>
      <c r="M1255">
        <v>2</v>
      </c>
      <c r="N1255">
        <v>106.2</v>
      </c>
      <c r="O1255">
        <v>212.4</v>
      </c>
    </row>
    <row r="1256" spans="1:15" x14ac:dyDescent="0.3">
      <c r="A1256" t="s">
        <v>1352</v>
      </c>
      <c r="B1256" t="s">
        <v>21</v>
      </c>
      <c r="C1256" s="7">
        <v>45706</v>
      </c>
      <c r="D1256" s="7">
        <v>45707</v>
      </c>
      <c r="E1256" t="s">
        <v>26</v>
      </c>
      <c r="F1256" t="s">
        <v>17</v>
      </c>
      <c r="G1256">
        <v>5</v>
      </c>
      <c r="H1256" t="s">
        <v>18</v>
      </c>
      <c r="I1256" t="s">
        <v>51</v>
      </c>
      <c r="J1256">
        <f>orders[[#This Row],[Ship Date]]-orders[[#This Row],[Order Date]]</f>
        <v>1</v>
      </c>
      <c r="K1256">
        <f>WEEKNUM(orders[[#This Row],[Order Date]])</f>
        <v>8</v>
      </c>
      <c r="L1256" t="str" cm="1">
        <f t="array" ref="L1256">_xlfn.IFS(orders[[#This Row],[Customer Gender]]="M","Male", orders[[#This Row],[Customer Gender]]="F","Female", orders[[#This Row],[Customer Gender]]="O","Other", TRUE,"Unknown")</f>
        <v>Female</v>
      </c>
      <c r="M1256">
        <v>2</v>
      </c>
      <c r="N1256">
        <v>52.6</v>
      </c>
      <c r="O1256" s="5">
        <v>105.2</v>
      </c>
    </row>
    <row r="1257" spans="1:15" x14ac:dyDescent="0.3">
      <c r="A1257" t="s">
        <v>1353</v>
      </c>
      <c r="B1257" t="s">
        <v>66</v>
      </c>
      <c r="C1257" s="7">
        <v>45706</v>
      </c>
      <c r="D1257" s="7">
        <v>45707</v>
      </c>
      <c r="E1257" t="s">
        <v>26</v>
      </c>
      <c r="F1257" t="s">
        <v>34</v>
      </c>
      <c r="G1257">
        <v>4</v>
      </c>
      <c r="H1257" t="s">
        <v>18</v>
      </c>
      <c r="I1257" t="s">
        <v>51</v>
      </c>
      <c r="J1257">
        <f>orders[[#This Row],[Ship Date]]-orders[[#This Row],[Order Date]]</f>
        <v>1</v>
      </c>
      <c r="K1257">
        <f>WEEKNUM(orders[[#This Row],[Order Date]])</f>
        <v>8</v>
      </c>
      <c r="L1257" t="str" cm="1">
        <f t="array" ref="L1257">_xlfn.IFS(orders[[#This Row],[Customer Gender]]="M","Male", orders[[#This Row],[Customer Gender]]="F","Female", orders[[#This Row],[Customer Gender]]="O","Other", TRUE,"Unknown")</f>
        <v>Female</v>
      </c>
      <c r="M1257">
        <v>7</v>
      </c>
      <c r="N1257">
        <v>68.5</v>
      </c>
      <c r="O1257">
        <v>479.5</v>
      </c>
    </row>
    <row r="1258" spans="1:15" x14ac:dyDescent="0.3">
      <c r="A1258" t="s">
        <v>1354</v>
      </c>
      <c r="B1258" t="s">
        <v>21</v>
      </c>
      <c r="C1258" s="7">
        <v>45706</v>
      </c>
      <c r="D1258" s="7">
        <v>45708</v>
      </c>
      <c r="E1258" t="s">
        <v>22</v>
      </c>
      <c r="F1258" t="s">
        <v>34</v>
      </c>
      <c r="G1258">
        <v>5</v>
      </c>
      <c r="H1258" t="s">
        <v>18</v>
      </c>
      <c r="I1258" t="s">
        <v>54</v>
      </c>
      <c r="J1258">
        <f>orders[[#This Row],[Ship Date]]-orders[[#This Row],[Order Date]]</f>
        <v>2</v>
      </c>
      <c r="K1258">
        <f>WEEKNUM(orders[[#This Row],[Order Date]])</f>
        <v>8</v>
      </c>
      <c r="L1258" t="str" cm="1">
        <f t="array" ref="L1258">_xlfn.IFS(orders[[#This Row],[Customer Gender]]="M","Male", orders[[#This Row],[Customer Gender]]="F","Female", orders[[#This Row],[Customer Gender]]="O","Other", TRUE,"Unknown")</f>
        <v>Male</v>
      </c>
      <c r="M1258">
        <v>2</v>
      </c>
      <c r="N1258">
        <v>55.6</v>
      </c>
      <c r="O1258" s="5">
        <v>111.2</v>
      </c>
    </row>
    <row r="1259" spans="1:15" x14ac:dyDescent="0.3">
      <c r="A1259" t="s">
        <v>1355</v>
      </c>
      <c r="B1259" t="s">
        <v>25</v>
      </c>
      <c r="C1259" s="7">
        <v>45706</v>
      </c>
      <c r="D1259" s="7">
        <v>45707</v>
      </c>
      <c r="E1259" t="s">
        <v>22</v>
      </c>
      <c r="F1259" t="s">
        <v>34</v>
      </c>
      <c r="G1259">
        <v>3</v>
      </c>
      <c r="H1259" t="s">
        <v>18</v>
      </c>
      <c r="I1259" t="s">
        <v>54</v>
      </c>
      <c r="J1259">
        <f>orders[[#This Row],[Ship Date]]-orders[[#This Row],[Order Date]]</f>
        <v>1</v>
      </c>
      <c r="K1259">
        <f>WEEKNUM(orders[[#This Row],[Order Date]])</f>
        <v>8</v>
      </c>
      <c r="L1259" t="str" cm="1">
        <f t="array" ref="L1259">_xlfn.IFS(orders[[#This Row],[Customer Gender]]="M","Male", orders[[#This Row],[Customer Gender]]="F","Female", orders[[#This Row],[Customer Gender]]="O","Other", TRUE,"Unknown")</f>
        <v>Male</v>
      </c>
      <c r="M1259">
        <v>3</v>
      </c>
      <c r="N1259">
        <v>134.9</v>
      </c>
      <c r="O1259">
        <v>404.70000000000005</v>
      </c>
    </row>
    <row r="1260" spans="1:15" x14ac:dyDescent="0.3">
      <c r="A1260" t="s">
        <v>1356</v>
      </c>
      <c r="B1260" t="s">
        <v>53</v>
      </c>
      <c r="C1260" s="7">
        <v>45706</v>
      </c>
      <c r="D1260" s="7">
        <v>45707</v>
      </c>
      <c r="E1260" t="s">
        <v>22</v>
      </c>
      <c r="F1260" t="s">
        <v>17</v>
      </c>
      <c r="G1260">
        <v>4</v>
      </c>
      <c r="H1260" t="s">
        <v>18</v>
      </c>
      <c r="I1260" t="s">
        <v>54</v>
      </c>
      <c r="J1260">
        <f>orders[[#This Row],[Ship Date]]-orders[[#This Row],[Order Date]]</f>
        <v>1</v>
      </c>
      <c r="K1260">
        <f>WEEKNUM(orders[[#This Row],[Order Date]])</f>
        <v>8</v>
      </c>
      <c r="L1260" t="str" cm="1">
        <f t="array" ref="L1260">_xlfn.IFS(orders[[#This Row],[Customer Gender]]="M","Male", orders[[#This Row],[Customer Gender]]="F","Female", orders[[#This Row],[Customer Gender]]="O","Other", TRUE,"Unknown")</f>
        <v>Male</v>
      </c>
      <c r="M1260">
        <v>5</v>
      </c>
      <c r="N1260">
        <v>42.6</v>
      </c>
      <c r="O1260" s="5">
        <v>213</v>
      </c>
    </row>
    <row r="1261" spans="1:15" x14ac:dyDescent="0.3">
      <c r="A1261" t="s">
        <v>1357</v>
      </c>
      <c r="B1261" t="s">
        <v>41</v>
      </c>
      <c r="C1261" s="7">
        <v>45706</v>
      </c>
      <c r="D1261" s="7">
        <v>45708</v>
      </c>
      <c r="E1261" t="s">
        <v>22</v>
      </c>
      <c r="F1261" t="s">
        <v>69</v>
      </c>
      <c r="G1261">
        <v>4</v>
      </c>
      <c r="H1261" t="s">
        <v>18</v>
      </c>
      <c r="I1261" t="s">
        <v>54</v>
      </c>
      <c r="J1261">
        <f>orders[[#This Row],[Ship Date]]-orders[[#This Row],[Order Date]]</f>
        <v>2</v>
      </c>
      <c r="K1261">
        <f>WEEKNUM(orders[[#This Row],[Order Date]])</f>
        <v>8</v>
      </c>
      <c r="L1261" t="str" cm="1">
        <f t="array" ref="L1261">_xlfn.IFS(orders[[#This Row],[Customer Gender]]="M","Male", orders[[#This Row],[Customer Gender]]="F","Female", orders[[#This Row],[Customer Gender]]="O","Other", TRUE,"Unknown")</f>
        <v>Male</v>
      </c>
      <c r="M1261">
        <v>5</v>
      </c>
      <c r="N1261">
        <v>60.6</v>
      </c>
      <c r="O1261">
        <v>303</v>
      </c>
    </row>
    <row r="1262" spans="1:15" x14ac:dyDescent="0.3">
      <c r="A1262" t="s">
        <v>1358</v>
      </c>
      <c r="B1262" t="s">
        <v>43</v>
      </c>
      <c r="C1262" s="7">
        <v>45706</v>
      </c>
      <c r="D1262" s="7">
        <v>45707</v>
      </c>
      <c r="E1262" t="s">
        <v>22</v>
      </c>
      <c r="F1262" t="s">
        <v>69</v>
      </c>
      <c r="G1262">
        <v>4</v>
      </c>
      <c r="H1262" t="s">
        <v>18</v>
      </c>
      <c r="I1262" t="s">
        <v>58</v>
      </c>
      <c r="J1262">
        <f>orders[[#This Row],[Ship Date]]-orders[[#This Row],[Order Date]]</f>
        <v>1</v>
      </c>
      <c r="K1262">
        <f>WEEKNUM(orders[[#This Row],[Order Date]])</f>
        <v>8</v>
      </c>
      <c r="L1262" t="str" cm="1">
        <f t="array" ref="L1262">_xlfn.IFS(orders[[#This Row],[Customer Gender]]="M","Male", orders[[#This Row],[Customer Gender]]="F","Female", orders[[#This Row],[Customer Gender]]="O","Other", TRUE,"Unknown")</f>
        <v>Male</v>
      </c>
      <c r="M1262">
        <v>2</v>
      </c>
      <c r="N1262">
        <v>43.5</v>
      </c>
      <c r="O1262" s="5">
        <v>87</v>
      </c>
    </row>
    <row r="1263" spans="1:15" x14ac:dyDescent="0.3">
      <c r="A1263" t="s">
        <v>1359</v>
      </c>
      <c r="B1263" t="s">
        <v>25</v>
      </c>
      <c r="C1263" s="7">
        <v>45706</v>
      </c>
      <c r="D1263" s="7">
        <v>45707</v>
      </c>
      <c r="E1263" t="s">
        <v>22</v>
      </c>
      <c r="F1263" t="s">
        <v>34</v>
      </c>
      <c r="G1263">
        <v>5</v>
      </c>
      <c r="H1263" t="s">
        <v>18</v>
      </c>
      <c r="I1263" t="s">
        <v>61</v>
      </c>
      <c r="J1263">
        <f>orders[[#This Row],[Ship Date]]-orders[[#This Row],[Order Date]]</f>
        <v>1</v>
      </c>
      <c r="K1263">
        <f>WEEKNUM(orders[[#This Row],[Order Date]])</f>
        <v>8</v>
      </c>
      <c r="L1263" t="str" cm="1">
        <f t="array" ref="L1263">_xlfn.IFS(orders[[#This Row],[Customer Gender]]="M","Male", orders[[#This Row],[Customer Gender]]="F","Female", orders[[#This Row],[Customer Gender]]="O","Other", TRUE,"Unknown")</f>
        <v>Male</v>
      </c>
      <c r="M1263">
        <v>2</v>
      </c>
      <c r="N1263">
        <v>187.1</v>
      </c>
      <c r="O1263">
        <v>374.2</v>
      </c>
    </row>
    <row r="1264" spans="1:15" x14ac:dyDescent="0.3">
      <c r="A1264" t="s">
        <v>1360</v>
      </c>
      <c r="B1264" t="s">
        <v>45</v>
      </c>
      <c r="C1264" s="7">
        <v>45706</v>
      </c>
      <c r="D1264" s="7">
        <v>45708</v>
      </c>
      <c r="E1264" t="s">
        <v>22</v>
      </c>
      <c r="F1264" t="s">
        <v>17</v>
      </c>
      <c r="G1264">
        <v>4</v>
      </c>
      <c r="H1264" t="s">
        <v>18</v>
      </c>
      <c r="I1264" t="s">
        <v>61</v>
      </c>
      <c r="J1264">
        <f>orders[[#This Row],[Ship Date]]-orders[[#This Row],[Order Date]]</f>
        <v>2</v>
      </c>
      <c r="K1264">
        <f>WEEKNUM(orders[[#This Row],[Order Date]])</f>
        <v>8</v>
      </c>
      <c r="L1264" t="str" cm="1">
        <f t="array" ref="L1264">_xlfn.IFS(orders[[#This Row],[Customer Gender]]="M","Male", orders[[#This Row],[Customer Gender]]="F","Female", orders[[#This Row],[Customer Gender]]="O","Other", TRUE,"Unknown")</f>
        <v>Male</v>
      </c>
      <c r="M1264">
        <v>3</v>
      </c>
      <c r="N1264">
        <v>32</v>
      </c>
      <c r="O1264" s="5">
        <v>96</v>
      </c>
    </row>
    <row r="1265" spans="1:15" x14ac:dyDescent="0.3">
      <c r="A1265" t="s">
        <v>1361</v>
      </c>
      <c r="B1265" t="s">
        <v>45</v>
      </c>
      <c r="C1265" s="7">
        <v>45706</v>
      </c>
      <c r="D1265" s="7">
        <v>45706</v>
      </c>
      <c r="E1265" t="s">
        <v>22</v>
      </c>
      <c r="F1265" t="s">
        <v>17</v>
      </c>
      <c r="G1265">
        <v>5</v>
      </c>
      <c r="H1265" t="s">
        <v>18</v>
      </c>
      <c r="I1265" t="s">
        <v>61</v>
      </c>
      <c r="J1265">
        <f>orders[[#This Row],[Ship Date]]-orders[[#This Row],[Order Date]]</f>
        <v>0</v>
      </c>
      <c r="K1265">
        <f>WEEKNUM(orders[[#This Row],[Order Date]])</f>
        <v>8</v>
      </c>
      <c r="L1265" t="str" cm="1">
        <f t="array" ref="L1265">_xlfn.IFS(orders[[#This Row],[Customer Gender]]="M","Male", orders[[#This Row],[Customer Gender]]="F","Female", orders[[#This Row],[Customer Gender]]="O","Other", TRUE,"Unknown")</f>
        <v>Male</v>
      </c>
      <c r="M1265">
        <v>2</v>
      </c>
      <c r="N1265">
        <v>110.8</v>
      </c>
      <c r="O1265">
        <v>221.6</v>
      </c>
    </row>
    <row r="1266" spans="1:15" x14ac:dyDescent="0.3">
      <c r="A1266" t="s">
        <v>1362</v>
      </c>
      <c r="B1266" t="s">
        <v>53</v>
      </c>
      <c r="C1266" s="7">
        <v>45706</v>
      </c>
      <c r="D1266" s="7">
        <v>45709</v>
      </c>
      <c r="E1266" t="s">
        <v>26</v>
      </c>
      <c r="F1266" t="s">
        <v>17</v>
      </c>
      <c r="G1266">
        <v>3</v>
      </c>
      <c r="H1266" t="s">
        <v>18</v>
      </c>
      <c r="I1266" t="s">
        <v>61</v>
      </c>
      <c r="J1266">
        <f>orders[[#This Row],[Ship Date]]-orders[[#This Row],[Order Date]]</f>
        <v>3</v>
      </c>
      <c r="K1266">
        <f>WEEKNUM(orders[[#This Row],[Order Date]])</f>
        <v>8</v>
      </c>
      <c r="L1266" t="str" cm="1">
        <f t="array" ref="L1266">_xlfn.IFS(orders[[#This Row],[Customer Gender]]="M","Male", orders[[#This Row],[Customer Gender]]="F","Female", orders[[#This Row],[Customer Gender]]="O","Other", TRUE,"Unknown")</f>
        <v>Female</v>
      </c>
      <c r="M1266">
        <v>13</v>
      </c>
      <c r="N1266">
        <v>36.1</v>
      </c>
      <c r="O1266" s="5">
        <v>469.3</v>
      </c>
    </row>
    <row r="1267" spans="1:15" x14ac:dyDescent="0.3">
      <c r="A1267" t="s">
        <v>1363</v>
      </c>
      <c r="B1267" t="s">
        <v>16</v>
      </c>
      <c r="C1267" s="7">
        <v>45706</v>
      </c>
      <c r="D1267" s="7">
        <v>45708</v>
      </c>
      <c r="E1267" t="s">
        <v>26</v>
      </c>
      <c r="F1267" t="s">
        <v>69</v>
      </c>
      <c r="G1267">
        <v>5</v>
      </c>
      <c r="H1267" t="s">
        <v>18</v>
      </c>
      <c r="I1267" t="s">
        <v>61</v>
      </c>
      <c r="J1267">
        <f>orders[[#This Row],[Ship Date]]-orders[[#This Row],[Order Date]]</f>
        <v>2</v>
      </c>
      <c r="K1267">
        <f>WEEKNUM(orders[[#This Row],[Order Date]])</f>
        <v>8</v>
      </c>
      <c r="L1267" t="str" cm="1">
        <f t="array" ref="L1267">_xlfn.IFS(orders[[#This Row],[Customer Gender]]="M","Male", orders[[#This Row],[Customer Gender]]="F","Female", orders[[#This Row],[Customer Gender]]="O","Other", TRUE,"Unknown")</f>
        <v>Female</v>
      </c>
      <c r="M1267">
        <v>1</v>
      </c>
      <c r="N1267">
        <v>24.1</v>
      </c>
      <c r="O1267">
        <v>24.1</v>
      </c>
    </row>
    <row r="1268" spans="1:15" x14ac:dyDescent="0.3">
      <c r="A1268" t="s">
        <v>1364</v>
      </c>
      <c r="B1268" t="s">
        <v>170</v>
      </c>
      <c r="C1268" s="7">
        <v>45706</v>
      </c>
      <c r="D1268" s="7">
        <v>45708</v>
      </c>
      <c r="E1268" t="s">
        <v>22</v>
      </c>
      <c r="F1268" t="s">
        <v>34</v>
      </c>
      <c r="G1268">
        <v>4</v>
      </c>
      <c r="H1268" t="s">
        <v>18</v>
      </c>
      <c r="I1268" t="s">
        <v>61</v>
      </c>
      <c r="J1268">
        <f>orders[[#This Row],[Ship Date]]-orders[[#This Row],[Order Date]]</f>
        <v>2</v>
      </c>
      <c r="K1268">
        <f>WEEKNUM(orders[[#This Row],[Order Date]])</f>
        <v>8</v>
      </c>
      <c r="L1268" t="str" cm="1">
        <f t="array" ref="L1268">_xlfn.IFS(orders[[#This Row],[Customer Gender]]="M","Male", orders[[#This Row],[Customer Gender]]="F","Female", orders[[#This Row],[Customer Gender]]="O","Other", TRUE,"Unknown")</f>
        <v>Male</v>
      </c>
      <c r="M1268">
        <v>3</v>
      </c>
      <c r="N1268">
        <v>30.5</v>
      </c>
      <c r="O1268" s="5">
        <v>91.5</v>
      </c>
    </row>
    <row r="1269" spans="1:15" x14ac:dyDescent="0.3">
      <c r="A1269" t="s">
        <v>1365</v>
      </c>
      <c r="B1269" t="s">
        <v>145</v>
      </c>
      <c r="C1269" s="7">
        <v>45706</v>
      </c>
      <c r="D1269" s="7">
        <v>45709</v>
      </c>
      <c r="E1269" t="s">
        <v>22</v>
      </c>
      <c r="F1269" t="s">
        <v>17</v>
      </c>
      <c r="G1269">
        <v>4</v>
      </c>
      <c r="H1269" t="s">
        <v>18</v>
      </c>
      <c r="I1269" t="s">
        <v>61</v>
      </c>
      <c r="J1269">
        <f>orders[[#This Row],[Ship Date]]-orders[[#This Row],[Order Date]]</f>
        <v>3</v>
      </c>
      <c r="K1269">
        <f>WEEKNUM(orders[[#This Row],[Order Date]])</f>
        <v>8</v>
      </c>
      <c r="L1269" t="str" cm="1">
        <f t="array" ref="L1269">_xlfn.IFS(orders[[#This Row],[Customer Gender]]="M","Male", orders[[#This Row],[Customer Gender]]="F","Female", orders[[#This Row],[Customer Gender]]="O","Other", TRUE,"Unknown")</f>
        <v>Male</v>
      </c>
      <c r="M1269">
        <v>6</v>
      </c>
      <c r="N1269">
        <v>68.3</v>
      </c>
      <c r="O1269">
        <v>409.79999999999995</v>
      </c>
    </row>
    <row r="1270" spans="1:15" x14ac:dyDescent="0.3">
      <c r="A1270" t="s">
        <v>1366</v>
      </c>
      <c r="B1270" t="s">
        <v>41</v>
      </c>
      <c r="C1270" s="7">
        <v>45706</v>
      </c>
      <c r="D1270" s="7">
        <v>45710</v>
      </c>
      <c r="E1270" t="s">
        <v>26</v>
      </c>
      <c r="F1270" t="s">
        <v>17</v>
      </c>
      <c r="G1270">
        <v>4</v>
      </c>
      <c r="H1270" t="s">
        <v>18</v>
      </c>
      <c r="I1270" t="s">
        <v>102</v>
      </c>
      <c r="J1270">
        <f>orders[[#This Row],[Ship Date]]-orders[[#This Row],[Order Date]]</f>
        <v>4</v>
      </c>
      <c r="K1270">
        <f>WEEKNUM(orders[[#This Row],[Order Date]])</f>
        <v>8</v>
      </c>
      <c r="L1270" t="str" cm="1">
        <f t="array" ref="L1270">_xlfn.IFS(orders[[#This Row],[Customer Gender]]="M","Male", orders[[#This Row],[Customer Gender]]="F","Female", orders[[#This Row],[Customer Gender]]="O","Other", TRUE,"Unknown")</f>
        <v>Female</v>
      </c>
      <c r="M1270">
        <v>3</v>
      </c>
      <c r="N1270">
        <v>43.3</v>
      </c>
      <c r="O1270" s="5">
        <v>129.89999999999998</v>
      </c>
    </row>
    <row r="1271" spans="1:15" x14ac:dyDescent="0.3">
      <c r="A1271" t="s">
        <v>1367</v>
      </c>
      <c r="B1271" t="s">
        <v>29</v>
      </c>
      <c r="C1271" s="7">
        <v>45706</v>
      </c>
      <c r="D1271" s="7">
        <v>45709</v>
      </c>
      <c r="E1271" t="s">
        <v>26</v>
      </c>
      <c r="F1271" t="s">
        <v>17</v>
      </c>
      <c r="G1271">
        <v>3</v>
      </c>
      <c r="H1271" t="s">
        <v>18</v>
      </c>
      <c r="I1271" t="s">
        <v>102</v>
      </c>
      <c r="J1271">
        <f>orders[[#This Row],[Ship Date]]-orders[[#This Row],[Order Date]]</f>
        <v>3</v>
      </c>
      <c r="K1271">
        <f>WEEKNUM(orders[[#This Row],[Order Date]])</f>
        <v>8</v>
      </c>
      <c r="L1271" t="str" cm="1">
        <f t="array" ref="L1271">_xlfn.IFS(orders[[#This Row],[Customer Gender]]="M","Male", orders[[#This Row],[Customer Gender]]="F","Female", orders[[#This Row],[Customer Gender]]="O","Other", TRUE,"Unknown")</f>
        <v>Female</v>
      </c>
      <c r="M1271">
        <v>1</v>
      </c>
      <c r="N1271">
        <v>101.7</v>
      </c>
      <c r="O1271">
        <v>101.7</v>
      </c>
    </row>
    <row r="1272" spans="1:15" x14ac:dyDescent="0.3">
      <c r="A1272" t="s">
        <v>1368</v>
      </c>
      <c r="B1272" t="s">
        <v>66</v>
      </c>
      <c r="C1272" s="7">
        <v>45706</v>
      </c>
      <c r="D1272" s="7">
        <v>45707</v>
      </c>
      <c r="E1272" t="s">
        <v>26</v>
      </c>
      <c r="F1272" t="s">
        <v>17</v>
      </c>
      <c r="G1272">
        <v>3</v>
      </c>
      <c r="H1272" t="s">
        <v>18</v>
      </c>
      <c r="I1272" t="s">
        <v>102</v>
      </c>
      <c r="J1272">
        <f>orders[[#This Row],[Ship Date]]-orders[[#This Row],[Order Date]]</f>
        <v>1</v>
      </c>
      <c r="K1272">
        <f>WEEKNUM(orders[[#This Row],[Order Date]])</f>
        <v>8</v>
      </c>
      <c r="L1272" t="str" cm="1">
        <f t="array" ref="L1272">_xlfn.IFS(orders[[#This Row],[Customer Gender]]="M","Male", orders[[#This Row],[Customer Gender]]="F","Female", orders[[#This Row],[Customer Gender]]="O","Other", TRUE,"Unknown")</f>
        <v>Female</v>
      </c>
      <c r="M1272">
        <v>2</v>
      </c>
      <c r="N1272">
        <v>54.2</v>
      </c>
      <c r="O1272" s="5">
        <v>108.4</v>
      </c>
    </row>
    <row r="1273" spans="1:15" x14ac:dyDescent="0.3">
      <c r="A1273" t="s">
        <v>1369</v>
      </c>
      <c r="B1273" t="s">
        <v>127</v>
      </c>
      <c r="C1273" s="7">
        <v>45706</v>
      </c>
      <c r="D1273" s="7">
        <v>45706</v>
      </c>
      <c r="E1273" t="s">
        <v>22</v>
      </c>
      <c r="F1273" t="s">
        <v>34</v>
      </c>
      <c r="G1273">
        <v>4</v>
      </c>
      <c r="H1273" t="s">
        <v>18</v>
      </c>
      <c r="I1273" t="s">
        <v>200</v>
      </c>
      <c r="J1273">
        <f>orders[[#This Row],[Ship Date]]-orders[[#This Row],[Order Date]]</f>
        <v>0</v>
      </c>
      <c r="K1273">
        <f>WEEKNUM(orders[[#This Row],[Order Date]])</f>
        <v>8</v>
      </c>
      <c r="L1273" t="str" cm="1">
        <f t="array" ref="L1273">_xlfn.IFS(orders[[#This Row],[Customer Gender]]="M","Male", orders[[#This Row],[Customer Gender]]="F","Female", orders[[#This Row],[Customer Gender]]="O","Other", TRUE,"Unknown")</f>
        <v>Male</v>
      </c>
      <c r="M1273">
        <v>2</v>
      </c>
      <c r="N1273">
        <v>51</v>
      </c>
      <c r="O1273">
        <v>102</v>
      </c>
    </row>
    <row r="1274" spans="1:15" x14ac:dyDescent="0.3">
      <c r="A1274" t="s">
        <v>1370</v>
      </c>
      <c r="B1274" t="s">
        <v>31</v>
      </c>
      <c r="C1274" s="7">
        <v>45706</v>
      </c>
      <c r="D1274" s="7">
        <v>45709</v>
      </c>
      <c r="E1274" t="s">
        <v>22</v>
      </c>
      <c r="F1274" t="s">
        <v>34</v>
      </c>
      <c r="G1274">
        <v>4</v>
      </c>
      <c r="H1274" t="s">
        <v>18</v>
      </c>
      <c r="I1274" t="s">
        <v>73</v>
      </c>
      <c r="J1274">
        <f>orders[[#This Row],[Ship Date]]-orders[[#This Row],[Order Date]]</f>
        <v>3</v>
      </c>
      <c r="K1274">
        <f>WEEKNUM(orders[[#This Row],[Order Date]])</f>
        <v>8</v>
      </c>
      <c r="L1274" t="str" cm="1">
        <f t="array" ref="L1274">_xlfn.IFS(orders[[#This Row],[Customer Gender]]="M","Male", orders[[#This Row],[Customer Gender]]="F","Female", orders[[#This Row],[Customer Gender]]="O","Other", TRUE,"Unknown")</f>
        <v>Male</v>
      </c>
      <c r="M1274">
        <v>2</v>
      </c>
      <c r="N1274">
        <v>23.1</v>
      </c>
      <c r="O1274" s="5">
        <v>46.2</v>
      </c>
    </row>
    <row r="1275" spans="1:15" x14ac:dyDescent="0.3">
      <c r="A1275" t="s">
        <v>1371</v>
      </c>
      <c r="B1275" t="s">
        <v>68</v>
      </c>
      <c r="C1275" s="7">
        <v>45706</v>
      </c>
      <c r="D1275" s="7">
        <v>45706</v>
      </c>
      <c r="E1275" t="s">
        <v>26</v>
      </c>
      <c r="F1275" t="s">
        <v>50</v>
      </c>
      <c r="G1275">
        <v>4</v>
      </c>
      <c r="H1275" t="s">
        <v>18</v>
      </c>
      <c r="I1275" t="s">
        <v>76</v>
      </c>
      <c r="J1275">
        <f>orders[[#This Row],[Ship Date]]-orders[[#This Row],[Order Date]]</f>
        <v>0</v>
      </c>
      <c r="K1275">
        <f>WEEKNUM(orders[[#This Row],[Order Date]])</f>
        <v>8</v>
      </c>
      <c r="L1275" t="str" cm="1">
        <f t="array" ref="L1275">_xlfn.IFS(orders[[#This Row],[Customer Gender]]="M","Male", orders[[#This Row],[Customer Gender]]="F","Female", orders[[#This Row],[Customer Gender]]="O","Other", TRUE,"Unknown")</f>
        <v>Female</v>
      </c>
      <c r="M1275">
        <v>6</v>
      </c>
      <c r="N1275">
        <v>60.1</v>
      </c>
      <c r="O1275">
        <v>360.6</v>
      </c>
    </row>
    <row r="1276" spans="1:15" x14ac:dyDescent="0.3">
      <c r="A1276" t="s">
        <v>1372</v>
      </c>
      <c r="B1276" t="s">
        <v>25</v>
      </c>
      <c r="C1276" s="7">
        <v>45706</v>
      </c>
      <c r="D1276" s="7">
        <v>45708</v>
      </c>
      <c r="E1276" t="s">
        <v>26</v>
      </c>
      <c r="F1276" t="s">
        <v>17</v>
      </c>
      <c r="G1276">
        <v>3</v>
      </c>
      <c r="H1276" t="s">
        <v>18</v>
      </c>
      <c r="I1276" t="s">
        <v>76</v>
      </c>
      <c r="J1276">
        <f>orders[[#This Row],[Ship Date]]-orders[[#This Row],[Order Date]]</f>
        <v>2</v>
      </c>
      <c r="K1276">
        <f>WEEKNUM(orders[[#This Row],[Order Date]])</f>
        <v>8</v>
      </c>
      <c r="L1276" t="str" cm="1">
        <f t="array" ref="L1276">_xlfn.IFS(orders[[#This Row],[Customer Gender]]="M","Male", orders[[#This Row],[Customer Gender]]="F","Female", orders[[#This Row],[Customer Gender]]="O","Other", TRUE,"Unknown")</f>
        <v>Female</v>
      </c>
      <c r="M1276">
        <v>7</v>
      </c>
      <c r="N1276">
        <v>87.5</v>
      </c>
      <c r="O1276" s="5">
        <v>612.5</v>
      </c>
    </row>
    <row r="1277" spans="1:15" x14ac:dyDescent="0.3">
      <c r="A1277" t="s">
        <v>1373</v>
      </c>
      <c r="B1277" t="s">
        <v>21</v>
      </c>
      <c r="C1277" s="7">
        <v>45706</v>
      </c>
      <c r="D1277" s="7">
        <v>45707</v>
      </c>
      <c r="E1277" t="s">
        <v>26</v>
      </c>
      <c r="F1277" t="s">
        <v>34</v>
      </c>
      <c r="G1277">
        <v>4</v>
      </c>
      <c r="H1277" t="s">
        <v>18</v>
      </c>
      <c r="I1277" t="s">
        <v>76</v>
      </c>
      <c r="J1277">
        <f>orders[[#This Row],[Ship Date]]-orders[[#This Row],[Order Date]]</f>
        <v>1</v>
      </c>
      <c r="K1277">
        <f>WEEKNUM(orders[[#This Row],[Order Date]])</f>
        <v>8</v>
      </c>
      <c r="L1277" t="str" cm="1">
        <f t="array" ref="L1277">_xlfn.IFS(orders[[#This Row],[Customer Gender]]="M","Male", orders[[#This Row],[Customer Gender]]="F","Female", orders[[#This Row],[Customer Gender]]="O","Other", TRUE,"Unknown")</f>
        <v>Female</v>
      </c>
      <c r="M1277">
        <v>3</v>
      </c>
      <c r="N1277">
        <v>51</v>
      </c>
      <c r="O1277">
        <v>153</v>
      </c>
    </row>
    <row r="1278" spans="1:15" x14ac:dyDescent="0.3">
      <c r="A1278" t="s">
        <v>1374</v>
      </c>
      <c r="B1278" t="s">
        <v>43</v>
      </c>
      <c r="C1278" s="7">
        <v>45706</v>
      </c>
      <c r="D1278" s="7">
        <v>45708</v>
      </c>
      <c r="E1278" t="s">
        <v>26</v>
      </c>
      <c r="F1278" t="s">
        <v>17</v>
      </c>
      <c r="G1278">
        <v>4</v>
      </c>
      <c r="H1278" t="s">
        <v>18</v>
      </c>
      <c r="I1278" t="s">
        <v>76</v>
      </c>
      <c r="J1278">
        <f>orders[[#This Row],[Ship Date]]-orders[[#This Row],[Order Date]]</f>
        <v>2</v>
      </c>
      <c r="K1278">
        <f>WEEKNUM(orders[[#This Row],[Order Date]])</f>
        <v>8</v>
      </c>
      <c r="L1278" t="str" cm="1">
        <f t="array" ref="L1278">_xlfn.IFS(orders[[#This Row],[Customer Gender]]="M","Male", orders[[#This Row],[Customer Gender]]="F","Female", orders[[#This Row],[Customer Gender]]="O","Other", TRUE,"Unknown")</f>
        <v>Female</v>
      </c>
      <c r="M1278">
        <v>4</v>
      </c>
      <c r="N1278">
        <v>19.2</v>
      </c>
      <c r="O1278" s="5">
        <v>76.8</v>
      </c>
    </row>
    <row r="1279" spans="1:15" x14ac:dyDescent="0.3">
      <c r="A1279" t="s">
        <v>1375</v>
      </c>
      <c r="B1279" t="s">
        <v>36</v>
      </c>
      <c r="C1279" s="7">
        <v>45706</v>
      </c>
      <c r="D1279" s="7">
        <v>45707</v>
      </c>
      <c r="E1279" t="s">
        <v>2517</v>
      </c>
      <c r="F1279" t="s">
        <v>50</v>
      </c>
      <c r="G1279">
        <v>5</v>
      </c>
      <c r="H1279" t="s">
        <v>18</v>
      </c>
      <c r="I1279" t="s">
        <v>76</v>
      </c>
      <c r="J1279">
        <f>orders[[#This Row],[Ship Date]]-orders[[#This Row],[Order Date]]</f>
        <v>1</v>
      </c>
      <c r="K1279">
        <f>WEEKNUM(orders[[#This Row],[Order Date]])</f>
        <v>8</v>
      </c>
      <c r="L1279" t="str" cm="1">
        <f t="array" ref="L1279">_xlfn.IFS(orders[[#This Row],[Customer Gender]]="M","Male", orders[[#This Row],[Customer Gender]]="F","Female", orders[[#This Row],[Customer Gender]]="O","Other", TRUE,"Unknown")</f>
        <v>Unknown</v>
      </c>
      <c r="M1279">
        <v>8</v>
      </c>
      <c r="N1279">
        <v>26.5</v>
      </c>
      <c r="O1279">
        <v>212</v>
      </c>
    </row>
    <row r="1280" spans="1:15" x14ac:dyDescent="0.3">
      <c r="A1280" t="s">
        <v>1376</v>
      </c>
      <c r="B1280" t="s">
        <v>25</v>
      </c>
      <c r="C1280" s="7">
        <v>45706</v>
      </c>
      <c r="D1280" s="7">
        <v>45707</v>
      </c>
      <c r="E1280" t="s">
        <v>26</v>
      </c>
      <c r="F1280" t="s">
        <v>34</v>
      </c>
      <c r="G1280">
        <v>2</v>
      </c>
      <c r="H1280" t="s">
        <v>18</v>
      </c>
      <c r="I1280" t="s">
        <v>1115</v>
      </c>
      <c r="J1280">
        <f>orders[[#This Row],[Ship Date]]-orders[[#This Row],[Order Date]]</f>
        <v>1</v>
      </c>
      <c r="K1280">
        <f>WEEKNUM(orders[[#This Row],[Order Date]])</f>
        <v>8</v>
      </c>
      <c r="L1280" t="str" cm="1">
        <f t="array" ref="L1280">_xlfn.IFS(orders[[#This Row],[Customer Gender]]="M","Male", orders[[#This Row],[Customer Gender]]="F","Female", orders[[#This Row],[Customer Gender]]="O","Other", TRUE,"Unknown")</f>
        <v>Female</v>
      </c>
      <c r="M1280">
        <v>2</v>
      </c>
      <c r="N1280">
        <v>220.3</v>
      </c>
      <c r="O1280" s="5">
        <v>440.6</v>
      </c>
    </row>
    <row r="1281" spans="1:15" x14ac:dyDescent="0.3">
      <c r="A1281" t="s">
        <v>1377</v>
      </c>
      <c r="B1281" t="s">
        <v>43</v>
      </c>
      <c r="C1281" s="7">
        <v>45706</v>
      </c>
      <c r="D1281" s="7">
        <v>45707</v>
      </c>
      <c r="E1281" t="s">
        <v>26</v>
      </c>
      <c r="F1281" t="s">
        <v>69</v>
      </c>
      <c r="G1281">
        <v>4</v>
      </c>
      <c r="H1281" t="s">
        <v>18</v>
      </c>
      <c r="I1281" t="s">
        <v>267</v>
      </c>
      <c r="J1281">
        <f>orders[[#This Row],[Ship Date]]-orders[[#This Row],[Order Date]]</f>
        <v>1</v>
      </c>
      <c r="K1281">
        <f>WEEKNUM(orders[[#This Row],[Order Date]])</f>
        <v>8</v>
      </c>
      <c r="L1281" t="str" cm="1">
        <f t="array" ref="L1281">_xlfn.IFS(orders[[#This Row],[Customer Gender]]="M","Male", orders[[#This Row],[Customer Gender]]="F","Female", orders[[#This Row],[Customer Gender]]="O","Other", TRUE,"Unknown")</f>
        <v>Female</v>
      </c>
      <c r="M1281">
        <v>3</v>
      </c>
      <c r="N1281">
        <v>45.7</v>
      </c>
      <c r="O1281">
        <v>137.10000000000002</v>
      </c>
    </row>
    <row r="1282" spans="1:15" x14ac:dyDescent="0.3">
      <c r="A1282" t="s">
        <v>1378</v>
      </c>
      <c r="B1282" t="s">
        <v>36</v>
      </c>
      <c r="C1282" s="7">
        <v>45706</v>
      </c>
      <c r="D1282" s="7">
        <v>45710</v>
      </c>
      <c r="E1282" t="s">
        <v>26</v>
      </c>
      <c r="F1282" t="s">
        <v>50</v>
      </c>
      <c r="G1282">
        <v>4</v>
      </c>
      <c r="H1282" t="s">
        <v>18</v>
      </c>
      <c r="I1282" t="s">
        <v>81</v>
      </c>
      <c r="J1282">
        <f>orders[[#This Row],[Ship Date]]-orders[[#This Row],[Order Date]]</f>
        <v>4</v>
      </c>
      <c r="K1282">
        <f>WEEKNUM(orders[[#This Row],[Order Date]])</f>
        <v>8</v>
      </c>
      <c r="L1282" t="str" cm="1">
        <f t="array" ref="L1282">_xlfn.IFS(orders[[#This Row],[Customer Gender]]="M","Male", orders[[#This Row],[Customer Gender]]="F","Female", orders[[#This Row],[Customer Gender]]="O","Other", TRUE,"Unknown")</f>
        <v>Female</v>
      </c>
      <c r="M1282">
        <v>5</v>
      </c>
      <c r="N1282">
        <v>47.1</v>
      </c>
      <c r="O1282" s="5">
        <v>235.5</v>
      </c>
    </row>
    <row r="1283" spans="1:15" x14ac:dyDescent="0.3">
      <c r="A1283" t="s">
        <v>1379</v>
      </c>
      <c r="B1283" t="s">
        <v>21</v>
      </c>
      <c r="C1283" s="7">
        <v>45706</v>
      </c>
      <c r="D1283" s="7">
        <v>45707</v>
      </c>
      <c r="E1283" t="s">
        <v>26</v>
      </c>
      <c r="F1283" t="s">
        <v>17</v>
      </c>
      <c r="G1283">
        <v>5</v>
      </c>
      <c r="H1283" t="s">
        <v>18</v>
      </c>
      <c r="I1283" t="s">
        <v>114</v>
      </c>
      <c r="J1283">
        <f>orders[[#This Row],[Ship Date]]-orders[[#This Row],[Order Date]]</f>
        <v>1</v>
      </c>
      <c r="K1283">
        <f>WEEKNUM(orders[[#This Row],[Order Date]])</f>
        <v>8</v>
      </c>
      <c r="L1283" t="str" cm="1">
        <f t="array" ref="L1283">_xlfn.IFS(orders[[#This Row],[Customer Gender]]="M","Male", orders[[#This Row],[Customer Gender]]="F","Female", orders[[#This Row],[Customer Gender]]="O","Other", TRUE,"Unknown")</f>
        <v>Female</v>
      </c>
      <c r="M1283">
        <v>5</v>
      </c>
      <c r="N1283">
        <v>81.7</v>
      </c>
      <c r="O1283">
        <v>408.5</v>
      </c>
    </row>
    <row r="1284" spans="1:15" x14ac:dyDescent="0.3">
      <c r="A1284" t="s">
        <v>1380</v>
      </c>
      <c r="B1284" t="s">
        <v>38</v>
      </c>
      <c r="C1284" s="7">
        <v>45706</v>
      </c>
      <c r="D1284" s="7">
        <v>45706</v>
      </c>
      <c r="E1284" t="s">
        <v>22</v>
      </c>
      <c r="F1284" t="s">
        <v>34</v>
      </c>
      <c r="G1284">
        <v>3</v>
      </c>
      <c r="H1284" t="s">
        <v>18</v>
      </c>
      <c r="I1284" t="s">
        <v>114</v>
      </c>
      <c r="J1284">
        <f>orders[[#This Row],[Ship Date]]-orders[[#This Row],[Order Date]]</f>
        <v>0</v>
      </c>
      <c r="K1284">
        <f>WEEKNUM(orders[[#This Row],[Order Date]])</f>
        <v>8</v>
      </c>
      <c r="L1284" t="str" cm="1">
        <f t="array" ref="L1284">_xlfn.IFS(orders[[#This Row],[Customer Gender]]="M","Male", orders[[#This Row],[Customer Gender]]="F","Female", orders[[#This Row],[Customer Gender]]="O","Other", TRUE,"Unknown")</f>
        <v>Male</v>
      </c>
      <c r="M1284">
        <v>10</v>
      </c>
      <c r="N1284">
        <v>97.8</v>
      </c>
      <c r="O1284" s="5">
        <v>978</v>
      </c>
    </row>
    <row r="1285" spans="1:15" x14ac:dyDescent="0.3">
      <c r="A1285" t="s">
        <v>1381</v>
      </c>
      <c r="B1285" t="s">
        <v>38</v>
      </c>
      <c r="C1285" s="7">
        <v>45706</v>
      </c>
      <c r="D1285" s="7">
        <v>45707</v>
      </c>
      <c r="E1285" t="s">
        <v>26</v>
      </c>
      <c r="F1285" t="s">
        <v>17</v>
      </c>
      <c r="G1285">
        <v>5</v>
      </c>
      <c r="H1285" t="s">
        <v>18</v>
      </c>
      <c r="I1285" t="s">
        <v>1382</v>
      </c>
      <c r="J1285">
        <f>orders[[#This Row],[Ship Date]]-orders[[#This Row],[Order Date]]</f>
        <v>1</v>
      </c>
      <c r="K1285">
        <f>WEEKNUM(orders[[#This Row],[Order Date]])</f>
        <v>8</v>
      </c>
      <c r="L1285" t="str" cm="1">
        <f t="array" ref="L1285">_xlfn.IFS(orders[[#This Row],[Customer Gender]]="M","Male", orders[[#This Row],[Customer Gender]]="F","Female", orders[[#This Row],[Customer Gender]]="O","Other", TRUE,"Unknown")</f>
        <v>Female</v>
      </c>
      <c r="M1285">
        <v>3</v>
      </c>
      <c r="N1285">
        <v>42.4</v>
      </c>
      <c r="O1285">
        <v>127.19999999999999</v>
      </c>
    </row>
    <row r="1286" spans="1:15" x14ac:dyDescent="0.3">
      <c r="A1286" t="s">
        <v>1383</v>
      </c>
      <c r="B1286" t="s">
        <v>25</v>
      </c>
      <c r="C1286" s="7">
        <v>45706</v>
      </c>
      <c r="D1286" s="7">
        <v>45707</v>
      </c>
      <c r="E1286" t="s">
        <v>22</v>
      </c>
      <c r="F1286" t="s">
        <v>39</v>
      </c>
      <c r="G1286">
        <v>3</v>
      </c>
      <c r="H1286" t="s">
        <v>18</v>
      </c>
      <c r="I1286" t="s">
        <v>23</v>
      </c>
      <c r="J1286">
        <f>orders[[#This Row],[Ship Date]]-orders[[#This Row],[Order Date]]</f>
        <v>1</v>
      </c>
      <c r="K1286">
        <f>WEEKNUM(orders[[#This Row],[Order Date]])</f>
        <v>8</v>
      </c>
      <c r="L1286" t="str" cm="1">
        <f t="array" ref="L1286">_xlfn.IFS(orders[[#This Row],[Customer Gender]]="M","Male", orders[[#This Row],[Customer Gender]]="F","Female", orders[[#This Row],[Customer Gender]]="O","Other", TRUE,"Unknown")</f>
        <v>Male</v>
      </c>
      <c r="M1286">
        <v>10</v>
      </c>
      <c r="N1286">
        <v>74.5</v>
      </c>
      <c r="O1286" s="5">
        <v>745</v>
      </c>
    </row>
    <row r="1287" spans="1:15" x14ac:dyDescent="0.3">
      <c r="A1287" t="s">
        <v>1384</v>
      </c>
      <c r="B1287" t="s">
        <v>134</v>
      </c>
      <c r="C1287" s="7">
        <v>45706</v>
      </c>
      <c r="D1287" s="7">
        <v>45707</v>
      </c>
      <c r="E1287" t="s">
        <v>22</v>
      </c>
      <c r="F1287" t="s">
        <v>34</v>
      </c>
      <c r="G1287">
        <v>4</v>
      </c>
      <c r="H1287" t="s">
        <v>18</v>
      </c>
      <c r="I1287" t="s">
        <v>23</v>
      </c>
      <c r="J1287">
        <f>orders[[#This Row],[Ship Date]]-orders[[#This Row],[Order Date]]</f>
        <v>1</v>
      </c>
      <c r="K1287">
        <f>WEEKNUM(orders[[#This Row],[Order Date]])</f>
        <v>8</v>
      </c>
      <c r="L1287" t="str" cm="1">
        <f t="array" ref="L1287">_xlfn.IFS(orders[[#This Row],[Customer Gender]]="M","Male", orders[[#This Row],[Customer Gender]]="F","Female", orders[[#This Row],[Customer Gender]]="O","Other", TRUE,"Unknown")</f>
        <v>Male</v>
      </c>
      <c r="M1287">
        <v>6</v>
      </c>
      <c r="N1287">
        <v>47.4</v>
      </c>
      <c r="O1287">
        <v>284.39999999999998</v>
      </c>
    </row>
    <row r="1288" spans="1:15" x14ac:dyDescent="0.3">
      <c r="A1288" t="s">
        <v>1385</v>
      </c>
      <c r="B1288" t="s">
        <v>80</v>
      </c>
      <c r="C1288" s="7">
        <v>45707</v>
      </c>
      <c r="D1288" s="7">
        <v>45710</v>
      </c>
      <c r="E1288" t="s">
        <v>22</v>
      </c>
      <c r="F1288" t="s">
        <v>39</v>
      </c>
      <c r="G1288">
        <v>5</v>
      </c>
      <c r="H1288" t="s">
        <v>18</v>
      </c>
      <c r="I1288" t="s">
        <v>23</v>
      </c>
      <c r="J1288">
        <f>orders[[#This Row],[Ship Date]]-orders[[#This Row],[Order Date]]</f>
        <v>3</v>
      </c>
      <c r="K1288">
        <f>WEEKNUM(orders[[#This Row],[Order Date]])</f>
        <v>8</v>
      </c>
      <c r="L1288" t="str" cm="1">
        <f t="array" ref="L1288">_xlfn.IFS(orders[[#This Row],[Customer Gender]]="M","Male", orders[[#This Row],[Customer Gender]]="F","Female", orders[[#This Row],[Customer Gender]]="O","Other", TRUE,"Unknown")</f>
        <v>Male</v>
      </c>
      <c r="M1288">
        <v>3</v>
      </c>
      <c r="N1288">
        <v>17.3</v>
      </c>
      <c r="O1288" s="5">
        <v>51.900000000000006</v>
      </c>
    </row>
    <row r="1289" spans="1:15" x14ac:dyDescent="0.3">
      <c r="A1289" t="s">
        <v>1386</v>
      </c>
      <c r="B1289" t="s">
        <v>68</v>
      </c>
      <c r="C1289" s="7">
        <v>45707</v>
      </c>
      <c r="D1289" s="7">
        <v>45708</v>
      </c>
      <c r="E1289" t="s">
        <v>22</v>
      </c>
      <c r="F1289" t="s">
        <v>34</v>
      </c>
      <c r="G1289">
        <v>4</v>
      </c>
      <c r="H1289" t="s">
        <v>18</v>
      </c>
      <c r="I1289" t="s">
        <v>27</v>
      </c>
      <c r="J1289">
        <f>orders[[#This Row],[Ship Date]]-orders[[#This Row],[Order Date]]</f>
        <v>1</v>
      </c>
      <c r="K1289">
        <f>WEEKNUM(orders[[#This Row],[Order Date]])</f>
        <v>8</v>
      </c>
      <c r="L1289" t="str" cm="1">
        <f t="array" ref="L1289">_xlfn.IFS(orders[[#This Row],[Customer Gender]]="M","Male", orders[[#This Row],[Customer Gender]]="F","Female", orders[[#This Row],[Customer Gender]]="O","Other", TRUE,"Unknown")</f>
        <v>Male</v>
      </c>
      <c r="M1289">
        <v>4</v>
      </c>
      <c r="N1289">
        <v>77.900000000000006</v>
      </c>
      <c r="O1289">
        <v>311.60000000000002</v>
      </c>
    </row>
    <row r="1290" spans="1:15" x14ac:dyDescent="0.3">
      <c r="A1290" t="s">
        <v>1387</v>
      </c>
      <c r="B1290" t="s">
        <v>43</v>
      </c>
      <c r="C1290" s="7">
        <v>45707</v>
      </c>
      <c r="D1290" s="7">
        <v>45710</v>
      </c>
      <c r="E1290" t="s">
        <v>22</v>
      </c>
      <c r="F1290" t="s">
        <v>17</v>
      </c>
      <c r="G1290">
        <v>5</v>
      </c>
      <c r="H1290" t="s">
        <v>18</v>
      </c>
      <c r="I1290" t="s">
        <v>948</v>
      </c>
      <c r="J1290">
        <f>orders[[#This Row],[Ship Date]]-orders[[#This Row],[Order Date]]</f>
        <v>3</v>
      </c>
      <c r="K1290">
        <f>WEEKNUM(orders[[#This Row],[Order Date]])</f>
        <v>8</v>
      </c>
      <c r="L1290" t="str" cm="1">
        <f t="array" ref="L1290">_xlfn.IFS(orders[[#This Row],[Customer Gender]]="M","Male", orders[[#This Row],[Customer Gender]]="F","Female", orders[[#This Row],[Customer Gender]]="O","Other", TRUE,"Unknown")</f>
        <v>Male</v>
      </c>
      <c r="M1290">
        <v>1</v>
      </c>
      <c r="N1290">
        <v>29.1</v>
      </c>
      <c r="O1290" s="5">
        <v>29.1</v>
      </c>
    </row>
    <row r="1291" spans="1:15" x14ac:dyDescent="0.3">
      <c r="A1291" t="s">
        <v>1388</v>
      </c>
      <c r="B1291" t="s">
        <v>43</v>
      </c>
      <c r="C1291" s="7">
        <v>45707</v>
      </c>
      <c r="D1291" s="7">
        <v>45708</v>
      </c>
      <c r="E1291" t="s">
        <v>22</v>
      </c>
      <c r="F1291" t="s">
        <v>34</v>
      </c>
      <c r="G1291">
        <v>4</v>
      </c>
      <c r="H1291" t="s">
        <v>18</v>
      </c>
      <c r="I1291" t="s">
        <v>32</v>
      </c>
      <c r="J1291">
        <f>orders[[#This Row],[Ship Date]]-orders[[#This Row],[Order Date]]</f>
        <v>1</v>
      </c>
      <c r="K1291">
        <f>WEEKNUM(orders[[#This Row],[Order Date]])</f>
        <v>8</v>
      </c>
      <c r="L1291" t="str" cm="1">
        <f t="array" ref="L1291">_xlfn.IFS(orders[[#This Row],[Customer Gender]]="M","Male", orders[[#This Row],[Customer Gender]]="F","Female", orders[[#This Row],[Customer Gender]]="O","Other", TRUE,"Unknown")</f>
        <v>Male</v>
      </c>
      <c r="M1291">
        <v>1</v>
      </c>
      <c r="N1291">
        <v>49</v>
      </c>
      <c r="O1291">
        <v>49</v>
      </c>
    </row>
    <row r="1292" spans="1:15" x14ac:dyDescent="0.3">
      <c r="A1292" t="s">
        <v>1389</v>
      </c>
      <c r="B1292" t="s">
        <v>43</v>
      </c>
      <c r="C1292" s="7">
        <v>45707</v>
      </c>
      <c r="D1292" s="7">
        <v>45714</v>
      </c>
      <c r="E1292" t="s">
        <v>22</v>
      </c>
      <c r="F1292" t="s">
        <v>17</v>
      </c>
      <c r="G1292">
        <v>5</v>
      </c>
      <c r="H1292" t="s">
        <v>18</v>
      </c>
      <c r="I1292" t="s">
        <v>32</v>
      </c>
      <c r="J1292">
        <f>orders[[#This Row],[Ship Date]]-orders[[#This Row],[Order Date]]</f>
        <v>7</v>
      </c>
      <c r="K1292">
        <f>WEEKNUM(orders[[#This Row],[Order Date]])</f>
        <v>8</v>
      </c>
      <c r="L1292" t="str" cm="1">
        <f t="array" ref="L1292">_xlfn.IFS(orders[[#This Row],[Customer Gender]]="M","Male", orders[[#This Row],[Customer Gender]]="F","Female", orders[[#This Row],[Customer Gender]]="O","Other", TRUE,"Unknown")</f>
        <v>Male</v>
      </c>
      <c r="M1292">
        <v>6</v>
      </c>
      <c r="N1292">
        <v>21.1</v>
      </c>
      <c r="O1292" s="5">
        <v>126.60000000000001</v>
      </c>
    </row>
    <row r="1293" spans="1:15" x14ac:dyDescent="0.3">
      <c r="A1293" t="s">
        <v>1390</v>
      </c>
      <c r="B1293" t="s">
        <v>31</v>
      </c>
      <c r="C1293" s="7">
        <v>45707</v>
      </c>
      <c r="D1293" s="7">
        <v>45707</v>
      </c>
      <c r="E1293" t="s">
        <v>26</v>
      </c>
      <c r="F1293" t="s">
        <v>17</v>
      </c>
      <c r="G1293">
        <v>4</v>
      </c>
      <c r="H1293" t="s">
        <v>18</v>
      </c>
      <c r="I1293" t="s">
        <v>32</v>
      </c>
      <c r="J1293">
        <f>orders[[#This Row],[Ship Date]]-orders[[#This Row],[Order Date]]</f>
        <v>0</v>
      </c>
      <c r="K1293">
        <f>WEEKNUM(orders[[#This Row],[Order Date]])</f>
        <v>8</v>
      </c>
      <c r="L1293" t="str" cm="1">
        <f t="array" ref="L1293">_xlfn.IFS(orders[[#This Row],[Customer Gender]]="M","Male", orders[[#This Row],[Customer Gender]]="F","Female", orders[[#This Row],[Customer Gender]]="O","Other", TRUE,"Unknown")</f>
        <v>Female</v>
      </c>
      <c r="M1293">
        <v>19</v>
      </c>
      <c r="N1293">
        <v>36.9</v>
      </c>
      <c r="O1293">
        <v>701.1</v>
      </c>
    </row>
    <row r="1294" spans="1:15" x14ac:dyDescent="0.3">
      <c r="A1294" t="s">
        <v>1391</v>
      </c>
      <c r="B1294" t="s">
        <v>21</v>
      </c>
      <c r="C1294" s="7">
        <v>45707</v>
      </c>
      <c r="D1294" s="7">
        <v>45712</v>
      </c>
      <c r="E1294" t="s">
        <v>22</v>
      </c>
      <c r="F1294" t="s">
        <v>69</v>
      </c>
      <c r="G1294">
        <v>5</v>
      </c>
      <c r="H1294" t="s">
        <v>18</v>
      </c>
      <c r="I1294" t="s">
        <v>32</v>
      </c>
      <c r="J1294">
        <f>orders[[#This Row],[Ship Date]]-orders[[#This Row],[Order Date]]</f>
        <v>5</v>
      </c>
      <c r="K1294">
        <f>WEEKNUM(orders[[#This Row],[Order Date]])</f>
        <v>8</v>
      </c>
      <c r="L1294" t="str" cm="1">
        <f t="array" ref="L1294">_xlfn.IFS(orders[[#This Row],[Customer Gender]]="M","Male", orders[[#This Row],[Customer Gender]]="F","Female", orders[[#This Row],[Customer Gender]]="O","Other", TRUE,"Unknown")</f>
        <v>Male</v>
      </c>
      <c r="M1294">
        <v>10</v>
      </c>
      <c r="N1294">
        <v>92.6</v>
      </c>
      <c r="O1294" s="5">
        <v>926</v>
      </c>
    </row>
    <row r="1295" spans="1:15" x14ac:dyDescent="0.3">
      <c r="A1295" t="s">
        <v>1392</v>
      </c>
      <c r="B1295" t="s">
        <v>53</v>
      </c>
      <c r="C1295" s="7">
        <v>45707</v>
      </c>
      <c r="D1295" s="7">
        <v>45708</v>
      </c>
      <c r="E1295" t="s">
        <v>22</v>
      </c>
      <c r="F1295" t="s">
        <v>34</v>
      </c>
      <c r="G1295">
        <v>3</v>
      </c>
      <c r="H1295" t="s">
        <v>18</v>
      </c>
      <c r="I1295" t="s">
        <v>32</v>
      </c>
      <c r="J1295">
        <f>orders[[#This Row],[Ship Date]]-orders[[#This Row],[Order Date]]</f>
        <v>1</v>
      </c>
      <c r="K1295">
        <f>WEEKNUM(orders[[#This Row],[Order Date]])</f>
        <v>8</v>
      </c>
      <c r="L1295" t="str" cm="1">
        <f t="array" ref="L1295">_xlfn.IFS(orders[[#This Row],[Customer Gender]]="M","Male", orders[[#This Row],[Customer Gender]]="F","Female", orders[[#This Row],[Customer Gender]]="O","Other", TRUE,"Unknown")</f>
        <v>Male</v>
      </c>
      <c r="M1295">
        <v>2</v>
      </c>
      <c r="N1295">
        <v>38</v>
      </c>
      <c r="O1295">
        <v>76</v>
      </c>
    </row>
    <row r="1296" spans="1:15" x14ac:dyDescent="0.3">
      <c r="A1296" t="s">
        <v>1393</v>
      </c>
      <c r="B1296" t="s">
        <v>36</v>
      </c>
      <c r="C1296" s="7">
        <v>45707</v>
      </c>
      <c r="D1296" s="7">
        <v>45711</v>
      </c>
      <c r="E1296" t="s">
        <v>2517</v>
      </c>
      <c r="F1296" t="s">
        <v>17</v>
      </c>
      <c r="G1296">
        <v>3</v>
      </c>
      <c r="H1296" t="s">
        <v>18</v>
      </c>
      <c r="I1296" t="s">
        <v>32</v>
      </c>
      <c r="J1296">
        <f>orders[[#This Row],[Ship Date]]-orders[[#This Row],[Order Date]]</f>
        <v>4</v>
      </c>
      <c r="K1296">
        <f>WEEKNUM(orders[[#This Row],[Order Date]])</f>
        <v>8</v>
      </c>
      <c r="L1296" t="str" cm="1">
        <f t="array" ref="L1296">_xlfn.IFS(orders[[#This Row],[Customer Gender]]="M","Male", orders[[#This Row],[Customer Gender]]="F","Female", orders[[#This Row],[Customer Gender]]="O","Other", TRUE,"Unknown")</f>
        <v>Unknown</v>
      </c>
      <c r="M1296">
        <v>3</v>
      </c>
      <c r="N1296">
        <v>54.8</v>
      </c>
      <c r="O1296" s="5">
        <v>164.39999999999998</v>
      </c>
    </row>
    <row r="1297" spans="1:15" x14ac:dyDescent="0.3">
      <c r="A1297" t="s">
        <v>1394</v>
      </c>
      <c r="B1297" t="s">
        <v>53</v>
      </c>
      <c r="C1297" s="7">
        <v>45707</v>
      </c>
      <c r="D1297" s="7">
        <v>45709</v>
      </c>
      <c r="E1297" t="s">
        <v>22</v>
      </c>
      <c r="F1297" t="s">
        <v>34</v>
      </c>
      <c r="G1297">
        <v>4</v>
      </c>
      <c r="H1297" t="s">
        <v>18</v>
      </c>
      <c r="I1297" t="s">
        <v>32</v>
      </c>
      <c r="J1297">
        <f>orders[[#This Row],[Ship Date]]-orders[[#This Row],[Order Date]]</f>
        <v>2</v>
      </c>
      <c r="K1297">
        <f>WEEKNUM(orders[[#This Row],[Order Date]])</f>
        <v>8</v>
      </c>
      <c r="L1297" t="str" cm="1">
        <f t="array" ref="L1297">_xlfn.IFS(orders[[#This Row],[Customer Gender]]="M","Male", orders[[#This Row],[Customer Gender]]="F","Female", orders[[#This Row],[Customer Gender]]="O","Other", TRUE,"Unknown")</f>
        <v>Male</v>
      </c>
      <c r="M1297">
        <v>12</v>
      </c>
      <c r="N1297">
        <v>56.8</v>
      </c>
      <c r="O1297">
        <v>681.59999999999991</v>
      </c>
    </row>
    <row r="1298" spans="1:15" x14ac:dyDescent="0.3">
      <c r="A1298" t="s">
        <v>1395</v>
      </c>
      <c r="B1298" t="s">
        <v>66</v>
      </c>
      <c r="C1298" s="7">
        <v>45707</v>
      </c>
      <c r="D1298" s="7">
        <v>45710</v>
      </c>
      <c r="E1298" t="s">
        <v>26</v>
      </c>
      <c r="F1298" t="s">
        <v>34</v>
      </c>
      <c r="G1298">
        <v>4</v>
      </c>
      <c r="H1298" t="s">
        <v>18</v>
      </c>
      <c r="I1298" t="s">
        <v>32</v>
      </c>
      <c r="J1298">
        <f>orders[[#This Row],[Ship Date]]-orders[[#This Row],[Order Date]]</f>
        <v>3</v>
      </c>
      <c r="K1298">
        <f>WEEKNUM(orders[[#This Row],[Order Date]])</f>
        <v>8</v>
      </c>
      <c r="L1298" t="str" cm="1">
        <f t="array" ref="L1298">_xlfn.IFS(orders[[#This Row],[Customer Gender]]="M","Male", orders[[#This Row],[Customer Gender]]="F","Female", orders[[#This Row],[Customer Gender]]="O","Other", TRUE,"Unknown")</f>
        <v>Female</v>
      </c>
      <c r="M1298">
        <v>33</v>
      </c>
      <c r="N1298">
        <v>47.2</v>
      </c>
      <c r="O1298" s="5">
        <v>1557.6000000000001</v>
      </c>
    </row>
    <row r="1299" spans="1:15" x14ac:dyDescent="0.3">
      <c r="A1299" t="s">
        <v>1396</v>
      </c>
      <c r="B1299" t="s">
        <v>41</v>
      </c>
      <c r="C1299" s="7">
        <v>45707</v>
      </c>
      <c r="D1299" s="7">
        <v>45708</v>
      </c>
      <c r="E1299" t="s">
        <v>26</v>
      </c>
      <c r="F1299" t="s">
        <v>39</v>
      </c>
      <c r="G1299">
        <v>4</v>
      </c>
      <c r="H1299" t="s">
        <v>18</v>
      </c>
      <c r="I1299" t="s">
        <v>544</v>
      </c>
      <c r="J1299">
        <f>orders[[#This Row],[Ship Date]]-orders[[#This Row],[Order Date]]</f>
        <v>1</v>
      </c>
      <c r="K1299">
        <f>WEEKNUM(orders[[#This Row],[Order Date]])</f>
        <v>8</v>
      </c>
      <c r="L1299" t="str" cm="1">
        <f t="array" ref="L1299">_xlfn.IFS(orders[[#This Row],[Customer Gender]]="M","Male", orders[[#This Row],[Customer Gender]]="F","Female", orders[[#This Row],[Customer Gender]]="O","Other", TRUE,"Unknown")</f>
        <v>Female</v>
      </c>
      <c r="M1299">
        <v>6</v>
      </c>
      <c r="N1299">
        <v>45.1</v>
      </c>
      <c r="O1299">
        <v>270.60000000000002</v>
      </c>
    </row>
    <row r="1300" spans="1:15" x14ac:dyDescent="0.3">
      <c r="A1300" t="s">
        <v>1397</v>
      </c>
      <c r="B1300" t="s">
        <v>31</v>
      </c>
      <c r="C1300" s="7">
        <v>45707</v>
      </c>
      <c r="D1300" s="7">
        <v>45712</v>
      </c>
      <c r="E1300" t="s">
        <v>26</v>
      </c>
      <c r="F1300" t="s">
        <v>39</v>
      </c>
      <c r="G1300">
        <v>4</v>
      </c>
      <c r="H1300" t="s">
        <v>18</v>
      </c>
      <c r="I1300" t="s">
        <v>97</v>
      </c>
      <c r="J1300">
        <f>orders[[#This Row],[Ship Date]]-orders[[#This Row],[Order Date]]</f>
        <v>5</v>
      </c>
      <c r="K1300">
        <f>WEEKNUM(orders[[#This Row],[Order Date]])</f>
        <v>8</v>
      </c>
      <c r="L1300" t="str" cm="1">
        <f t="array" ref="L1300">_xlfn.IFS(orders[[#This Row],[Customer Gender]]="M","Male", orders[[#This Row],[Customer Gender]]="F","Female", orders[[#This Row],[Customer Gender]]="O","Other", TRUE,"Unknown")</f>
        <v>Female</v>
      </c>
      <c r="M1300">
        <v>12</v>
      </c>
      <c r="N1300">
        <v>25.2</v>
      </c>
      <c r="O1300" s="5">
        <v>302.39999999999998</v>
      </c>
    </row>
    <row r="1301" spans="1:15" x14ac:dyDescent="0.3">
      <c r="A1301" t="s">
        <v>1398</v>
      </c>
      <c r="B1301" t="s">
        <v>43</v>
      </c>
      <c r="C1301" s="7">
        <v>45707</v>
      </c>
      <c r="D1301" s="7">
        <v>45708</v>
      </c>
      <c r="E1301" t="s">
        <v>26</v>
      </c>
      <c r="F1301" t="s">
        <v>17</v>
      </c>
      <c r="G1301">
        <v>4</v>
      </c>
      <c r="H1301" t="s">
        <v>18</v>
      </c>
      <c r="I1301" t="s">
        <v>51</v>
      </c>
      <c r="J1301">
        <f>orders[[#This Row],[Ship Date]]-orders[[#This Row],[Order Date]]</f>
        <v>1</v>
      </c>
      <c r="K1301">
        <f>WEEKNUM(orders[[#This Row],[Order Date]])</f>
        <v>8</v>
      </c>
      <c r="L1301" t="str" cm="1">
        <f t="array" ref="L1301">_xlfn.IFS(orders[[#This Row],[Customer Gender]]="M","Male", orders[[#This Row],[Customer Gender]]="F","Female", orders[[#This Row],[Customer Gender]]="O","Other", TRUE,"Unknown")</f>
        <v>Female</v>
      </c>
      <c r="M1301">
        <v>1</v>
      </c>
      <c r="N1301">
        <v>22</v>
      </c>
      <c r="O1301">
        <v>22</v>
      </c>
    </row>
    <row r="1302" spans="1:15" x14ac:dyDescent="0.3">
      <c r="A1302" t="s">
        <v>1399</v>
      </c>
      <c r="B1302" t="s">
        <v>38</v>
      </c>
      <c r="C1302" s="7">
        <v>45707</v>
      </c>
      <c r="D1302" s="7">
        <v>45708</v>
      </c>
      <c r="E1302" t="s">
        <v>26</v>
      </c>
      <c r="F1302" t="s">
        <v>34</v>
      </c>
      <c r="G1302">
        <v>3</v>
      </c>
      <c r="H1302" t="s">
        <v>18</v>
      </c>
      <c r="I1302" t="s">
        <v>157</v>
      </c>
      <c r="J1302">
        <f>orders[[#This Row],[Ship Date]]-orders[[#This Row],[Order Date]]</f>
        <v>1</v>
      </c>
      <c r="K1302">
        <f>WEEKNUM(orders[[#This Row],[Order Date]])</f>
        <v>8</v>
      </c>
      <c r="L1302" t="str" cm="1">
        <f t="array" ref="L1302">_xlfn.IFS(orders[[#This Row],[Customer Gender]]="M","Male", orders[[#This Row],[Customer Gender]]="F","Female", orders[[#This Row],[Customer Gender]]="O","Other", TRUE,"Unknown")</f>
        <v>Female</v>
      </c>
      <c r="M1302">
        <v>2</v>
      </c>
      <c r="N1302">
        <v>42.2</v>
      </c>
      <c r="O1302" s="5">
        <v>84.4</v>
      </c>
    </row>
    <row r="1303" spans="1:15" x14ac:dyDescent="0.3">
      <c r="A1303" t="s">
        <v>1400</v>
      </c>
      <c r="B1303" t="s">
        <v>75</v>
      </c>
      <c r="C1303" s="7">
        <v>45707</v>
      </c>
      <c r="D1303" s="7">
        <v>45708</v>
      </c>
      <c r="E1303" t="s">
        <v>22</v>
      </c>
      <c r="F1303" t="s">
        <v>17</v>
      </c>
      <c r="G1303">
        <v>3</v>
      </c>
      <c r="H1303" t="s">
        <v>18</v>
      </c>
      <c r="I1303" t="s">
        <v>54</v>
      </c>
      <c r="J1303">
        <f>orders[[#This Row],[Ship Date]]-orders[[#This Row],[Order Date]]</f>
        <v>1</v>
      </c>
      <c r="K1303">
        <f>WEEKNUM(orders[[#This Row],[Order Date]])</f>
        <v>8</v>
      </c>
      <c r="L1303" t="str" cm="1">
        <f t="array" ref="L1303">_xlfn.IFS(orders[[#This Row],[Customer Gender]]="M","Male", orders[[#This Row],[Customer Gender]]="F","Female", orders[[#This Row],[Customer Gender]]="O","Other", TRUE,"Unknown")</f>
        <v>Male</v>
      </c>
      <c r="M1303">
        <v>3</v>
      </c>
      <c r="N1303">
        <v>20.5</v>
      </c>
      <c r="O1303">
        <v>61.5</v>
      </c>
    </row>
    <row r="1304" spans="1:15" x14ac:dyDescent="0.3">
      <c r="A1304" t="s">
        <v>1401</v>
      </c>
      <c r="B1304" t="s">
        <v>25</v>
      </c>
      <c r="C1304" s="7">
        <v>45707</v>
      </c>
      <c r="D1304" s="7">
        <v>45712</v>
      </c>
      <c r="E1304" t="s">
        <v>22</v>
      </c>
      <c r="F1304" t="s">
        <v>34</v>
      </c>
      <c r="G1304">
        <v>2</v>
      </c>
      <c r="H1304" t="s">
        <v>18</v>
      </c>
      <c r="I1304" t="s">
        <v>54</v>
      </c>
      <c r="J1304">
        <f>orders[[#This Row],[Ship Date]]-orders[[#This Row],[Order Date]]</f>
        <v>5</v>
      </c>
      <c r="K1304">
        <f>WEEKNUM(orders[[#This Row],[Order Date]])</f>
        <v>8</v>
      </c>
      <c r="L1304" t="str" cm="1">
        <f t="array" ref="L1304">_xlfn.IFS(orders[[#This Row],[Customer Gender]]="M","Male", orders[[#This Row],[Customer Gender]]="F","Female", orders[[#This Row],[Customer Gender]]="O","Other", TRUE,"Unknown")</f>
        <v>Male</v>
      </c>
      <c r="M1304">
        <v>1</v>
      </c>
      <c r="N1304">
        <v>190.4</v>
      </c>
      <c r="O1304" s="5">
        <v>190.4</v>
      </c>
    </row>
    <row r="1305" spans="1:15" x14ac:dyDescent="0.3">
      <c r="A1305" t="s">
        <v>1402</v>
      </c>
      <c r="B1305" t="s">
        <v>25</v>
      </c>
      <c r="C1305" s="7">
        <v>45707</v>
      </c>
      <c r="D1305" s="7">
        <v>45709</v>
      </c>
      <c r="E1305" t="s">
        <v>26</v>
      </c>
      <c r="F1305" t="s">
        <v>34</v>
      </c>
      <c r="G1305">
        <v>5</v>
      </c>
      <c r="H1305" t="s">
        <v>18</v>
      </c>
      <c r="I1305" t="s">
        <v>54</v>
      </c>
      <c r="J1305">
        <f>orders[[#This Row],[Ship Date]]-orders[[#This Row],[Order Date]]</f>
        <v>2</v>
      </c>
      <c r="K1305">
        <f>WEEKNUM(orders[[#This Row],[Order Date]])</f>
        <v>8</v>
      </c>
      <c r="L1305" t="str" cm="1">
        <f t="array" ref="L1305">_xlfn.IFS(orders[[#This Row],[Customer Gender]]="M","Male", orders[[#This Row],[Customer Gender]]="F","Female", orders[[#This Row],[Customer Gender]]="O","Other", TRUE,"Unknown")</f>
        <v>Female</v>
      </c>
      <c r="M1305">
        <v>1</v>
      </c>
      <c r="N1305">
        <v>121.9</v>
      </c>
      <c r="O1305">
        <v>121.9</v>
      </c>
    </row>
    <row r="1306" spans="1:15" x14ac:dyDescent="0.3">
      <c r="A1306" t="s">
        <v>1403</v>
      </c>
      <c r="B1306" t="s">
        <v>25</v>
      </c>
      <c r="C1306" s="7">
        <v>45707</v>
      </c>
      <c r="D1306" s="7">
        <v>45708</v>
      </c>
      <c r="E1306" t="s">
        <v>26</v>
      </c>
      <c r="F1306" t="s">
        <v>39</v>
      </c>
      <c r="G1306">
        <v>5</v>
      </c>
      <c r="H1306" t="s">
        <v>18</v>
      </c>
      <c r="I1306" t="s">
        <v>58</v>
      </c>
      <c r="J1306">
        <f>orders[[#This Row],[Ship Date]]-orders[[#This Row],[Order Date]]</f>
        <v>1</v>
      </c>
      <c r="K1306">
        <f>WEEKNUM(orders[[#This Row],[Order Date]])</f>
        <v>8</v>
      </c>
      <c r="L1306" t="str" cm="1">
        <f t="array" ref="L1306">_xlfn.IFS(orders[[#This Row],[Customer Gender]]="M","Male", orders[[#This Row],[Customer Gender]]="F","Female", orders[[#This Row],[Customer Gender]]="O","Other", TRUE,"Unknown")</f>
        <v>Female</v>
      </c>
      <c r="M1306">
        <v>6</v>
      </c>
      <c r="N1306">
        <v>149.19999999999999</v>
      </c>
      <c r="O1306" s="5">
        <v>895.19999999999993</v>
      </c>
    </row>
    <row r="1307" spans="1:15" x14ac:dyDescent="0.3">
      <c r="A1307" t="s">
        <v>1404</v>
      </c>
      <c r="B1307" t="s">
        <v>25</v>
      </c>
      <c r="C1307" s="7">
        <v>45707</v>
      </c>
      <c r="D1307" s="7">
        <v>45716</v>
      </c>
      <c r="E1307" t="s">
        <v>26</v>
      </c>
      <c r="F1307" t="s">
        <v>39</v>
      </c>
      <c r="G1307">
        <v>5</v>
      </c>
      <c r="H1307" t="s">
        <v>18</v>
      </c>
      <c r="I1307" t="s">
        <v>58</v>
      </c>
      <c r="J1307">
        <f>orders[[#This Row],[Ship Date]]-orders[[#This Row],[Order Date]]</f>
        <v>9</v>
      </c>
      <c r="K1307">
        <f>WEEKNUM(orders[[#This Row],[Order Date]])</f>
        <v>8</v>
      </c>
      <c r="L1307" t="str" cm="1">
        <f t="array" ref="L1307">_xlfn.IFS(orders[[#This Row],[Customer Gender]]="M","Male", orders[[#This Row],[Customer Gender]]="F","Female", orders[[#This Row],[Customer Gender]]="O","Other", TRUE,"Unknown")</f>
        <v>Female</v>
      </c>
      <c r="M1307">
        <v>1</v>
      </c>
      <c r="N1307">
        <v>54.1</v>
      </c>
      <c r="O1307">
        <v>54.1</v>
      </c>
    </row>
    <row r="1308" spans="1:15" x14ac:dyDescent="0.3">
      <c r="A1308" t="s">
        <v>1405</v>
      </c>
      <c r="B1308" t="s">
        <v>36</v>
      </c>
      <c r="C1308" s="7">
        <v>45707</v>
      </c>
      <c r="D1308" s="7">
        <v>45709</v>
      </c>
      <c r="E1308" t="s">
        <v>22</v>
      </c>
      <c r="F1308" t="s">
        <v>34</v>
      </c>
      <c r="G1308">
        <v>4</v>
      </c>
      <c r="H1308" t="s">
        <v>18</v>
      </c>
      <c r="I1308" t="s">
        <v>61</v>
      </c>
      <c r="J1308">
        <f>orders[[#This Row],[Ship Date]]-orders[[#This Row],[Order Date]]</f>
        <v>2</v>
      </c>
      <c r="K1308">
        <f>WEEKNUM(orders[[#This Row],[Order Date]])</f>
        <v>8</v>
      </c>
      <c r="L1308" t="str" cm="1">
        <f t="array" ref="L1308">_xlfn.IFS(orders[[#This Row],[Customer Gender]]="M","Male", orders[[#This Row],[Customer Gender]]="F","Female", orders[[#This Row],[Customer Gender]]="O","Other", TRUE,"Unknown")</f>
        <v>Male</v>
      </c>
      <c r="M1308">
        <v>2</v>
      </c>
      <c r="N1308">
        <v>27.4</v>
      </c>
      <c r="O1308" s="5">
        <v>54.8</v>
      </c>
    </row>
    <row r="1309" spans="1:15" x14ac:dyDescent="0.3">
      <c r="A1309" t="s">
        <v>1406</v>
      </c>
      <c r="B1309" t="s">
        <v>16</v>
      </c>
      <c r="C1309" s="7">
        <v>45707</v>
      </c>
      <c r="D1309" s="7">
        <v>45708</v>
      </c>
      <c r="E1309" t="s">
        <v>26</v>
      </c>
      <c r="F1309" t="s">
        <v>17</v>
      </c>
      <c r="G1309">
        <v>5</v>
      </c>
      <c r="H1309" t="s">
        <v>18</v>
      </c>
      <c r="I1309" t="s">
        <v>61</v>
      </c>
      <c r="J1309">
        <f>orders[[#This Row],[Ship Date]]-orders[[#This Row],[Order Date]]</f>
        <v>1</v>
      </c>
      <c r="K1309">
        <f>WEEKNUM(orders[[#This Row],[Order Date]])</f>
        <v>8</v>
      </c>
      <c r="L1309" t="str" cm="1">
        <f t="array" ref="L1309">_xlfn.IFS(orders[[#This Row],[Customer Gender]]="M","Male", orders[[#This Row],[Customer Gender]]="F","Female", orders[[#This Row],[Customer Gender]]="O","Other", TRUE,"Unknown")</f>
        <v>Female</v>
      </c>
      <c r="M1309">
        <v>13</v>
      </c>
      <c r="N1309">
        <v>30.4</v>
      </c>
      <c r="O1309">
        <v>395.2</v>
      </c>
    </row>
    <row r="1310" spans="1:15" x14ac:dyDescent="0.3">
      <c r="A1310" t="s">
        <v>1407</v>
      </c>
      <c r="B1310" t="s">
        <v>68</v>
      </c>
      <c r="C1310" s="7">
        <v>45707</v>
      </c>
      <c r="D1310" s="7">
        <v>45709</v>
      </c>
      <c r="E1310" t="s">
        <v>22</v>
      </c>
      <c r="F1310" t="s">
        <v>39</v>
      </c>
      <c r="G1310">
        <v>3</v>
      </c>
      <c r="H1310" t="s">
        <v>18</v>
      </c>
      <c r="I1310" t="s">
        <v>102</v>
      </c>
      <c r="J1310">
        <f>orders[[#This Row],[Ship Date]]-orders[[#This Row],[Order Date]]</f>
        <v>2</v>
      </c>
      <c r="K1310">
        <f>WEEKNUM(orders[[#This Row],[Order Date]])</f>
        <v>8</v>
      </c>
      <c r="L1310" t="str" cm="1">
        <f t="array" ref="L1310">_xlfn.IFS(orders[[#This Row],[Customer Gender]]="M","Male", orders[[#This Row],[Customer Gender]]="F","Female", orders[[#This Row],[Customer Gender]]="O","Other", TRUE,"Unknown")</f>
        <v>Male</v>
      </c>
      <c r="M1310">
        <v>3</v>
      </c>
      <c r="N1310">
        <v>46.2</v>
      </c>
      <c r="O1310" s="5">
        <v>138.60000000000002</v>
      </c>
    </row>
    <row r="1311" spans="1:15" x14ac:dyDescent="0.3">
      <c r="A1311" t="s">
        <v>1408</v>
      </c>
      <c r="B1311" t="s">
        <v>41</v>
      </c>
      <c r="C1311" s="7">
        <v>45707</v>
      </c>
      <c r="D1311" s="7">
        <v>45711</v>
      </c>
      <c r="E1311" t="s">
        <v>22</v>
      </c>
      <c r="F1311" t="s">
        <v>50</v>
      </c>
      <c r="G1311">
        <v>4</v>
      </c>
      <c r="H1311" t="s">
        <v>18</v>
      </c>
      <c r="I1311" t="s">
        <v>102</v>
      </c>
      <c r="J1311">
        <f>orders[[#This Row],[Ship Date]]-orders[[#This Row],[Order Date]]</f>
        <v>4</v>
      </c>
      <c r="K1311">
        <f>WEEKNUM(orders[[#This Row],[Order Date]])</f>
        <v>8</v>
      </c>
      <c r="L1311" t="str" cm="1">
        <f t="array" ref="L1311">_xlfn.IFS(orders[[#This Row],[Customer Gender]]="M","Male", orders[[#This Row],[Customer Gender]]="F","Female", orders[[#This Row],[Customer Gender]]="O","Other", TRUE,"Unknown")</f>
        <v>Male</v>
      </c>
      <c r="M1311">
        <v>8</v>
      </c>
      <c r="N1311">
        <v>78.599999999999994</v>
      </c>
      <c r="O1311">
        <v>628.79999999999995</v>
      </c>
    </row>
    <row r="1312" spans="1:15" x14ac:dyDescent="0.3">
      <c r="A1312" t="s">
        <v>1409</v>
      </c>
      <c r="B1312" t="s">
        <v>134</v>
      </c>
      <c r="C1312" s="7">
        <v>45707</v>
      </c>
      <c r="D1312" s="7">
        <v>45713</v>
      </c>
      <c r="E1312" t="s">
        <v>22</v>
      </c>
      <c r="F1312" t="s">
        <v>69</v>
      </c>
      <c r="G1312">
        <v>4</v>
      </c>
      <c r="H1312" t="s">
        <v>18</v>
      </c>
      <c r="I1312" t="s">
        <v>71</v>
      </c>
      <c r="J1312">
        <f>orders[[#This Row],[Ship Date]]-orders[[#This Row],[Order Date]]</f>
        <v>6</v>
      </c>
      <c r="K1312">
        <f>WEEKNUM(orders[[#This Row],[Order Date]])</f>
        <v>8</v>
      </c>
      <c r="L1312" t="str" cm="1">
        <f t="array" ref="L1312">_xlfn.IFS(orders[[#This Row],[Customer Gender]]="M","Male", orders[[#This Row],[Customer Gender]]="F","Female", orders[[#This Row],[Customer Gender]]="O","Other", TRUE,"Unknown")</f>
        <v>Male</v>
      </c>
      <c r="M1312">
        <v>10</v>
      </c>
      <c r="N1312">
        <v>25.9</v>
      </c>
      <c r="O1312" s="5">
        <v>259</v>
      </c>
    </row>
    <row r="1313" spans="1:15" x14ac:dyDescent="0.3">
      <c r="A1313" t="s">
        <v>1410</v>
      </c>
      <c r="B1313" t="s">
        <v>38</v>
      </c>
      <c r="C1313" s="7">
        <v>45707</v>
      </c>
      <c r="D1313" s="7">
        <v>45709</v>
      </c>
      <c r="E1313" t="s">
        <v>22</v>
      </c>
      <c r="F1313" t="s">
        <v>39</v>
      </c>
      <c r="G1313">
        <v>5</v>
      </c>
      <c r="H1313" t="s">
        <v>18</v>
      </c>
      <c r="I1313" t="s">
        <v>71</v>
      </c>
      <c r="J1313">
        <f>orders[[#This Row],[Ship Date]]-orders[[#This Row],[Order Date]]</f>
        <v>2</v>
      </c>
      <c r="K1313">
        <f>WEEKNUM(orders[[#This Row],[Order Date]])</f>
        <v>8</v>
      </c>
      <c r="L1313" t="str" cm="1">
        <f t="array" ref="L1313">_xlfn.IFS(orders[[#This Row],[Customer Gender]]="M","Male", orders[[#This Row],[Customer Gender]]="F","Female", orders[[#This Row],[Customer Gender]]="O","Other", TRUE,"Unknown")</f>
        <v>Male</v>
      </c>
      <c r="M1313">
        <v>1</v>
      </c>
      <c r="N1313">
        <v>134.80000000000001</v>
      </c>
      <c r="O1313">
        <v>134.80000000000001</v>
      </c>
    </row>
    <row r="1314" spans="1:15" x14ac:dyDescent="0.3">
      <c r="A1314" t="s">
        <v>1411</v>
      </c>
      <c r="B1314" t="s">
        <v>122</v>
      </c>
      <c r="C1314" s="7">
        <v>45707</v>
      </c>
      <c r="D1314" s="7">
        <v>45709</v>
      </c>
      <c r="E1314" t="s">
        <v>26</v>
      </c>
      <c r="F1314" t="s">
        <v>17</v>
      </c>
      <c r="G1314">
        <v>4</v>
      </c>
      <c r="H1314" t="s">
        <v>18</v>
      </c>
      <c r="I1314" t="s">
        <v>76</v>
      </c>
      <c r="J1314">
        <f>orders[[#This Row],[Ship Date]]-orders[[#This Row],[Order Date]]</f>
        <v>2</v>
      </c>
      <c r="K1314">
        <f>WEEKNUM(orders[[#This Row],[Order Date]])</f>
        <v>8</v>
      </c>
      <c r="L1314" t="str" cm="1">
        <f t="array" ref="L1314">_xlfn.IFS(orders[[#This Row],[Customer Gender]]="M","Male", orders[[#This Row],[Customer Gender]]="F","Female", orders[[#This Row],[Customer Gender]]="O","Other", TRUE,"Unknown")</f>
        <v>Female</v>
      </c>
      <c r="M1314">
        <v>5</v>
      </c>
      <c r="N1314">
        <v>43.1</v>
      </c>
      <c r="O1314" s="5">
        <v>215.5</v>
      </c>
    </row>
    <row r="1315" spans="1:15" x14ac:dyDescent="0.3">
      <c r="A1315" t="s">
        <v>1412</v>
      </c>
      <c r="B1315" t="s">
        <v>25</v>
      </c>
      <c r="C1315" s="7">
        <v>45707</v>
      </c>
      <c r="D1315" s="7">
        <v>45708</v>
      </c>
      <c r="E1315" t="s">
        <v>26</v>
      </c>
      <c r="F1315" t="s">
        <v>39</v>
      </c>
      <c r="G1315">
        <v>4</v>
      </c>
      <c r="H1315" t="s">
        <v>18</v>
      </c>
      <c r="I1315" t="s">
        <v>107</v>
      </c>
      <c r="J1315">
        <f>orders[[#This Row],[Ship Date]]-orders[[#This Row],[Order Date]]</f>
        <v>1</v>
      </c>
      <c r="K1315">
        <f>WEEKNUM(orders[[#This Row],[Order Date]])</f>
        <v>8</v>
      </c>
      <c r="L1315" t="str" cm="1">
        <f t="array" ref="L1315">_xlfn.IFS(orders[[#This Row],[Customer Gender]]="M","Male", orders[[#This Row],[Customer Gender]]="F","Female", orders[[#This Row],[Customer Gender]]="O","Other", TRUE,"Unknown")</f>
        <v>Female</v>
      </c>
      <c r="M1315">
        <v>2</v>
      </c>
      <c r="N1315">
        <v>215.6</v>
      </c>
      <c r="O1315">
        <v>431.2</v>
      </c>
    </row>
    <row r="1316" spans="1:15" x14ac:dyDescent="0.3">
      <c r="A1316" t="s">
        <v>1413</v>
      </c>
      <c r="B1316" t="s">
        <v>38</v>
      </c>
      <c r="C1316" s="7">
        <v>45707</v>
      </c>
      <c r="D1316" s="7">
        <v>45710</v>
      </c>
      <c r="E1316" t="s">
        <v>26</v>
      </c>
      <c r="F1316" t="s">
        <v>50</v>
      </c>
      <c r="G1316">
        <v>4</v>
      </c>
      <c r="H1316" t="s">
        <v>18</v>
      </c>
      <c r="I1316" t="s">
        <v>107</v>
      </c>
      <c r="J1316">
        <f>orders[[#This Row],[Ship Date]]-orders[[#This Row],[Order Date]]</f>
        <v>3</v>
      </c>
      <c r="K1316">
        <f>WEEKNUM(orders[[#This Row],[Order Date]])</f>
        <v>8</v>
      </c>
      <c r="L1316" t="str" cm="1">
        <f t="array" ref="L1316">_xlfn.IFS(orders[[#This Row],[Customer Gender]]="M","Male", orders[[#This Row],[Customer Gender]]="F","Female", orders[[#This Row],[Customer Gender]]="O","Other", TRUE,"Unknown")</f>
        <v>Female</v>
      </c>
      <c r="M1316">
        <v>2</v>
      </c>
      <c r="N1316">
        <v>80.7</v>
      </c>
      <c r="O1316" s="5">
        <v>161.4</v>
      </c>
    </row>
    <row r="1317" spans="1:15" x14ac:dyDescent="0.3">
      <c r="A1317" t="s">
        <v>1414</v>
      </c>
      <c r="B1317" t="s">
        <v>53</v>
      </c>
      <c r="C1317" s="7">
        <v>45707</v>
      </c>
      <c r="D1317" s="7">
        <v>45712</v>
      </c>
      <c r="E1317" t="s">
        <v>2517</v>
      </c>
      <c r="F1317" t="s">
        <v>39</v>
      </c>
      <c r="G1317">
        <v>3</v>
      </c>
      <c r="H1317" t="s">
        <v>18</v>
      </c>
      <c r="I1317" t="s">
        <v>109</v>
      </c>
      <c r="J1317">
        <f>orders[[#This Row],[Ship Date]]-orders[[#This Row],[Order Date]]</f>
        <v>5</v>
      </c>
      <c r="K1317">
        <f>WEEKNUM(orders[[#This Row],[Order Date]])</f>
        <v>8</v>
      </c>
      <c r="L1317" t="str" cm="1">
        <f t="array" ref="L1317">_xlfn.IFS(orders[[#This Row],[Customer Gender]]="M","Male", orders[[#This Row],[Customer Gender]]="F","Female", orders[[#This Row],[Customer Gender]]="O","Other", TRUE,"Unknown")</f>
        <v>Unknown</v>
      </c>
      <c r="M1317">
        <v>7</v>
      </c>
      <c r="N1317">
        <v>20.6</v>
      </c>
      <c r="O1317">
        <v>144.20000000000002</v>
      </c>
    </row>
    <row r="1318" spans="1:15" x14ac:dyDescent="0.3">
      <c r="A1318" t="s">
        <v>1415</v>
      </c>
      <c r="B1318" t="s">
        <v>68</v>
      </c>
      <c r="C1318" s="7">
        <v>45707</v>
      </c>
      <c r="D1318" s="7">
        <v>45708</v>
      </c>
      <c r="E1318" t="s">
        <v>26</v>
      </c>
      <c r="F1318" t="s">
        <v>17</v>
      </c>
      <c r="G1318">
        <v>4</v>
      </c>
      <c r="H1318" t="s">
        <v>18</v>
      </c>
      <c r="I1318" t="s">
        <v>996</v>
      </c>
      <c r="J1318">
        <f>orders[[#This Row],[Ship Date]]-orders[[#This Row],[Order Date]]</f>
        <v>1</v>
      </c>
      <c r="K1318">
        <f>WEEKNUM(orders[[#This Row],[Order Date]])</f>
        <v>8</v>
      </c>
      <c r="L1318" t="str" cm="1">
        <f t="array" ref="L1318">_xlfn.IFS(orders[[#This Row],[Customer Gender]]="M","Male", orders[[#This Row],[Customer Gender]]="F","Female", orders[[#This Row],[Customer Gender]]="O","Other", TRUE,"Unknown")</f>
        <v>Female</v>
      </c>
      <c r="M1318">
        <v>3</v>
      </c>
      <c r="N1318">
        <v>37.1</v>
      </c>
      <c r="O1318" s="5">
        <v>111.30000000000001</v>
      </c>
    </row>
    <row r="1319" spans="1:15" x14ac:dyDescent="0.3">
      <c r="A1319" t="s">
        <v>1416</v>
      </c>
      <c r="B1319" t="s">
        <v>68</v>
      </c>
      <c r="C1319" s="7">
        <v>45708</v>
      </c>
      <c r="D1319" s="7">
        <v>45710</v>
      </c>
      <c r="E1319" t="s">
        <v>26</v>
      </c>
      <c r="F1319" t="s">
        <v>17</v>
      </c>
      <c r="G1319">
        <v>4</v>
      </c>
      <c r="H1319" t="s">
        <v>18</v>
      </c>
      <c r="I1319" t="s">
        <v>81</v>
      </c>
      <c r="J1319">
        <f>orders[[#This Row],[Ship Date]]-orders[[#This Row],[Order Date]]</f>
        <v>2</v>
      </c>
      <c r="K1319">
        <f>WEEKNUM(orders[[#This Row],[Order Date]])</f>
        <v>8</v>
      </c>
      <c r="L1319" t="str" cm="1">
        <f t="array" ref="L1319">_xlfn.IFS(orders[[#This Row],[Customer Gender]]="M","Male", orders[[#This Row],[Customer Gender]]="F","Female", orders[[#This Row],[Customer Gender]]="O","Other", TRUE,"Unknown")</f>
        <v>Female</v>
      </c>
      <c r="M1319">
        <v>1</v>
      </c>
      <c r="N1319">
        <v>104.8</v>
      </c>
      <c r="O1319">
        <v>104.8</v>
      </c>
    </row>
    <row r="1320" spans="1:15" x14ac:dyDescent="0.3">
      <c r="A1320" t="s">
        <v>1417</v>
      </c>
      <c r="B1320" t="s">
        <v>43</v>
      </c>
      <c r="C1320" s="7">
        <v>45708</v>
      </c>
      <c r="D1320" s="7">
        <v>45709</v>
      </c>
      <c r="E1320" t="s">
        <v>22</v>
      </c>
      <c r="F1320" t="s">
        <v>34</v>
      </c>
      <c r="G1320">
        <v>4</v>
      </c>
      <c r="H1320" t="s">
        <v>18</v>
      </c>
      <c r="I1320" t="s">
        <v>114</v>
      </c>
      <c r="J1320">
        <f>orders[[#This Row],[Ship Date]]-orders[[#This Row],[Order Date]]</f>
        <v>1</v>
      </c>
      <c r="K1320">
        <f>WEEKNUM(orders[[#This Row],[Order Date]])</f>
        <v>8</v>
      </c>
      <c r="L1320" t="str" cm="1">
        <f t="array" ref="L1320">_xlfn.IFS(orders[[#This Row],[Customer Gender]]="M","Male", orders[[#This Row],[Customer Gender]]="F","Female", orders[[#This Row],[Customer Gender]]="O","Other", TRUE,"Unknown")</f>
        <v>Male</v>
      </c>
      <c r="M1320">
        <v>2</v>
      </c>
      <c r="N1320">
        <v>59</v>
      </c>
      <c r="O1320" s="5">
        <v>118</v>
      </c>
    </row>
    <row r="1321" spans="1:15" x14ac:dyDescent="0.3">
      <c r="A1321" t="s">
        <v>1418</v>
      </c>
      <c r="B1321" t="s">
        <v>43</v>
      </c>
      <c r="C1321" s="7">
        <v>45708</v>
      </c>
      <c r="D1321" s="7">
        <v>45709</v>
      </c>
      <c r="E1321" t="s">
        <v>22</v>
      </c>
      <c r="F1321" t="s">
        <v>17</v>
      </c>
      <c r="G1321">
        <v>5</v>
      </c>
      <c r="H1321" t="s">
        <v>18</v>
      </c>
      <c r="I1321" t="s">
        <v>114</v>
      </c>
      <c r="J1321">
        <f>orders[[#This Row],[Ship Date]]-orders[[#This Row],[Order Date]]</f>
        <v>1</v>
      </c>
      <c r="K1321">
        <f>WEEKNUM(orders[[#This Row],[Order Date]])</f>
        <v>8</v>
      </c>
      <c r="L1321" t="str" cm="1">
        <f t="array" ref="L1321">_xlfn.IFS(orders[[#This Row],[Customer Gender]]="M","Male", orders[[#This Row],[Customer Gender]]="F","Female", orders[[#This Row],[Customer Gender]]="O","Other", TRUE,"Unknown")</f>
        <v>Male</v>
      </c>
      <c r="M1321">
        <v>2</v>
      </c>
      <c r="N1321">
        <v>32.299999999999997</v>
      </c>
      <c r="O1321">
        <v>64.599999999999994</v>
      </c>
    </row>
    <row r="1322" spans="1:15" x14ac:dyDescent="0.3">
      <c r="A1322" t="s">
        <v>1419</v>
      </c>
      <c r="B1322" t="s">
        <v>43</v>
      </c>
      <c r="C1322" s="7">
        <v>45708</v>
      </c>
      <c r="D1322" s="7">
        <v>45715</v>
      </c>
      <c r="E1322" t="s">
        <v>22</v>
      </c>
      <c r="F1322" t="s">
        <v>17</v>
      </c>
      <c r="G1322">
        <v>4</v>
      </c>
      <c r="H1322" t="s">
        <v>18</v>
      </c>
      <c r="I1322" t="s">
        <v>23</v>
      </c>
      <c r="J1322">
        <f>orders[[#This Row],[Ship Date]]-orders[[#This Row],[Order Date]]</f>
        <v>7</v>
      </c>
      <c r="K1322">
        <f>WEEKNUM(orders[[#This Row],[Order Date]])</f>
        <v>8</v>
      </c>
      <c r="L1322" t="str" cm="1">
        <f t="array" ref="L1322">_xlfn.IFS(orders[[#This Row],[Customer Gender]]="M","Male", orders[[#This Row],[Customer Gender]]="F","Female", orders[[#This Row],[Customer Gender]]="O","Other", TRUE,"Unknown")</f>
        <v>Male</v>
      </c>
      <c r="M1322">
        <v>4</v>
      </c>
      <c r="N1322">
        <v>28.9</v>
      </c>
      <c r="O1322" s="5">
        <v>115.6</v>
      </c>
    </row>
    <row r="1323" spans="1:15" x14ac:dyDescent="0.3">
      <c r="A1323" t="s">
        <v>1420</v>
      </c>
      <c r="B1323" t="s">
        <v>16</v>
      </c>
      <c r="C1323" s="7">
        <v>45708</v>
      </c>
      <c r="D1323" s="7">
        <v>45710</v>
      </c>
      <c r="E1323" t="s">
        <v>22</v>
      </c>
      <c r="F1323" t="s">
        <v>17</v>
      </c>
      <c r="G1323">
        <v>4</v>
      </c>
      <c r="H1323" t="s">
        <v>18</v>
      </c>
      <c r="I1323" t="s">
        <v>23</v>
      </c>
      <c r="J1323">
        <f>orders[[#This Row],[Ship Date]]-orders[[#This Row],[Order Date]]</f>
        <v>2</v>
      </c>
      <c r="K1323">
        <f>WEEKNUM(orders[[#This Row],[Order Date]])</f>
        <v>8</v>
      </c>
      <c r="L1323" t="str" cm="1">
        <f t="array" ref="L1323">_xlfn.IFS(orders[[#This Row],[Customer Gender]]="M","Male", orders[[#This Row],[Customer Gender]]="F","Female", orders[[#This Row],[Customer Gender]]="O","Other", TRUE,"Unknown")</f>
        <v>Male</v>
      </c>
      <c r="M1323">
        <v>2</v>
      </c>
      <c r="N1323">
        <v>29.6</v>
      </c>
      <c r="O1323">
        <v>59.2</v>
      </c>
    </row>
    <row r="1324" spans="1:15" x14ac:dyDescent="0.3">
      <c r="A1324" t="s">
        <v>1421</v>
      </c>
      <c r="B1324" t="s">
        <v>16</v>
      </c>
      <c r="C1324" s="7">
        <v>45708</v>
      </c>
      <c r="D1324" s="7">
        <v>45711</v>
      </c>
      <c r="E1324" t="s">
        <v>26</v>
      </c>
      <c r="F1324" t="s">
        <v>17</v>
      </c>
      <c r="G1324">
        <v>4</v>
      </c>
      <c r="H1324" t="s">
        <v>18</v>
      </c>
      <c r="I1324" t="s">
        <v>23</v>
      </c>
      <c r="J1324">
        <f>orders[[#This Row],[Ship Date]]-orders[[#This Row],[Order Date]]</f>
        <v>3</v>
      </c>
      <c r="K1324">
        <f>WEEKNUM(orders[[#This Row],[Order Date]])</f>
        <v>8</v>
      </c>
      <c r="L1324" t="str" cm="1">
        <f t="array" ref="L1324">_xlfn.IFS(orders[[#This Row],[Customer Gender]]="M","Male", orders[[#This Row],[Customer Gender]]="F","Female", orders[[#This Row],[Customer Gender]]="O","Other", TRUE,"Unknown")</f>
        <v>Female</v>
      </c>
      <c r="M1324">
        <v>5</v>
      </c>
      <c r="N1324">
        <v>29.4</v>
      </c>
      <c r="O1324" s="5">
        <v>147</v>
      </c>
    </row>
    <row r="1325" spans="1:15" x14ac:dyDescent="0.3">
      <c r="A1325" t="s">
        <v>1422</v>
      </c>
      <c r="B1325" t="s">
        <v>21</v>
      </c>
      <c r="C1325" s="7">
        <v>45708</v>
      </c>
      <c r="D1325" s="7">
        <v>45709</v>
      </c>
      <c r="E1325" t="s">
        <v>22</v>
      </c>
      <c r="F1325" t="s">
        <v>17</v>
      </c>
      <c r="G1325">
        <v>2</v>
      </c>
      <c r="H1325" t="s">
        <v>18</v>
      </c>
      <c r="I1325" t="s">
        <v>27</v>
      </c>
      <c r="J1325">
        <f>orders[[#This Row],[Ship Date]]-orders[[#This Row],[Order Date]]</f>
        <v>1</v>
      </c>
      <c r="K1325">
        <f>WEEKNUM(orders[[#This Row],[Order Date]])</f>
        <v>8</v>
      </c>
      <c r="L1325" t="str" cm="1">
        <f t="array" ref="L1325">_xlfn.IFS(orders[[#This Row],[Customer Gender]]="M","Male", orders[[#This Row],[Customer Gender]]="F","Female", orders[[#This Row],[Customer Gender]]="O","Other", TRUE,"Unknown")</f>
        <v>Male</v>
      </c>
      <c r="M1325">
        <v>2</v>
      </c>
      <c r="N1325">
        <v>40.6</v>
      </c>
      <c r="O1325">
        <v>81.2</v>
      </c>
    </row>
    <row r="1326" spans="1:15" x14ac:dyDescent="0.3">
      <c r="A1326" t="s">
        <v>1423</v>
      </c>
      <c r="B1326" t="s">
        <v>16</v>
      </c>
      <c r="C1326" s="7">
        <v>45708</v>
      </c>
      <c r="D1326" s="7">
        <v>45709</v>
      </c>
      <c r="E1326" t="s">
        <v>22</v>
      </c>
      <c r="F1326" t="s">
        <v>50</v>
      </c>
      <c r="G1326">
        <v>5</v>
      </c>
      <c r="H1326" t="s">
        <v>18</v>
      </c>
      <c r="I1326" t="s">
        <v>146</v>
      </c>
      <c r="J1326">
        <f>orders[[#This Row],[Ship Date]]-orders[[#This Row],[Order Date]]</f>
        <v>1</v>
      </c>
      <c r="K1326">
        <f>WEEKNUM(orders[[#This Row],[Order Date]])</f>
        <v>8</v>
      </c>
      <c r="L1326" t="str" cm="1">
        <f t="array" ref="L1326">_xlfn.IFS(orders[[#This Row],[Customer Gender]]="M","Male", orders[[#This Row],[Customer Gender]]="F","Female", orders[[#This Row],[Customer Gender]]="O","Other", TRUE,"Unknown")</f>
        <v>Male</v>
      </c>
      <c r="M1326">
        <v>3</v>
      </c>
      <c r="N1326">
        <v>32.5</v>
      </c>
      <c r="O1326" s="5">
        <v>97.5</v>
      </c>
    </row>
    <row r="1327" spans="1:15" x14ac:dyDescent="0.3">
      <c r="A1327" t="s">
        <v>1424</v>
      </c>
      <c r="B1327" t="s">
        <v>122</v>
      </c>
      <c r="C1327" s="7">
        <v>45708</v>
      </c>
      <c r="D1327" s="7">
        <v>45710</v>
      </c>
      <c r="E1327" t="s">
        <v>22</v>
      </c>
      <c r="F1327" t="s">
        <v>39</v>
      </c>
      <c r="G1327">
        <v>4</v>
      </c>
      <c r="H1327" t="s">
        <v>18</v>
      </c>
      <c r="I1327" t="s">
        <v>1425</v>
      </c>
      <c r="J1327">
        <f>orders[[#This Row],[Ship Date]]-orders[[#This Row],[Order Date]]</f>
        <v>2</v>
      </c>
      <c r="K1327">
        <f>WEEKNUM(orders[[#This Row],[Order Date]])</f>
        <v>8</v>
      </c>
      <c r="L1327" t="str" cm="1">
        <f t="array" ref="L1327">_xlfn.IFS(orders[[#This Row],[Customer Gender]]="M","Male", orders[[#This Row],[Customer Gender]]="F","Female", orders[[#This Row],[Customer Gender]]="O","Other", TRUE,"Unknown")</f>
        <v>Male</v>
      </c>
      <c r="M1327">
        <v>1</v>
      </c>
      <c r="N1327">
        <v>26.2</v>
      </c>
      <c r="O1327">
        <v>26.2</v>
      </c>
    </row>
    <row r="1328" spans="1:15" x14ac:dyDescent="0.3">
      <c r="A1328" t="s">
        <v>1426</v>
      </c>
      <c r="B1328" t="s">
        <v>53</v>
      </c>
      <c r="C1328" s="7">
        <v>45708</v>
      </c>
      <c r="D1328" s="7">
        <v>45714</v>
      </c>
      <c r="E1328" t="s">
        <v>22</v>
      </c>
      <c r="F1328" t="s">
        <v>69</v>
      </c>
      <c r="G1328">
        <v>4</v>
      </c>
      <c r="H1328" t="s">
        <v>18</v>
      </c>
      <c r="I1328" t="s">
        <v>32</v>
      </c>
      <c r="J1328">
        <f>orders[[#This Row],[Ship Date]]-orders[[#This Row],[Order Date]]</f>
        <v>6</v>
      </c>
      <c r="K1328">
        <f>WEEKNUM(orders[[#This Row],[Order Date]])</f>
        <v>8</v>
      </c>
      <c r="L1328" t="str" cm="1">
        <f t="array" ref="L1328">_xlfn.IFS(orders[[#This Row],[Customer Gender]]="M","Male", orders[[#This Row],[Customer Gender]]="F","Female", orders[[#This Row],[Customer Gender]]="O","Other", TRUE,"Unknown")</f>
        <v>Male</v>
      </c>
      <c r="M1328">
        <v>30</v>
      </c>
      <c r="N1328">
        <v>44</v>
      </c>
      <c r="O1328" s="5">
        <v>1320</v>
      </c>
    </row>
    <row r="1329" spans="1:15" x14ac:dyDescent="0.3">
      <c r="A1329" t="s">
        <v>1427</v>
      </c>
      <c r="B1329" t="s">
        <v>41</v>
      </c>
      <c r="C1329" s="7">
        <v>45708</v>
      </c>
      <c r="D1329" s="7">
        <v>45709</v>
      </c>
      <c r="E1329" t="s">
        <v>26</v>
      </c>
      <c r="F1329" t="s">
        <v>34</v>
      </c>
      <c r="G1329">
        <v>3</v>
      </c>
      <c r="H1329" t="s">
        <v>18</v>
      </c>
      <c r="I1329" t="s">
        <v>32</v>
      </c>
      <c r="J1329">
        <f>orders[[#This Row],[Ship Date]]-orders[[#This Row],[Order Date]]</f>
        <v>1</v>
      </c>
      <c r="K1329">
        <f>WEEKNUM(orders[[#This Row],[Order Date]])</f>
        <v>8</v>
      </c>
      <c r="L1329" t="str" cm="1">
        <f t="array" ref="L1329">_xlfn.IFS(orders[[#This Row],[Customer Gender]]="M","Male", orders[[#This Row],[Customer Gender]]="F","Female", orders[[#This Row],[Customer Gender]]="O","Other", TRUE,"Unknown")</f>
        <v>Female</v>
      </c>
      <c r="M1329">
        <v>4</v>
      </c>
      <c r="N1329">
        <v>65.599999999999994</v>
      </c>
      <c r="O1329">
        <v>262.39999999999998</v>
      </c>
    </row>
    <row r="1330" spans="1:15" x14ac:dyDescent="0.3">
      <c r="A1330" t="s">
        <v>1428</v>
      </c>
      <c r="B1330" t="s">
        <v>36</v>
      </c>
      <c r="C1330" s="7">
        <v>45708</v>
      </c>
      <c r="D1330" s="7">
        <v>45709</v>
      </c>
      <c r="E1330" t="s">
        <v>22</v>
      </c>
      <c r="F1330" t="s">
        <v>69</v>
      </c>
      <c r="G1330">
        <v>4</v>
      </c>
      <c r="H1330" t="s">
        <v>18</v>
      </c>
      <c r="I1330" t="s">
        <v>32</v>
      </c>
      <c r="J1330">
        <f>orders[[#This Row],[Ship Date]]-orders[[#This Row],[Order Date]]</f>
        <v>1</v>
      </c>
      <c r="K1330">
        <f>WEEKNUM(orders[[#This Row],[Order Date]])</f>
        <v>8</v>
      </c>
      <c r="L1330" t="str" cm="1">
        <f t="array" ref="L1330">_xlfn.IFS(orders[[#This Row],[Customer Gender]]="M","Male", orders[[#This Row],[Customer Gender]]="F","Female", orders[[#This Row],[Customer Gender]]="O","Other", TRUE,"Unknown")</f>
        <v>Male</v>
      </c>
      <c r="M1330">
        <v>12</v>
      </c>
      <c r="N1330">
        <v>32.6</v>
      </c>
      <c r="O1330" s="5">
        <v>391.20000000000005</v>
      </c>
    </row>
    <row r="1331" spans="1:15" x14ac:dyDescent="0.3">
      <c r="A1331" t="s">
        <v>1429</v>
      </c>
      <c r="B1331" t="s">
        <v>127</v>
      </c>
      <c r="C1331" s="7">
        <v>45708</v>
      </c>
      <c r="D1331" s="7">
        <v>45709</v>
      </c>
      <c r="E1331" t="s">
        <v>2517</v>
      </c>
      <c r="F1331" t="s">
        <v>50</v>
      </c>
      <c r="G1331">
        <v>5</v>
      </c>
      <c r="H1331" t="s">
        <v>18</v>
      </c>
      <c r="I1331" t="s">
        <v>32</v>
      </c>
      <c r="J1331">
        <f>orders[[#This Row],[Ship Date]]-orders[[#This Row],[Order Date]]</f>
        <v>1</v>
      </c>
      <c r="K1331">
        <f>WEEKNUM(orders[[#This Row],[Order Date]])</f>
        <v>8</v>
      </c>
      <c r="L1331" t="str" cm="1">
        <f t="array" ref="L1331">_xlfn.IFS(orders[[#This Row],[Customer Gender]]="M","Male", orders[[#This Row],[Customer Gender]]="F","Female", orders[[#This Row],[Customer Gender]]="O","Other", TRUE,"Unknown")</f>
        <v>Unknown</v>
      </c>
      <c r="M1331">
        <v>2</v>
      </c>
      <c r="N1331">
        <v>88.7</v>
      </c>
      <c r="O1331">
        <v>177.4</v>
      </c>
    </row>
    <row r="1332" spans="1:15" x14ac:dyDescent="0.3">
      <c r="A1332" t="s">
        <v>1430</v>
      </c>
      <c r="B1332" t="s">
        <v>31</v>
      </c>
      <c r="C1332" s="7">
        <v>45708</v>
      </c>
      <c r="D1332" s="7">
        <v>45709</v>
      </c>
      <c r="E1332" t="s">
        <v>22</v>
      </c>
      <c r="F1332" t="s">
        <v>17</v>
      </c>
      <c r="G1332">
        <v>4</v>
      </c>
      <c r="H1332" t="s">
        <v>18</v>
      </c>
      <c r="I1332" t="s">
        <v>32</v>
      </c>
      <c r="J1332">
        <f>orders[[#This Row],[Ship Date]]-orders[[#This Row],[Order Date]]</f>
        <v>1</v>
      </c>
      <c r="K1332">
        <f>WEEKNUM(orders[[#This Row],[Order Date]])</f>
        <v>8</v>
      </c>
      <c r="L1332" t="str" cm="1">
        <f t="array" ref="L1332">_xlfn.IFS(orders[[#This Row],[Customer Gender]]="M","Male", orders[[#This Row],[Customer Gender]]="F","Female", orders[[#This Row],[Customer Gender]]="O","Other", TRUE,"Unknown")</f>
        <v>Male</v>
      </c>
      <c r="M1332">
        <v>2</v>
      </c>
      <c r="N1332">
        <v>21.3</v>
      </c>
      <c r="O1332" s="5">
        <v>42.6</v>
      </c>
    </row>
    <row r="1333" spans="1:15" x14ac:dyDescent="0.3">
      <c r="A1333" t="s">
        <v>1431</v>
      </c>
      <c r="B1333" t="s">
        <v>31</v>
      </c>
      <c r="C1333" s="7">
        <v>45708</v>
      </c>
      <c r="D1333" s="7">
        <v>45712</v>
      </c>
      <c r="E1333" t="s">
        <v>26</v>
      </c>
      <c r="F1333" t="s">
        <v>39</v>
      </c>
      <c r="G1333">
        <v>4</v>
      </c>
      <c r="H1333" t="s">
        <v>18</v>
      </c>
      <c r="I1333" t="s">
        <v>32</v>
      </c>
      <c r="J1333">
        <f>orders[[#This Row],[Ship Date]]-orders[[#This Row],[Order Date]]</f>
        <v>4</v>
      </c>
      <c r="K1333">
        <f>WEEKNUM(orders[[#This Row],[Order Date]])</f>
        <v>8</v>
      </c>
      <c r="L1333" t="str" cm="1">
        <f t="array" ref="L1333">_xlfn.IFS(orders[[#This Row],[Customer Gender]]="M","Male", orders[[#This Row],[Customer Gender]]="F","Female", orders[[#This Row],[Customer Gender]]="O","Other", TRUE,"Unknown")</f>
        <v>Female</v>
      </c>
      <c r="M1333">
        <v>6</v>
      </c>
      <c r="N1333">
        <v>50.6</v>
      </c>
      <c r="O1333">
        <v>303.60000000000002</v>
      </c>
    </row>
    <row r="1334" spans="1:15" x14ac:dyDescent="0.3">
      <c r="A1334" t="s">
        <v>1432</v>
      </c>
      <c r="B1334" t="s">
        <v>45</v>
      </c>
      <c r="C1334" s="7">
        <v>45708</v>
      </c>
      <c r="D1334" s="7">
        <v>45711</v>
      </c>
      <c r="E1334" t="s">
        <v>26</v>
      </c>
      <c r="F1334" t="s">
        <v>17</v>
      </c>
      <c r="G1334">
        <v>3</v>
      </c>
      <c r="H1334" t="s">
        <v>18</v>
      </c>
      <c r="I1334" t="s">
        <v>32</v>
      </c>
      <c r="J1334">
        <f>orders[[#This Row],[Ship Date]]-orders[[#This Row],[Order Date]]</f>
        <v>3</v>
      </c>
      <c r="K1334">
        <f>WEEKNUM(orders[[#This Row],[Order Date]])</f>
        <v>8</v>
      </c>
      <c r="L1334" t="str" cm="1">
        <f t="array" ref="L1334">_xlfn.IFS(orders[[#This Row],[Customer Gender]]="M","Male", orders[[#This Row],[Customer Gender]]="F","Female", orders[[#This Row],[Customer Gender]]="O","Other", TRUE,"Unknown")</f>
        <v>Female</v>
      </c>
      <c r="M1334">
        <v>21</v>
      </c>
      <c r="N1334">
        <v>86.9</v>
      </c>
      <c r="O1334" s="5">
        <v>1824.9</v>
      </c>
    </row>
    <row r="1335" spans="1:15" x14ac:dyDescent="0.3">
      <c r="A1335" t="s">
        <v>1433</v>
      </c>
      <c r="B1335" t="s">
        <v>66</v>
      </c>
      <c r="C1335" s="7">
        <v>45708</v>
      </c>
      <c r="D1335" s="7">
        <v>45710</v>
      </c>
      <c r="E1335" t="s">
        <v>22</v>
      </c>
      <c r="F1335" t="s">
        <v>17</v>
      </c>
      <c r="G1335">
        <v>5</v>
      </c>
      <c r="H1335" t="s">
        <v>18</v>
      </c>
      <c r="I1335" t="s">
        <v>32</v>
      </c>
      <c r="J1335">
        <f>orders[[#This Row],[Ship Date]]-orders[[#This Row],[Order Date]]</f>
        <v>2</v>
      </c>
      <c r="K1335">
        <f>WEEKNUM(orders[[#This Row],[Order Date]])</f>
        <v>8</v>
      </c>
      <c r="L1335" t="str" cm="1">
        <f t="array" ref="L1335">_xlfn.IFS(orders[[#This Row],[Customer Gender]]="M","Male", orders[[#This Row],[Customer Gender]]="F","Female", orders[[#This Row],[Customer Gender]]="O","Other", TRUE,"Unknown")</f>
        <v>Male</v>
      </c>
      <c r="M1335">
        <v>3</v>
      </c>
      <c r="N1335">
        <v>31.8</v>
      </c>
      <c r="O1335">
        <v>95.4</v>
      </c>
    </row>
    <row r="1336" spans="1:15" x14ac:dyDescent="0.3">
      <c r="A1336" t="s">
        <v>1434</v>
      </c>
      <c r="B1336" t="s">
        <v>43</v>
      </c>
      <c r="C1336" s="7">
        <v>45708</v>
      </c>
      <c r="D1336" s="7">
        <v>45709</v>
      </c>
      <c r="E1336" t="s">
        <v>26</v>
      </c>
      <c r="F1336" t="s">
        <v>17</v>
      </c>
      <c r="G1336">
        <v>5</v>
      </c>
      <c r="H1336" t="s">
        <v>18</v>
      </c>
      <c r="I1336" t="s">
        <v>32</v>
      </c>
      <c r="J1336">
        <f>orders[[#This Row],[Ship Date]]-orders[[#This Row],[Order Date]]</f>
        <v>1</v>
      </c>
      <c r="K1336">
        <f>WEEKNUM(orders[[#This Row],[Order Date]])</f>
        <v>8</v>
      </c>
      <c r="L1336" t="str" cm="1">
        <f t="array" ref="L1336">_xlfn.IFS(orders[[#This Row],[Customer Gender]]="M","Male", orders[[#This Row],[Customer Gender]]="F","Female", orders[[#This Row],[Customer Gender]]="O","Other", TRUE,"Unknown")</f>
        <v>Female</v>
      </c>
      <c r="M1336">
        <v>1</v>
      </c>
      <c r="N1336">
        <v>19</v>
      </c>
      <c r="O1336" s="5">
        <v>19</v>
      </c>
    </row>
    <row r="1337" spans="1:15" x14ac:dyDescent="0.3">
      <c r="A1337" t="s">
        <v>1435</v>
      </c>
      <c r="B1337" t="s">
        <v>36</v>
      </c>
      <c r="C1337" s="7">
        <v>45708</v>
      </c>
      <c r="D1337" s="7">
        <v>45710</v>
      </c>
      <c r="E1337" t="s">
        <v>22</v>
      </c>
      <c r="F1337" t="s">
        <v>17</v>
      </c>
      <c r="G1337">
        <v>4</v>
      </c>
      <c r="H1337" t="s">
        <v>18</v>
      </c>
      <c r="I1337" t="s">
        <v>32</v>
      </c>
      <c r="J1337">
        <f>orders[[#This Row],[Ship Date]]-orders[[#This Row],[Order Date]]</f>
        <v>2</v>
      </c>
      <c r="K1337">
        <f>WEEKNUM(orders[[#This Row],[Order Date]])</f>
        <v>8</v>
      </c>
      <c r="L1337" t="str" cm="1">
        <f t="array" ref="L1337">_xlfn.IFS(orders[[#This Row],[Customer Gender]]="M","Male", orders[[#This Row],[Customer Gender]]="F","Female", orders[[#This Row],[Customer Gender]]="O","Other", TRUE,"Unknown")</f>
        <v>Male</v>
      </c>
      <c r="M1337">
        <v>1</v>
      </c>
      <c r="N1337">
        <v>54.5</v>
      </c>
      <c r="O1337">
        <v>54.5</v>
      </c>
    </row>
    <row r="1338" spans="1:15" x14ac:dyDescent="0.3">
      <c r="A1338" t="s">
        <v>1436</v>
      </c>
      <c r="B1338" t="s">
        <v>45</v>
      </c>
      <c r="C1338" s="7">
        <v>45708</v>
      </c>
      <c r="D1338" s="7">
        <v>45710</v>
      </c>
      <c r="E1338" t="s">
        <v>22</v>
      </c>
      <c r="F1338" t="s">
        <v>69</v>
      </c>
      <c r="G1338">
        <v>3</v>
      </c>
      <c r="H1338" t="s">
        <v>18</v>
      </c>
      <c r="I1338" t="s">
        <v>32</v>
      </c>
      <c r="J1338">
        <f>orders[[#This Row],[Ship Date]]-orders[[#This Row],[Order Date]]</f>
        <v>2</v>
      </c>
      <c r="K1338">
        <f>WEEKNUM(orders[[#This Row],[Order Date]])</f>
        <v>8</v>
      </c>
      <c r="L1338" t="str" cm="1">
        <f t="array" ref="L1338">_xlfn.IFS(orders[[#This Row],[Customer Gender]]="M","Male", orders[[#This Row],[Customer Gender]]="F","Female", orders[[#This Row],[Customer Gender]]="O","Other", TRUE,"Unknown")</f>
        <v>Male</v>
      </c>
      <c r="M1338">
        <v>5</v>
      </c>
      <c r="N1338">
        <v>68.900000000000006</v>
      </c>
      <c r="O1338" s="5">
        <v>344.5</v>
      </c>
    </row>
    <row r="1339" spans="1:15" x14ac:dyDescent="0.3">
      <c r="A1339" t="s">
        <v>1437</v>
      </c>
      <c r="B1339" t="s">
        <v>38</v>
      </c>
      <c r="C1339" s="7">
        <v>45708</v>
      </c>
      <c r="D1339" s="7">
        <v>45709</v>
      </c>
      <c r="E1339" t="s">
        <v>22</v>
      </c>
      <c r="F1339" t="s">
        <v>34</v>
      </c>
      <c r="G1339">
        <v>2</v>
      </c>
      <c r="H1339" t="s">
        <v>18</v>
      </c>
      <c r="I1339" t="s">
        <v>97</v>
      </c>
      <c r="J1339">
        <f>orders[[#This Row],[Ship Date]]-orders[[#This Row],[Order Date]]</f>
        <v>1</v>
      </c>
      <c r="K1339">
        <f>WEEKNUM(orders[[#This Row],[Order Date]])</f>
        <v>8</v>
      </c>
      <c r="L1339" t="str" cm="1">
        <f t="array" ref="L1339">_xlfn.IFS(orders[[#This Row],[Customer Gender]]="M","Male", orders[[#This Row],[Customer Gender]]="F","Female", orders[[#This Row],[Customer Gender]]="O","Other", TRUE,"Unknown")</f>
        <v>Male</v>
      </c>
      <c r="M1339">
        <v>3</v>
      </c>
      <c r="N1339">
        <v>84</v>
      </c>
      <c r="O1339">
        <v>252</v>
      </c>
    </row>
    <row r="1340" spans="1:15" x14ac:dyDescent="0.3">
      <c r="A1340" t="s">
        <v>1438</v>
      </c>
      <c r="B1340" t="s">
        <v>122</v>
      </c>
      <c r="C1340" s="7">
        <v>45708</v>
      </c>
      <c r="D1340" s="7">
        <v>45713</v>
      </c>
      <c r="E1340" t="s">
        <v>22</v>
      </c>
      <c r="F1340" t="s">
        <v>17</v>
      </c>
      <c r="G1340">
        <v>5</v>
      </c>
      <c r="H1340" t="s">
        <v>18</v>
      </c>
      <c r="I1340" t="s">
        <v>157</v>
      </c>
      <c r="J1340">
        <f>orders[[#This Row],[Ship Date]]-orders[[#This Row],[Order Date]]</f>
        <v>5</v>
      </c>
      <c r="K1340">
        <f>WEEKNUM(orders[[#This Row],[Order Date]])</f>
        <v>8</v>
      </c>
      <c r="L1340" t="str" cm="1">
        <f t="array" ref="L1340">_xlfn.IFS(orders[[#This Row],[Customer Gender]]="M","Male", orders[[#This Row],[Customer Gender]]="F","Female", orders[[#This Row],[Customer Gender]]="O","Other", TRUE,"Unknown")</f>
        <v>Male</v>
      </c>
      <c r="M1340">
        <v>8</v>
      </c>
      <c r="N1340">
        <v>23.1</v>
      </c>
      <c r="O1340" s="5">
        <v>184.8</v>
      </c>
    </row>
    <row r="1341" spans="1:15" x14ac:dyDescent="0.3">
      <c r="A1341" t="s">
        <v>1439</v>
      </c>
      <c r="B1341" t="s">
        <v>41</v>
      </c>
      <c r="C1341" s="7">
        <v>45708</v>
      </c>
      <c r="D1341" s="7">
        <v>45709</v>
      </c>
      <c r="E1341" t="s">
        <v>26</v>
      </c>
      <c r="F1341" t="s">
        <v>17</v>
      </c>
      <c r="G1341">
        <v>3</v>
      </c>
      <c r="H1341" t="s">
        <v>18</v>
      </c>
      <c r="I1341" t="s">
        <v>54</v>
      </c>
      <c r="J1341">
        <f>orders[[#This Row],[Ship Date]]-orders[[#This Row],[Order Date]]</f>
        <v>1</v>
      </c>
      <c r="K1341">
        <f>WEEKNUM(orders[[#This Row],[Order Date]])</f>
        <v>8</v>
      </c>
      <c r="L1341" t="str" cm="1">
        <f t="array" ref="L1341">_xlfn.IFS(orders[[#This Row],[Customer Gender]]="M","Male", orders[[#This Row],[Customer Gender]]="F","Female", orders[[#This Row],[Customer Gender]]="O","Other", TRUE,"Unknown")</f>
        <v>Female</v>
      </c>
      <c r="M1341">
        <v>2</v>
      </c>
      <c r="N1341">
        <v>62.4</v>
      </c>
      <c r="O1341">
        <v>124.8</v>
      </c>
    </row>
    <row r="1342" spans="1:15" x14ac:dyDescent="0.3">
      <c r="A1342" t="s">
        <v>1440</v>
      </c>
      <c r="B1342" t="s">
        <v>38</v>
      </c>
      <c r="C1342" s="7">
        <v>45708</v>
      </c>
      <c r="D1342" s="7">
        <v>45710</v>
      </c>
      <c r="E1342" t="s">
        <v>22</v>
      </c>
      <c r="F1342" t="s">
        <v>34</v>
      </c>
      <c r="G1342">
        <v>5</v>
      </c>
      <c r="H1342" t="s">
        <v>18</v>
      </c>
      <c r="I1342" t="s">
        <v>54</v>
      </c>
      <c r="J1342">
        <f>orders[[#This Row],[Ship Date]]-orders[[#This Row],[Order Date]]</f>
        <v>2</v>
      </c>
      <c r="K1342">
        <f>WEEKNUM(orders[[#This Row],[Order Date]])</f>
        <v>8</v>
      </c>
      <c r="L1342" t="str" cm="1">
        <f t="array" ref="L1342">_xlfn.IFS(orders[[#This Row],[Customer Gender]]="M","Male", orders[[#This Row],[Customer Gender]]="F","Female", orders[[#This Row],[Customer Gender]]="O","Other", TRUE,"Unknown")</f>
        <v>Male</v>
      </c>
      <c r="M1342">
        <v>12</v>
      </c>
      <c r="N1342">
        <v>40.700000000000003</v>
      </c>
      <c r="O1342" s="5">
        <v>488.40000000000003</v>
      </c>
    </row>
    <row r="1343" spans="1:15" x14ac:dyDescent="0.3">
      <c r="A1343" t="s">
        <v>1441</v>
      </c>
      <c r="B1343" t="s">
        <v>38</v>
      </c>
      <c r="C1343" s="7">
        <v>45708</v>
      </c>
      <c r="D1343" s="7">
        <v>45711</v>
      </c>
      <c r="E1343" t="s">
        <v>22</v>
      </c>
      <c r="F1343" t="s">
        <v>39</v>
      </c>
      <c r="G1343">
        <v>4</v>
      </c>
      <c r="H1343" t="s">
        <v>18</v>
      </c>
      <c r="I1343" t="s">
        <v>58</v>
      </c>
      <c r="J1343">
        <f>orders[[#This Row],[Ship Date]]-orders[[#This Row],[Order Date]]</f>
        <v>3</v>
      </c>
      <c r="K1343">
        <f>WEEKNUM(orders[[#This Row],[Order Date]])</f>
        <v>8</v>
      </c>
      <c r="L1343" t="str" cm="1">
        <f t="array" ref="L1343">_xlfn.IFS(orders[[#This Row],[Customer Gender]]="M","Male", orders[[#This Row],[Customer Gender]]="F","Female", orders[[#This Row],[Customer Gender]]="O","Other", TRUE,"Unknown")</f>
        <v>Male</v>
      </c>
      <c r="M1343">
        <v>1</v>
      </c>
      <c r="N1343">
        <v>49.6</v>
      </c>
      <c r="O1343">
        <v>49.6</v>
      </c>
    </row>
    <row r="1344" spans="1:15" x14ac:dyDescent="0.3">
      <c r="A1344" t="s">
        <v>1442</v>
      </c>
      <c r="B1344" t="s">
        <v>41</v>
      </c>
      <c r="C1344" s="7">
        <v>45708</v>
      </c>
      <c r="D1344" s="7">
        <v>45711</v>
      </c>
      <c r="E1344" t="s">
        <v>22</v>
      </c>
      <c r="F1344" t="s">
        <v>39</v>
      </c>
      <c r="G1344">
        <v>4</v>
      </c>
      <c r="H1344" t="s">
        <v>18</v>
      </c>
      <c r="I1344" t="s">
        <v>61</v>
      </c>
      <c r="J1344">
        <f>orders[[#This Row],[Ship Date]]-orders[[#This Row],[Order Date]]</f>
        <v>3</v>
      </c>
      <c r="K1344">
        <f>WEEKNUM(orders[[#This Row],[Order Date]])</f>
        <v>8</v>
      </c>
      <c r="L1344" t="str" cm="1">
        <f t="array" ref="L1344">_xlfn.IFS(orders[[#This Row],[Customer Gender]]="M","Male", orders[[#This Row],[Customer Gender]]="F","Female", orders[[#This Row],[Customer Gender]]="O","Other", TRUE,"Unknown")</f>
        <v>Male</v>
      </c>
      <c r="M1344">
        <v>45</v>
      </c>
      <c r="N1344">
        <v>66.599999999999994</v>
      </c>
      <c r="O1344" s="5">
        <v>2996.9999999999995</v>
      </c>
    </row>
    <row r="1345" spans="1:15" x14ac:dyDescent="0.3">
      <c r="A1345" t="s">
        <v>1443</v>
      </c>
      <c r="B1345" t="s">
        <v>43</v>
      </c>
      <c r="C1345" s="7">
        <v>45708</v>
      </c>
      <c r="D1345" s="7">
        <v>45709</v>
      </c>
      <c r="E1345" t="s">
        <v>26</v>
      </c>
      <c r="F1345" t="s">
        <v>34</v>
      </c>
      <c r="G1345">
        <v>3</v>
      </c>
      <c r="H1345" t="s">
        <v>18</v>
      </c>
      <c r="I1345" t="s">
        <v>61</v>
      </c>
      <c r="J1345">
        <f>orders[[#This Row],[Ship Date]]-orders[[#This Row],[Order Date]]</f>
        <v>1</v>
      </c>
      <c r="K1345">
        <f>WEEKNUM(orders[[#This Row],[Order Date]])</f>
        <v>8</v>
      </c>
      <c r="L1345" t="str" cm="1">
        <f t="array" ref="L1345">_xlfn.IFS(orders[[#This Row],[Customer Gender]]="M","Male", orders[[#This Row],[Customer Gender]]="F","Female", orders[[#This Row],[Customer Gender]]="O","Other", TRUE,"Unknown")</f>
        <v>Female</v>
      </c>
      <c r="M1345">
        <v>3</v>
      </c>
      <c r="N1345">
        <v>26.4</v>
      </c>
      <c r="O1345">
        <v>79.199999999999989</v>
      </c>
    </row>
    <row r="1346" spans="1:15" x14ac:dyDescent="0.3">
      <c r="A1346" t="s">
        <v>1444</v>
      </c>
      <c r="B1346" t="s">
        <v>16</v>
      </c>
      <c r="C1346" s="7">
        <v>45708</v>
      </c>
      <c r="D1346" s="7">
        <v>45711</v>
      </c>
      <c r="E1346" t="s">
        <v>22</v>
      </c>
      <c r="F1346" t="s">
        <v>39</v>
      </c>
      <c r="G1346">
        <v>3</v>
      </c>
      <c r="H1346" t="s">
        <v>18</v>
      </c>
      <c r="I1346" t="s">
        <v>61</v>
      </c>
      <c r="J1346">
        <f>orders[[#This Row],[Ship Date]]-orders[[#This Row],[Order Date]]</f>
        <v>3</v>
      </c>
      <c r="K1346">
        <f>WEEKNUM(orders[[#This Row],[Order Date]])</f>
        <v>8</v>
      </c>
      <c r="L1346" t="str" cm="1">
        <f t="array" ref="L1346">_xlfn.IFS(orders[[#This Row],[Customer Gender]]="M","Male", orders[[#This Row],[Customer Gender]]="F","Female", orders[[#This Row],[Customer Gender]]="O","Other", TRUE,"Unknown")</f>
        <v>Male</v>
      </c>
      <c r="M1346">
        <v>2</v>
      </c>
      <c r="N1346">
        <v>17.2</v>
      </c>
      <c r="O1346" s="5">
        <v>34.4</v>
      </c>
    </row>
    <row r="1347" spans="1:15" x14ac:dyDescent="0.3">
      <c r="A1347" t="s">
        <v>1445</v>
      </c>
      <c r="B1347" t="s">
        <v>36</v>
      </c>
      <c r="C1347" s="7">
        <v>45708</v>
      </c>
      <c r="D1347" s="7">
        <v>45711</v>
      </c>
      <c r="E1347" t="s">
        <v>26</v>
      </c>
      <c r="F1347" t="s">
        <v>69</v>
      </c>
      <c r="G1347">
        <v>4</v>
      </c>
      <c r="H1347" t="s">
        <v>18</v>
      </c>
      <c r="I1347" t="s">
        <v>61</v>
      </c>
      <c r="J1347">
        <f>orders[[#This Row],[Ship Date]]-orders[[#This Row],[Order Date]]</f>
        <v>3</v>
      </c>
      <c r="K1347">
        <f>WEEKNUM(orders[[#This Row],[Order Date]])</f>
        <v>8</v>
      </c>
      <c r="L1347" t="str" cm="1">
        <f t="array" ref="L1347">_xlfn.IFS(orders[[#This Row],[Customer Gender]]="M","Male", orders[[#This Row],[Customer Gender]]="F","Female", orders[[#This Row],[Customer Gender]]="O","Other", TRUE,"Unknown")</f>
        <v>Female</v>
      </c>
      <c r="M1347">
        <v>8</v>
      </c>
      <c r="N1347">
        <v>58.1</v>
      </c>
      <c r="O1347">
        <v>464.8</v>
      </c>
    </row>
    <row r="1348" spans="1:15" x14ac:dyDescent="0.3">
      <c r="A1348" t="s">
        <v>1446</v>
      </c>
      <c r="B1348" t="s">
        <v>122</v>
      </c>
      <c r="C1348" s="7">
        <v>45708</v>
      </c>
      <c r="D1348" s="7">
        <v>45711</v>
      </c>
      <c r="E1348" t="s">
        <v>26</v>
      </c>
      <c r="F1348" t="s">
        <v>69</v>
      </c>
      <c r="G1348">
        <v>2</v>
      </c>
      <c r="H1348" t="s">
        <v>18</v>
      </c>
      <c r="I1348" t="s">
        <v>61</v>
      </c>
      <c r="J1348">
        <f>orders[[#This Row],[Ship Date]]-orders[[#This Row],[Order Date]]</f>
        <v>3</v>
      </c>
      <c r="K1348">
        <f>WEEKNUM(orders[[#This Row],[Order Date]])</f>
        <v>8</v>
      </c>
      <c r="L1348" t="str" cm="1">
        <f t="array" ref="L1348">_xlfn.IFS(orders[[#This Row],[Customer Gender]]="M","Male", orders[[#This Row],[Customer Gender]]="F","Female", orders[[#This Row],[Customer Gender]]="O","Other", TRUE,"Unknown")</f>
        <v>Female</v>
      </c>
      <c r="M1348">
        <v>4</v>
      </c>
      <c r="N1348">
        <v>31.5</v>
      </c>
      <c r="O1348" s="5">
        <v>126</v>
      </c>
    </row>
    <row r="1349" spans="1:15" x14ac:dyDescent="0.3">
      <c r="A1349" t="s">
        <v>1447</v>
      </c>
      <c r="B1349" t="s">
        <v>16</v>
      </c>
      <c r="C1349" s="7">
        <v>45708</v>
      </c>
      <c r="D1349" s="7">
        <v>45710</v>
      </c>
      <c r="E1349" t="s">
        <v>26</v>
      </c>
      <c r="F1349" t="s">
        <v>17</v>
      </c>
      <c r="G1349">
        <v>3</v>
      </c>
      <c r="H1349" t="s">
        <v>18</v>
      </c>
      <c r="I1349" t="s">
        <v>102</v>
      </c>
      <c r="J1349">
        <f>orders[[#This Row],[Ship Date]]-orders[[#This Row],[Order Date]]</f>
        <v>2</v>
      </c>
      <c r="K1349">
        <f>WEEKNUM(orders[[#This Row],[Order Date]])</f>
        <v>8</v>
      </c>
      <c r="L1349" t="str" cm="1">
        <f t="array" ref="L1349">_xlfn.IFS(orders[[#This Row],[Customer Gender]]="M","Male", orders[[#This Row],[Customer Gender]]="F","Female", orders[[#This Row],[Customer Gender]]="O","Other", TRUE,"Unknown")</f>
        <v>Female</v>
      </c>
      <c r="M1349">
        <v>1</v>
      </c>
      <c r="N1349">
        <v>27.1</v>
      </c>
      <c r="O1349">
        <v>27.1</v>
      </c>
    </row>
    <row r="1350" spans="1:15" x14ac:dyDescent="0.3">
      <c r="A1350" t="s">
        <v>1448</v>
      </c>
      <c r="B1350" t="s">
        <v>145</v>
      </c>
      <c r="C1350" s="7">
        <v>45708</v>
      </c>
      <c r="D1350" s="7">
        <v>45710</v>
      </c>
      <c r="E1350" t="s">
        <v>22</v>
      </c>
      <c r="F1350" t="s">
        <v>34</v>
      </c>
      <c r="G1350">
        <v>5</v>
      </c>
      <c r="H1350" t="s">
        <v>18</v>
      </c>
      <c r="I1350" t="s">
        <v>71</v>
      </c>
      <c r="J1350">
        <f>orders[[#This Row],[Ship Date]]-orders[[#This Row],[Order Date]]</f>
        <v>2</v>
      </c>
      <c r="K1350">
        <f>WEEKNUM(orders[[#This Row],[Order Date]])</f>
        <v>8</v>
      </c>
      <c r="L1350" t="str" cm="1">
        <f t="array" ref="L1350">_xlfn.IFS(orders[[#This Row],[Customer Gender]]="M","Male", orders[[#This Row],[Customer Gender]]="F","Female", orders[[#This Row],[Customer Gender]]="O","Other", TRUE,"Unknown")</f>
        <v>Male</v>
      </c>
      <c r="M1350">
        <v>4</v>
      </c>
      <c r="N1350">
        <v>28.5</v>
      </c>
      <c r="O1350" s="5">
        <v>114</v>
      </c>
    </row>
    <row r="1351" spans="1:15" x14ac:dyDescent="0.3">
      <c r="A1351" t="s">
        <v>1449</v>
      </c>
      <c r="B1351" t="s">
        <v>53</v>
      </c>
      <c r="C1351" s="7">
        <v>45709</v>
      </c>
      <c r="D1351" s="7">
        <v>45711</v>
      </c>
      <c r="E1351" t="s">
        <v>88</v>
      </c>
      <c r="F1351" t="s">
        <v>39</v>
      </c>
      <c r="G1351">
        <v>4</v>
      </c>
      <c r="H1351" t="s">
        <v>18</v>
      </c>
      <c r="I1351" t="s">
        <v>71</v>
      </c>
      <c r="J1351">
        <f>orders[[#This Row],[Ship Date]]-orders[[#This Row],[Order Date]]</f>
        <v>2</v>
      </c>
      <c r="K1351">
        <f>WEEKNUM(orders[[#This Row],[Order Date]])</f>
        <v>8</v>
      </c>
      <c r="L1351" t="str" cm="1">
        <f t="array" ref="L1351">_xlfn.IFS(orders[[#This Row],[Customer Gender]]="M","Male", orders[[#This Row],[Customer Gender]]="F","Female", orders[[#This Row],[Customer Gender]]="O","Other", TRUE,"Unknown")</f>
        <v>Other</v>
      </c>
      <c r="M1351">
        <v>1</v>
      </c>
      <c r="N1351">
        <v>40.5</v>
      </c>
      <c r="O1351">
        <v>40.5</v>
      </c>
    </row>
    <row r="1352" spans="1:15" x14ac:dyDescent="0.3">
      <c r="A1352" t="s">
        <v>1450</v>
      </c>
      <c r="B1352" t="s">
        <v>25</v>
      </c>
      <c r="C1352" s="7">
        <v>45709</v>
      </c>
      <c r="D1352" s="7">
        <v>45713</v>
      </c>
      <c r="E1352" t="s">
        <v>26</v>
      </c>
      <c r="F1352" t="s">
        <v>34</v>
      </c>
      <c r="G1352">
        <v>5</v>
      </c>
      <c r="H1352" t="s">
        <v>18</v>
      </c>
      <c r="I1352" t="s">
        <v>109</v>
      </c>
      <c r="J1352">
        <f>orders[[#This Row],[Ship Date]]-orders[[#This Row],[Order Date]]</f>
        <v>4</v>
      </c>
      <c r="K1352">
        <f>WEEKNUM(orders[[#This Row],[Order Date]])</f>
        <v>8</v>
      </c>
      <c r="L1352" t="str" cm="1">
        <f t="array" ref="L1352">_xlfn.IFS(orders[[#This Row],[Customer Gender]]="M","Male", orders[[#This Row],[Customer Gender]]="F","Female", orders[[#This Row],[Customer Gender]]="O","Other", TRUE,"Unknown")</f>
        <v>Female</v>
      </c>
      <c r="M1352">
        <v>3</v>
      </c>
      <c r="N1352">
        <v>77.900000000000006</v>
      </c>
      <c r="O1352" s="5">
        <v>233.70000000000002</v>
      </c>
    </row>
    <row r="1353" spans="1:15" x14ac:dyDescent="0.3">
      <c r="A1353" t="s">
        <v>1451</v>
      </c>
      <c r="B1353" t="s">
        <v>145</v>
      </c>
      <c r="C1353" s="7">
        <v>45709</v>
      </c>
      <c r="D1353" s="7">
        <v>45711</v>
      </c>
      <c r="E1353" t="s">
        <v>22</v>
      </c>
      <c r="F1353" t="s">
        <v>69</v>
      </c>
      <c r="G1353">
        <v>5</v>
      </c>
      <c r="H1353" t="s">
        <v>18</v>
      </c>
      <c r="I1353" t="s">
        <v>109</v>
      </c>
      <c r="J1353">
        <f>orders[[#This Row],[Ship Date]]-orders[[#This Row],[Order Date]]</f>
        <v>2</v>
      </c>
      <c r="K1353">
        <f>WEEKNUM(orders[[#This Row],[Order Date]])</f>
        <v>8</v>
      </c>
      <c r="L1353" t="str" cm="1">
        <f t="array" ref="L1353">_xlfn.IFS(orders[[#This Row],[Customer Gender]]="M","Male", orders[[#This Row],[Customer Gender]]="F","Female", orders[[#This Row],[Customer Gender]]="O","Other", TRUE,"Unknown")</f>
        <v>Male</v>
      </c>
      <c r="M1353">
        <v>4</v>
      </c>
      <c r="N1353">
        <v>37.1</v>
      </c>
      <c r="O1353">
        <v>148.4</v>
      </c>
    </row>
    <row r="1354" spans="1:15" x14ac:dyDescent="0.3">
      <c r="A1354" t="s">
        <v>1452</v>
      </c>
      <c r="B1354" t="s">
        <v>127</v>
      </c>
      <c r="C1354" s="7">
        <v>45709</v>
      </c>
      <c r="D1354" s="7">
        <v>45717</v>
      </c>
      <c r="E1354" t="s">
        <v>26</v>
      </c>
      <c r="F1354" t="s">
        <v>17</v>
      </c>
      <c r="G1354">
        <v>2</v>
      </c>
      <c r="H1354" t="s">
        <v>18</v>
      </c>
      <c r="I1354" t="s">
        <v>109</v>
      </c>
      <c r="J1354">
        <f>orders[[#This Row],[Ship Date]]-orders[[#This Row],[Order Date]]</f>
        <v>8</v>
      </c>
      <c r="K1354">
        <f>WEEKNUM(orders[[#This Row],[Order Date]])</f>
        <v>8</v>
      </c>
      <c r="L1354" t="str" cm="1">
        <f t="array" ref="L1354">_xlfn.IFS(orders[[#This Row],[Customer Gender]]="M","Male", orders[[#This Row],[Customer Gender]]="F","Female", orders[[#This Row],[Customer Gender]]="O","Other", TRUE,"Unknown")</f>
        <v>Female</v>
      </c>
      <c r="M1354">
        <v>3</v>
      </c>
      <c r="N1354">
        <v>51.6</v>
      </c>
      <c r="O1354" s="5">
        <v>154.80000000000001</v>
      </c>
    </row>
    <row r="1355" spans="1:15" x14ac:dyDescent="0.3">
      <c r="A1355" t="s">
        <v>1453</v>
      </c>
      <c r="B1355" t="s">
        <v>41</v>
      </c>
      <c r="C1355" s="7">
        <v>45709</v>
      </c>
      <c r="D1355" s="7">
        <v>45710</v>
      </c>
      <c r="E1355" t="s">
        <v>22</v>
      </c>
      <c r="F1355" t="s">
        <v>34</v>
      </c>
      <c r="G1355">
        <v>3</v>
      </c>
      <c r="H1355" t="s">
        <v>18</v>
      </c>
      <c r="I1355" t="s">
        <v>109</v>
      </c>
      <c r="J1355">
        <f>orders[[#This Row],[Ship Date]]-orders[[#This Row],[Order Date]]</f>
        <v>1</v>
      </c>
      <c r="K1355">
        <f>WEEKNUM(orders[[#This Row],[Order Date]])</f>
        <v>8</v>
      </c>
      <c r="L1355" t="str" cm="1">
        <f t="array" ref="L1355">_xlfn.IFS(orders[[#This Row],[Customer Gender]]="M","Male", orders[[#This Row],[Customer Gender]]="F","Female", orders[[#This Row],[Customer Gender]]="O","Other", TRUE,"Unknown")</f>
        <v>Male</v>
      </c>
      <c r="M1355">
        <v>3</v>
      </c>
      <c r="N1355">
        <v>98</v>
      </c>
      <c r="O1355">
        <v>294</v>
      </c>
    </row>
    <row r="1356" spans="1:15" x14ac:dyDescent="0.3">
      <c r="A1356" t="s">
        <v>1454</v>
      </c>
      <c r="B1356" t="s">
        <v>38</v>
      </c>
      <c r="C1356" s="7">
        <v>45709</v>
      </c>
      <c r="D1356" s="7">
        <v>45710</v>
      </c>
      <c r="E1356" t="s">
        <v>22</v>
      </c>
      <c r="F1356" t="s">
        <v>34</v>
      </c>
      <c r="G1356">
        <v>4</v>
      </c>
      <c r="H1356" t="s">
        <v>18</v>
      </c>
      <c r="I1356" t="s">
        <v>112</v>
      </c>
      <c r="J1356">
        <f>orders[[#This Row],[Ship Date]]-orders[[#This Row],[Order Date]]</f>
        <v>1</v>
      </c>
      <c r="K1356">
        <f>WEEKNUM(orders[[#This Row],[Order Date]])</f>
        <v>8</v>
      </c>
      <c r="L1356" t="str" cm="1">
        <f t="array" ref="L1356">_xlfn.IFS(orders[[#This Row],[Customer Gender]]="M","Male", orders[[#This Row],[Customer Gender]]="F","Female", orders[[#This Row],[Customer Gender]]="O","Other", TRUE,"Unknown")</f>
        <v>Male</v>
      </c>
      <c r="M1356">
        <v>7</v>
      </c>
      <c r="N1356">
        <v>41.4</v>
      </c>
      <c r="O1356" s="5">
        <v>289.8</v>
      </c>
    </row>
    <row r="1357" spans="1:15" x14ac:dyDescent="0.3">
      <c r="A1357" t="s">
        <v>1455</v>
      </c>
      <c r="B1357" t="s">
        <v>66</v>
      </c>
      <c r="C1357" s="7">
        <v>45709</v>
      </c>
      <c r="D1357" s="7">
        <v>45714</v>
      </c>
      <c r="E1357" t="s">
        <v>26</v>
      </c>
      <c r="F1357" t="s">
        <v>17</v>
      </c>
      <c r="G1357">
        <v>5</v>
      </c>
      <c r="H1357" t="s">
        <v>18</v>
      </c>
      <c r="I1357" t="s">
        <v>996</v>
      </c>
      <c r="J1357">
        <f>orders[[#This Row],[Ship Date]]-orders[[#This Row],[Order Date]]</f>
        <v>5</v>
      </c>
      <c r="K1357">
        <f>WEEKNUM(orders[[#This Row],[Order Date]])</f>
        <v>8</v>
      </c>
      <c r="L1357" t="str" cm="1">
        <f t="array" ref="L1357">_xlfn.IFS(orders[[#This Row],[Customer Gender]]="M","Male", orders[[#This Row],[Customer Gender]]="F","Female", orders[[#This Row],[Customer Gender]]="O","Other", TRUE,"Unknown")</f>
        <v>Female</v>
      </c>
      <c r="M1357">
        <v>8</v>
      </c>
      <c r="N1357">
        <v>34</v>
      </c>
      <c r="O1357">
        <v>272</v>
      </c>
    </row>
    <row r="1358" spans="1:15" x14ac:dyDescent="0.3">
      <c r="A1358" t="s">
        <v>1456</v>
      </c>
      <c r="B1358" t="s">
        <v>38</v>
      </c>
      <c r="C1358" s="7">
        <v>45709</v>
      </c>
      <c r="D1358" s="7">
        <v>45710</v>
      </c>
      <c r="E1358" t="s">
        <v>26</v>
      </c>
      <c r="F1358" t="s">
        <v>34</v>
      </c>
      <c r="G1358">
        <v>4</v>
      </c>
      <c r="H1358" t="s">
        <v>18</v>
      </c>
      <c r="I1358" t="s">
        <v>81</v>
      </c>
      <c r="J1358">
        <f>orders[[#This Row],[Ship Date]]-orders[[#This Row],[Order Date]]</f>
        <v>1</v>
      </c>
      <c r="K1358">
        <f>WEEKNUM(orders[[#This Row],[Order Date]])</f>
        <v>8</v>
      </c>
      <c r="L1358" t="str" cm="1">
        <f t="array" ref="L1358">_xlfn.IFS(orders[[#This Row],[Customer Gender]]="M","Male", orders[[#This Row],[Customer Gender]]="F","Female", orders[[#This Row],[Customer Gender]]="O","Other", TRUE,"Unknown")</f>
        <v>Female</v>
      </c>
      <c r="M1358">
        <v>1</v>
      </c>
      <c r="N1358">
        <v>66.3</v>
      </c>
      <c r="O1358" s="5">
        <v>66.3</v>
      </c>
    </row>
    <row r="1359" spans="1:15" x14ac:dyDescent="0.3">
      <c r="A1359" t="s">
        <v>1457</v>
      </c>
      <c r="B1359" t="s">
        <v>41</v>
      </c>
      <c r="C1359" s="7">
        <v>45709</v>
      </c>
      <c r="D1359" s="7">
        <v>45713</v>
      </c>
      <c r="E1359" t="s">
        <v>22</v>
      </c>
      <c r="F1359" t="s">
        <v>39</v>
      </c>
      <c r="G1359">
        <v>4</v>
      </c>
      <c r="H1359" t="s">
        <v>18</v>
      </c>
      <c r="I1359" t="s">
        <v>81</v>
      </c>
      <c r="J1359">
        <f>orders[[#This Row],[Ship Date]]-orders[[#This Row],[Order Date]]</f>
        <v>4</v>
      </c>
      <c r="K1359">
        <f>WEEKNUM(orders[[#This Row],[Order Date]])</f>
        <v>8</v>
      </c>
      <c r="L1359" t="str" cm="1">
        <f t="array" ref="L1359">_xlfn.IFS(orders[[#This Row],[Customer Gender]]="M","Male", orders[[#This Row],[Customer Gender]]="F","Female", orders[[#This Row],[Customer Gender]]="O","Other", TRUE,"Unknown")</f>
        <v>Male</v>
      </c>
      <c r="M1359">
        <v>1</v>
      </c>
      <c r="N1359">
        <v>33.5</v>
      </c>
      <c r="O1359">
        <v>33.5</v>
      </c>
    </row>
    <row r="1360" spans="1:15" x14ac:dyDescent="0.3">
      <c r="A1360" t="s">
        <v>1458</v>
      </c>
      <c r="B1360" t="s">
        <v>68</v>
      </c>
      <c r="C1360" s="7">
        <v>45709</v>
      </c>
      <c r="D1360" s="7">
        <v>45710</v>
      </c>
      <c r="E1360" t="s">
        <v>2517</v>
      </c>
      <c r="F1360" t="s">
        <v>17</v>
      </c>
      <c r="G1360">
        <v>4</v>
      </c>
      <c r="H1360" t="s">
        <v>18</v>
      </c>
      <c r="I1360" t="s">
        <v>242</v>
      </c>
      <c r="J1360">
        <f>orders[[#This Row],[Ship Date]]-orders[[#This Row],[Order Date]]</f>
        <v>1</v>
      </c>
      <c r="K1360">
        <f>WEEKNUM(orders[[#This Row],[Order Date]])</f>
        <v>8</v>
      </c>
      <c r="L1360" t="str" cm="1">
        <f t="array" ref="L1360">_xlfn.IFS(orders[[#This Row],[Customer Gender]]="M","Male", orders[[#This Row],[Customer Gender]]="F","Female", orders[[#This Row],[Customer Gender]]="O","Other", TRUE,"Unknown")</f>
        <v>Unknown</v>
      </c>
      <c r="M1360">
        <v>2</v>
      </c>
      <c r="N1360">
        <v>70.8</v>
      </c>
      <c r="O1360" s="5">
        <v>141.6</v>
      </c>
    </row>
    <row r="1361" spans="1:15" x14ac:dyDescent="0.3">
      <c r="A1361" t="s">
        <v>1459</v>
      </c>
      <c r="B1361" t="s">
        <v>38</v>
      </c>
      <c r="C1361" s="7">
        <v>45709</v>
      </c>
      <c r="D1361" s="7">
        <v>45710</v>
      </c>
      <c r="E1361" t="s">
        <v>22</v>
      </c>
      <c r="F1361" t="s">
        <v>17</v>
      </c>
      <c r="G1361">
        <v>4</v>
      </c>
      <c r="H1361" t="s">
        <v>18</v>
      </c>
      <c r="I1361" t="s">
        <v>114</v>
      </c>
      <c r="J1361">
        <f>orders[[#This Row],[Ship Date]]-orders[[#This Row],[Order Date]]</f>
        <v>1</v>
      </c>
      <c r="K1361">
        <f>WEEKNUM(orders[[#This Row],[Order Date]])</f>
        <v>8</v>
      </c>
      <c r="L1361" t="str" cm="1">
        <f t="array" ref="L1361">_xlfn.IFS(orders[[#This Row],[Customer Gender]]="M","Male", orders[[#This Row],[Customer Gender]]="F","Female", orders[[#This Row],[Customer Gender]]="O","Other", TRUE,"Unknown")</f>
        <v>Male</v>
      </c>
      <c r="M1361">
        <v>2</v>
      </c>
      <c r="N1361">
        <v>127.6</v>
      </c>
      <c r="O1361">
        <v>255.2</v>
      </c>
    </row>
    <row r="1362" spans="1:15" x14ac:dyDescent="0.3">
      <c r="A1362" t="s">
        <v>1460</v>
      </c>
      <c r="B1362" t="s">
        <v>38</v>
      </c>
      <c r="C1362" s="7">
        <v>45709</v>
      </c>
      <c r="D1362" s="7">
        <v>45710</v>
      </c>
      <c r="E1362" t="s">
        <v>26</v>
      </c>
      <c r="F1362" t="s">
        <v>34</v>
      </c>
      <c r="G1362">
        <v>3</v>
      </c>
      <c r="H1362" t="s">
        <v>18</v>
      </c>
      <c r="I1362" t="s">
        <v>114</v>
      </c>
      <c r="J1362">
        <f>orders[[#This Row],[Ship Date]]-orders[[#This Row],[Order Date]]</f>
        <v>1</v>
      </c>
      <c r="K1362">
        <f>WEEKNUM(orders[[#This Row],[Order Date]])</f>
        <v>8</v>
      </c>
      <c r="L1362" t="str" cm="1">
        <f t="array" ref="L1362">_xlfn.IFS(orders[[#This Row],[Customer Gender]]="M","Male", orders[[#This Row],[Customer Gender]]="F","Female", orders[[#This Row],[Customer Gender]]="O","Other", TRUE,"Unknown")</f>
        <v>Female</v>
      </c>
      <c r="M1362">
        <v>3</v>
      </c>
      <c r="N1362">
        <v>95.9</v>
      </c>
      <c r="O1362" s="5">
        <v>287.70000000000005</v>
      </c>
    </row>
    <row r="1363" spans="1:15" x14ac:dyDescent="0.3">
      <c r="A1363" t="s">
        <v>1461</v>
      </c>
      <c r="B1363" t="s">
        <v>25</v>
      </c>
      <c r="C1363" s="7">
        <v>45709</v>
      </c>
      <c r="D1363" s="7">
        <v>45710</v>
      </c>
      <c r="E1363" t="s">
        <v>22</v>
      </c>
      <c r="F1363" t="s">
        <v>17</v>
      </c>
      <c r="G1363">
        <v>4</v>
      </c>
      <c r="H1363" t="s">
        <v>18</v>
      </c>
      <c r="I1363" t="s">
        <v>23</v>
      </c>
      <c r="J1363">
        <f>orders[[#This Row],[Ship Date]]-orders[[#This Row],[Order Date]]</f>
        <v>1</v>
      </c>
      <c r="K1363">
        <f>WEEKNUM(orders[[#This Row],[Order Date]])</f>
        <v>8</v>
      </c>
      <c r="L1363" t="str" cm="1">
        <f t="array" ref="L1363">_xlfn.IFS(orders[[#This Row],[Customer Gender]]="M","Male", orders[[#This Row],[Customer Gender]]="F","Female", orders[[#This Row],[Customer Gender]]="O","Other", TRUE,"Unknown")</f>
        <v>Male</v>
      </c>
      <c r="M1363">
        <v>2</v>
      </c>
      <c r="N1363">
        <v>78.099999999999994</v>
      </c>
      <c r="O1363">
        <v>156.19999999999999</v>
      </c>
    </row>
    <row r="1364" spans="1:15" x14ac:dyDescent="0.3">
      <c r="A1364" t="s">
        <v>1462</v>
      </c>
      <c r="B1364" t="s">
        <v>75</v>
      </c>
      <c r="C1364" s="7">
        <v>45709</v>
      </c>
      <c r="D1364" s="7">
        <v>45710</v>
      </c>
      <c r="E1364" t="s">
        <v>2517</v>
      </c>
      <c r="F1364" t="s">
        <v>34</v>
      </c>
      <c r="G1364">
        <v>3</v>
      </c>
      <c r="H1364" t="s">
        <v>18</v>
      </c>
      <c r="I1364" t="s">
        <v>23</v>
      </c>
      <c r="J1364">
        <f>orders[[#This Row],[Ship Date]]-orders[[#This Row],[Order Date]]</f>
        <v>1</v>
      </c>
      <c r="K1364">
        <f>WEEKNUM(orders[[#This Row],[Order Date]])</f>
        <v>8</v>
      </c>
      <c r="L1364" t="str" cm="1">
        <f t="array" ref="L1364">_xlfn.IFS(orders[[#This Row],[Customer Gender]]="M","Male", orders[[#This Row],[Customer Gender]]="F","Female", orders[[#This Row],[Customer Gender]]="O","Other", TRUE,"Unknown")</f>
        <v>Unknown</v>
      </c>
      <c r="M1364">
        <v>2</v>
      </c>
      <c r="N1364">
        <v>43.2</v>
      </c>
      <c r="O1364" s="5">
        <v>86.4</v>
      </c>
    </row>
    <row r="1365" spans="1:15" x14ac:dyDescent="0.3">
      <c r="A1365" t="s">
        <v>1463</v>
      </c>
      <c r="B1365" t="s">
        <v>43</v>
      </c>
      <c r="C1365" s="7">
        <v>45709</v>
      </c>
      <c r="D1365" s="7">
        <v>45715</v>
      </c>
      <c r="E1365" t="s">
        <v>22</v>
      </c>
      <c r="F1365" t="s">
        <v>39</v>
      </c>
      <c r="G1365">
        <v>4</v>
      </c>
      <c r="H1365" t="s">
        <v>18</v>
      </c>
      <c r="I1365" t="s">
        <v>32</v>
      </c>
      <c r="J1365">
        <f>orders[[#This Row],[Ship Date]]-orders[[#This Row],[Order Date]]</f>
        <v>6</v>
      </c>
      <c r="K1365">
        <f>WEEKNUM(orders[[#This Row],[Order Date]])</f>
        <v>8</v>
      </c>
      <c r="L1365" t="str" cm="1">
        <f t="array" ref="L1365">_xlfn.IFS(orders[[#This Row],[Customer Gender]]="M","Male", orders[[#This Row],[Customer Gender]]="F","Female", orders[[#This Row],[Customer Gender]]="O","Other", TRUE,"Unknown")</f>
        <v>Male</v>
      </c>
      <c r="M1365">
        <v>4</v>
      </c>
      <c r="N1365">
        <v>28.4</v>
      </c>
      <c r="O1365">
        <v>113.6</v>
      </c>
    </row>
    <row r="1366" spans="1:15" x14ac:dyDescent="0.3">
      <c r="A1366" t="s">
        <v>1464</v>
      </c>
      <c r="B1366" t="s">
        <v>25</v>
      </c>
      <c r="C1366" s="7">
        <v>45709</v>
      </c>
      <c r="D1366" s="7">
        <v>45709</v>
      </c>
      <c r="E1366" t="s">
        <v>22</v>
      </c>
      <c r="F1366" t="s">
        <v>17</v>
      </c>
      <c r="G1366">
        <v>4</v>
      </c>
      <c r="H1366" t="s">
        <v>18</v>
      </c>
      <c r="I1366" t="s">
        <v>32</v>
      </c>
      <c r="J1366">
        <f>orders[[#This Row],[Ship Date]]-orders[[#This Row],[Order Date]]</f>
        <v>0</v>
      </c>
      <c r="K1366">
        <f>WEEKNUM(orders[[#This Row],[Order Date]])</f>
        <v>8</v>
      </c>
      <c r="L1366" t="str" cm="1">
        <f t="array" ref="L1366">_xlfn.IFS(orders[[#This Row],[Customer Gender]]="M","Male", orders[[#This Row],[Customer Gender]]="F","Female", orders[[#This Row],[Customer Gender]]="O","Other", TRUE,"Unknown")</f>
        <v>Male</v>
      </c>
      <c r="M1366">
        <v>2</v>
      </c>
      <c r="N1366">
        <v>81.7</v>
      </c>
      <c r="O1366" s="5">
        <v>163.4</v>
      </c>
    </row>
    <row r="1367" spans="1:15" x14ac:dyDescent="0.3">
      <c r="A1367" t="s">
        <v>1465</v>
      </c>
      <c r="B1367" t="s">
        <v>145</v>
      </c>
      <c r="C1367" s="7">
        <v>45709</v>
      </c>
      <c r="D1367" s="7">
        <v>45711</v>
      </c>
      <c r="E1367" t="s">
        <v>2517</v>
      </c>
      <c r="F1367" t="s">
        <v>17</v>
      </c>
      <c r="G1367">
        <v>5</v>
      </c>
      <c r="H1367" t="s">
        <v>18</v>
      </c>
      <c r="I1367" t="s">
        <v>32</v>
      </c>
      <c r="J1367">
        <f>orders[[#This Row],[Ship Date]]-orders[[#This Row],[Order Date]]</f>
        <v>2</v>
      </c>
      <c r="K1367">
        <f>WEEKNUM(orders[[#This Row],[Order Date]])</f>
        <v>8</v>
      </c>
      <c r="L1367" t="str" cm="1">
        <f t="array" ref="L1367">_xlfn.IFS(orders[[#This Row],[Customer Gender]]="M","Male", orders[[#This Row],[Customer Gender]]="F","Female", orders[[#This Row],[Customer Gender]]="O","Other", TRUE,"Unknown")</f>
        <v>Unknown</v>
      </c>
      <c r="M1367">
        <v>2</v>
      </c>
      <c r="N1367">
        <v>56.7</v>
      </c>
      <c r="O1367">
        <v>113.4</v>
      </c>
    </row>
    <row r="1368" spans="1:15" x14ac:dyDescent="0.3">
      <c r="A1368" t="s">
        <v>1466</v>
      </c>
      <c r="B1368" t="s">
        <v>29</v>
      </c>
      <c r="C1368" s="7">
        <v>45709</v>
      </c>
      <c r="D1368" s="7">
        <v>45709</v>
      </c>
      <c r="E1368" t="s">
        <v>26</v>
      </c>
      <c r="F1368" t="s">
        <v>17</v>
      </c>
      <c r="G1368">
        <v>5</v>
      </c>
      <c r="H1368" t="s">
        <v>18</v>
      </c>
      <c r="I1368" t="s">
        <v>32</v>
      </c>
      <c r="J1368">
        <f>orders[[#This Row],[Ship Date]]-orders[[#This Row],[Order Date]]</f>
        <v>0</v>
      </c>
      <c r="K1368">
        <f>WEEKNUM(orders[[#This Row],[Order Date]])</f>
        <v>8</v>
      </c>
      <c r="L1368" t="str" cm="1">
        <f t="array" ref="L1368">_xlfn.IFS(orders[[#This Row],[Customer Gender]]="M","Male", orders[[#This Row],[Customer Gender]]="F","Female", orders[[#This Row],[Customer Gender]]="O","Other", TRUE,"Unknown")</f>
        <v>Female</v>
      </c>
      <c r="M1368">
        <v>4</v>
      </c>
      <c r="N1368">
        <v>66.5</v>
      </c>
      <c r="O1368" s="5">
        <v>266</v>
      </c>
    </row>
    <row r="1369" spans="1:15" x14ac:dyDescent="0.3">
      <c r="A1369" t="s">
        <v>1467</v>
      </c>
      <c r="B1369" t="s">
        <v>21</v>
      </c>
      <c r="C1369" s="7">
        <v>45709</v>
      </c>
      <c r="D1369" s="7">
        <v>45713</v>
      </c>
      <c r="E1369" t="s">
        <v>22</v>
      </c>
      <c r="F1369" t="s">
        <v>17</v>
      </c>
      <c r="G1369">
        <v>3</v>
      </c>
      <c r="H1369" t="s">
        <v>18</v>
      </c>
      <c r="I1369" t="s">
        <v>32</v>
      </c>
      <c r="J1369">
        <f>orders[[#This Row],[Ship Date]]-orders[[#This Row],[Order Date]]</f>
        <v>4</v>
      </c>
      <c r="K1369">
        <f>WEEKNUM(orders[[#This Row],[Order Date]])</f>
        <v>8</v>
      </c>
      <c r="L1369" t="str" cm="1">
        <f t="array" ref="L1369">_xlfn.IFS(orders[[#This Row],[Customer Gender]]="M","Male", orders[[#This Row],[Customer Gender]]="F","Female", orders[[#This Row],[Customer Gender]]="O","Other", TRUE,"Unknown")</f>
        <v>Male</v>
      </c>
      <c r="M1369">
        <v>2</v>
      </c>
      <c r="N1369">
        <v>105.3</v>
      </c>
      <c r="O1369">
        <v>210.6</v>
      </c>
    </row>
    <row r="1370" spans="1:15" x14ac:dyDescent="0.3">
      <c r="A1370" t="s">
        <v>1468</v>
      </c>
      <c r="B1370" t="s">
        <v>53</v>
      </c>
      <c r="C1370" s="7">
        <v>45709</v>
      </c>
      <c r="D1370" s="7">
        <v>45714</v>
      </c>
      <c r="E1370" t="s">
        <v>22</v>
      </c>
      <c r="F1370" t="s">
        <v>17</v>
      </c>
      <c r="G1370">
        <v>4</v>
      </c>
      <c r="H1370" t="s">
        <v>18</v>
      </c>
      <c r="I1370" t="s">
        <v>32</v>
      </c>
      <c r="J1370">
        <f>orders[[#This Row],[Ship Date]]-orders[[#This Row],[Order Date]]</f>
        <v>5</v>
      </c>
      <c r="K1370">
        <f>WEEKNUM(orders[[#This Row],[Order Date]])</f>
        <v>8</v>
      </c>
      <c r="L1370" t="str" cm="1">
        <f t="array" ref="L1370">_xlfn.IFS(orders[[#This Row],[Customer Gender]]="M","Male", orders[[#This Row],[Customer Gender]]="F","Female", orders[[#This Row],[Customer Gender]]="O","Other", TRUE,"Unknown")</f>
        <v>Male</v>
      </c>
      <c r="M1370">
        <v>5</v>
      </c>
      <c r="N1370">
        <v>33.799999999999997</v>
      </c>
      <c r="O1370" s="5">
        <v>169</v>
      </c>
    </row>
    <row r="1371" spans="1:15" x14ac:dyDescent="0.3">
      <c r="A1371" t="s">
        <v>1469</v>
      </c>
      <c r="B1371" t="s">
        <v>38</v>
      </c>
      <c r="C1371" s="7">
        <v>45709</v>
      </c>
      <c r="D1371" s="7">
        <v>45714</v>
      </c>
      <c r="E1371" t="s">
        <v>22</v>
      </c>
      <c r="F1371" t="s">
        <v>50</v>
      </c>
      <c r="G1371">
        <v>3</v>
      </c>
      <c r="H1371" t="s">
        <v>18</v>
      </c>
      <c r="I1371" t="s">
        <v>185</v>
      </c>
      <c r="J1371">
        <f>orders[[#This Row],[Ship Date]]-orders[[#This Row],[Order Date]]</f>
        <v>5</v>
      </c>
      <c r="K1371">
        <f>WEEKNUM(orders[[#This Row],[Order Date]])</f>
        <v>8</v>
      </c>
      <c r="L1371" t="str" cm="1">
        <f t="array" ref="L1371">_xlfn.IFS(orders[[#This Row],[Customer Gender]]="M","Male", orders[[#This Row],[Customer Gender]]="F","Female", orders[[#This Row],[Customer Gender]]="O","Other", TRUE,"Unknown")</f>
        <v>Male</v>
      </c>
      <c r="M1371">
        <v>3</v>
      </c>
      <c r="N1371">
        <v>63.4</v>
      </c>
      <c r="O1371">
        <v>190.2</v>
      </c>
    </row>
    <row r="1372" spans="1:15" x14ac:dyDescent="0.3">
      <c r="A1372" t="s">
        <v>1470</v>
      </c>
      <c r="B1372" t="s">
        <v>38</v>
      </c>
      <c r="C1372" s="7">
        <v>45709</v>
      </c>
      <c r="D1372" s="7">
        <v>45713</v>
      </c>
      <c r="E1372" t="s">
        <v>22</v>
      </c>
      <c r="F1372" t="s">
        <v>50</v>
      </c>
      <c r="G1372">
        <v>4</v>
      </c>
      <c r="H1372" t="s">
        <v>18</v>
      </c>
      <c r="I1372" t="s">
        <v>801</v>
      </c>
      <c r="J1372">
        <f>orders[[#This Row],[Ship Date]]-orders[[#This Row],[Order Date]]</f>
        <v>4</v>
      </c>
      <c r="K1372">
        <f>WEEKNUM(orders[[#This Row],[Order Date]])</f>
        <v>8</v>
      </c>
      <c r="L1372" t="str" cm="1">
        <f t="array" ref="L1372">_xlfn.IFS(orders[[#This Row],[Customer Gender]]="M","Male", orders[[#This Row],[Customer Gender]]="F","Female", orders[[#This Row],[Customer Gender]]="O","Other", TRUE,"Unknown")</f>
        <v>Male</v>
      </c>
      <c r="M1372">
        <v>3</v>
      </c>
      <c r="N1372">
        <v>49</v>
      </c>
      <c r="O1372" s="5">
        <v>147</v>
      </c>
    </row>
    <row r="1373" spans="1:15" x14ac:dyDescent="0.3">
      <c r="A1373" t="s">
        <v>1471</v>
      </c>
      <c r="B1373" t="s">
        <v>21</v>
      </c>
      <c r="C1373" s="7">
        <v>45709</v>
      </c>
      <c r="D1373" s="7">
        <v>45710</v>
      </c>
      <c r="E1373" t="s">
        <v>26</v>
      </c>
      <c r="F1373" t="s">
        <v>69</v>
      </c>
      <c r="G1373">
        <v>3</v>
      </c>
      <c r="H1373" t="s">
        <v>18</v>
      </c>
      <c r="I1373" t="s">
        <v>157</v>
      </c>
      <c r="J1373">
        <f>orders[[#This Row],[Ship Date]]-orders[[#This Row],[Order Date]]</f>
        <v>1</v>
      </c>
      <c r="K1373">
        <f>WEEKNUM(orders[[#This Row],[Order Date]])</f>
        <v>8</v>
      </c>
      <c r="L1373" t="str" cm="1">
        <f t="array" ref="L1373">_xlfn.IFS(orders[[#This Row],[Customer Gender]]="M","Male", orders[[#This Row],[Customer Gender]]="F","Female", orders[[#This Row],[Customer Gender]]="O","Other", TRUE,"Unknown")</f>
        <v>Female</v>
      </c>
      <c r="M1373">
        <v>2</v>
      </c>
      <c r="N1373">
        <v>40</v>
      </c>
      <c r="O1373">
        <v>80</v>
      </c>
    </row>
    <row r="1374" spans="1:15" x14ac:dyDescent="0.3">
      <c r="A1374" t="s">
        <v>1472</v>
      </c>
      <c r="B1374" t="s">
        <v>38</v>
      </c>
      <c r="C1374" s="7">
        <v>45709</v>
      </c>
      <c r="D1374" s="7">
        <v>45710</v>
      </c>
      <c r="E1374" t="s">
        <v>88</v>
      </c>
      <c r="F1374" t="s">
        <v>17</v>
      </c>
      <c r="G1374">
        <v>4</v>
      </c>
      <c r="H1374" t="s">
        <v>18</v>
      </c>
      <c r="I1374" t="s">
        <v>54</v>
      </c>
      <c r="J1374">
        <f>orders[[#This Row],[Ship Date]]-orders[[#This Row],[Order Date]]</f>
        <v>1</v>
      </c>
      <c r="K1374">
        <f>WEEKNUM(orders[[#This Row],[Order Date]])</f>
        <v>8</v>
      </c>
      <c r="L1374" t="str" cm="1">
        <f t="array" ref="L1374">_xlfn.IFS(orders[[#This Row],[Customer Gender]]="M","Male", orders[[#This Row],[Customer Gender]]="F","Female", orders[[#This Row],[Customer Gender]]="O","Other", TRUE,"Unknown")</f>
        <v>Other</v>
      </c>
      <c r="M1374">
        <v>4</v>
      </c>
      <c r="N1374">
        <v>86.3</v>
      </c>
      <c r="O1374" s="5">
        <v>345.2</v>
      </c>
    </row>
    <row r="1375" spans="1:15" x14ac:dyDescent="0.3">
      <c r="A1375" t="s">
        <v>1473</v>
      </c>
      <c r="B1375" t="s">
        <v>38</v>
      </c>
      <c r="C1375" s="7">
        <v>45709</v>
      </c>
      <c r="D1375" s="7">
        <v>45711</v>
      </c>
      <c r="E1375" t="s">
        <v>26</v>
      </c>
      <c r="F1375" t="s">
        <v>39</v>
      </c>
      <c r="G1375">
        <v>5</v>
      </c>
      <c r="H1375" t="s">
        <v>18</v>
      </c>
      <c r="I1375" t="s">
        <v>54</v>
      </c>
      <c r="J1375">
        <f>orders[[#This Row],[Ship Date]]-orders[[#This Row],[Order Date]]</f>
        <v>2</v>
      </c>
      <c r="K1375">
        <f>WEEKNUM(orders[[#This Row],[Order Date]])</f>
        <v>8</v>
      </c>
      <c r="L1375" t="str" cm="1">
        <f t="array" ref="L1375">_xlfn.IFS(orders[[#This Row],[Customer Gender]]="M","Male", orders[[#This Row],[Customer Gender]]="F","Female", orders[[#This Row],[Customer Gender]]="O","Other", TRUE,"Unknown")</f>
        <v>Female</v>
      </c>
      <c r="M1375">
        <v>1</v>
      </c>
      <c r="N1375">
        <v>51.6</v>
      </c>
      <c r="O1375">
        <v>51.6</v>
      </c>
    </row>
    <row r="1376" spans="1:15" x14ac:dyDescent="0.3">
      <c r="A1376" t="s">
        <v>1474</v>
      </c>
      <c r="B1376" t="s">
        <v>53</v>
      </c>
      <c r="C1376" s="7">
        <v>45709</v>
      </c>
      <c r="D1376" s="7">
        <v>45714</v>
      </c>
      <c r="E1376" t="s">
        <v>26</v>
      </c>
      <c r="F1376" t="s">
        <v>39</v>
      </c>
      <c r="G1376">
        <v>3</v>
      </c>
      <c r="H1376" t="s">
        <v>18</v>
      </c>
      <c r="I1376" t="s">
        <v>54</v>
      </c>
      <c r="J1376">
        <f>orders[[#This Row],[Ship Date]]-orders[[#This Row],[Order Date]]</f>
        <v>5</v>
      </c>
      <c r="K1376">
        <f>WEEKNUM(orders[[#This Row],[Order Date]])</f>
        <v>8</v>
      </c>
      <c r="L1376" t="str" cm="1">
        <f t="array" ref="L1376">_xlfn.IFS(orders[[#This Row],[Customer Gender]]="M","Male", orders[[#This Row],[Customer Gender]]="F","Female", orders[[#This Row],[Customer Gender]]="O","Other", TRUE,"Unknown")</f>
        <v>Female</v>
      </c>
      <c r="M1376">
        <v>3</v>
      </c>
      <c r="N1376">
        <v>26.7</v>
      </c>
      <c r="O1376" s="5">
        <v>80.099999999999994</v>
      </c>
    </row>
    <row r="1377" spans="1:15" x14ac:dyDescent="0.3">
      <c r="A1377" t="s">
        <v>1475</v>
      </c>
      <c r="B1377" t="s">
        <v>145</v>
      </c>
      <c r="C1377" s="7">
        <v>45709</v>
      </c>
      <c r="D1377" s="7">
        <v>45710</v>
      </c>
      <c r="E1377" t="s">
        <v>22</v>
      </c>
      <c r="F1377" t="s">
        <v>17</v>
      </c>
      <c r="G1377">
        <v>3</v>
      </c>
      <c r="H1377" t="s">
        <v>18</v>
      </c>
      <c r="I1377" t="s">
        <v>54</v>
      </c>
      <c r="J1377">
        <f>orders[[#This Row],[Ship Date]]-orders[[#This Row],[Order Date]]</f>
        <v>1</v>
      </c>
      <c r="K1377">
        <f>WEEKNUM(orders[[#This Row],[Order Date]])</f>
        <v>8</v>
      </c>
      <c r="L1377" t="str" cm="1">
        <f t="array" ref="L1377">_xlfn.IFS(orders[[#This Row],[Customer Gender]]="M","Male", orders[[#This Row],[Customer Gender]]="F","Female", orders[[#This Row],[Customer Gender]]="O","Other", TRUE,"Unknown")</f>
        <v>Male</v>
      </c>
      <c r="M1377">
        <v>2</v>
      </c>
      <c r="N1377">
        <v>68.099999999999994</v>
      </c>
      <c r="O1377">
        <v>136.19999999999999</v>
      </c>
    </row>
    <row r="1378" spans="1:15" x14ac:dyDescent="0.3">
      <c r="A1378" t="s">
        <v>1476</v>
      </c>
      <c r="B1378" t="s">
        <v>21</v>
      </c>
      <c r="C1378" s="7">
        <v>45709</v>
      </c>
      <c r="D1378" s="7">
        <v>45710</v>
      </c>
      <c r="E1378" t="s">
        <v>22</v>
      </c>
      <c r="F1378" t="s">
        <v>17</v>
      </c>
      <c r="G1378">
        <v>4</v>
      </c>
      <c r="H1378" t="s">
        <v>18</v>
      </c>
      <c r="I1378" t="s">
        <v>58</v>
      </c>
      <c r="J1378">
        <f>orders[[#This Row],[Ship Date]]-orders[[#This Row],[Order Date]]</f>
        <v>1</v>
      </c>
      <c r="K1378">
        <f>WEEKNUM(orders[[#This Row],[Order Date]])</f>
        <v>8</v>
      </c>
      <c r="L1378" t="str" cm="1">
        <f t="array" ref="L1378">_xlfn.IFS(orders[[#This Row],[Customer Gender]]="M","Male", orders[[#This Row],[Customer Gender]]="F","Female", orders[[#This Row],[Customer Gender]]="O","Other", TRUE,"Unknown")</f>
        <v>Male</v>
      </c>
      <c r="M1378">
        <v>1</v>
      </c>
      <c r="N1378">
        <v>81.7</v>
      </c>
      <c r="O1378" s="5">
        <v>81.7</v>
      </c>
    </row>
    <row r="1379" spans="1:15" x14ac:dyDescent="0.3">
      <c r="A1379" t="s">
        <v>1477</v>
      </c>
      <c r="B1379" t="s">
        <v>145</v>
      </c>
      <c r="C1379" s="7">
        <v>45709</v>
      </c>
      <c r="D1379" s="7">
        <v>45712</v>
      </c>
      <c r="E1379" t="s">
        <v>22</v>
      </c>
      <c r="F1379" t="s">
        <v>50</v>
      </c>
      <c r="G1379">
        <v>3</v>
      </c>
      <c r="H1379" t="s">
        <v>18</v>
      </c>
      <c r="I1379" t="s">
        <v>61</v>
      </c>
      <c r="J1379">
        <f>orders[[#This Row],[Ship Date]]-orders[[#This Row],[Order Date]]</f>
        <v>3</v>
      </c>
      <c r="K1379">
        <f>WEEKNUM(orders[[#This Row],[Order Date]])</f>
        <v>8</v>
      </c>
      <c r="L1379" t="str" cm="1">
        <f t="array" ref="L1379">_xlfn.IFS(orders[[#This Row],[Customer Gender]]="M","Male", orders[[#This Row],[Customer Gender]]="F","Female", orders[[#This Row],[Customer Gender]]="O","Other", TRUE,"Unknown")</f>
        <v>Male</v>
      </c>
      <c r="M1379">
        <v>10</v>
      </c>
      <c r="N1379">
        <v>25.1</v>
      </c>
      <c r="O1379">
        <v>251</v>
      </c>
    </row>
    <row r="1380" spans="1:15" x14ac:dyDescent="0.3">
      <c r="A1380" t="s">
        <v>1478</v>
      </c>
      <c r="B1380" t="s">
        <v>43</v>
      </c>
      <c r="C1380" s="7">
        <v>45709</v>
      </c>
      <c r="D1380" s="7">
        <v>45713</v>
      </c>
      <c r="E1380" t="s">
        <v>26</v>
      </c>
      <c r="F1380" t="s">
        <v>17</v>
      </c>
      <c r="G1380">
        <v>4</v>
      </c>
      <c r="H1380" t="s">
        <v>18</v>
      </c>
      <c r="I1380" t="s">
        <v>61</v>
      </c>
      <c r="J1380">
        <f>orders[[#This Row],[Ship Date]]-orders[[#This Row],[Order Date]]</f>
        <v>4</v>
      </c>
      <c r="K1380">
        <f>WEEKNUM(orders[[#This Row],[Order Date]])</f>
        <v>8</v>
      </c>
      <c r="L1380" t="str" cm="1">
        <f t="array" ref="L1380">_xlfn.IFS(orders[[#This Row],[Customer Gender]]="M","Male", orders[[#This Row],[Customer Gender]]="F","Female", orders[[#This Row],[Customer Gender]]="O","Other", TRUE,"Unknown")</f>
        <v>Female</v>
      </c>
      <c r="M1380">
        <v>1</v>
      </c>
      <c r="N1380">
        <v>20.2</v>
      </c>
      <c r="O1380" s="5">
        <v>20.2</v>
      </c>
    </row>
    <row r="1381" spans="1:15" x14ac:dyDescent="0.3">
      <c r="A1381" t="s">
        <v>1479</v>
      </c>
      <c r="B1381" t="s">
        <v>43</v>
      </c>
      <c r="C1381" s="7">
        <v>45709</v>
      </c>
      <c r="D1381" s="7">
        <v>45710</v>
      </c>
      <c r="E1381" t="s">
        <v>22</v>
      </c>
      <c r="F1381" t="s">
        <v>34</v>
      </c>
      <c r="G1381">
        <v>5</v>
      </c>
      <c r="H1381" t="s">
        <v>18</v>
      </c>
      <c r="I1381" t="s">
        <v>61</v>
      </c>
      <c r="J1381">
        <f>orders[[#This Row],[Ship Date]]-orders[[#This Row],[Order Date]]</f>
        <v>1</v>
      </c>
      <c r="K1381">
        <f>WEEKNUM(orders[[#This Row],[Order Date]])</f>
        <v>8</v>
      </c>
      <c r="L1381" t="str" cm="1">
        <f t="array" ref="L1381">_xlfn.IFS(orders[[#This Row],[Customer Gender]]="M","Male", orders[[#This Row],[Customer Gender]]="F","Female", orders[[#This Row],[Customer Gender]]="O","Other", TRUE,"Unknown")</f>
        <v>Male</v>
      </c>
      <c r="M1381">
        <v>3</v>
      </c>
      <c r="N1381">
        <v>15.4</v>
      </c>
      <c r="O1381">
        <v>46.2</v>
      </c>
    </row>
    <row r="1382" spans="1:15" x14ac:dyDescent="0.3">
      <c r="A1382" t="s">
        <v>1480</v>
      </c>
      <c r="B1382" t="s">
        <v>53</v>
      </c>
      <c r="C1382" s="7">
        <v>45709</v>
      </c>
      <c r="D1382" s="7">
        <v>45710</v>
      </c>
      <c r="E1382" t="s">
        <v>22</v>
      </c>
      <c r="F1382" t="s">
        <v>39</v>
      </c>
      <c r="G1382">
        <v>5</v>
      </c>
      <c r="H1382" t="s">
        <v>18</v>
      </c>
      <c r="I1382" t="s">
        <v>102</v>
      </c>
      <c r="J1382">
        <f>orders[[#This Row],[Ship Date]]-orders[[#This Row],[Order Date]]</f>
        <v>1</v>
      </c>
      <c r="K1382">
        <f>WEEKNUM(orders[[#This Row],[Order Date]])</f>
        <v>8</v>
      </c>
      <c r="L1382" t="str" cm="1">
        <f t="array" ref="L1382">_xlfn.IFS(orders[[#This Row],[Customer Gender]]="M","Male", orders[[#This Row],[Customer Gender]]="F","Female", orders[[#This Row],[Customer Gender]]="O","Other", TRUE,"Unknown")</f>
        <v>Male</v>
      </c>
      <c r="M1382">
        <v>1</v>
      </c>
      <c r="N1382">
        <v>59.2</v>
      </c>
      <c r="O1382" s="5">
        <v>59.2</v>
      </c>
    </row>
    <row r="1383" spans="1:15" x14ac:dyDescent="0.3">
      <c r="A1383" t="s">
        <v>1481</v>
      </c>
      <c r="B1383" t="s">
        <v>16</v>
      </c>
      <c r="C1383" s="7">
        <v>45709</v>
      </c>
      <c r="D1383" s="7">
        <v>45714</v>
      </c>
      <c r="E1383" t="s">
        <v>22</v>
      </c>
      <c r="F1383" t="s">
        <v>17</v>
      </c>
      <c r="G1383">
        <v>4</v>
      </c>
      <c r="H1383" t="s">
        <v>18</v>
      </c>
      <c r="I1383" t="s">
        <v>102</v>
      </c>
      <c r="J1383">
        <f>orders[[#This Row],[Ship Date]]-orders[[#This Row],[Order Date]]</f>
        <v>5</v>
      </c>
      <c r="K1383">
        <f>WEEKNUM(orders[[#This Row],[Order Date]])</f>
        <v>8</v>
      </c>
      <c r="L1383" t="str" cm="1">
        <f t="array" ref="L1383">_xlfn.IFS(orders[[#This Row],[Customer Gender]]="M","Male", orders[[#This Row],[Customer Gender]]="F","Female", orders[[#This Row],[Customer Gender]]="O","Other", TRUE,"Unknown")</f>
        <v>Male</v>
      </c>
      <c r="M1383">
        <v>1</v>
      </c>
      <c r="N1383">
        <v>46.7</v>
      </c>
      <c r="O1383">
        <v>46.7</v>
      </c>
    </row>
    <row r="1384" spans="1:15" x14ac:dyDescent="0.3">
      <c r="A1384" t="s">
        <v>1482</v>
      </c>
      <c r="B1384" t="s">
        <v>38</v>
      </c>
      <c r="C1384" s="7">
        <v>45709</v>
      </c>
      <c r="D1384" s="7">
        <v>45711</v>
      </c>
      <c r="E1384" t="s">
        <v>22</v>
      </c>
      <c r="F1384" t="s">
        <v>34</v>
      </c>
      <c r="G1384">
        <v>4</v>
      </c>
      <c r="H1384" t="s">
        <v>18</v>
      </c>
      <c r="I1384" t="s">
        <v>200</v>
      </c>
      <c r="J1384">
        <f>orders[[#This Row],[Ship Date]]-orders[[#This Row],[Order Date]]</f>
        <v>2</v>
      </c>
      <c r="K1384">
        <f>WEEKNUM(orders[[#This Row],[Order Date]])</f>
        <v>8</v>
      </c>
      <c r="L1384" t="str" cm="1">
        <f t="array" ref="L1384">_xlfn.IFS(orders[[#This Row],[Customer Gender]]="M","Male", orders[[#This Row],[Customer Gender]]="F","Female", orders[[#This Row],[Customer Gender]]="O","Other", TRUE,"Unknown")</f>
        <v>Male</v>
      </c>
      <c r="M1384">
        <v>15</v>
      </c>
      <c r="N1384">
        <v>41.6</v>
      </c>
      <c r="O1384" s="5">
        <v>624</v>
      </c>
    </row>
    <row r="1385" spans="1:15" x14ac:dyDescent="0.3">
      <c r="A1385" t="s">
        <v>1483</v>
      </c>
      <c r="B1385" t="s">
        <v>43</v>
      </c>
      <c r="C1385" s="7">
        <v>45709</v>
      </c>
      <c r="D1385" s="7">
        <v>45712</v>
      </c>
      <c r="E1385" t="s">
        <v>22</v>
      </c>
      <c r="F1385" t="s">
        <v>69</v>
      </c>
      <c r="G1385">
        <v>5</v>
      </c>
      <c r="H1385" t="s">
        <v>18</v>
      </c>
      <c r="I1385" t="s">
        <v>71</v>
      </c>
      <c r="J1385">
        <f>orders[[#This Row],[Ship Date]]-orders[[#This Row],[Order Date]]</f>
        <v>3</v>
      </c>
      <c r="K1385">
        <f>WEEKNUM(orders[[#This Row],[Order Date]])</f>
        <v>8</v>
      </c>
      <c r="L1385" t="str" cm="1">
        <f t="array" ref="L1385">_xlfn.IFS(orders[[#This Row],[Customer Gender]]="M","Male", orders[[#This Row],[Customer Gender]]="F","Female", orders[[#This Row],[Customer Gender]]="O","Other", TRUE,"Unknown")</f>
        <v>Male</v>
      </c>
      <c r="M1385">
        <v>2</v>
      </c>
      <c r="N1385">
        <v>19.2</v>
      </c>
      <c r="O1385">
        <v>38.4</v>
      </c>
    </row>
    <row r="1386" spans="1:15" x14ac:dyDescent="0.3">
      <c r="A1386" t="s">
        <v>1484</v>
      </c>
      <c r="B1386" t="s">
        <v>134</v>
      </c>
      <c r="C1386" s="7">
        <v>45709</v>
      </c>
      <c r="D1386" s="7">
        <v>45711</v>
      </c>
      <c r="E1386" t="s">
        <v>26</v>
      </c>
      <c r="F1386" t="s">
        <v>39</v>
      </c>
      <c r="G1386">
        <v>4</v>
      </c>
      <c r="H1386" t="s">
        <v>18</v>
      </c>
      <c r="I1386" t="s">
        <v>76</v>
      </c>
      <c r="J1386">
        <f>orders[[#This Row],[Ship Date]]-orders[[#This Row],[Order Date]]</f>
        <v>2</v>
      </c>
      <c r="K1386">
        <f>WEEKNUM(orders[[#This Row],[Order Date]])</f>
        <v>8</v>
      </c>
      <c r="L1386" t="str" cm="1">
        <f t="array" ref="L1386">_xlfn.IFS(orders[[#This Row],[Customer Gender]]="M","Male", orders[[#This Row],[Customer Gender]]="F","Female", orders[[#This Row],[Customer Gender]]="O","Other", TRUE,"Unknown")</f>
        <v>Female</v>
      </c>
      <c r="M1386">
        <v>7</v>
      </c>
      <c r="N1386">
        <v>41.8</v>
      </c>
      <c r="O1386" s="5">
        <v>292.59999999999997</v>
      </c>
    </row>
    <row r="1387" spans="1:15" x14ac:dyDescent="0.3">
      <c r="A1387" t="s">
        <v>1485</v>
      </c>
      <c r="B1387" t="s">
        <v>43</v>
      </c>
      <c r="C1387" s="7">
        <v>45709</v>
      </c>
      <c r="D1387" s="7">
        <v>45711</v>
      </c>
      <c r="E1387" t="s">
        <v>22</v>
      </c>
      <c r="F1387" t="s">
        <v>17</v>
      </c>
      <c r="G1387">
        <v>5</v>
      </c>
      <c r="H1387" t="s">
        <v>18</v>
      </c>
      <c r="I1387" t="s">
        <v>76</v>
      </c>
      <c r="J1387">
        <f>orders[[#This Row],[Ship Date]]-orders[[#This Row],[Order Date]]</f>
        <v>2</v>
      </c>
      <c r="K1387">
        <f>WEEKNUM(orders[[#This Row],[Order Date]])</f>
        <v>8</v>
      </c>
      <c r="L1387" t="str" cm="1">
        <f t="array" ref="L1387">_xlfn.IFS(orders[[#This Row],[Customer Gender]]="M","Male", orders[[#This Row],[Customer Gender]]="F","Female", orders[[#This Row],[Customer Gender]]="O","Other", TRUE,"Unknown")</f>
        <v>Male</v>
      </c>
      <c r="M1387">
        <v>6</v>
      </c>
      <c r="N1387">
        <v>37.4</v>
      </c>
      <c r="O1387">
        <v>224.39999999999998</v>
      </c>
    </row>
    <row r="1388" spans="1:15" x14ac:dyDescent="0.3">
      <c r="A1388" t="s">
        <v>1486</v>
      </c>
      <c r="B1388" t="s">
        <v>53</v>
      </c>
      <c r="C1388" s="7">
        <v>45709</v>
      </c>
      <c r="D1388" s="7">
        <v>45712</v>
      </c>
      <c r="E1388" t="s">
        <v>22</v>
      </c>
      <c r="F1388" t="s">
        <v>69</v>
      </c>
      <c r="G1388">
        <v>3</v>
      </c>
      <c r="H1388" t="s">
        <v>18</v>
      </c>
      <c r="I1388" t="s">
        <v>376</v>
      </c>
      <c r="J1388">
        <f>orders[[#This Row],[Ship Date]]-orders[[#This Row],[Order Date]]</f>
        <v>3</v>
      </c>
      <c r="K1388">
        <f>WEEKNUM(orders[[#This Row],[Order Date]])</f>
        <v>8</v>
      </c>
      <c r="L1388" t="str" cm="1">
        <f t="array" ref="L1388">_xlfn.IFS(orders[[#This Row],[Customer Gender]]="M","Male", orders[[#This Row],[Customer Gender]]="F","Female", orders[[#This Row],[Customer Gender]]="O","Other", TRUE,"Unknown")</f>
        <v>Male</v>
      </c>
      <c r="M1388">
        <v>3</v>
      </c>
      <c r="N1388">
        <v>60.2</v>
      </c>
      <c r="O1388" s="5">
        <v>180.60000000000002</v>
      </c>
    </row>
    <row r="1389" spans="1:15" x14ac:dyDescent="0.3">
      <c r="A1389" t="s">
        <v>1487</v>
      </c>
      <c r="B1389" t="s">
        <v>45</v>
      </c>
      <c r="C1389" s="7">
        <v>45710</v>
      </c>
      <c r="D1389" s="7">
        <v>45711</v>
      </c>
      <c r="E1389" t="s">
        <v>22</v>
      </c>
      <c r="F1389" t="s">
        <v>17</v>
      </c>
      <c r="G1389">
        <v>4</v>
      </c>
      <c r="H1389" t="s">
        <v>18</v>
      </c>
      <c r="I1389" t="s">
        <v>81</v>
      </c>
      <c r="J1389">
        <f>orders[[#This Row],[Ship Date]]-orders[[#This Row],[Order Date]]</f>
        <v>1</v>
      </c>
      <c r="K1389">
        <f>WEEKNUM(orders[[#This Row],[Order Date]])</f>
        <v>8</v>
      </c>
      <c r="L1389" t="str" cm="1">
        <f t="array" ref="L1389">_xlfn.IFS(orders[[#This Row],[Customer Gender]]="M","Male", orders[[#This Row],[Customer Gender]]="F","Female", orders[[#This Row],[Customer Gender]]="O","Other", TRUE,"Unknown")</f>
        <v>Male</v>
      </c>
      <c r="M1389">
        <v>2</v>
      </c>
      <c r="N1389">
        <v>91.5</v>
      </c>
      <c r="O1389">
        <v>183</v>
      </c>
    </row>
    <row r="1390" spans="1:15" x14ac:dyDescent="0.3">
      <c r="A1390" t="s">
        <v>1488</v>
      </c>
      <c r="B1390" t="s">
        <v>29</v>
      </c>
      <c r="C1390" s="7">
        <v>45710</v>
      </c>
      <c r="D1390" s="7">
        <v>45712</v>
      </c>
      <c r="E1390" t="s">
        <v>2517</v>
      </c>
      <c r="F1390" t="s">
        <v>34</v>
      </c>
      <c r="G1390">
        <v>5</v>
      </c>
      <c r="H1390" t="s">
        <v>18</v>
      </c>
      <c r="I1390" t="s">
        <v>114</v>
      </c>
      <c r="J1390">
        <f>orders[[#This Row],[Ship Date]]-orders[[#This Row],[Order Date]]</f>
        <v>2</v>
      </c>
      <c r="K1390">
        <f>WEEKNUM(orders[[#This Row],[Order Date]])</f>
        <v>8</v>
      </c>
      <c r="L1390" t="str" cm="1">
        <f t="array" ref="L1390">_xlfn.IFS(orders[[#This Row],[Customer Gender]]="M","Male", orders[[#This Row],[Customer Gender]]="F","Female", orders[[#This Row],[Customer Gender]]="O","Other", TRUE,"Unknown")</f>
        <v>Unknown</v>
      </c>
      <c r="M1390">
        <v>5</v>
      </c>
      <c r="N1390">
        <v>55.7</v>
      </c>
      <c r="O1390" s="5">
        <v>278.5</v>
      </c>
    </row>
    <row r="1391" spans="1:15" x14ac:dyDescent="0.3">
      <c r="A1391" t="s">
        <v>1489</v>
      </c>
      <c r="B1391" t="s">
        <v>41</v>
      </c>
      <c r="C1391" s="7">
        <v>45710</v>
      </c>
      <c r="D1391" s="7">
        <v>45712</v>
      </c>
      <c r="E1391" t="s">
        <v>22</v>
      </c>
      <c r="F1391" t="s">
        <v>17</v>
      </c>
      <c r="G1391">
        <v>3</v>
      </c>
      <c r="H1391" t="s">
        <v>18</v>
      </c>
      <c r="I1391" t="s">
        <v>114</v>
      </c>
      <c r="J1391">
        <f>orders[[#This Row],[Ship Date]]-orders[[#This Row],[Order Date]]</f>
        <v>2</v>
      </c>
      <c r="K1391">
        <f>WEEKNUM(orders[[#This Row],[Order Date]])</f>
        <v>8</v>
      </c>
      <c r="L1391" t="str" cm="1">
        <f t="array" ref="L1391">_xlfn.IFS(orders[[#This Row],[Customer Gender]]="M","Male", orders[[#This Row],[Customer Gender]]="F","Female", orders[[#This Row],[Customer Gender]]="O","Other", TRUE,"Unknown")</f>
        <v>Male</v>
      </c>
      <c r="M1391">
        <v>2</v>
      </c>
      <c r="N1391">
        <v>76.7</v>
      </c>
      <c r="O1391">
        <v>153.4</v>
      </c>
    </row>
    <row r="1392" spans="1:15" x14ac:dyDescent="0.3">
      <c r="A1392" t="s">
        <v>1490</v>
      </c>
      <c r="B1392" t="s">
        <v>43</v>
      </c>
      <c r="C1392" s="7">
        <v>45710</v>
      </c>
      <c r="D1392" s="7">
        <v>45715</v>
      </c>
      <c r="E1392" t="s">
        <v>22</v>
      </c>
      <c r="F1392" t="s">
        <v>39</v>
      </c>
      <c r="G1392">
        <v>4</v>
      </c>
      <c r="H1392" t="s">
        <v>18</v>
      </c>
      <c r="I1392" t="s">
        <v>23</v>
      </c>
      <c r="J1392">
        <f>orders[[#This Row],[Ship Date]]-orders[[#This Row],[Order Date]]</f>
        <v>5</v>
      </c>
      <c r="K1392">
        <f>WEEKNUM(orders[[#This Row],[Order Date]])</f>
        <v>8</v>
      </c>
      <c r="L1392" t="str" cm="1">
        <f t="array" ref="L1392">_xlfn.IFS(orders[[#This Row],[Customer Gender]]="M","Male", orders[[#This Row],[Customer Gender]]="F","Female", orders[[#This Row],[Customer Gender]]="O","Other", TRUE,"Unknown")</f>
        <v>Male</v>
      </c>
      <c r="M1392">
        <v>21</v>
      </c>
      <c r="N1392">
        <v>28.2</v>
      </c>
      <c r="O1392" s="5">
        <v>592.19999999999993</v>
      </c>
    </row>
    <row r="1393" spans="1:15" x14ac:dyDescent="0.3">
      <c r="A1393" t="s">
        <v>1491</v>
      </c>
      <c r="B1393" t="s">
        <v>41</v>
      </c>
      <c r="C1393" s="7">
        <v>45710</v>
      </c>
      <c r="D1393" s="7">
        <v>45712</v>
      </c>
      <c r="E1393" t="s">
        <v>26</v>
      </c>
      <c r="F1393" t="s">
        <v>69</v>
      </c>
      <c r="G1393">
        <v>5</v>
      </c>
      <c r="H1393" t="s">
        <v>18</v>
      </c>
      <c r="I1393" t="s">
        <v>23</v>
      </c>
      <c r="J1393">
        <f>orders[[#This Row],[Ship Date]]-orders[[#This Row],[Order Date]]</f>
        <v>2</v>
      </c>
      <c r="K1393">
        <f>WEEKNUM(orders[[#This Row],[Order Date]])</f>
        <v>8</v>
      </c>
      <c r="L1393" t="str" cm="1">
        <f t="array" ref="L1393">_xlfn.IFS(orders[[#This Row],[Customer Gender]]="M","Male", orders[[#This Row],[Customer Gender]]="F","Female", orders[[#This Row],[Customer Gender]]="O","Other", TRUE,"Unknown")</f>
        <v>Female</v>
      </c>
      <c r="M1393">
        <v>5</v>
      </c>
      <c r="N1393">
        <v>93.2</v>
      </c>
      <c r="O1393">
        <v>466</v>
      </c>
    </row>
    <row r="1394" spans="1:15" x14ac:dyDescent="0.3">
      <c r="A1394" t="s">
        <v>1492</v>
      </c>
      <c r="B1394" t="s">
        <v>134</v>
      </c>
      <c r="C1394" s="7">
        <v>45710</v>
      </c>
      <c r="D1394" s="7">
        <v>45711</v>
      </c>
      <c r="E1394" t="s">
        <v>22</v>
      </c>
      <c r="F1394" t="s">
        <v>69</v>
      </c>
      <c r="G1394">
        <v>4</v>
      </c>
      <c r="H1394" t="s">
        <v>18</v>
      </c>
      <c r="I1394" t="s">
        <v>27</v>
      </c>
      <c r="J1394">
        <f>orders[[#This Row],[Ship Date]]-orders[[#This Row],[Order Date]]</f>
        <v>1</v>
      </c>
      <c r="K1394">
        <f>WEEKNUM(orders[[#This Row],[Order Date]])</f>
        <v>8</v>
      </c>
      <c r="L1394" t="str" cm="1">
        <f t="array" ref="L1394">_xlfn.IFS(orders[[#This Row],[Customer Gender]]="M","Male", orders[[#This Row],[Customer Gender]]="F","Female", orders[[#This Row],[Customer Gender]]="O","Other", TRUE,"Unknown")</f>
        <v>Male</v>
      </c>
      <c r="M1394">
        <v>1</v>
      </c>
      <c r="N1394">
        <v>33.299999999999997</v>
      </c>
      <c r="O1394" s="5">
        <v>33.299999999999997</v>
      </c>
    </row>
    <row r="1395" spans="1:15" x14ac:dyDescent="0.3">
      <c r="A1395" t="s">
        <v>1493</v>
      </c>
      <c r="B1395" t="s">
        <v>53</v>
      </c>
      <c r="C1395" s="7">
        <v>45710</v>
      </c>
      <c r="D1395" s="7">
        <v>45713</v>
      </c>
      <c r="E1395" t="s">
        <v>22</v>
      </c>
      <c r="F1395" t="s">
        <v>17</v>
      </c>
      <c r="G1395">
        <v>4</v>
      </c>
      <c r="H1395" t="s">
        <v>18</v>
      </c>
      <c r="I1395" t="s">
        <v>586</v>
      </c>
      <c r="J1395">
        <f>orders[[#This Row],[Ship Date]]-orders[[#This Row],[Order Date]]</f>
        <v>3</v>
      </c>
      <c r="K1395">
        <f>WEEKNUM(orders[[#This Row],[Order Date]])</f>
        <v>8</v>
      </c>
      <c r="L1395" t="str" cm="1">
        <f t="array" ref="L1395">_xlfn.IFS(orders[[#This Row],[Customer Gender]]="M","Male", orders[[#This Row],[Customer Gender]]="F","Female", orders[[#This Row],[Customer Gender]]="O","Other", TRUE,"Unknown")</f>
        <v>Male</v>
      </c>
      <c r="M1395">
        <v>2</v>
      </c>
      <c r="N1395">
        <v>39.1</v>
      </c>
      <c r="O1395">
        <v>78.2</v>
      </c>
    </row>
    <row r="1396" spans="1:15" x14ac:dyDescent="0.3">
      <c r="A1396" t="s">
        <v>1494</v>
      </c>
      <c r="B1396" t="s">
        <v>41</v>
      </c>
      <c r="C1396" s="7">
        <v>45710</v>
      </c>
      <c r="D1396" s="7">
        <v>45711</v>
      </c>
      <c r="E1396" t="s">
        <v>22</v>
      </c>
      <c r="F1396" t="s">
        <v>39</v>
      </c>
      <c r="G1396">
        <v>4</v>
      </c>
      <c r="H1396" t="s">
        <v>18</v>
      </c>
      <c r="I1396" t="s">
        <v>330</v>
      </c>
      <c r="J1396">
        <f>orders[[#This Row],[Ship Date]]-orders[[#This Row],[Order Date]]</f>
        <v>1</v>
      </c>
      <c r="K1396">
        <f>WEEKNUM(orders[[#This Row],[Order Date]])</f>
        <v>8</v>
      </c>
      <c r="L1396" t="str" cm="1">
        <f t="array" ref="L1396">_xlfn.IFS(orders[[#This Row],[Customer Gender]]="M","Male", orders[[#This Row],[Customer Gender]]="F","Female", orders[[#This Row],[Customer Gender]]="O","Other", TRUE,"Unknown")</f>
        <v>Male</v>
      </c>
      <c r="M1396">
        <v>12</v>
      </c>
      <c r="N1396">
        <v>45.3</v>
      </c>
      <c r="O1396" s="5">
        <v>543.59999999999991</v>
      </c>
    </row>
    <row r="1397" spans="1:15" x14ac:dyDescent="0.3">
      <c r="A1397" t="s">
        <v>1495</v>
      </c>
      <c r="B1397" t="s">
        <v>45</v>
      </c>
      <c r="C1397" s="7">
        <v>45710</v>
      </c>
      <c r="D1397" s="7">
        <v>45711</v>
      </c>
      <c r="E1397" t="s">
        <v>22</v>
      </c>
      <c r="F1397" t="s">
        <v>69</v>
      </c>
      <c r="G1397">
        <v>4</v>
      </c>
      <c r="H1397" t="s">
        <v>18</v>
      </c>
      <c r="I1397" t="s">
        <v>330</v>
      </c>
      <c r="J1397">
        <f>orders[[#This Row],[Ship Date]]-orders[[#This Row],[Order Date]]</f>
        <v>1</v>
      </c>
      <c r="K1397">
        <f>WEEKNUM(orders[[#This Row],[Order Date]])</f>
        <v>8</v>
      </c>
      <c r="L1397" t="str" cm="1">
        <f t="array" ref="L1397">_xlfn.IFS(orders[[#This Row],[Customer Gender]]="M","Male", orders[[#This Row],[Customer Gender]]="F","Female", orders[[#This Row],[Customer Gender]]="O","Other", TRUE,"Unknown")</f>
        <v>Male</v>
      </c>
      <c r="M1397">
        <v>7</v>
      </c>
      <c r="N1397">
        <v>33.9</v>
      </c>
      <c r="O1397">
        <v>237.29999999999998</v>
      </c>
    </row>
    <row r="1398" spans="1:15" x14ac:dyDescent="0.3">
      <c r="A1398" t="s">
        <v>1496</v>
      </c>
      <c r="B1398" t="s">
        <v>43</v>
      </c>
      <c r="C1398" s="7">
        <v>45710</v>
      </c>
      <c r="D1398" s="7">
        <v>45711</v>
      </c>
      <c r="E1398" t="s">
        <v>22</v>
      </c>
      <c r="F1398" t="s">
        <v>17</v>
      </c>
      <c r="G1398">
        <v>5</v>
      </c>
      <c r="H1398" t="s">
        <v>18</v>
      </c>
      <c r="I1398" t="s">
        <v>85</v>
      </c>
      <c r="J1398">
        <f>orders[[#This Row],[Ship Date]]-orders[[#This Row],[Order Date]]</f>
        <v>1</v>
      </c>
      <c r="K1398">
        <f>WEEKNUM(orders[[#This Row],[Order Date]])</f>
        <v>8</v>
      </c>
      <c r="L1398" t="str" cm="1">
        <f t="array" ref="L1398">_xlfn.IFS(orders[[#This Row],[Customer Gender]]="M","Male", orders[[#This Row],[Customer Gender]]="F","Female", orders[[#This Row],[Customer Gender]]="O","Other", TRUE,"Unknown")</f>
        <v>Male</v>
      </c>
      <c r="M1398">
        <v>3</v>
      </c>
      <c r="N1398">
        <v>19</v>
      </c>
      <c r="O1398" s="5">
        <v>57</v>
      </c>
    </row>
    <row r="1399" spans="1:15" x14ac:dyDescent="0.3">
      <c r="A1399" t="s">
        <v>1497</v>
      </c>
      <c r="B1399" t="s">
        <v>31</v>
      </c>
      <c r="C1399" s="7">
        <v>45710</v>
      </c>
      <c r="D1399" s="7">
        <v>45713</v>
      </c>
      <c r="E1399" t="s">
        <v>26</v>
      </c>
      <c r="F1399" t="s">
        <v>39</v>
      </c>
      <c r="G1399">
        <v>4</v>
      </c>
      <c r="H1399" t="s">
        <v>18</v>
      </c>
      <c r="I1399" t="s">
        <v>146</v>
      </c>
      <c r="J1399">
        <f>orders[[#This Row],[Ship Date]]-orders[[#This Row],[Order Date]]</f>
        <v>3</v>
      </c>
      <c r="K1399">
        <f>WEEKNUM(orders[[#This Row],[Order Date]])</f>
        <v>8</v>
      </c>
      <c r="L1399" t="str" cm="1">
        <f t="array" ref="L1399">_xlfn.IFS(orders[[#This Row],[Customer Gender]]="M","Male", orders[[#This Row],[Customer Gender]]="F","Female", orders[[#This Row],[Customer Gender]]="O","Other", TRUE,"Unknown")</f>
        <v>Female</v>
      </c>
      <c r="M1399">
        <v>1</v>
      </c>
      <c r="N1399">
        <v>41.9</v>
      </c>
      <c r="O1399">
        <v>41.9</v>
      </c>
    </row>
    <row r="1400" spans="1:15" x14ac:dyDescent="0.3">
      <c r="A1400" t="s">
        <v>1498</v>
      </c>
      <c r="B1400" t="s">
        <v>21</v>
      </c>
      <c r="C1400" s="7">
        <v>45710</v>
      </c>
      <c r="D1400" s="7">
        <v>45710</v>
      </c>
      <c r="E1400" t="s">
        <v>26</v>
      </c>
      <c r="F1400" t="s">
        <v>17</v>
      </c>
      <c r="G1400">
        <v>4</v>
      </c>
      <c r="H1400" t="s">
        <v>18</v>
      </c>
      <c r="I1400" t="s">
        <v>32</v>
      </c>
      <c r="J1400">
        <f>orders[[#This Row],[Ship Date]]-orders[[#This Row],[Order Date]]</f>
        <v>0</v>
      </c>
      <c r="K1400">
        <f>WEEKNUM(orders[[#This Row],[Order Date]])</f>
        <v>8</v>
      </c>
      <c r="L1400" t="str" cm="1">
        <f t="array" ref="L1400">_xlfn.IFS(orders[[#This Row],[Customer Gender]]="M","Male", orders[[#This Row],[Customer Gender]]="F","Female", orders[[#This Row],[Customer Gender]]="O","Other", TRUE,"Unknown")</f>
        <v>Female</v>
      </c>
      <c r="M1400">
        <v>4</v>
      </c>
      <c r="N1400">
        <v>37.5</v>
      </c>
      <c r="O1400" s="5">
        <v>150</v>
      </c>
    </row>
    <row r="1401" spans="1:15" x14ac:dyDescent="0.3">
      <c r="A1401" t="s">
        <v>1499</v>
      </c>
      <c r="B1401" t="s">
        <v>16</v>
      </c>
      <c r="C1401" s="7">
        <v>45710</v>
      </c>
      <c r="D1401" s="7">
        <v>45713</v>
      </c>
      <c r="E1401" t="s">
        <v>22</v>
      </c>
      <c r="F1401" t="s">
        <v>17</v>
      </c>
      <c r="G1401">
        <v>4</v>
      </c>
      <c r="H1401" t="s">
        <v>18</v>
      </c>
      <c r="I1401" t="s">
        <v>32</v>
      </c>
      <c r="J1401">
        <f>orders[[#This Row],[Ship Date]]-orders[[#This Row],[Order Date]]</f>
        <v>3</v>
      </c>
      <c r="K1401">
        <f>WEEKNUM(orders[[#This Row],[Order Date]])</f>
        <v>8</v>
      </c>
      <c r="L1401" t="str" cm="1">
        <f t="array" ref="L1401">_xlfn.IFS(orders[[#This Row],[Customer Gender]]="M","Male", orders[[#This Row],[Customer Gender]]="F","Female", orders[[#This Row],[Customer Gender]]="O","Other", TRUE,"Unknown")</f>
        <v>Male</v>
      </c>
      <c r="M1401">
        <v>2</v>
      </c>
      <c r="N1401">
        <v>40.799999999999997</v>
      </c>
      <c r="O1401">
        <v>81.599999999999994</v>
      </c>
    </row>
    <row r="1402" spans="1:15" x14ac:dyDescent="0.3">
      <c r="A1402" t="s">
        <v>1500</v>
      </c>
      <c r="B1402" t="s">
        <v>16</v>
      </c>
      <c r="C1402" s="7">
        <v>45710</v>
      </c>
      <c r="D1402" s="7">
        <v>45711</v>
      </c>
      <c r="E1402" t="s">
        <v>26</v>
      </c>
      <c r="F1402" t="s">
        <v>69</v>
      </c>
      <c r="G1402">
        <v>4</v>
      </c>
      <c r="H1402" t="s">
        <v>18</v>
      </c>
      <c r="I1402" t="s">
        <v>32</v>
      </c>
      <c r="J1402">
        <f>orders[[#This Row],[Ship Date]]-orders[[#This Row],[Order Date]]</f>
        <v>1</v>
      </c>
      <c r="K1402">
        <f>WEEKNUM(orders[[#This Row],[Order Date]])</f>
        <v>8</v>
      </c>
      <c r="L1402" t="str" cm="1">
        <f t="array" ref="L1402">_xlfn.IFS(orders[[#This Row],[Customer Gender]]="M","Male", orders[[#This Row],[Customer Gender]]="F","Female", orders[[#This Row],[Customer Gender]]="O","Other", TRUE,"Unknown")</f>
        <v>Female</v>
      </c>
      <c r="M1402">
        <v>4</v>
      </c>
      <c r="N1402">
        <v>23.1</v>
      </c>
      <c r="O1402" s="5">
        <v>92.4</v>
      </c>
    </row>
    <row r="1403" spans="1:15" x14ac:dyDescent="0.3">
      <c r="A1403" t="s">
        <v>1501</v>
      </c>
      <c r="B1403" t="s">
        <v>43</v>
      </c>
      <c r="C1403" s="7">
        <v>45710</v>
      </c>
      <c r="D1403" s="7">
        <v>45711</v>
      </c>
      <c r="E1403" t="s">
        <v>26</v>
      </c>
      <c r="F1403" t="s">
        <v>17</v>
      </c>
      <c r="G1403">
        <v>4</v>
      </c>
      <c r="H1403" t="s">
        <v>18</v>
      </c>
      <c r="I1403" t="s">
        <v>32</v>
      </c>
      <c r="J1403">
        <f>orders[[#This Row],[Ship Date]]-orders[[#This Row],[Order Date]]</f>
        <v>1</v>
      </c>
      <c r="K1403">
        <f>WEEKNUM(orders[[#This Row],[Order Date]])</f>
        <v>8</v>
      </c>
      <c r="L1403" t="str" cm="1">
        <f t="array" ref="L1403">_xlfn.IFS(orders[[#This Row],[Customer Gender]]="M","Male", orders[[#This Row],[Customer Gender]]="F","Female", orders[[#This Row],[Customer Gender]]="O","Other", TRUE,"Unknown")</f>
        <v>Female</v>
      </c>
      <c r="M1403">
        <v>5</v>
      </c>
      <c r="N1403">
        <v>39.299999999999997</v>
      </c>
      <c r="O1403">
        <v>196.5</v>
      </c>
    </row>
    <row r="1404" spans="1:15" x14ac:dyDescent="0.3">
      <c r="A1404" t="s">
        <v>1502</v>
      </c>
      <c r="B1404" t="s">
        <v>25</v>
      </c>
      <c r="C1404" s="7">
        <v>45710</v>
      </c>
      <c r="D1404" s="7">
        <v>45715</v>
      </c>
      <c r="E1404" t="s">
        <v>22</v>
      </c>
      <c r="F1404" t="s">
        <v>39</v>
      </c>
      <c r="G1404">
        <v>4</v>
      </c>
      <c r="H1404" t="s">
        <v>18</v>
      </c>
      <c r="I1404" t="s">
        <v>32</v>
      </c>
      <c r="J1404">
        <f>orders[[#This Row],[Ship Date]]-orders[[#This Row],[Order Date]]</f>
        <v>5</v>
      </c>
      <c r="K1404">
        <f>WEEKNUM(orders[[#This Row],[Order Date]])</f>
        <v>8</v>
      </c>
      <c r="L1404" t="str" cm="1">
        <f t="array" ref="L1404">_xlfn.IFS(orders[[#This Row],[Customer Gender]]="M","Male", orders[[#This Row],[Customer Gender]]="F","Female", orders[[#This Row],[Customer Gender]]="O","Other", TRUE,"Unknown")</f>
        <v>Male</v>
      </c>
      <c r="M1404">
        <v>4</v>
      </c>
      <c r="N1404">
        <v>85.2</v>
      </c>
      <c r="O1404" s="5">
        <v>340.8</v>
      </c>
    </row>
    <row r="1405" spans="1:15" x14ac:dyDescent="0.3">
      <c r="A1405" t="s">
        <v>1503</v>
      </c>
      <c r="B1405" t="s">
        <v>43</v>
      </c>
      <c r="C1405" s="7">
        <v>45710</v>
      </c>
      <c r="D1405" s="7">
        <v>45713</v>
      </c>
      <c r="E1405" t="s">
        <v>22</v>
      </c>
      <c r="F1405" t="s">
        <v>34</v>
      </c>
      <c r="G1405">
        <v>4</v>
      </c>
      <c r="H1405" t="s">
        <v>18</v>
      </c>
      <c r="I1405" t="s">
        <v>32</v>
      </c>
      <c r="J1405">
        <f>orders[[#This Row],[Ship Date]]-orders[[#This Row],[Order Date]]</f>
        <v>3</v>
      </c>
      <c r="K1405">
        <f>WEEKNUM(orders[[#This Row],[Order Date]])</f>
        <v>8</v>
      </c>
      <c r="L1405" t="str" cm="1">
        <f t="array" ref="L1405">_xlfn.IFS(orders[[#This Row],[Customer Gender]]="M","Male", orders[[#This Row],[Customer Gender]]="F","Female", orders[[#This Row],[Customer Gender]]="O","Other", TRUE,"Unknown")</f>
        <v>Male</v>
      </c>
      <c r="M1405">
        <v>6</v>
      </c>
      <c r="N1405">
        <v>16</v>
      </c>
      <c r="O1405">
        <v>96</v>
      </c>
    </row>
    <row r="1406" spans="1:15" x14ac:dyDescent="0.3">
      <c r="A1406" t="s">
        <v>1504</v>
      </c>
      <c r="B1406" t="s">
        <v>21</v>
      </c>
      <c r="C1406" s="7">
        <v>45710</v>
      </c>
      <c r="D1406" s="7">
        <v>45714</v>
      </c>
      <c r="E1406" t="s">
        <v>26</v>
      </c>
      <c r="F1406" t="s">
        <v>34</v>
      </c>
      <c r="G1406">
        <v>4</v>
      </c>
      <c r="H1406" t="s">
        <v>18</v>
      </c>
      <c r="I1406" t="s">
        <v>32</v>
      </c>
      <c r="J1406">
        <f>orders[[#This Row],[Ship Date]]-orders[[#This Row],[Order Date]]</f>
        <v>4</v>
      </c>
      <c r="K1406">
        <f>WEEKNUM(orders[[#This Row],[Order Date]])</f>
        <v>8</v>
      </c>
      <c r="L1406" t="str" cm="1">
        <f t="array" ref="L1406">_xlfn.IFS(orders[[#This Row],[Customer Gender]]="M","Male", orders[[#This Row],[Customer Gender]]="F","Female", orders[[#This Row],[Customer Gender]]="O","Other", TRUE,"Unknown")</f>
        <v>Female</v>
      </c>
      <c r="M1406">
        <v>2</v>
      </c>
      <c r="N1406">
        <v>33.799999999999997</v>
      </c>
      <c r="O1406" s="5">
        <v>67.599999999999994</v>
      </c>
    </row>
    <row r="1407" spans="1:15" x14ac:dyDescent="0.3">
      <c r="A1407" t="s">
        <v>1505</v>
      </c>
      <c r="B1407" t="s">
        <v>29</v>
      </c>
      <c r="C1407" s="7">
        <v>45710</v>
      </c>
      <c r="D1407" s="7">
        <v>45711</v>
      </c>
      <c r="E1407" t="s">
        <v>26</v>
      </c>
      <c r="F1407" t="s">
        <v>17</v>
      </c>
      <c r="G1407">
        <v>4</v>
      </c>
      <c r="H1407" t="s">
        <v>18</v>
      </c>
      <c r="I1407" t="s">
        <v>32</v>
      </c>
      <c r="J1407">
        <f>orders[[#This Row],[Ship Date]]-orders[[#This Row],[Order Date]]</f>
        <v>1</v>
      </c>
      <c r="K1407">
        <f>WEEKNUM(orders[[#This Row],[Order Date]])</f>
        <v>8</v>
      </c>
      <c r="L1407" t="str" cm="1">
        <f t="array" ref="L1407">_xlfn.IFS(orders[[#This Row],[Customer Gender]]="M","Male", orders[[#This Row],[Customer Gender]]="F","Female", orders[[#This Row],[Customer Gender]]="O","Other", TRUE,"Unknown")</f>
        <v>Female</v>
      </c>
      <c r="M1407">
        <v>1</v>
      </c>
      <c r="N1407">
        <v>70</v>
      </c>
      <c r="O1407">
        <v>70</v>
      </c>
    </row>
    <row r="1408" spans="1:15" x14ac:dyDescent="0.3">
      <c r="A1408" t="s">
        <v>1506</v>
      </c>
      <c r="B1408" t="s">
        <v>45</v>
      </c>
      <c r="C1408" s="7">
        <v>45710</v>
      </c>
      <c r="D1408" s="7">
        <v>45715</v>
      </c>
      <c r="E1408" t="s">
        <v>26</v>
      </c>
      <c r="F1408" t="s">
        <v>50</v>
      </c>
      <c r="G1408">
        <v>4</v>
      </c>
      <c r="H1408" t="s">
        <v>18</v>
      </c>
      <c r="I1408" t="s">
        <v>32</v>
      </c>
      <c r="J1408">
        <f>orders[[#This Row],[Ship Date]]-orders[[#This Row],[Order Date]]</f>
        <v>5</v>
      </c>
      <c r="K1408">
        <f>WEEKNUM(orders[[#This Row],[Order Date]])</f>
        <v>8</v>
      </c>
      <c r="L1408" t="str" cm="1">
        <f t="array" ref="L1408">_xlfn.IFS(orders[[#This Row],[Customer Gender]]="M","Male", orders[[#This Row],[Customer Gender]]="F","Female", orders[[#This Row],[Customer Gender]]="O","Other", TRUE,"Unknown")</f>
        <v>Female</v>
      </c>
      <c r="M1408">
        <v>1</v>
      </c>
      <c r="N1408">
        <v>88</v>
      </c>
      <c r="O1408" s="5">
        <v>88</v>
      </c>
    </row>
    <row r="1409" spans="1:15" x14ac:dyDescent="0.3">
      <c r="A1409" t="s">
        <v>1507</v>
      </c>
      <c r="B1409" t="s">
        <v>25</v>
      </c>
      <c r="C1409" s="7">
        <v>45710</v>
      </c>
      <c r="D1409" s="7">
        <v>45710</v>
      </c>
      <c r="E1409" t="s">
        <v>22</v>
      </c>
      <c r="F1409" t="s">
        <v>69</v>
      </c>
      <c r="G1409">
        <v>3</v>
      </c>
      <c r="H1409" t="s">
        <v>18</v>
      </c>
      <c r="I1409" t="s">
        <v>32</v>
      </c>
      <c r="J1409">
        <f>orders[[#This Row],[Ship Date]]-orders[[#This Row],[Order Date]]</f>
        <v>0</v>
      </c>
      <c r="K1409">
        <f>WEEKNUM(orders[[#This Row],[Order Date]])</f>
        <v>8</v>
      </c>
      <c r="L1409" t="str" cm="1">
        <f t="array" ref="L1409">_xlfn.IFS(orders[[#This Row],[Customer Gender]]="M","Male", orders[[#This Row],[Customer Gender]]="F","Female", orders[[#This Row],[Customer Gender]]="O","Other", TRUE,"Unknown")</f>
        <v>Male</v>
      </c>
      <c r="M1409">
        <v>3</v>
      </c>
      <c r="N1409">
        <v>74.099999999999994</v>
      </c>
      <c r="O1409">
        <v>222.29999999999998</v>
      </c>
    </row>
    <row r="1410" spans="1:15" x14ac:dyDescent="0.3">
      <c r="A1410" t="s">
        <v>1508</v>
      </c>
      <c r="B1410" t="s">
        <v>25</v>
      </c>
      <c r="C1410" s="7">
        <v>45710</v>
      </c>
      <c r="D1410" s="7">
        <v>45712</v>
      </c>
      <c r="E1410" t="s">
        <v>22</v>
      </c>
      <c r="F1410" t="s">
        <v>39</v>
      </c>
      <c r="G1410">
        <v>4</v>
      </c>
      <c r="H1410" t="s">
        <v>18</v>
      </c>
      <c r="I1410" t="s">
        <v>32</v>
      </c>
      <c r="J1410">
        <f>orders[[#This Row],[Ship Date]]-orders[[#This Row],[Order Date]]</f>
        <v>2</v>
      </c>
      <c r="K1410">
        <f>WEEKNUM(orders[[#This Row],[Order Date]])</f>
        <v>8</v>
      </c>
      <c r="L1410" t="str" cm="1">
        <f t="array" ref="L1410">_xlfn.IFS(orders[[#This Row],[Customer Gender]]="M","Male", orders[[#This Row],[Customer Gender]]="F","Female", orders[[#This Row],[Customer Gender]]="O","Other", TRUE,"Unknown")</f>
        <v>Male</v>
      </c>
      <c r="M1410">
        <v>1</v>
      </c>
      <c r="N1410">
        <v>161.9</v>
      </c>
      <c r="O1410" s="5">
        <v>161.9</v>
      </c>
    </row>
    <row r="1411" spans="1:15" x14ac:dyDescent="0.3">
      <c r="A1411" t="s">
        <v>1509</v>
      </c>
      <c r="B1411" t="s">
        <v>31</v>
      </c>
      <c r="C1411" s="7">
        <v>45710</v>
      </c>
      <c r="D1411" s="7">
        <v>45711</v>
      </c>
      <c r="E1411" t="s">
        <v>88</v>
      </c>
      <c r="F1411" t="s">
        <v>69</v>
      </c>
      <c r="G1411">
        <v>3</v>
      </c>
      <c r="H1411" t="s">
        <v>18</v>
      </c>
      <c r="I1411" t="s">
        <v>32</v>
      </c>
      <c r="J1411">
        <f>orders[[#This Row],[Ship Date]]-orders[[#This Row],[Order Date]]</f>
        <v>1</v>
      </c>
      <c r="K1411">
        <f>WEEKNUM(orders[[#This Row],[Order Date]])</f>
        <v>8</v>
      </c>
      <c r="L1411" t="str" cm="1">
        <f t="array" ref="L1411">_xlfn.IFS(orders[[#This Row],[Customer Gender]]="M","Male", orders[[#This Row],[Customer Gender]]="F","Female", orders[[#This Row],[Customer Gender]]="O","Other", TRUE,"Unknown")</f>
        <v>Other</v>
      </c>
      <c r="M1411">
        <v>2</v>
      </c>
      <c r="N1411">
        <v>44</v>
      </c>
      <c r="O1411">
        <v>88</v>
      </c>
    </row>
    <row r="1412" spans="1:15" x14ac:dyDescent="0.3">
      <c r="A1412" t="s">
        <v>1510</v>
      </c>
      <c r="B1412" t="s">
        <v>66</v>
      </c>
      <c r="C1412" s="7">
        <v>45710</v>
      </c>
      <c r="D1412" s="7">
        <v>45710</v>
      </c>
      <c r="E1412" t="s">
        <v>26</v>
      </c>
      <c r="F1412" t="s">
        <v>50</v>
      </c>
      <c r="G1412">
        <v>1</v>
      </c>
      <c r="H1412" t="s">
        <v>18</v>
      </c>
      <c r="I1412" t="s">
        <v>32</v>
      </c>
      <c r="J1412">
        <f>orders[[#This Row],[Ship Date]]-orders[[#This Row],[Order Date]]</f>
        <v>0</v>
      </c>
      <c r="K1412">
        <f>WEEKNUM(orders[[#This Row],[Order Date]])</f>
        <v>8</v>
      </c>
      <c r="L1412" t="str" cm="1">
        <f t="array" ref="L1412">_xlfn.IFS(orders[[#This Row],[Customer Gender]]="M","Male", orders[[#This Row],[Customer Gender]]="F","Female", orders[[#This Row],[Customer Gender]]="O","Other", TRUE,"Unknown")</f>
        <v>Female</v>
      </c>
      <c r="M1412">
        <v>1</v>
      </c>
      <c r="N1412">
        <v>32.1</v>
      </c>
      <c r="O1412" s="5">
        <v>32.1</v>
      </c>
    </row>
    <row r="1413" spans="1:15" x14ac:dyDescent="0.3">
      <c r="A1413" t="s">
        <v>1511</v>
      </c>
      <c r="B1413" t="s">
        <v>25</v>
      </c>
      <c r="C1413" s="7">
        <v>45711</v>
      </c>
      <c r="D1413" s="7">
        <v>45713</v>
      </c>
      <c r="E1413" t="s">
        <v>88</v>
      </c>
      <c r="F1413" t="s">
        <v>17</v>
      </c>
      <c r="G1413">
        <v>4</v>
      </c>
      <c r="H1413" t="s">
        <v>18</v>
      </c>
      <c r="I1413" t="s">
        <v>32</v>
      </c>
      <c r="J1413">
        <f>orders[[#This Row],[Ship Date]]-orders[[#This Row],[Order Date]]</f>
        <v>2</v>
      </c>
      <c r="K1413">
        <f>WEEKNUM(orders[[#This Row],[Order Date]])</f>
        <v>9</v>
      </c>
      <c r="L1413" t="str" cm="1">
        <f t="array" ref="L1413">_xlfn.IFS(orders[[#This Row],[Customer Gender]]="M","Male", orders[[#This Row],[Customer Gender]]="F","Female", orders[[#This Row],[Customer Gender]]="O","Other", TRUE,"Unknown")</f>
        <v>Other</v>
      </c>
      <c r="M1413">
        <v>4</v>
      </c>
      <c r="N1413">
        <v>104.8</v>
      </c>
      <c r="O1413">
        <v>419.2</v>
      </c>
    </row>
    <row r="1414" spans="1:15" x14ac:dyDescent="0.3">
      <c r="A1414" t="s">
        <v>1512</v>
      </c>
      <c r="B1414" t="s">
        <v>45</v>
      </c>
      <c r="C1414" s="7">
        <v>45711</v>
      </c>
      <c r="D1414" s="7">
        <v>45712</v>
      </c>
      <c r="E1414" t="s">
        <v>26</v>
      </c>
      <c r="F1414" t="s">
        <v>50</v>
      </c>
      <c r="G1414">
        <v>4</v>
      </c>
      <c r="H1414" t="s">
        <v>18</v>
      </c>
      <c r="I1414" t="s">
        <v>32</v>
      </c>
      <c r="J1414">
        <f>orders[[#This Row],[Ship Date]]-orders[[#This Row],[Order Date]]</f>
        <v>1</v>
      </c>
      <c r="K1414">
        <f>WEEKNUM(orders[[#This Row],[Order Date]])</f>
        <v>9</v>
      </c>
      <c r="L1414" t="str" cm="1">
        <f t="array" ref="L1414">_xlfn.IFS(orders[[#This Row],[Customer Gender]]="M","Male", orders[[#This Row],[Customer Gender]]="F","Female", orders[[#This Row],[Customer Gender]]="O","Other", TRUE,"Unknown")</f>
        <v>Female</v>
      </c>
      <c r="M1414">
        <v>6</v>
      </c>
      <c r="N1414">
        <v>67.400000000000006</v>
      </c>
      <c r="O1414" s="5">
        <v>404.40000000000003</v>
      </c>
    </row>
    <row r="1415" spans="1:15" x14ac:dyDescent="0.3">
      <c r="A1415" t="s">
        <v>1513</v>
      </c>
      <c r="B1415" t="s">
        <v>38</v>
      </c>
      <c r="C1415" s="7">
        <v>45711</v>
      </c>
      <c r="D1415" s="7">
        <v>45712</v>
      </c>
      <c r="E1415" t="s">
        <v>26</v>
      </c>
      <c r="F1415" t="s">
        <v>34</v>
      </c>
      <c r="G1415">
        <v>4</v>
      </c>
      <c r="H1415" t="s">
        <v>18</v>
      </c>
      <c r="I1415" t="s">
        <v>48</v>
      </c>
      <c r="J1415">
        <f>orders[[#This Row],[Ship Date]]-orders[[#This Row],[Order Date]]</f>
        <v>1</v>
      </c>
      <c r="K1415">
        <f>WEEKNUM(orders[[#This Row],[Order Date]])</f>
        <v>9</v>
      </c>
      <c r="L1415" t="str" cm="1">
        <f t="array" ref="L1415">_xlfn.IFS(orders[[#This Row],[Customer Gender]]="M","Male", orders[[#This Row],[Customer Gender]]="F","Female", orders[[#This Row],[Customer Gender]]="O","Other", TRUE,"Unknown")</f>
        <v>Female</v>
      </c>
      <c r="M1415">
        <v>2</v>
      </c>
      <c r="N1415">
        <v>115.2</v>
      </c>
      <c r="O1415">
        <v>230.4</v>
      </c>
    </row>
    <row r="1416" spans="1:15" x14ac:dyDescent="0.3">
      <c r="A1416" t="s">
        <v>1514</v>
      </c>
      <c r="B1416" t="s">
        <v>43</v>
      </c>
      <c r="C1416" s="7">
        <v>45711</v>
      </c>
      <c r="D1416" s="7">
        <v>45713</v>
      </c>
      <c r="E1416" t="s">
        <v>26</v>
      </c>
      <c r="F1416" t="s">
        <v>17</v>
      </c>
      <c r="G1416">
        <v>3</v>
      </c>
      <c r="H1416" t="s">
        <v>18</v>
      </c>
      <c r="I1416" t="s">
        <v>157</v>
      </c>
      <c r="J1416">
        <f>orders[[#This Row],[Ship Date]]-orders[[#This Row],[Order Date]]</f>
        <v>2</v>
      </c>
      <c r="K1416">
        <f>WEEKNUM(orders[[#This Row],[Order Date]])</f>
        <v>9</v>
      </c>
      <c r="L1416" t="str" cm="1">
        <f t="array" ref="L1416">_xlfn.IFS(orders[[#This Row],[Customer Gender]]="M","Male", orders[[#This Row],[Customer Gender]]="F","Female", orders[[#This Row],[Customer Gender]]="O","Other", TRUE,"Unknown")</f>
        <v>Female</v>
      </c>
      <c r="M1416">
        <v>29</v>
      </c>
      <c r="N1416">
        <v>15.5</v>
      </c>
      <c r="O1416" s="5">
        <v>449.5</v>
      </c>
    </row>
    <row r="1417" spans="1:15" x14ac:dyDescent="0.3">
      <c r="A1417" t="s">
        <v>1515</v>
      </c>
      <c r="B1417" t="s">
        <v>38</v>
      </c>
      <c r="C1417" s="7">
        <v>45711</v>
      </c>
      <c r="D1417" s="7">
        <v>45713</v>
      </c>
      <c r="E1417" t="s">
        <v>26</v>
      </c>
      <c r="F1417" t="s">
        <v>17</v>
      </c>
      <c r="G1417">
        <v>4</v>
      </c>
      <c r="H1417" t="s">
        <v>18</v>
      </c>
      <c r="I1417" t="s">
        <v>54</v>
      </c>
      <c r="J1417">
        <f>orders[[#This Row],[Ship Date]]-orders[[#This Row],[Order Date]]</f>
        <v>2</v>
      </c>
      <c r="K1417">
        <f>WEEKNUM(orders[[#This Row],[Order Date]])</f>
        <v>9</v>
      </c>
      <c r="L1417" t="str" cm="1">
        <f t="array" ref="L1417">_xlfn.IFS(orders[[#This Row],[Customer Gender]]="M","Male", orders[[#This Row],[Customer Gender]]="F","Female", orders[[#This Row],[Customer Gender]]="O","Other", TRUE,"Unknown")</f>
        <v>Female</v>
      </c>
      <c r="M1417">
        <v>11</v>
      </c>
      <c r="N1417">
        <v>66.400000000000006</v>
      </c>
      <c r="O1417">
        <v>730.40000000000009</v>
      </c>
    </row>
    <row r="1418" spans="1:15" x14ac:dyDescent="0.3">
      <c r="A1418" t="s">
        <v>1516</v>
      </c>
      <c r="B1418" t="s">
        <v>45</v>
      </c>
      <c r="C1418" s="7">
        <v>45711</v>
      </c>
      <c r="D1418" s="7">
        <v>45712</v>
      </c>
      <c r="E1418" t="s">
        <v>26</v>
      </c>
      <c r="F1418" t="s">
        <v>39</v>
      </c>
      <c r="G1418">
        <v>4</v>
      </c>
      <c r="H1418" t="s">
        <v>18</v>
      </c>
      <c r="I1418" t="s">
        <v>61</v>
      </c>
      <c r="J1418">
        <f>orders[[#This Row],[Ship Date]]-orders[[#This Row],[Order Date]]</f>
        <v>1</v>
      </c>
      <c r="K1418">
        <f>WEEKNUM(orders[[#This Row],[Order Date]])</f>
        <v>9</v>
      </c>
      <c r="L1418" t="str" cm="1">
        <f t="array" ref="L1418">_xlfn.IFS(orders[[#This Row],[Customer Gender]]="M","Male", orders[[#This Row],[Customer Gender]]="F","Female", orders[[#This Row],[Customer Gender]]="O","Other", TRUE,"Unknown")</f>
        <v>Female</v>
      </c>
      <c r="M1418">
        <v>12</v>
      </c>
      <c r="N1418">
        <v>68.099999999999994</v>
      </c>
      <c r="O1418" s="5">
        <v>817.19999999999993</v>
      </c>
    </row>
    <row r="1419" spans="1:15" x14ac:dyDescent="0.3">
      <c r="A1419" t="s">
        <v>1517</v>
      </c>
      <c r="B1419" t="s">
        <v>43</v>
      </c>
      <c r="C1419" s="7">
        <v>45711</v>
      </c>
      <c r="D1419" s="7">
        <v>45715</v>
      </c>
      <c r="E1419" t="s">
        <v>22</v>
      </c>
      <c r="F1419" t="s">
        <v>39</v>
      </c>
      <c r="G1419">
        <v>3</v>
      </c>
      <c r="H1419" t="s">
        <v>18</v>
      </c>
      <c r="I1419" t="s">
        <v>61</v>
      </c>
      <c r="J1419">
        <f>orders[[#This Row],[Ship Date]]-orders[[#This Row],[Order Date]]</f>
        <v>4</v>
      </c>
      <c r="K1419">
        <f>WEEKNUM(orders[[#This Row],[Order Date]])</f>
        <v>9</v>
      </c>
      <c r="L1419" t="str" cm="1">
        <f t="array" ref="L1419">_xlfn.IFS(orders[[#This Row],[Customer Gender]]="M","Male", orders[[#This Row],[Customer Gender]]="F","Female", orders[[#This Row],[Customer Gender]]="O","Other", TRUE,"Unknown")</f>
        <v>Male</v>
      </c>
      <c r="M1419">
        <v>5</v>
      </c>
      <c r="N1419">
        <v>32.5</v>
      </c>
      <c r="O1419">
        <v>162.5</v>
      </c>
    </row>
    <row r="1420" spans="1:15" x14ac:dyDescent="0.3">
      <c r="A1420" t="s">
        <v>1518</v>
      </c>
      <c r="B1420" t="s">
        <v>122</v>
      </c>
      <c r="C1420" s="7">
        <v>45711</v>
      </c>
      <c r="D1420" s="7">
        <v>45713</v>
      </c>
      <c r="E1420" t="s">
        <v>26</v>
      </c>
      <c r="F1420" t="s">
        <v>34</v>
      </c>
      <c r="G1420">
        <v>3</v>
      </c>
      <c r="H1420" t="s">
        <v>18</v>
      </c>
      <c r="I1420" t="s">
        <v>61</v>
      </c>
      <c r="J1420">
        <f>orders[[#This Row],[Ship Date]]-orders[[#This Row],[Order Date]]</f>
        <v>2</v>
      </c>
      <c r="K1420">
        <f>WEEKNUM(orders[[#This Row],[Order Date]])</f>
        <v>9</v>
      </c>
      <c r="L1420" t="str" cm="1">
        <f t="array" ref="L1420">_xlfn.IFS(orders[[#This Row],[Customer Gender]]="M","Male", orders[[#This Row],[Customer Gender]]="F","Female", orders[[#This Row],[Customer Gender]]="O","Other", TRUE,"Unknown")</f>
        <v>Female</v>
      </c>
      <c r="M1420">
        <v>3</v>
      </c>
      <c r="N1420">
        <v>61.2</v>
      </c>
      <c r="O1420" s="5">
        <v>183.60000000000002</v>
      </c>
    </row>
    <row r="1421" spans="1:15" x14ac:dyDescent="0.3">
      <c r="A1421" t="s">
        <v>1519</v>
      </c>
      <c r="B1421" t="s">
        <v>45</v>
      </c>
      <c r="C1421" s="7">
        <v>45711</v>
      </c>
      <c r="D1421" s="7">
        <v>45712</v>
      </c>
      <c r="E1421" t="s">
        <v>26</v>
      </c>
      <c r="F1421" t="s">
        <v>34</v>
      </c>
      <c r="G1421">
        <v>4</v>
      </c>
      <c r="H1421" t="s">
        <v>18</v>
      </c>
      <c r="I1421" t="s">
        <v>61</v>
      </c>
      <c r="J1421">
        <f>orders[[#This Row],[Ship Date]]-orders[[#This Row],[Order Date]]</f>
        <v>1</v>
      </c>
      <c r="K1421">
        <f>WEEKNUM(orders[[#This Row],[Order Date]])</f>
        <v>9</v>
      </c>
      <c r="L1421" t="str" cm="1">
        <f t="array" ref="L1421">_xlfn.IFS(orders[[#This Row],[Customer Gender]]="M","Male", orders[[#This Row],[Customer Gender]]="F","Female", orders[[#This Row],[Customer Gender]]="O","Other", TRUE,"Unknown")</f>
        <v>Female</v>
      </c>
      <c r="M1421">
        <v>2</v>
      </c>
      <c r="N1421">
        <v>54.2</v>
      </c>
      <c r="O1421">
        <v>108.4</v>
      </c>
    </row>
    <row r="1422" spans="1:15" x14ac:dyDescent="0.3">
      <c r="A1422" t="s">
        <v>1520</v>
      </c>
      <c r="B1422" t="s">
        <v>66</v>
      </c>
      <c r="C1422" s="7">
        <v>45711</v>
      </c>
      <c r="D1422" s="7">
        <v>45713</v>
      </c>
      <c r="E1422" t="s">
        <v>22</v>
      </c>
      <c r="F1422" t="s">
        <v>34</v>
      </c>
      <c r="G1422">
        <v>4</v>
      </c>
      <c r="H1422" t="s">
        <v>18</v>
      </c>
      <c r="I1422" t="s">
        <v>71</v>
      </c>
      <c r="J1422">
        <f>orders[[#This Row],[Ship Date]]-orders[[#This Row],[Order Date]]</f>
        <v>2</v>
      </c>
      <c r="K1422">
        <f>WEEKNUM(orders[[#This Row],[Order Date]])</f>
        <v>9</v>
      </c>
      <c r="L1422" t="str" cm="1">
        <f t="array" ref="L1422">_xlfn.IFS(orders[[#This Row],[Customer Gender]]="M","Male", orders[[#This Row],[Customer Gender]]="F","Female", orders[[#This Row],[Customer Gender]]="O","Other", TRUE,"Unknown")</f>
        <v>Male</v>
      </c>
      <c r="M1422">
        <v>8</v>
      </c>
      <c r="N1422">
        <v>28.7</v>
      </c>
      <c r="O1422" s="5">
        <v>229.6</v>
      </c>
    </row>
    <row r="1423" spans="1:15" x14ac:dyDescent="0.3">
      <c r="A1423" t="s">
        <v>1521</v>
      </c>
      <c r="B1423" t="s">
        <v>68</v>
      </c>
      <c r="C1423" s="7">
        <v>45711</v>
      </c>
      <c r="D1423" s="7">
        <v>45715</v>
      </c>
      <c r="E1423" t="s">
        <v>26</v>
      </c>
      <c r="F1423" t="s">
        <v>17</v>
      </c>
      <c r="G1423">
        <v>3</v>
      </c>
      <c r="H1423" t="s">
        <v>18</v>
      </c>
      <c r="I1423" t="s">
        <v>71</v>
      </c>
      <c r="J1423">
        <f>orders[[#This Row],[Ship Date]]-orders[[#This Row],[Order Date]]</f>
        <v>4</v>
      </c>
      <c r="K1423">
        <f>WEEKNUM(orders[[#This Row],[Order Date]])</f>
        <v>9</v>
      </c>
      <c r="L1423" t="str" cm="1">
        <f t="array" ref="L1423">_xlfn.IFS(orders[[#This Row],[Customer Gender]]="M","Male", orders[[#This Row],[Customer Gender]]="F","Female", orders[[#This Row],[Customer Gender]]="O","Other", TRUE,"Unknown")</f>
        <v>Female</v>
      </c>
      <c r="M1423">
        <v>6</v>
      </c>
      <c r="N1423">
        <v>38.200000000000003</v>
      </c>
      <c r="O1423">
        <v>229.20000000000002</v>
      </c>
    </row>
    <row r="1424" spans="1:15" x14ac:dyDescent="0.3">
      <c r="A1424" t="s">
        <v>1522</v>
      </c>
      <c r="B1424" t="s">
        <v>43</v>
      </c>
      <c r="C1424" s="7">
        <v>45711</v>
      </c>
      <c r="D1424" s="7">
        <v>45712</v>
      </c>
      <c r="E1424" t="s">
        <v>26</v>
      </c>
      <c r="F1424" t="s">
        <v>39</v>
      </c>
      <c r="G1424">
        <v>3</v>
      </c>
      <c r="H1424" t="s">
        <v>18</v>
      </c>
      <c r="I1424" t="s">
        <v>71</v>
      </c>
      <c r="J1424">
        <f>orders[[#This Row],[Ship Date]]-orders[[#This Row],[Order Date]]</f>
        <v>1</v>
      </c>
      <c r="K1424">
        <f>WEEKNUM(orders[[#This Row],[Order Date]])</f>
        <v>9</v>
      </c>
      <c r="L1424" t="str" cm="1">
        <f t="array" ref="L1424">_xlfn.IFS(orders[[#This Row],[Customer Gender]]="M","Male", orders[[#This Row],[Customer Gender]]="F","Female", orders[[#This Row],[Customer Gender]]="O","Other", TRUE,"Unknown")</f>
        <v>Female</v>
      </c>
      <c r="M1424">
        <v>12</v>
      </c>
      <c r="N1424">
        <v>17.600000000000001</v>
      </c>
      <c r="O1424" s="5">
        <v>211.20000000000002</v>
      </c>
    </row>
    <row r="1425" spans="1:15" x14ac:dyDescent="0.3">
      <c r="A1425" t="s">
        <v>1523</v>
      </c>
      <c r="B1425" t="s">
        <v>53</v>
      </c>
      <c r="C1425" s="7">
        <v>45711</v>
      </c>
      <c r="D1425" s="7">
        <v>45711</v>
      </c>
      <c r="E1425" t="s">
        <v>26</v>
      </c>
      <c r="F1425" t="s">
        <v>39</v>
      </c>
      <c r="G1425">
        <v>4</v>
      </c>
      <c r="H1425" t="s">
        <v>18</v>
      </c>
      <c r="I1425" t="s">
        <v>76</v>
      </c>
      <c r="J1425">
        <f>orders[[#This Row],[Ship Date]]-orders[[#This Row],[Order Date]]</f>
        <v>0</v>
      </c>
      <c r="K1425">
        <f>WEEKNUM(orders[[#This Row],[Order Date]])</f>
        <v>9</v>
      </c>
      <c r="L1425" t="str" cm="1">
        <f t="array" ref="L1425">_xlfn.IFS(orders[[#This Row],[Customer Gender]]="M","Male", orders[[#This Row],[Customer Gender]]="F","Female", orders[[#This Row],[Customer Gender]]="O","Other", TRUE,"Unknown")</f>
        <v>Female</v>
      </c>
      <c r="M1425">
        <v>3</v>
      </c>
      <c r="N1425">
        <v>74.599999999999994</v>
      </c>
      <c r="O1425">
        <v>223.79999999999998</v>
      </c>
    </row>
    <row r="1426" spans="1:15" x14ac:dyDescent="0.3">
      <c r="A1426" t="s">
        <v>1524</v>
      </c>
      <c r="B1426" t="s">
        <v>127</v>
      </c>
      <c r="C1426" s="7">
        <v>45711</v>
      </c>
      <c r="D1426" s="7">
        <v>45711</v>
      </c>
      <c r="E1426" t="s">
        <v>2517</v>
      </c>
      <c r="F1426" t="s">
        <v>34</v>
      </c>
      <c r="G1426">
        <v>3</v>
      </c>
      <c r="H1426" t="s">
        <v>18</v>
      </c>
      <c r="I1426" t="s">
        <v>76</v>
      </c>
      <c r="J1426">
        <f>orders[[#This Row],[Ship Date]]-orders[[#This Row],[Order Date]]</f>
        <v>0</v>
      </c>
      <c r="K1426">
        <f>WEEKNUM(orders[[#This Row],[Order Date]])</f>
        <v>9</v>
      </c>
      <c r="L1426" t="str" cm="1">
        <f t="array" ref="L1426">_xlfn.IFS(orders[[#This Row],[Customer Gender]]="M","Male", orders[[#This Row],[Customer Gender]]="F","Female", orders[[#This Row],[Customer Gender]]="O","Other", TRUE,"Unknown")</f>
        <v>Unknown</v>
      </c>
      <c r="M1426">
        <v>15</v>
      </c>
      <c r="N1426">
        <v>72.599999999999994</v>
      </c>
      <c r="O1426" s="5">
        <v>1089</v>
      </c>
    </row>
    <row r="1427" spans="1:15" x14ac:dyDescent="0.3">
      <c r="A1427" t="s">
        <v>1525</v>
      </c>
      <c r="B1427" t="s">
        <v>41</v>
      </c>
      <c r="C1427" s="7">
        <v>45711</v>
      </c>
      <c r="D1427" s="7">
        <v>45712</v>
      </c>
      <c r="E1427" t="s">
        <v>26</v>
      </c>
      <c r="F1427" t="s">
        <v>34</v>
      </c>
      <c r="G1427">
        <v>4</v>
      </c>
      <c r="H1427" t="s">
        <v>18</v>
      </c>
      <c r="I1427" t="s">
        <v>76</v>
      </c>
      <c r="J1427">
        <f>orders[[#This Row],[Ship Date]]-orders[[#This Row],[Order Date]]</f>
        <v>1</v>
      </c>
      <c r="K1427">
        <f>WEEKNUM(orders[[#This Row],[Order Date]])</f>
        <v>9</v>
      </c>
      <c r="L1427" t="str" cm="1">
        <f t="array" ref="L1427">_xlfn.IFS(orders[[#This Row],[Customer Gender]]="M","Male", orders[[#This Row],[Customer Gender]]="F","Female", orders[[#This Row],[Customer Gender]]="O","Other", TRUE,"Unknown")</f>
        <v>Female</v>
      </c>
      <c r="M1427">
        <v>1</v>
      </c>
      <c r="N1427">
        <v>62.3</v>
      </c>
      <c r="O1427">
        <v>62.3</v>
      </c>
    </row>
    <row r="1428" spans="1:15" x14ac:dyDescent="0.3">
      <c r="A1428" t="s">
        <v>1526</v>
      </c>
      <c r="B1428" t="s">
        <v>29</v>
      </c>
      <c r="C1428" s="7">
        <v>45711</v>
      </c>
      <c r="D1428" s="7">
        <v>45713</v>
      </c>
      <c r="E1428" t="s">
        <v>22</v>
      </c>
      <c r="F1428" t="s">
        <v>17</v>
      </c>
      <c r="G1428">
        <v>5</v>
      </c>
      <c r="H1428" t="s">
        <v>18</v>
      </c>
      <c r="I1428" t="s">
        <v>112</v>
      </c>
      <c r="J1428">
        <f>orders[[#This Row],[Ship Date]]-orders[[#This Row],[Order Date]]</f>
        <v>2</v>
      </c>
      <c r="K1428">
        <f>WEEKNUM(orders[[#This Row],[Order Date]])</f>
        <v>9</v>
      </c>
      <c r="L1428" t="str" cm="1">
        <f t="array" ref="L1428">_xlfn.IFS(orders[[#This Row],[Customer Gender]]="M","Male", orders[[#This Row],[Customer Gender]]="F","Female", orders[[#This Row],[Customer Gender]]="O","Other", TRUE,"Unknown")</f>
        <v>Male</v>
      </c>
      <c r="M1428">
        <v>3</v>
      </c>
      <c r="N1428">
        <v>33.799999999999997</v>
      </c>
      <c r="O1428" s="5">
        <v>101.39999999999999</v>
      </c>
    </row>
    <row r="1429" spans="1:15" x14ac:dyDescent="0.3">
      <c r="A1429" t="s">
        <v>1527</v>
      </c>
      <c r="B1429" t="s">
        <v>45</v>
      </c>
      <c r="C1429" s="7">
        <v>45711</v>
      </c>
      <c r="D1429" s="7">
        <v>45714</v>
      </c>
      <c r="E1429" t="s">
        <v>22</v>
      </c>
      <c r="F1429" t="s">
        <v>50</v>
      </c>
      <c r="G1429">
        <v>3</v>
      </c>
      <c r="H1429" t="s">
        <v>18</v>
      </c>
      <c r="I1429" t="s">
        <v>114</v>
      </c>
      <c r="J1429">
        <f>orders[[#This Row],[Ship Date]]-orders[[#This Row],[Order Date]]</f>
        <v>3</v>
      </c>
      <c r="K1429">
        <f>WEEKNUM(orders[[#This Row],[Order Date]])</f>
        <v>9</v>
      </c>
      <c r="L1429" t="str" cm="1">
        <f t="array" ref="L1429">_xlfn.IFS(orders[[#This Row],[Customer Gender]]="M","Male", orders[[#This Row],[Customer Gender]]="F","Female", orders[[#This Row],[Customer Gender]]="O","Other", TRUE,"Unknown")</f>
        <v>Male</v>
      </c>
      <c r="M1429">
        <v>1</v>
      </c>
      <c r="N1429">
        <v>85.7</v>
      </c>
      <c r="O1429">
        <v>85.7</v>
      </c>
    </row>
    <row r="1430" spans="1:15" x14ac:dyDescent="0.3">
      <c r="A1430" t="s">
        <v>1528</v>
      </c>
      <c r="B1430" t="s">
        <v>38</v>
      </c>
      <c r="C1430" s="7">
        <v>45711</v>
      </c>
      <c r="D1430" s="7">
        <v>45713</v>
      </c>
      <c r="E1430" t="s">
        <v>22</v>
      </c>
      <c r="F1430" t="s">
        <v>34</v>
      </c>
      <c r="G1430">
        <v>4</v>
      </c>
      <c r="H1430" t="s">
        <v>18</v>
      </c>
      <c r="I1430" t="s">
        <v>114</v>
      </c>
      <c r="J1430">
        <f>orders[[#This Row],[Ship Date]]-orders[[#This Row],[Order Date]]</f>
        <v>2</v>
      </c>
      <c r="K1430">
        <f>WEEKNUM(orders[[#This Row],[Order Date]])</f>
        <v>9</v>
      </c>
      <c r="L1430" t="str" cm="1">
        <f t="array" ref="L1430">_xlfn.IFS(orders[[#This Row],[Customer Gender]]="M","Male", orders[[#This Row],[Customer Gender]]="F","Female", orders[[#This Row],[Customer Gender]]="O","Other", TRUE,"Unknown")</f>
        <v>Male</v>
      </c>
      <c r="M1430">
        <v>2</v>
      </c>
      <c r="N1430">
        <v>92.1</v>
      </c>
      <c r="O1430" s="5">
        <v>184.2</v>
      </c>
    </row>
    <row r="1431" spans="1:15" x14ac:dyDescent="0.3">
      <c r="A1431" t="s">
        <v>1529</v>
      </c>
      <c r="B1431" t="s">
        <v>127</v>
      </c>
      <c r="C1431" s="7">
        <v>45711</v>
      </c>
      <c r="D1431" s="7">
        <v>45714</v>
      </c>
      <c r="E1431" t="s">
        <v>22</v>
      </c>
      <c r="F1431" t="s">
        <v>17</v>
      </c>
      <c r="G1431">
        <v>4</v>
      </c>
      <c r="H1431" t="s">
        <v>18</v>
      </c>
      <c r="I1431" t="s">
        <v>23</v>
      </c>
      <c r="J1431">
        <f>orders[[#This Row],[Ship Date]]-orders[[#This Row],[Order Date]]</f>
        <v>3</v>
      </c>
      <c r="K1431">
        <f>WEEKNUM(orders[[#This Row],[Order Date]])</f>
        <v>9</v>
      </c>
      <c r="L1431" t="str" cm="1">
        <f t="array" ref="L1431">_xlfn.IFS(orders[[#This Row],[Customer Gender]]="M","Male", orders[[#This Row],[Customer Gender]]="F","Female", orders[[#This Row],[Customer Gender]]="O","Other", TRUE,"Unknown")</f>
        <v>Male</v>
      </c>
      <c r="M1431">
        <v>3</v>
      </c>
      <c r="N1431">
        <v>65.099999999999994</v>
      </c>
      <c r="O1431">
        <v>195.29999999999998</v>
      </c>
    </row>
    <row r="1432" spans="1:15" x14ac:dyDescent="0.3">
      <c r="A1432" t="s">
        <v>1530</v>
      </c>
      <c r="B1432" t="s">
        <v>45</v>
      </c>
      <c r="C1432" s="7">
        <v>45711</v>
      </c>
      <c r="D1432" s="7">
        <v>45712</v>
      </c>
      <c r="E1432" t="s">
        <v>26</v>
      </c>
      <c r="F1432" t="s">
        <v>39</v>
      </c>
      <c r="G1432">
        <v>5</v>
      </c>
      <c r="H1432" t="s">
        <v>18</v>
      </c>
      <c r="I1432" t="s">
        <v>27</v>
      </c>
      <c r="J1432">
        <f>orders[[#This Row],[Ship Date]]-orders[[#This Row],[Order Date]]</f>
        <v>1</v>
      </c>
      <c r="K1432">
        <f>WEEKNUM(orders[[#This Row],[Order Date]])</f>
        <v>9</v>
      </c>
      <c r="L1432" t="str" cm="1">
        <f t="array" ref="L1432">_xlfn.IFS(orders[[#This Row],[Customer Gender]]="M","Male", orders[[#This Row],[Customer Gender]]="F","Female", orders[[#This Row],[Customer Gender]]="O","Other", TRUE,"Unknown")</f>
        <v>Female</v>
      </c>
      <c r="M1432">
        <v>7</v>
      </c>
      <c r="N1432">
        <v>20.3</v>
      </c>
      <c r="O1432" s="5">
        <v>142.1</v>
      </c>
    </row>
    <row r="1433" spans="1:15" x14ac:dyDescent="0.3">
      <c r="A1433" t="s">
        <v>1531</v>
      </c>
      <c r="B1433" t="s">
        <v>170</v>
      </c>
      <c r="C1433" s="7">
        <v>45711</v>
      </c>
      <c r="D1433" s="7">
        <v>45713</v>
      </c>
      <c r="E1433" t="s">
        <v>26</v>
      </c>
      <c r="F1433" t="s">
        <v>34</v>
      </c>
      <c r="G1433">
        <v>5</v>
      </c>
      <c r="H1433" t="s">
        <v>18</v>
      </c>
      <c r="I1433" t="s">
        <v>333</v>
      </c>
      <c r="J1433">
        <f>orders[[#This Row],[Ship Date]]-orders[[#This Row],[Order Date]]</f>
        <v>2</v>
      </c>
      <c r="K1433">
        <f>WEEKNUM(orders[[#This Row],[Order Date]])</f>
        <v>9</v>
      </c>
      <c r="L1433" t="str" cm="1">
        <f t="array" ref="L1433">_xlfn.IFS(orders[[#This Row],[Customer Gender]]="M","Male", orders[[#This Row],[Customer Gender]]="F","Female", orders[[#This Row],[Customer Gender]]="O","Other", TRUE,"Unknown")</f>
        <v>Female</v>
      </c>
      <c r="M1433">
        <v>2</v>
      </c>
      <c r="N1433">
        <v>29.8</v>
      </c>
      <c r="O1433">
        <v>59.6</v>
      </c>
    </row>
    <row r="1434" spans="1:15" x14ac:dyDescent="0.3">
      <c r="A1434" t="s">
        <v>1532</v>
      </c>
      <c r="B1434" t="s">
        <v>16</v>
      </c>
      <c r="C1434" s="7">
        <v>45711</v>
      </c>
      <c r="D1434" s="7">
        <v>45713</v>
      </c>
      <c r="E1434" t="s">
        <v>26</v>
      </c>
      <c r="F1434" t="s">
        <v>50</v>
      </c>
      <c r="G1434">
        <v>5</v>
      </c>
      <c r="H1434" t="s">
        <v>18</v>
      </c>
      <c r="I1434" t="s">
        <v>32</v>
      </c>
      <c r="J1434">
        <f>orders[[#This Row],[Ship Date]]-orders[[#This Row],[Order Date]]</f>
        <v>2</v>
      </c>
      <c r="K1434">
        <f>WEEKNUM(orders[[#This Row],[Order Date]])</f>
        <v>9</v>
      </c>
      <c r="L1434" t="str" cm="1">
        <f t="array" ref="L1434">_xlfn.IFS(orders[[#This Row],[Customer Gender]]="M","Male", orders[[#This Row],[Customer Gender]]="F","Female", orders[[#This Row],[Customer Gender]]="O","Other", TRUE,"Unknown")</f>
        <v>Female</v>
      </c>
      <c r="M1434">
        <v>2</v>
      </c>
      <c r="N1434">
        <v>24.2</v>
      </c>
      <c r="O1434" s="5">
        <v>48.4</v>
      </c>
    </row>
    <row r="1435" spans="1:15" x14ac:dyDescent="0.3">
      <c r="A1435" t="s">
        <v>1533</v>
      </c>
      <c r="B1435" t="s">
        <v>29</v>
      </c>
      <c r="C1435" s="7">
        <v>45711</v>
      </c>
      <c r="D1435" s="7">
        <v>45713</v>
      </c>
      <c r="E1435" t="s">
        <v>22</v>
      </c>
      <c r="F1435" t="s">
        <v>17</v>
      </c>
      <c r="G1435">
        <v>4</v>
      </c>
      <c r="H1435" t="s">
        <v>18</v>
      </c>
      <c r="I1435" t="s">
        <v>32</v>
      </c>
      <c r="J1435">
        <f>orders[[#This Row],[Ship Date]]-orders[[#This Row],[Order Date]]</f>
        <v>2</v>
      </c>
      <c r="K1435">
        <f>WEEKNUM(orders[[#This Row],[Order Date]])</f>
        <v>9</v>
      </c>
      <c r="L1435" t="str" cm="1">
        <f t="array" ref="L1435">_xlfn.IFS(orders[[#This Row],[Customer Gender]]="M","Male", orders[[#This Row],[Customer Gender]]="F","Female", orders[[#This Row],[Customer Gender]]="O","Other", TRUE,"Unknown")</f>
        <v>Male</v>
      </c>
      <c r="M1435">
        <v>1</v>
      </c>
      <c r="N1435">
        <v>57.3</v>
      </c>
      <c r="O1435">
        <v>57.3</v>
      </c>
    </row>
    <row r="1436" spans="1:15" x14ac:dyDescent="0.3">
      <c r="A1436" t="s">
        <v>1534</v>
      </c>
      <c r="B1436" t="s">
        <v>25</v>
      </c>
      <c r="C1436" s="7">
        <v>45711</v>
      </c>
      <c r="D1436" s="7">
        <v>45713</v>
      </c>
      <c r="E1436" t="s">
        <v>26</v>
      </c>
      <c r="F1436" t="s">
        <v>34</v>
      </c>
      <c r="G1436">
        <v>4</v>
      </c>
      <c r="H1436" t="s">
        <v>18</v>
      </c>
      <c r="I1436" t="s">
        <v>32</v>
      </c>
      <c r="J1436">
        <f>orders[[#This Row],[Ship Date]]-orders[[#This Row],[Order Date]]</f>
        <v>2</v>
      </c>
      <c r="K1436">
        <f>WEEKNUM(orders[[#This Row],[Order Date]])</f>
        <v>9</v>
      </c>
      <c r="L1436" t="str" cm="1">
        <f t="array" ref="L1436">_xlfn.IFS(orders[[#This Row],[Customer Gender]]="M","Male", orders[[#This Row],[Customer Gender]]="F","Female", orders[[#This Row],[Customer Gender]]="O","Other", TRUE,"Unknown")</f>
        <v>Female</v>
      </c>
      <c r="M1436">
        <v>1</v>
      </c>
      <c r="N1436">
        <v>108.9</v>
      </c>
      <c r="O1436" s="5">
        <v>108.9</v>
      </c>
    </row>
    <row r="1437" spans="1:15" x14ac:dyDescent="0.3">
      <c r="A1437" t="s">
        <v>1535</v>
      </c>
      <c r="B1437" t="s">
        <v>41</v>
      </c>
      <c r="C1437" s="7">
        <v>45711</v>
      </c>
      <c r="D1437" s="7">
        <v>45712</v>
      </c>
      <c r="E1437" t="s">
        <v>26</v>
      </c>
      <c r="F1437" t="s">
        <v>17</v>
      </c>
      <c r="G1437">
        <v>4</v>
      </c>
      <c r="H1437" t="s">
        <v>18</v>
      </c>
      <c r="I1437" t="s">
        <v>32</v>
      </c>
      <c r="J1437">
        <f>orders[[#This Row],[Ship Date]]-orders[[#This Row],[Order Date]]</f>
        <v>1</v>
      </c>
      <c r="K1437">
        <f>WEEKNUM(orders[[#This Row],[Order Date]])</f>
        <v>9</v>
      </c>
      <c r="L1437" t="str" cm="1">
        <f t="array" ref="L1437">_xlfn.IFS(orders[[#This Row],[Customer Gender]]="M","Male", orders[[#This Row],[Customer Gender]]="F","Female", orders[[#This Row],[Customer Gender]]="O","Other", TRUE,"Unknown")</f>
        <v>Female</v>
      </c>
      <c r="M1437">
        <v>5</v>
      </c>
      <c r="N1437">
        <v>50.7</v>
      </c>
      <c r="O1437">
        <v>253.5</v>
      </c>
    </row>
    <row r="1438" spans="1:15" x14ac:dyDescent="0.3">
      <c r="A1438" t="s">
        <v>1536</v>
      </c>
      <c r="B1438" t="s">
        <v>41</v>
      </c>
      <c r="C1438" s="7">
        <v>45711</v>
      </c>
      <c r="D1438" s="7">
        <v>45725</v>
      </c>
      <c r="E1438" t="s">
        <v>26</v>
      </c>
      <c r="F1438" t="s">
        <v>34</v>
      </c>
      <c r="G1438">
        <v>4</v>
      </c>
      <c r="H1438" t="s">
        <v>18</v>
      </c>
      <c r="I1438" t="s">
        <v>32</v>
      </c>
      <c r="J1438">
        <f>orders[[#This Row],[Ship Date]]-orders[[#This Row],[Order Date]]</f>
        <v>14</v>
      </c>
      <c r="K1438">
        <f>WEEKNUM(orders[[#This Row],[Order Date]])</f>
        <v>9</v>
      </c>
      <c r="L1438" t="str" cm="1">
        <f t="array" ref="L1438">_xlfn.IFS(orders[[#This Row],[Customer Gender]]="M","Male", orders[[#This Row],[Customer Gender]]="F","Female", orders[[#This Row],[Customer Gender]]="O","Other", TRUE,"Unknown")</f>
        <v>Female</v>
      </c>
      <c r="M1438">
        <v>9</v>
      </c>
      <c r="N1438">
        <v>66.099999999999994</v>
      </c>
      <c r="O1438" s="5">
        <v>594.9</v>
      </c>
    </row>
    <row r="1439" spans="1:15" x14ac:dyDescent="0.3">
      <c r="A1439" t="s">
        <v>1537</v>
      </c>
      <c r="B1439" t="s">
        <v>68</v>
      </c>
      <c r="C1439" s="7">
        <v>45711</v>
      </c>
      <c r="D1439" s="7">
        <v>45715</v>
      </c>
      <c r="E1439" t="s">
        <v>26</v>
      </c>
      <c r="F1439" t="s">
        <v>69</v>
      </c>
      <c r="G1439">
        <v>4</v>
      </c>
      <c r="H1439" t="s">
        <v>18</v>
      </c>
      <c r="I1439" t="s">
        <v>32</v>
      </c>
      <c r="J1439">
        <f>orders[[#This Row],[Ship Date]]-orders[[#This Row],[Order Date]]</f>
        <v>4</v>
      </c>
      <c r="K1439">
        <f>WEEKNUM(orders[[#This Row],[Order Date]])</f>
        <v>9</v>
      </c>
      <c r="L1439" t="str" cm="1">
        <f t="array" ref="L1439">_xlfn.IFS(orders[[#This Row],[Customer Gender]]="M","Male", orders[[#This Row],[Customer Gender]]="F","Female", orders[[#This Row],[Customer Gender]]="O","Other", TRUE,"Unknown")</f>
        <v>Female</v>
      </c>
      <c r="M1439">
        <v>5</v>
      </c>
      <c r="N1439">
        <v>36.700000000000003</v>
      </c>
      <c r="O1439">
        <v>183.5</v>
      </c>
    </row>
    <row r="1440" spans="1:15" x14ac:dyDescent="0.3">
      <c r="A1440" t="s">
        <v>1538</v>
      </c>
      <c r="B1440" t="s">
        <v>43</v>
      </c>
      <c r="C1440" s="7">
        <v>45711</v>
      </c>
      <c r="D1440" s="7">
        <v>45713</v>
      </c>
      <c r="E1440" t="s">
        <v>22</v>
      </c>
      <c r="F1440" t="s">
        <v>17</v>
      </c>
      <c r="G1440">
        <v>4</v>
      </c>
      <c r="H1440" t="s">
        <v>18</v>
      </c>
      <c r="I1440" t="s">
        <v>544</v>
      </c>
      <c r="J1440">
        <f>orders[[#This Row],[Ship Date]]-orders[[#This Row],[Order Date]]</f>
        <v>2</v>
      </c>
      <c r="K1440">
        <f>WEEKNUM(orders[[#This Row],[Order Date]])</f>
        <v>9</v>
      </c>
      <c r="L1440" t="str" cm="1">
        <f t="array" ref="L1440">_xlfn.IFS(orders[[#This Row],[Customer Gender]]="M","Male", orders[[#This Row],[Customer Gender]]="F","Female", orders[[#This Row],[Customer Gender]]="O","Other", TRUE,"Unknown")</f>
        <v>Male</v>
      </c>
      <c r="M1440">
        <v>17</v>
      </c>
      <c r="N1440">
        <v>19.3</v>
      </c>
      <c r="O1440" s="5">
        <v>328.1</v>
      </c>
    </row>
    <row r="1441" spans="1:15" x14ac:dyDescent="0.3">
      <c r="A1441" t="s">
        <v>1539</v>
      </c>
      <c r="B1441" t="s">
        <v>43</v>
      </c>
      <c r="C1441" s="7">
        <v>45711</v>
      </c>
      <c r="D1441" s="7">
        <v>45712</v>
      </c>
      <c r="E1441" t="s">
        <v>22</v>
      </c>
      <c r="F1441" t="s">
        <v>34</v>
      </c>
      <c r="G1441">
        <v>5</v>
      </c>
      <c r="H1441" t="s">
        <v>18</v>
      </c>
      <c r="I1441" t="s">
        <v>54</v>
      </c>
      <c r="J1441">
        <f>orders[[#This Row],[Ship Date]]-orders[[#This Row],[Order Date]]</f>
        <v>1</v>
      </c>
      <c r="K1441">
        <f>WEEKNUM(orders[[#This Row],[Order Date]])</f>
        <v>9</v>
      </c>
      <c r="L1441" t="str" cm="1">
        <f t="array" ref="L1441">_xlfn.IFS(orders[[#This Row],[Customer Gender]]="M","Male", orders[[#This Row],[Customer Gender]]="F","Female", orders[[#This Row],[Customer Gender]]="O","Other", TRUE,"Unknown")</f>
        <v>Male</v>
      </c>
      <c r="M1441">
        <v>4</v>
      </c>
      <c r="N1441">
        <v>20.7</v>
      </c>
      <c r="O1441">
        <v>82.8</v>
      </c>
    </row>
    <row r="1442" spans="1:15" x14ac:dyDescent="0.3">
      <c r="A1442" t="s">
        <v>1540</v>
      </c>
      <c r="B1442" t="s">
        <v>36</v>
      </c>
      <c r="C1442" s="7">
        <v>45711</v>
      </c>
      <c r="D1442" s="7">
        <v>45711</v>
      </c>
      <c r="E1442" t="s">
        <v>88</v>
      </c>
      <c r="F1442" t="s">
        <v>34</v>
      </c>
      <c r="G1442">
        <v>2</v>
      </c>
      <c r="H1442" t="s">
        <v>18</v>
      </c>
      <c r="I1442" t="s">
        <v>54</v>
      </c>
      <c r="J1442">
        <f>orders[[#This Row],[Ship Date]]-orders[[#This Row],[Order Date]]</f>
        <v>0</v>
      </c>
      <c r="K1442">
        <f>WEEKNUM(orders[[#This Row],[Order Date]])</f>
        <v>9</v>
      </c>
      <c r="L1442" t="str" cm="1">
        <f t="array" ref="L1442">_xlfn.IFS(orders[[#This Row],[Customer Gender]]="M","Male", orders[[#This Row],[Customer Gender]]="F","Female", orders[[#This Row],[Customer Gender]]="O","Other", TRUE,"Unknown")</f>
        <v>Other</v>
      </c>
      <c r="M1442">
        <v>3</v>
      </c>
      <c r="N1442">
        <v>54.7</v>
      </c>
      <c r="O1442" s="5">
        <v>164.10000000000002</v>
      </c>
    </row>
    <row r="1443" spans="1:15" x14ac:dyDescent="0.3">
      <c r="A1443" t="s">
        <v>1541</v>
      </c>
      <c r="B1443" t="s">
        <v>31</v>
      </c>
      <c r="C1443" s="7">
        <v>45711</v>
      </c>
      <c r="D1443" s="7">
        <v>45715</v>
      </c>
      <c r="E1443" t="s">
        <v>26</v>
      </c>
      <c r="F1443" t="s">
        <v>69</v>
      </c>
      <c r="G1443">
        <v>3</v>
      </c>
      <c r="H1443" t="s">
        <v>18</v>
      </c>
      <c r="I1443" t="s">
        <v>61</v>
      </c>
      <c r="J1443">
        <f>orders[[#This Row],[Ship Date]]-orders[[#This Row],[Order Date]]</f>
        <v>4</v>
      </c>
      <c r="K1443">
        <f>WEEKNUM(orders[[#This Row],[Order Date]])</f>
        <v>9</v>
      </c>
      <c r="L1443" t="str" cm="1">
        <f t="array" ref="L1443">_xlfn.IFS(orders[[#This Row],[Customer Gender]]="M","Male", orders[[#This Row],[Customer Gender]]="F","Female", orders[[#This Row],[Customer Gender]]="O","Other", TRUE,"Unknown")</f>
        <v>Female</v>
      </c>
      <c r="M1443">
        <v>2</v>
      </c>
      <c r="N1443">
        <v>19.8</v>
      </c>
      <c r="O1443">
        <v>39.6</v>
      </c>
    </row>
    <row r="1444" spans="1:15" x14ac:dyDescent="0.3">
      <c r="A1444" t="s">
        <v>1542</v>
      </c>
      <c r="B1444" t="s">
        <v>41</v>
      </c>
      <c r="C1444" s="7">
        <v>45711</v>
      </c>
      <c r="D1444" s="7">
        <v>45713</v>
      </c>
      <c r="E1444" t="s">
        <v>26</v>
      </c>
      <c r="F1444" t="s">
        <v>17</v>
      </c>
      <c r="G1444">
        <v>5</v>
      </c>
      <c r="H1444" t="s">
        <v>18</v>
      </c>
      <c r="I1444" t="s">
        <v>61</v>
      </c>
      <c r="J1444">
        <f>orders[[#This Row],[Ship Date]]-orders[[#This Row],[Order Date]]</f>
        <v>2</v>
      </c>
      <c r="K1444">
        <f>WEEKNUM(orders[[#This Row],[Order Date]])</f>
        <v>9</v>
      </c>
      <c r="L1444" t="str" cm="1">
        <f t="array" ref="L1444">_xlfn.IFS(orders[[#This Row],[Customer Gender]]="M","Male", orders[[#This Row],[Customer Gender]]="F","Female", orders[[#This Row],[Customer Gender]]="O","Other", TRUE,"Unknown")</f>
        <v>Female</v>
      </c>
      <c r="M1444">
        <v>1</v>
      </c>
      <c r="N1444">
        <v>41.1</v>
      </c>
      <c r="O1444" s="5">
        <v>41.1</v>
      </c>
    </row>
    <row r="1445" spans="1:15" x14ac:dyDescent="0.3">
      <c r="A1445" t="s">
        <v>1543</v>
      </c>
      <c r="B1445" t="s">
        <v>66</v>
      </c>
      <c r="C1445" s="7">
        <v>45711</v>
      </c>
      <c r="D1445" s="7">
        <v>45715</v>
      </c>
      <c r="E1445" t="s">
        <v>26</v>
      </c>
      <c r="F1445" t="s">
        <v>50</v>
      </c>
      <c r="G1445">
        <v>4</v>
      </c>
      <c r="H1445" t="s">
        <v>18</v>
      </c>
      <c r="I1445" t="s">
        <v>61</v>
      </c>
      <c r="J1445">
        <f>orders[[#This Row],[Ship Date]]-orders[[#This Row],[Order Date]]</f>
        <v>4</v>
      </c>
      <c r="K1445">
        <f>WEEKNUM(orders[[#This Row],[Order Date]])</f>
        <v>9</v>
      </c>
      <c r="L1445" t="str" cm="1">
        <f t="array" ref="L1445">_xlfn.IFS(orders[[#This Row],[Customer Gender]]="M","Male", orders[[#This Row],[Customer Gender]]="F","Female", orders[[#This Row],[Customer Gender]]="O","Other", TRUE,"Unknown")</f>
        <v>Female</v>
      </c>
      <c r="M1445">
        <v>8</v>
      </c>
      <c r="N1445">
        <v>43.5</v>
      </c>
      <c r="O1445">
        <v>348</v>
      </c>
    </row>
    <row r="1446" spans="1:15" x14ac:dyDescent="0.3">
      <c r="A1446" t="s">
        <v>1544</v>
      </c>
      <c r="B1446" t="s">
        <v>43</v>
      </c>
      <c r="C1446" s="7">
        <v>45711</v>
      </c>
      <c r="D1446" s="7">
        <v>45712</v>
      </c>
      <c r="E1446" t="s">
        <v>22</v>
      </c>
      <c r="F1446" t="s">
        <v>17</v>
      </c>
      <c r="G1446">
        <v>4</v>
      </c>
      <c r="H1446" t="s">
        <v>18</v>
      </c>
      <c r="I1446" t="s">
        <v>200</v>
      </c>
      <c r="J1446">
        <f>orders[[#This Row],[Ship Date]]-orders[[#This Row],[Order Date]]</f>
        <v>1</v>
      </c>
      <c r="K1446">
        <f>WEEKNUM(orders[[#This Row],[Order Date]])</f>
        <v>9</v>
      </c>
      <c r="L1446" t="str" cm="1">
        <f t="array" ref="L1446">_xlfn.IFS(orders[[#This Row],[Customer Gender]]="M","Male", orders[[#This Row],[Customer Gender]]="F","Female", orders[[#This Row],[Customer Gender]]="O","Other", TRUE,"Unknown")</f>
        <v>Male</v>
      </c>
      <c r="M1446">
        <v>14</v>
      </c>
      <c r="N1446">
        <v>19</v>
      </c>
      <c r="O1446" s="5">
        <v>266</v>
      </c>
    </row>
    <row r="1447" spans="1:15" x14ac:dyDescent="0.3">
      <c r="A1447" t="s">
        <v>1545</v>
      </c>
      <c r="B1447" t="s">
        <v>25</v>
      </c>
      <c r="C1447" s="7">
        <v>45711</v>
      </c>
      <c r="D1447" s="7">
        <v>45711</v>
      </c>
      <c r="E1447" t="s">
        <v>26</v>
      </c>
      <c r="F1447" t="s">
        <v>17</v>
      </c>
      <c r="G1447">
        <v>4</v>
      </c>
      <c r="H1447" t="s">
        <v>18</v>
      </c>
      <c r="I1447" t="s">
        <v>200</v>
      </c>
      <c r="J1447">
        <f>orders[[#This Row],[Ship Date]]-orders[[#This Row],[Order Date]]</f>
        <v>0</v>
      </c>
      <c r="K1447">
        <f>WEEKNUM(orders[[#This Row],[Order Date]])</f>
        <v>9</v>
      </c>
      <c r="L1447" t="str" cm="1">
        <f t="array" ref="L1447">_xlfn.IFS(orders[[#This Row],[Customer Gender]]="M","Male", orders[[#This Row],[Customer Gender]]="F","Female", orders[[#This Row],[Customer Gender]]="O","Other", TRUE,"Unknown")</f>
        <v>Female</v>
      </c>
      <c r="M1447">
        <v>4</v>
      </c>
      <c r="N1447">
        <v>51.4</v>
      </c>
      <c r="O1447">
        <v>205.6</v>
      </c>
    </row>
    <row r="1448" spans="1:15" x14ac:dyDescent="0.3">
      <c r="A1448" t="s">
        <v>1546</v>
      </c>
      <c r="B1448" t="s">
        <v>53</v>
      </c>
      <c r="C1448" s="7">
        <v>45711</v>
      </c>
      <c r="D1448" s="7">
        <v>45714</v>
      </c>
      <c r="E1448" t="s">
        <v>22</v>
      </c>
      <c r="F1448" t="s">
        <v>50</v>
      </c>
      <c r="G1448">
        <v>3</v>
      </c>
      <c r="H1448" t="s">
        <v>18</v>
      </c>
      <c r="I1448" t="s">
        <v>81</v>
      </c>
      <c r="J1448">
        <f>orders[[#This Row],[Ship Date]]-orders[[#This Row],[Order Date]]</f>
        <v>3</v>
      </c>
      <c r="K1448">
        <f>WEEKNUM(orders[[#This Row],[Order Date]])</f>
        <v>9</v>
      </c>
      <c r="L1448" t="str" cm="1">
        <f t="array" ref="L1448">_xlfn.IFS(orders[[#This Row],[Customer Gender]]="M","Male", orders[[#This Row],[Customer Gender]]="F","Female", orders[[#This Row],[Customer Gender]]="O","Other", TRUE,"Unknown")</f>
        <v>Male</v>
      </c>
      <c r="M1448">
        <v>2</v>
      </c>
      <c r="N1448">
        <v>39.799999999999997</v>
      </c>
      <c r="O1448" s="5">
        <v>79.599999999999994</v>
      </c>
    </row>
    <row r="1449" spans="1:15" x14ac:dyDescent="0.3">
      <c r="A1449" t="s">
        <v>1547</v>
      </c>
      <c r="B1449" t="s">
        <v>38</v>
      </c>
      <c r="C1449" s="7">
        <v>45711</v>
      </c>
      <c r="D1449" s="7">
        <v>45712</v>
      </c>
      <c r="E1449" t="s">
        <v>2517</v>
      </c>
      <c r="F1449" t="s">
        <v>17</v>
      </c>
      <c r="G1449">
        <v>5</v>
      </c>
      <c r="H1449" t="s">
        <v>18</v>
      </c>
      <c r="I1449" t="s">
        <v>114</v>
      </c>
      <c r="J1449">
        <f>orders[[#This Row],[Ship Date]]-orders[[#This Row],[Order Date]]</f>
        <v>1</v>
      </c>
      <c r="K1449">
        <f>WEEKNUM(orders[[#This Row],[Order Date]])</f>
        <v>9</v>
      </c>
      <c r="L1449" t="str" cm="1">
        <f t="array" ref="L1449">_xlfn.IFS(orders[[#This Row],[Customer Gender]]="M","Male", orders[[#This Row],[Customer Gender]]="F","Female", orders[[#This Row],[Customer Gender]]="O","Other", TRUE,"Unknown")</f>
        <v>Unknown</v>
      </c>
      <c r="M1449">
        <v>5</v>
      </c>
      <c r="N1449">
        <v>61</v>
      </c>
      <c r="O1449">
        <v>305</v>
      </c>
    </row>
    <row r="1450" spans="1:15" x14ac:dyDescent="0.3">
      <c r="A1450" t="s">
        <v>1548</v>
      </c>
      <c r="B1450" t="s">
        <v>43</v>
      </c>
      <c r="C1450" s="7">
        <v>45712</v>
      </c>
      <c r="D1450" s="7">
        <v>45717</v>
      </c>
      <c r="E1450" t="s">
        <v>22</v>
      </c>
      <c r="F1450" t="s">
        <v>50</v>
      </c>
      <c r="G1450">
        <v>5</v>
      </c>
      <c r="H1450" t="s">
        <v>18</v>
      </c>
      <c r="I1450" t="s">
        <v>27</v>
      </c>
      <c r="J1450">
        <f>orders[[#This Row],[Ship Date]]-orders[[#This Row],[Order Date]]</f>
        <v>5</v>
      </c>
      <c r="K1450">
        <f>WEEKNUM(orders[[#This Row],[Order Date]])</f>
        <v>9</v>
      </c>
      <c r="L1450" t="str" cm="1">
        <f t="array" ref="L1450">_xlfn.IFS(orders[[#This Row],[Customer Gender]]="M","Male", orders[[#This Row],[Customer Gender]]="F","Female", orders[[#This Row],[Customer Gender]]="O","Other", TRUE,"Unknown")</f>
        <v>Male</v>
      </c>
      <c r="M1450">
        <v>11</v>
      </c>
      <c r="N1450">
        <v>15.1</v>
      </c>
      <c r="O1450" s="5">
        <v>166.1</v>
      </c>
    </row>
    <row r="1451" spans="1:15" x14ac:dyDescent="0.3">
      <c r="A1451" t="s">
        <v>1549</v>
      </c>
      <c r="B1451" t="s">
        <v>21</v>
      </c>
      <c r="C1451" s="7">
        <v>45712</v>
      </c>
      <c r="D1451" s="7">
        <v>45713</v>
      </c>
      <c r="E1451" t="s">
        <v>22</v>
      </c>
      <c r="F1451" t="s">
        <v>69</v>
      </c>
      <c r="G1451">
        <v>4</v>
      </c>
      <c r="H1451" t="s">
        <v>18</v>
      </c>
      <c r="I1451" t="s">
        <v>32</v>
      </c>
      <c r="J1451">
        <f>orders[[#This Row],[Ship Date]]-orders[[#This Row],[Order Date]]</f>
        <v>1</v>
      </c>
      <c r="K1451">
        <f>WEEKNUM(orders[[#This Row],[Order Date]])</f>
        <v>9</v>
      </c>
      <c r="L1451" t="str" cm="1">
        <f t="array" ref="L1451">_xlfn.IFS(orders[[#This Row],[Customer Gender]]="M","Male", orders[[#This Row],[Customer Gender]]="F","Female", orders[[#This Row],[Customer Gender]]="O","Other", TRUE,"Unknown")</f>
        <v>Male</v>
      </c>
      <c r="M1451">
        <v>7</v>
      </c>
      <c r="N1451">
        <v>71.3</v>
      </c>
      <c r="O1451">
        <v>499.09999999999997</v>
      </c>
    </row>
    <row r="1452" spans="1:15" x14ac:dyDescent="0.3">
      <c r="A1452" t="s">
        <v>1550</v>
      </c>
      <c r="B1452" t="s">
        <v>53</v>
      </c>
      <c r="C1452" s="7">
        <v>45712</v>
      </c>
      <c r="D1452" s="7">
        <v>45714</v>
      </c>
      <c r="E1452" t="s">
        <v>26</v>
      </c>
      <c r="F1452" t="s">
        <v>17</v>
      </c>
      <c r="G1452">
        <v>5</v>
      </c>
      <c r="H1452" t="s">
        <v>18</v>
      </c>
      <c r="I1452" t="s">
        <v>32</v>
      </c>
      <c r="J1452">
        <f>orders[[#This Row],[Ship Date]]-orders[[#This Row],[Order Date]]</f>
        <v>2</v>
      </c>
      <c r="K1452">
        <f>WEEKNUM(orders[[#This Row],[Order Date]])</f>
        <v>9</v>
      </c>
      <c r="L1452" t="str" cm="1">
        <f t="array" ref="L1452">_xlfn.IFS(orders[[#This Row],[Customer Gender]]="M","Male", orders[[#This Row],[Customer Gender]]="F","Female", orders[[#This Row],[Customer Gender]]="O","Other", TRUE,"Unknown")</f>
        <v>Female</v>
      </c>
      <c r="M1452">
        <v>1</v>
      </c>
      <c r="N1452">
        <v>25.8</v>
      </c>
      <c r="O1452" s="5">
        <v>25.8</v>
      </c>
    </row>
    <row r="1453" spans="1:15" x14ac:dyDescent="0.3">
      <c r="A1453" t="s">
        <v>1551</v>
      </c>
      <c r="B1453" t="s">
        <v>43</v>
      </c>
      <c r="C1453" s="7">
        <v>45712</v>
      </c>
      <c r="D1453" s="7">
        <v>45714</v>
      </c>
      <c r="E1453" t="s">
        <v>22</v>
      </c>
      <c r="F1453" t="s">
        <v>34</v>
      </c>
      <c r="G1453">
        <v>5</v>
      </c>
      <c r="H1453" t="s">
        <v>18</v>
      </c>
      <c r="I1453" t="s">
        <v>32</v>
      </c>
      <c r="J1453">
        <f>orders[[#This Row],[Ship Date]]-orders[[#This Row],[Order Date]]</f>
        <v>2</v>
      </c>
      <c r="K1453">
        <f>WEEKNUM(orders[[#This Row],[Order Date]])</f>
        <v>9</v>
      </c>
      <c r="L1453" t="str" cm="1">
        <f t="array" ref="L1453">_xlfn.IFS(orders[[#This Row],[Customer Gender]]="M","Male", orders[[#This Row],[Customer Gender]]="F","Female", orders[[#This Row],[Customer Gender]]="O","Other", TRUE,"Unknown")</f>
        <v>Male</v>
      </c>
      <c r="M1453">
        <v>5</v>
      </c>
      <c r="N1453">
        <v>39.6</v>
      </c>
      <c r="O1453">
        <v>198</v>
      </c>
    </row>
    <row r="1454" spans="1:15" x14ac:dyDescent="0.3">
      <c r="A1454" t="s">
        <v>1552</v>
      </c>
      <c r="B1454" t="s">
        <v>36</v>
      </c>
      <c r="C1454" s="7">
        <v>45712</v>
      </c>
      <c r="D1454" s="7">
        <v>45712</v>
      </c>
      <c r="E1454" t="s">
        <v>22</v>
      </c>
      <c r="F1454" t="s">
        <v>34</v>
      </c>
      <c r="G1454">
        <v>3</v>
      </c>
      <c r="H1454" t="s">
        <v>18</v>
      </c>
      <c r="I1454" t="s">
        <v>32</v>
      </c>
      <c r="J1454">
        <f>orders[[#This Row],[Ship Date]]-orders[[#This Row],[Order Date]]</f>
        <v>0</v>
      </c>
      <c r="K1454">
        <f>WEEKNUM(orders[[#This Row],[Order Date]])</f>
        <v>9</v>
      </c>
      <c r="L1454" t="str" cm="1">
        <f t="array" ref="L1454">_xlfn.IFS(orders[[#This Row],[Customer Gender]]="M","Male", orders[[#This Row],[Customer Gender]]="F","Female", orders[[#This Row],[Customer Gender]]="O","Other", TRUE,"Unknown")</f>
        <v>Male</v>
      </c>
      <c r="M1454">
        <v>2</v>
      </c>
      <c r="N1454">
        <v>64</v>
      </c>
      <c r="O1454" s="5">
        <v>128</v>
      </c>
    </row>
    <row r="1455" spans="1:15" x14ac:dyDescent="0.3">
      <c r="A1455" t="s">
        <v>1553</v>
      </c>
      <c r="B1455" t="s">
        <v>43</v>
      </c>
      <c r="C1455" s="7">
        <v>45712</v>
      </c>
      <c r="D1455" s="7">
        <v>45715</v>
      </c>
      <c r="E1455" t="s">
        <v>22</v>
      </c>
      <c r="F1455" t="s">
        <v>17</v>
      </c>
      <c r="G1455">
        <v>5</v>
      </c>
      <c r="H1455" t="s">
        <v>18</v>
      </c>
      <c r="I1455" t="s">
        <v>32</v>
      </c>
      <c r="J1455">
        <f>orders[[#This Row],[Ship Date]]-orders[[#This Row],[Order Date]]</f>
        <v>3</v>
      </c>
      <c r="K1455">
        <f>WEEKNUM(orders[[#This Row],[Order Date]])</f>
        <v>9</v>
      </c>
      <c r="L1455" t="str" cm="1">
        <f t="array" ref="L1455">_xlfn.IFS(orders[[#This Row],[Customer Gender]]="M","Male", orders[[#This Row],[Customer Gender]]="F","Female", orders[[#This Row],[Customer Gender]]="O","Other", TRUE,"Unknown")</f>
        <v>Male</v>
      </c>
      <c r="M1455">
        <v>2</v>
      </c>
      <c r="N1455">
        <v>30.6</v>
      </c>
      <c r="O1455">
        <v>61.2</v>
      </c>
    </row>
    <row r="1456" spans="1:15" x14ac:dyDescent="0.3">
      <c r="A1456" t="s">
        <v>1554</v>
      </c>
      <c r="B1456" t="s">
        <v>43</v>
      </c>
      <c r="C1456" s="7">
        <v>45712</v>
      </c>
      <c r="D1456" s="7">
        <v>45713</v>
      </c>
      <c r="E1456" t="s">
        <v>22</v>
      </c>
      <c r="F1456" t="s">
        <v>17</v>
      </c>
      <c r="G1456">
        <v>3</v>
      </c>
      <c r="H1456" t="s">
        <v>18</v>
      </c>
      <c r="I1456" t="s">
        <v>32</v>
      </c>
      <c r="J1456">
        <f>orders[[#This Row],[Ship Date]]-orders[[#This Row],[Order Date]]</f>
        <v>1</v>
      </c>
      <c r="K1456">
        <f>WEEKNUM(orders[[#This Row],[Order Date]])</f>
        <v>9</v>
      </c>
      <c r="L1456" t="str" cm="1">
        <f t="array" ref="L1456">_xlfn.IFS(orders[[#This Row],[Customer Gender]]="M","Male", orders[[#This Row],[Customer Gender]]="F","Female", orders[[#This Row],[Customer Gender]]="O","Other", TRUE,"Unknown")</f>
        <v>Male</v>
      </c>
      <c r="M1456">
        <v>2</v>
      </c>
      <c r="N1456">
        <v>21.3</v>
      </c>
      <c r="O1456" s="5">
        <v>42.6</v>
      </c>
    </row>
    <row r="1457" spans="1:15" x14ac:dyDescent="0.3">
      <c r="A1457" t="s">
        <v>1555</v>
      </c>
      <c r="B1457" t="s">
        <v>41</v>
      </c>
      <c r="C1457" s="7">
        <v>45712</v>
      </c>
      <c r="D1457" s="7">
        <v>45714</v>
      </c>
      <c r="E1457" t="s">
        <v>26</v>
      </c>
      <c r="F1457" t="s">
        <v>69</v>
      </c>
      <c r="G1457">
        <v>4</v>
      </c>
      <c r="H1457" t="s">
        <v>18</v>
      </c>
      <c r="I1457" t="s">
        <v>32</v>
      </c>
      <c r="J1457">
        <f>orders[[#This Row],[Ship Date]]-orders[[#This Row],[Order Date]]</f>
        <v>2</v>
      </c>
      <c r="K1457">
        <f>WEEKNUM(orders[[#This Row],[Order Date]])</f>
        <v>9</v>
      </c>
      <c r="L1457" t="str" cm="1">
        <f t="array" ref="L1457">_xlfn.IFS(orders[[#This Row],[Customer Gender]]="M","Male", orders[[#This Row],[Customer Gender]]="F","Female", orders[[#This Row],[Customer Gender]]="O","Other", TRUE,"Unknown")</f>
        <v>Female</v>
      </c>
      <c r="M1457">
        <v>1</v>
      </c>
      <c r="N1457">
        <v>40.799999999999997</v>
      </c>
      <c r="O1457">
        <v>40.799999999999997</v>
      </c>
    </row>
    <row r="1458" spans="1:15" x14ac:dyDescent="0.3">
      <c r="A1458" t="s">
        <v>1556</v>
      </c>
      <c r="B1458" t="s">
        <v>45</v>
      </c>
      <c r="C1458" s="7">
        <v>45712</v>
      </c>
      <c r="D1458" s="7">
        <v>45713</v>
      </c>
      <c r="E1458" t="s">
        <v>26</v>
      </c>
      <c r="F1458" t="s">
        <v>17</v>
      </c>
      <c r="G1458">
        <v>3</v>
      </c>
      <c r="H1458" t="s">
        <v>18</v>
      </c>
      <c r="I1458" t="s">
        <v>32</v>
      </c>
      <c r="J1458">
        <f>orders[[#This Row],[Ship Date]]-orders[[#This Row],[Order Date]]</f>
        <v>1</v>
      </c>
      <c r="K1458">
        <f>WEEKNUM(orders[[#This Row],[Order Date]])</f>
        <v>9</v>
      </c>
      <c r="L1458" t="str" cm="1">
        <f t="array" ref="L1458">_xlfn.IFS(orders[[#This Row],[Customer Gender]]="M","Male", orders[[#This Row],[Customer Gender]]="F","Female", orders[[#This Row],[Customer Gender]]="O","Other", TRUE,"Unknown")</f>
        <v>Female</v>
      </c>
      <c r="M1458">
        <v>4</v>
      </c>
      <c r="N1458">
        <v>27.7</v>
      </c>
      <c r="O1458" s="5">
        <v>110.8</v>
      </c>
    </row>
    <row r="1459" spans="1:15" x14ac:dyDescent="0.3">
      <c r="A1459" t="s">
        <v>1557</v>
      </c>
      <c r="B1459" t="s">
        <v>38</v>
      </c>
      <c r="C1459" s="7">
        <v>45712</v>
      </c>
      <c r="D1459" s="7">
        <v>45713</v>
      </c>
      <c r="E1459" t="s">
        <v>22</v>
      </c>
      <c r="F1459" t="s">
        <v>17</v>
      </c>
      <c r="G1459">
        <v>3</v>
      </c>
      <c r="H1459" t="s">
        <v>18</v>
      </c>
      <c r="I1459" t="s">
        <v>32</v>
      </c>
      <c r="J1459">
        <f>orders[[#This Row],[Ship Date]]-orders[[#This Row],[Order Date]]</f>
        <v>1</v>
      </c>
      <c r="K1459">
        <f>WEEKNUM(orders[[#This Row],[Order Date]])</f>
        <v>9</v>
      </c>
      <c r="L1459" t="str" cm="1">
        <f t="array" ref="L1459">_xlfn.IFS(orders[[#This Row],[Customer Gender]]="M","Male", orders[[#This Row],[Customer Gender]]="F","Female", orders[[#This Row],[Customer Gender]]="O","Other", TRUE,"Unknown")</f>
        <v>Male</v>
      </c>
      <c r="M1459">
        <v>2</v>
      </c>
      <c r="N1459">
        <v>64.599999999999994</v>
      </c>
      <c r="O1459">
        <v>129.19999999999999</v>
      </c>
    </row>
    <row r="1460" spans="1:15" x14ac:dyDescent="0.3">
      <c r="A1460" t="s">
        <v>1558</v>
      </c>
      <c r="B1460" t="s">
        <v>38</v>
      </c>
      <c r="C1460" s="7">
        <v>45712</v>
      </c>
      <c r="D1460" s="7">
        <v>45713</v>
      </c>
      <c r="E1460" t="s">
        <v>26</v>
      </c>
      <c r="F1460" t="s">
        <v>34</v>
      </c>
      <c r="G1460">
        <v>5</v>
      </c>
      <c r="H1460" t="s">
        <v>18</v>
      </c>
      <c r="I1460" t="s">
        <v>32</v>
      </c>
      <c r="J1460">
        <f>orders[[#This Row],[Ship Date]]-orders[[#This Row],[Order Date]]</f>
        <v>1</v>
      </c>
      <c r="K1460">
        <f>WEEKNUM(orders[[#This Row],[Order Date]])</f>
        <v>9</v>
      </c>
      <c r="L1460" t="str" cm="1">
        <f t="array" ref="L1460">_xlfn.IFS(orders[[#This Row],[Customer Gender]]="M","Male", orders[[#This Row],[Customer Gender]]="F","Female", orders[[#This Row],[Customer Gender]]="O","Other", TRUE,"Unknown")</f>
        <v>Female</v>
      </c>
      <c r="M1460">
        <v>16</v>
      </c>
      <c r="N1460">
        <v>91.1</v>
      </c>
      <c r="O1460" s="5">
        <v>1457.6</v>
      </c>
    </row>
    <row r="1461" spans="1:15" x14ac:dyDescent="0.3">
      <c r="A1461" t="s">
        <v>1559</v>
      </c>
      <c r="B1461" t="s">
        <v>21</v>
      </c>
      <c r="C1461" s="7">
        <v>45712</v>
      </c>
      <c r="D1461" s="7">
        <v>45720</v>
      </c>
      <c r="E1461" t="s">
        <v>26</v>
      </c>
      <c r="F1461" t="s">
        <v>17</v>
      </c>
      <c r="G1461">
        <v>4</v>
      </c>
      <c r="H1461" t="s">
        <v>18</v>
      </c>
      <c r="I1461" t="s">
        <v>32</v>
      </c>
      <c r="J1461">
        <f>orders[[#This Row],[Ship Date]]-orders[[#This Row],[Order Date]]</f>
        <v>8</v>
      </c>
      <c r="K1461">
        <f>WEEKNUM(orders[[#This Row],[Order Date]])</f>
        <v>9</v>
      </c>
      <c r="L1461" t="str" cm="1">
        <f t="array" ref="L1461">_xlfn.IFS(orders[[#This Row],[Customer Gender]]="M","Male", orders[[#This Row],[Customer Gender]]="F","Female", orders[[#This Row],[Customer Gender]]="O","Other", TRUE,"Unknown")</f>
        <v>Female</v>
      </c>
      <c r="M1461">
        <v>1</v>
      </c>
      <c r="N1461">
        <v>39.5</v>
      </c>
      <c r="O1461">
        <v>39.5</v>
      </c>
    </row>
    <row r="1462" spans="1:15" x14ac:dyDescent="0.3">
      <c r="A1462" t="s">
        <v>1560</v>
      </c>
      <c r="B1462" t="s">
        <v>45</v>
      </c>
      <c r="C1462" s="7">
        <v>45712</v>
      </c>
      <c r="D1462" s="7">
        <v>45716</v>
      </c>
      <c r="E1462" t="s">
        <v>22</v>
      </c>
      <c r="F1462" t="s">
        <v>69</v>
      </c>
      <c r="G1462">
        <v>5</v>
      </c>
      <c r="H1462" t="s">
        <v>18</v>
      </c>
      <c r="I1462" t="s">
        <v>32</v>
      </c>
      <c r="J1462">
        <f>orders[[#This Row],[Ship Date]]-orders[[#This Row],[Order Date]]</f>
        <v>4</v>
      </c>
      <c r="K1462">
        <f>WEEKNUM(orders[[#This Row],[Order Date]])</f>
        <v>9</v>
      </c>
      <c r="L1462" t="str" cm="1">
        <f t="array" ref="L1462">_xlfn.IFS(orders[[#This Row],[Customer Gender]]="M","Male", orders[[#This Row],[Customer Gender]]="F","Female", orders[[#This Row],[Customer Gender]]="O","Other", TRUE,"Unknown")</f>
        <v>Male</v>
      </c>
      <c r="M1462">
        <v>2</v>
      </c>
      <c r="N1462">
        <v>21.8</v>
      </c>
      <c r="O1462" s="5">
        <v>43.6</v>
      </c>
    </row>
    <row r="1463" spans="1:15" x14ac:dyDescent="0.3">
      <c r="A1463" t="s">
        <v>1561</v>
      </c>
      <c r="B1463" t="s">
        <v>43</v>
      </c>
      <c r="C1463" s="7">
        <v>45712</v>
      </c>
      <c r="D1463" s="7">
        <v>45715</v>
      </c>
      <c r="E1463" t="s">
        <v>22</v>
      </c>
      <c r="F1463" t="s">
        <v>50</v>
      </c>
      <c r="G1463">
        <v>5</v>
      </c>
      <c r="H1463" t="s">
        <v>18</v>
      </c>
      <c r="I1463" t="s">
        <v>32</v>
      </c>
      <c r="J1463">
        <f>orders[[#This Row],[Ship Date]]-orders[[#This Row],[Order Date]]</f>
        <v>3</v>
      </c>
      <c r="K1463">
        <f>WEEKNUM(orders[[#This Row],[Order Date]])</f>
        <v>9</v>
      </c>
      <c r="L1463" t="str" cm="1">
        <f t="array" ref="L1463">_xlfn.IFS(orders[[#This Row],[Customer Gender]]="M","Male", orders[[#This Row],[Customer Gender]]="F","Female", orders[[#This Row],[Customer Gender]]="O","Other", TRUE,"Unknown")</f>
        <v>Male</v>
      </c>
      <c r="M1463">
        <v>2</v>
      </c>
      <c r="N1463">
        <v>51</v>
      </c>
      <c r="O1463">
        <v>102</v>
      </c>
    </row>
    <row r="1464" spans="1:15" x14ac:dyDescent="0.3">
      <c r="A1464" t="s">
        <v>1562</v>
      </c>
      <c r="B1464" t="s">
        <v>25</v>
      </c>
      <c r="C1464" s="7">
        <v>45712</v>
      </c>
      <c r="D1464" s="7">
        <v>45715</v>
      </c>
      <c r="E1464" t="s">
        <v>26</v>
      </c>
      <c r="F1464" t="s">
        <v>17</v>
      </c>
      <c r="G1464">
        <v>5</v>
      </c>
      <c r="H1464" t="s">
        <v>18</v>
      </c>
      <c r="I1464" t="s">
        <v>337</v>
      </c>
      <c r="J1464">
        <f>orders[[#This Row],[Ship Date]]-orders[[#This Row],[Order Date]]</f>
        <v>3</v>
      </c>
      <c r="K1464">
        <f>WEEKNUM(orders[[#This Row],[Order Date]])</f>
        <v>9</v>
      </c>
      <c r="L1464" t="str" cm="1">
        <f t="array" ref="L1464">_xlfn.IFS(orders[[#This Row],[Customer Gender]]="M","Male", orders[[#This Row],[Customer Gender]]="F","Female", orders[[#This Row],[Customer Gender]]="O","Other", TRUE,"Unknown")</f>
        <v>Female</v>
      </c>
      <c r="M1464">
        <v>1</v>
      </c>
      <c r="N1464">
        <v>92.6</v>
      </c>
      <c r="O1464" s="5">
        <v>92.6</v>
      </c>
    </row>
    <row r="1465" spans="1:15" x14ac:dyDescent="0.3">
      <c r="A1465" t="s">
        <v>1563</v>
      </c>
      <c r="B1465" t="s">
        <v>45</v>
      </c>
      <c r="C1465" s="7">
        <v>45712</v>
      </c>
      <c r="D1465" s="7">
        <v>45717</v>
      </c>
      <c r="E1465" t="s">
        <v>2517</v>
      </c>
      <c r="F1465" t="s">
        <v>34</v>
      </c>
      <c r="G1465">
        <v>1</v>
      </c>
      <c r="H1465" t="s">
        <v>18</v>
      </c>
      <c r="I1465" t="s">
        <v>157</v>
      </c>
      <c r="J1465">
        <f>orders[[#This Row],[Ship Date]]-orders[[#This Row],[Order Date]]</f>
        <v>5</v>
      </c>
      <c r="K1465">
        <f>WEEKNUM(orders[[#This Row],[Order Date]])</f>
        <v>9</v>
      </c>
      <c r="L1465" t="str" cm="1">
        <f t="array" ref="L1465">_xlfn.IFS(orders[[#This Row],[Customer Gender]]="M","Male", orders[[#This Row],[Customer Gender]]="F","Female", orders[[#This Row],[Customer Gender]]="O","Other", TRUE,"Unknown")</f>
        <v>Unknown</v>
      </c>
      <c r="M1465">
        <v>2</v>
      </c>
      <c r="N1465">
        <v>31.1</v>
      </c>
      <c r="O1465">
        <v>62.2</v>
      </c>
    </row>
    <row r="1466" spans="1:15" x14ac:dyDescent="0.3">
      <c r="A1466" t="s">
        <v>1564</v>
      </c>
      <c r="B1466" t="s">
        <v>36</v>
      </c>
      <c r="C1466" s="7">
        <v>45712</v>
      </c>
      <c r="D1466" s="7">
        <v>45713</v>
      </c>
      <c r="E1466" t="s">
        <v>2517</v>
      </c>
      <c r="F1466" t="s">
        <v>34</v>
      </c>
      <c r="G1466">
        <v>4</v>
      </c>
      <c r="H1466" t="s">
        <v>18</v>
      </c>
      <c r="I1466" t="s">
        <v>54</v>
      </c>
      <c r="J1466">
        <f>orders[[#This Row],[Ship Date]]-orders[[#This Row],[Order Date]]</f>
        <v>1</v>
      </c>
      <c r="K1466">
        <f>WEEKNUM(orders[[#This Row],[Order Date]])</f>
        <v>9</v>
      </c>
      <c r="L1466" t="str" cm="1">
        <f t="array" ref="L1466">_xlfn.IFS(orders[[#This Row],[Customer Gender]]="M","Male", orders[[#This Row],[Customer Gender]]="F","Female", orders[[#This Row],[Customer Gender]]="O","Other", TRUE,"Unknown")</f>
        <v>Unknown</v>
      </c>
      <c r="M1466">
        <v>3</v>
      </c>
      <c r="N1466">
        <v>56.4</v>
      </c>
      <c r="O1466" s="5">
        <v>169.2</v>
      </c>
    </row>
    <row r="1467" spans="1:15" x14ac:dyDescent="0.3">
      <c r="A1467" t="s">
        <v>1565</v>
      </c>
      <c r="B1467" t="s">
        <v>45</v>
      </c>
      <c r="C1467" s="7">
        <v>45712</v>
      </c>
      <c r="D1467" s="7">
        <v>45712</v>
      </c>
      <c r="E1467" t="s">
        <v>22</v>
      </c>
      <c r="F1467" t="s">
        <v>34</v>
      </c>
      <c r="G1467">
        <v>4</v>
      </c>
      <c r="H1467" t="s">
        <v>18</v>
      </c>
      <c r="I1467" t="s">
        <v>54</v>
      </c>
      <c r="J1467">
        <f>orders[[#This Row],[Ship Date]]-orders[[#This Row],[Order Date]]</f>
        <v>0</v>
      </c>
      <c r="K1467">
        <f>WEEKNUM(orders[[#This Row],[Order Date]])</f>
        <v>9</v>
      </c>
      <c r="L1467" t="str" cm="1">
        <f t="array" ref="L1467">_xlfn.IFS(orders[[#This Row],[Customer Gender]]="M","Male", orders[[#This Row],[Customer Gender]]="F","Female", orders[[#This Row],[Customer Gender]]="O","Other", TRUE,"Unknown")</f>
        <v>Male</v>
      </c>
      <c r="M1467">
        <v>1</v>
      </c>
      <c r="N1467">
        <v>41.9</v>
      </c>
      <c r="O1467">
        <v>41.9</v>
      </c>
    </row>
    <row r="1468" spans="1:15" x14ac:dyDescent="0.3">
      <c r="A1468" t="s">
        <v>1566</v>
      </c>
      <c r="B1468" t="s">
        <v>53</v>
      </c>
      <c r="C1468" s="7">
        <v>45712</v>
      </c>
      <c r="D1468" s="7">
        <v>45713</v>
      </c>
      <c r="E1468" t="s">
        <v>22</v>
      </c>
      <c r="F1468" t="s">
        <v>50</v>
      </c>
      <c r="G1468">
        <v>5</v>
      </c>
      <c r="H1468" t="s">
        <v>18</v>
      </c>
      <c r="I1468" t="s">
        <v>61</v>
      </c>
      <c r="J1468">
        <f>orders[[#This Row],[Ship Date]]-orders[[#This Row],[Order Date]]</f>
        <v>1</v>
      </c>
      <c r="K1468">
        <f>WEEKNUM(orders[[#This Row],[Order Date]])</f>
        <v>9</v>
      </c>
      <c r="L1468" t="str" cm="1">
        <f t="array" ref="L1468">_xlfn.IFS(orders[[#This Row],[Customer Gender]]="M","Male", orders[[#This Row],[Customer Gender]]="F","Female", orders[[#This Row],[Customer Gender]]="O","Other", TRUE,"Unknown")</f>
        <v>Male</v>
      </c>
      <c r="M1468">
        <v>7</v>
      </c>
      <c r="N1468">
        <v>45.9</v>
      </c>
      <c r="O1468" s="5">
        <v>321.3</v>
      </c>
    </row>
    <row r="1469" spans="1:15" x14ac:dyDescent="0.3">
      <c r="A1469" t="s">
        <v>1567</v>
      </c>
      <c r="B1469" t="s">
        <v>80</v>
      </c>
      <c r="C1469" s="7">
        <v>45712</v>
      </c>
      <c r="D1469" s="7">
        <v>45716</v>
      </c>
      <c r="E1469" t="s">
        <v>22</v>
      </c>
      <c r="F1469" t="s">
        <v>50</v>
      </c>
      <c r="G1469">
        <v>5</v>
      </c>
      <c r="H1469" t="s">
        <v>18</v>
      </c>
      <c r="I1469" t="s">
        <v>61</v>
      </c>
      <c r="J1469">
        <f>orders[[#This Row],[Ship Date]]-orders[[#This Row],[Order Date]]</f>
        <v>4</v>
      </c>
      <c r="K1469">
        <f>WEEKNUM(orders[[#This Row],[Order Date]])</f>
        <v>9</v>
      </c>
      <c r="L1469" t="str" cm="1">
        <f t="array" ref="L1469">_xlfn.IFS(orders[[#This Row],[Customer Gender]]="M","Male", orders[[#This Row],[Customer Gender]]="F","Female", orders[[#This Row],[Customer Gender]]="O","Other", TRUE,"Unknown")</f>
        <v>Male</v>
      </c>
      <c r="M1469">
        <v>9</v>
      </c>
      <c r="N1469">
        <v>24.4</v>
      </c>
      <c r="O1469">
        <v>219.6</v>
      </c>
    </row>
    <row r="1470" spans="1:15" x14ac:dyDescent="0.3">
      <c r="A1470" t="s">
        <v>1568</v>
      </c>
      <c r="B1470" t="s">
        <v>43</v>
      </c>
      <c r="C1470" s="7">
        <v>45712</v>
      </c>
      <c r="D1470" s="7">
        <v>45713</v>
      </c>
      <c r="E1470" t="s">
        <v>26</v>
      </c>
      <c r="F1470" t="s">
        <v>39</v>
      </c>
      <c r="G1470">
        <v>5</v>
      </c>
      <c r="H1470" t="s">
        <v>18</v>
      </c>
      <c r="I1470" t="s">
        <v>61</v>
      </c>
      <c r="J1470">
        <f>orders[[#This Row],[Ship Date]]-orders[[#This Row],[Order Date]]</f>
        <v>1</v>
      </c>
      <c r="K1470">
        <f>WEEKNUM(orders[[#This Row],[Order Date]])</f>
        <v>9</v>
      </c>
      <c r="L1470" t="str" cm="1">
        <f t="array" ref="L1470">_xlfn.IFS(orders[[#This Row],[Customer Gender]]="M","Male", orders[[#This Row],[Customer Gender]]="F","Female", orders[[#This Row],[Customer Gender]]="O","Other", TRUE,"Unknown")</f>
        <v>Female</v>
      </c>
      <c r="M1470">
        <v>1</v>
      </c>
      <c r="N1470">
        <v>18.2</v>
      </c>
      <c r="O1470" s="5">
        <v>18.2</v>
      </c>
    </row>
    <row r="1471" spans="1:15" x14ac:dyDescent="0.3">
      <c r="A1471" t="s">
        <v>1569</v>
      </c>
      <c r="B1471" t="s">
        <v>43</v>
      </c>
      <c r="C1471" s="7">
        <v>45712</v>
      </c>
      <c r="D1471" s="7">
        <v>45713</v>
      </c>
      <c r="E1471" t="s">
        <v>26</v>
      </c>
      <c r="F1471" t="s">
        <v>17</v>
      </c>
      <c r="G1471">
        <v>4</v>
      </c>
      <c r="H1471" t="s">
        <v>18</v>
      </c>
      <c r="I1471" t="s">
        <v>61</v>
      </c>
      <c r="J1471">
        <f>orders[[#This Row],[Ship Date]]-orders[[#This Row],[Order Date]]</f>
        <v>1</v>
      </c>
      <c r="K1471">
        <f>WEEKNUM(orders[[#This Row],[Order Date]])</f>
        <v>9</v>
      </c>
      <c r="L1471" t="str" cm="1">
        <f t="array" ref="L1471">_xlfn.IFS(orders[[#This Row],[Customer Gender]]="M","Male", orders[[#This Row],[Customer Gender]]="F","Female", orders[[#This Row],[Customer Gender]]="O","Other", TRUE,"Unknown")</f>
        <v>Female</v>
      </c>
      <c r="M1471">
        <v>4</v>
      </c>
      <c r="N1471">
        <v>51.2</v>
      </c>
      <c r="O1471">
        <v>204.8</v>
      </c>
    </row>
    <row r="1472" spans="1:15" x14ac:dyDescent="0.3">
      <c r="A1472" t="s">
        <v>1570</v>
      </c>
      <c r="B1472" t="s">
        <v>38</v>
      </c>
      <c r="C1472" s="7">
        <v>45712</v>
      </c>
      <c r="D1472" s="7">
        <v>45715</v>
      </c>
      <c r="E1472" t="s">
        <v>22</v>
      </c>
      <c r="F1472" t="s">
        <v>17</v>
      </c>
      <c r="G1472">
        <v>5</v>
      </c>
      <c r="H1472" t="s">
        <v>18</v>
      </c>
      <c r="I1472" t="s">
        <v>61</v>
      </c>
      <c r="J1472">
        <f>orders[[#This Row],[Ship Date]]-orders[[#This Row],[Order Date]]</f>
        <v>3</v>
      </c>
      <c r="K1472">
        <f>WEEKNUM(orders[[#This Row],[Order Date]])</f>
        <v>9</v>
      </c>
      <c r="L1472" t="str" cm="1">
        <f t="array" ref="L1472">_xlfn.IFS(orders[[#This Row],[Customer Gender]]="M","Male", orders[[#This Row],[Customer Gender]]="F","Female", orders[[#This Row],[Customer Gender]]="O","Other", TRUE,"Unknown")</f>
        <v>Male</v>
      </c>
      <c r="M1472">
        <v>1</v>
      </c>
      <c r="N1472">
        <v>59.7</v>
      </c>
      <c r="O1472" s="5">
        <v>59.7</v>
      </c>
    </row>
    <row r="1473" spans="1:15" x14ac:dyDescent="0.3">
      <c r="A1473" t="s">
        <v>1571</v>
      </c>
      <c r="B1473" t="s">
        <v>31</v>
      </c>
      <c r="C1473" s="7">
        <v>45712</v>
      </c>
      <c r="D1473" s="7">
        <v>45714</v>
      </c>
      <c r="E1473" t="s">
        <v>26</v>
      </c>
      <c r="F1473" t="s">
        <v>17</v>
      </c>
      <c r="G1473">
        <v>4</v>
      </c>
      <c r="H1473" t="s">
        <v>18</v>
      </c>
      <c r="I1473" t="s">
        <v>102</v>
      </c>
      <c r="J1473">
        <f>orders[[#This Row],[Ship Date]]-orders[[#This Row],[Order Date]]</f>
        <v>2</v>
      </c>
      <c r="K1473">
        <f>WEEKNUM(orders[[#This Row],[Order Date]])</f>
        <v>9</v>
      </c>
      <c r="L1473" t="str" cm="1">
        <f t="array" ref="L1473">_xlfn.IFS(orders[[#This Row],[Customer Gender]]="M","Male", orders[[#This Row],[Customer Gender]]="F","Female", orders[[#This Row],[Customer Gender]]="O","Other", TRUE,"Unknown")</f>
        <v>Female</v>
      </c>
      <c r="M1473">
        <v>2</v>
      </c>
      <c r="N1473">
        <v>33.6</v>
      </c>
      <c r="O1473">
        <v>67.2</v>
      </c>
    </row>
    <row r="1474" spans="1:15" x14ac:dyDescent="0.3">
      <c r="A1474" t="s">
        <v>1572</v>
      </c>
      <c r="B1474" t="s">
        <v>68</v>
      </c>
      <c r="C1474" s="7">
        <v>45712</v>
      </c>
      <c r="D1474" s="7">
        <v>45716</v>
      </c>
      <c r="E1474" t="s">
        <v>22</v>
      </c>
      <c r="F1474" t="s">
        <v>34</v>
      </c>
      <c r="G1474">
        <v>5</v>
      </c>
      <c r="H1474" t="s">
        <v>18</v>
      </c>
      <c r="I1474" t="s">
        <v>73</v>
      </c>
      <c r="J1474">
        <f>orders[[#This Row],[Ship Date]]-orders[[#This Row],[Order Date]]</f>
        <v>4</v>
      </c>
      <c r="K1474">
        <f>WEEKNUM(orders[[#This Row],[Order Date]])</f>
        <v>9</v>
      </c>
      <c r="L1474" t="str" cm="1">
        <f t="array" ref="L1474">_xlfn.IFS(orders[[#This Row],[Customer Gender]]="M","Male", orders[[#This Row],[Customer Gender]]="F","Female", orders[[#This Row],[Customer Gender]]="O","Other", TRUE,"Unknown")</f>
        <v>Male</v>
      </c>
      <c r="M1474">
        <v>1</v>
      </c>
      <c r="N1474">
        <v>90.4</v>
      </c>
      <c r="O1474" s="5">
        <v>90.4</v>
      </c>
    </row>
    <row r="1475" spans="1:15" x14ac:dyDescent="0.3">
      <c r="A1475" t="s">
        <v>1573</v>
      </c>
      <c r="B1475" t="s">
        <v>66</v>
      </c>
      <c r="C1475" s="7">
        <v>45712</v>
      </c>
      <c r="D1475" s="7">
        <v>45712</v>
      </c>
      <c r="E1475" t="s">
        <v>22</v>
      </c>
      <c r="F1475" t="s">
        <v>34</v>
      </c>
      <c r="G1475">
        <v>5</v>
      </c>
      <c r="H1475" t="s">
        <v>18</v>
      </c>
      <c r="I1475" t="s">
        <v>76</v>
      </c>
      <c r="J1475">
        <f>orders[[#This Row],[Ship Date]]-orders[[#This Row],[Order Date]]</f>
        <v>0</v>
      </c>
      <c r="K1475">
        <f>WEEKNUM(orders[[#This Row],[Order Date]])</f>
        <v>9</v>
      </c>
      <c r="L1475" t="str" cm="1">
        <f t="array" ref="L1475">_xlfn.IFS(orders[[#This Row],[Customer Gender]]="M","Male", orders[[#This Row],[Customer Gender]]="F","Female", orders[[#This Row],[Customer Gender]]="O","Other", TRUE,"Unknown")</f>
        <v>Male</v>
      </c>
      <c r="M1475">
        <v>3</v>
      </c>
      <c r="N1475">
        <v>70.3</v>
      </c>
      <c r="O1475">
        <v>210.89999999999998</v>
      </c>
    </row>
    <row r="1476" spans="1:15" x14ac:dyDescent="0.3">
      <c r="A1476" t="s">
        <v>1574</v>
      </c>
      <c r="B1476" t="s">
        <v>31</v>
      </c>
      <c r="C1476" s="7">
        <v>45712</v>
      </c>
      <c r="D1476" s="7">
        <v>45715</v>
      </c>
      <c r="E1476" t="s">
        <v>26</v>
      </c>
      <c r="F1476" t="s">
        <v>17</v>
      </c>
      <c r="G1476">
        <v>3</v>
      </c>
      <c r="H1476" t="s">
        <v>18</v>
      </c>
      <c r="I1476" t="s">
        <v>76</v>
      </c>
      <c r="J1476">
        <f>orders[[#This Row],[Ship Date]]-orders[[#This Row],[Order Date]]</f>
        <v>3</v>
      </c>
      <c r="K1476">
        <f>WEEKNUM(orders[[#This Row],[Order Date]])</f>
        <v>9</v>
      </c>
      <c r="L1476" t="str" cm="1">
        <f t="array" ref="L1476">_xlfn.IFS(orders[[#This Row],[Customer Gender]]="M","Male", orders[[#This Row],[Customer Gender]]="F","Female", orders[[#This Row],[Customer Gender]]="O","Other", TRUE,"Unknown")</f>
        <v>Female</v>
      </c>
      <c r="M1476">
        <v>2</v>
      </c>
      <c r="N1476">
        <v>20.5</v>
      </c>
      <c r="O1476" s="5">
        <v>41</v>
      </c>
    </row>
    <row r="1477" spans="1:15" x14ac:dyDescent="0.3">
      <c r="A1477" t="s">
        <v>1575</v>
      </c>
      <c r="B1477" t="s">
        <v>36</v>
      </c>
      <c r="C1477" s="7">
        <v>45712</v>
      </c>
      <c r="D1477" s="7">
        <v>45713</v>
      </c>
      <c r="E1477" t="s">
        <v>22</v>
      </c>
      <c r="F1477" t="s">
        <v>17</v>
      </c>
      <c r="G1477">
        <v>4</v>
      </c>
      <c r="H1477" t="s">
        <v>18</v>
      </c>
      <c r="I1477" t="s">
        <v>376</v>
      </c>
      <c r="J1477">
        <f>orders[[#This Row],[Ship Date]]-orders[[#This Row],[Order Date]]</f>
        <v>1</v>
      </c>
      <c r="K1477">
        <f>WEEKNUM(orders[[#This Row],[Order Date]])</f>
        <v>9</v>
      </c>
      <c r="L1477" t="str" cm="1">
        <f t="array" ref="L1477">_xlfn.IFS(orders[[#This Row],[Customer Gender]]="M","Male", orders[[#This Row],[Customer Gender]]="F","Female", orders[[#This Row],[Customer Gender]]="O","Other", TRUE,"Unknown")</f>
        <v>Male</v>
      </c>
      <c r="M1477">
        <v>11</v>
      </c>
      <c r="N1477">
        <v>37.6</v>
      </c>
      <c r="O1477">
        <v>413.6</v>
      </c>
    </row>
    <row r="1478" spans="1:15" x14ac:dyDescent="0.3">
      <c r="A1478" t="s">
        <v>1576</v>
      </c>
      <c r="B1478" t="s">
        <v>36</v>
      </c>
      <c r="C1478" s="7">
        <v>45712</v>
      </c>
      <c r="D1478" s="7">
        <v>45719</v>
      </c>
      <c r="E1478" t="s">
        <v>26</v>
      </c>
      <c r="F1478" t="s">
        <v>34</v>
      </c>
      <c r="G1478">
        <v>2</v>
      </c>
      <c r="H1478" t="s">
        <v>18</v>
      </c>
      <c r="I1478" t="s">
        <v>81</v>
      </c>
      <c r="J1478">
        <f>orders[[#This Row],[Ship Date]]-orders[[#This Row],[Order Date]]</f>
        <v>7</v>
      </c>
      <c r="K1478">
        <f>WEEKNUM(orders[[#This Row],[Order Date]])</f>
        <v>9</v>
      </c>
      <c r="L1478" t="str" cm="1">
        <f t="array" ref="L1478">_xlfn.IFS(orders[[#This Row],[Customer Gender]]="M","Male", orders[[#This Row],[Customer Gender]]="F","Female", orders[[#This Row],[Customer Gender]]="O","Other", TRUE,"Unknown")</f>
        <v>Female</v>
      </c>
      <c r="M1478">
        <v>4</v>
      </c>
      <c r="N1478">
        <v>61.5</v>
      </c>
      <c r="O1478" s="5">
        <v>246</v>
      </c>
    </row>
    <row r="1479" spans="1:15" x14ac:dyDescent="0.3">
      <c r="A1479" t="s">
        <v>1577</v>
      </c>
      <c r="B1479" t="s">
        <v>45</v>
      </c>
      <c r="C1479" s="7">
        <v>45713</v>
      </c>
      <c r="D1479" s="7">
        <v>45717</v>
      </c>
      <c r="E1479" t="s">
        <v>22</v>
      </c>
      <c r="F1479" t="s">
        <v>69</v>
      </c>
      <c r="G1479">
        <v>3</v>
      </c>
      <c r="H1479" t="s">
        <v>18</v>
      </c>
      <c r="I1479" t="s">
        <v>114</v>
      </c>
      <c r="J1479">
        <f>orders[[#This Row],[Ship Date]]-orders[[#This Row],[Order Date]]</f>
        <v>4</v>
      </c>
      <c r="K1479">
        <f>WEEKNUM(orders[[#This Row],[Order Date]])</f>
        <v>9</v>
      </c>
      <c r="L1479" t="str" cm="1">
        <f t="array" ref="L1479">_xlfn.IFS(orders[[#This Row],[Customer Gender]]="M","Male", orders[[#This Row],[Customer Gender]]="F","Female", orders[[#This Row],[Customer Gender]]="O","Other", TRUE,"Unknown")</f>
        <v>Male</v>
      </c>
      <c r="M1479">
        <v>1</v>
      </c>
      <c r="N1479">
        <v>33.5</v>
      </c>
      <c r="O1479">
        <v>33.5</v>
      </c>
    </row>
    <row r="1480" spans="1:15" x14ac:dyDescent="0.3">
      <c r="A1480" t="s">
        <v>1578</v>
      </c>
      <c r="B1480" t="s">
        <v>31</v>
      </c>
      <c r="C1480" s="7">
        <v>45713</v>
      </c>
      <c r="D1480" s="7">
        <v>45715</v>
      </c>
      <c r="E1480" t="s">
        <v>26</v>
      </c>
      <c r="F1480" t="s">
        <v>34</v>
      </c>
      <c r="G1480">
        <v>5</v>
      </c>
      <c r="H1480" t="s">
        <v>18</v>
      </c>
      <c r="I1480" t="s">
        <v>23</v>
      </c>
      <c r="J1480">
        <f>orders[[#This Row],[Ship Date]]-orders[[#This Row],[Order Date]]</f>
        <v>2</v>
      </c>
      <c r="K1480">
        <f>WEEKNUM(orders[[#This Row],[Order Date]])</f>
        <v>9</v>
      </c>
      <c r="L1480" t="str" cm="1">
        <f t="array" ref="L1480">_xlfn.IFS(orders[[#This Row],[Customer Gender]]="M","Male", orders[[#This Row],[Customer Gender]]="F","Female", orders[[#This Row],[Customer Gender]]="O","Other", TRUE,"Unknown")</f>
        <v>Female</v>
      </c>
      <c r="M1480">
        <v>3</v>
      </c>
      <c r="N1480">
        <v>29.3</v>
      </c>
      <c r="O1480" s="5">
        <v>87.9</v>
      </c>
    </row>
    <row r="1481" spans="1:15" x14ac:dyDescent="0.3">
      <c r="A1481" t="s">
        <v>1579</v>
      </c>
      <c r="B1481" t="s">
        <v>25</v>
      </c>
      <c r="C1481" s="7">
        <v>45713</v>
      </c>
      <c r="D1481" s="7">
        <v>45718</v>
      </c>
      <c r="E1481" t="s">
        <v>26</v>
      </c>
      <c r="F1481" t="s">
        <v>69</v>
      </c>
      <c r="G1481">
        <v>3</v>
      </c>
      <c r="H1481" t="s">
        <v>18</v>
      </c>
      <c r="I1481" t="s">
        <v>23</v>
      </c>
      <c r="J1481">
        <f>orders[[#This Row],[Ship Date]]-orders[[#This Row],[Order Date]]</f>
        <v>5</v>
      </c>
      <c r="K1481">
        <f>WEEKNUM(orders[[#This Row],[Order Date]])</f>
        <v>9</v>
      </c>
      <c r="L1481" t="str" cm="1">
        <f t="array" ref="L1481">_xlfn.IFS(orders[[#This Row],[Customer Gender]]="M","Male", orders[[#This Row],[Customer Gender]]="F","Female", orders[[#This Row],[Customer Gender]]="O","Other", TRUE,"Unknown")</f>
        <v>Female</v>
      </c>
      <c r="M1481">
        <v>2</v>
      </c>
      <c r="N1481">
        <v>125.9</v>
      </c>
      <c r="O1481">
        <v>251.8</v>
      </c>
    </row>
    <row r="1482" spans="1:15" x14ac:dyDescent="0.3">
      <c r="A1482" t="s">
        <v>1580</v>
      </c>
      <c r="B1482" t="s">
        <v>36</v>
      </c>
      <c r="C1482" s="7">
        <v>45713</v>
      </c>
      <c r="D1482" s="7">
        <v>45713</v>
      </c>
      <c r="E1482" t="s">
        <v>22</v>
      </c>
      <c r="F1482" t="s">
        <v>39</v>
      </c>
      <c r="G1482">
        <v>4</v>
      </c>
      <c r="H1482" t="s">
        <v>18</v>
      </c>
      <c r="I1482" t="s">
        <v>586</v>
      </c>
      <c r="J1482">
        <f>orders[[#This Row],[Ship Date]]-orders[[#This Row],[Order Date]]</f>
        <v>0</v>
      </c>
      <c r="K1482">
        <f>WEEKNUM(orders[[#This Row],[Order Date]])</f>
        <v>9</v>
      </c>
      <c r="L1482" t="str" cm="1">
        <f t="array" ref="L1482">_xlfn.IFS(orders[[#This Row],[Customer Gender]]="M","Male", orders[[#This Row],[Customer Gender]]="F","Female", orders[[#This Row],[Customer Gender]]="O","Other", TRUE,"Unknown")</f>
        <v>Male</v>
      </c>
      <c r="M1482">
        <v>5</v>
      </c>
      <c r="N1482">
        <v>29.3</v>
      </c>
      <c r="O1482" s="5">
        <v>146.5</v>
      </c>
    </row>
    <row r="1483" spans="1:15" x14ac:dyDescent="0.3">
      <c r="A1483" t="s">
        <v>1581</v>
      </c>
      <c r="B1483" t="s">
        <v>45</v>
      </c>
      <c r="C1483" s="7">
        <v>45713</v>
      </c>
      <c r="D1483" s="7">
        <v>45716</v>
      </c>
      <c r="E1483" t="s">
        <v>26</v>
      </c>
      <c r="F1483" t="s">
        <v>17</v>
      </c>
      <c r="G1483">
        <v>5</v>
      </c>
      <c r="H1483" t="s">
        <v>18</v>
      </c>
      <c r="I1483" t="s">
        <v>32</v>
      </c>
      <c r="J1483">
        <f>orders[[#This Row],[Ship Date]]-orders[[#This Row],[Order Date]]</f>
        <v>3</v>
      </c>
      <c r="K1483">
        <f>WEEKNUM(orders[[#This Row],[Order Date]])</f>
        <v>9</v>
      </c>
      <c r="L1483" t="str" cm="1">
        <f t="array" ref="L1483">_xlfn.IFS(orders[[#This Row],[Customer Gender]]="M","Male", orders[[#This Row],[Customer Gender]]="F","Female", orders[[#This Row],[Customer Gender]]="O","Other", TRUE,"Unknown")</f>
        <v>Female</v>
      </c>
      <c r="M1483">
        <v>1</v>
      </c>
      <c r="N1483">
        <v>37.799999999999997</v>
      </c>
      <c r="O1483">
        <v>37.799999999999997</v>
      </c>
    </row>
    <row r="1484" spans="1:15" x14ac:dyDescent="0.3">
      <c r="A1484" t="s">
        <v>1582</v>
      </c>
      <c r="B1484" t="s">
        <v>16</v>
      </c>
      <c r="C1484" s="7">
        <v>45713</v>
      </c>
      <c r="D1484" s="7">
        <v>45714</v>
      </c>
      <c r="E1484" t="s">
        <v>22</v>
      </c>
      <c r="F1484" t="s">
        <v>39</v>
      </c>
      <c r="G1484">
        <v>5</v>
      </c>
      <c r="H1484" t="s">
        <v>18</v>
      </c>
      <c r="I1484" t="s">
        <v>32</v>
      </c>
      <c r="J1484">
        <f>orders[[#This Row],[Ship Date]]-orders[[#This Row],[Order Date]]</f>
        <v>1</v>
      </c>
      <c r="K1484">
        <f>WEEKNUM(orders[[#This Row],[Order Date]])</f>
        <v>9</v>
      </c>
      <c r="L1484" t="str" cm="1">
        <f t="array" ref="L1484">_xlfn.IFS(orders[[#This Row],[Customer Gender]]="M","Male", orders[[#This Row],[Customer Gender]]="F","Female", orders[[#This Row],[Customer Gender]]="O","Other", TRUE,"Unknown")</f>
        <v>Male</v>
      </c>
      <c r="M1484">
        <v>4</v>
      </c>
      <c r="N1484">
        <v>31.7</v>
      </c>
      <c r="O1484" s="5">
        <v>126.8</v>
      </c>
    </row>
    <row r="1485" spans="1:15" x14ac:dyDescent="0.3">
      <c r="A1485" t="s">
        <v>1583</v>
      </c>
      <c r="B1485" t="s">
        <v>43</v>
      </c>
      <c r="C1485" s="7">
        <v>45713</v>
      </c>
      <c r="D1485" s="7">
        <v>45714</v>
      </c>
      <c r="E1485" t="s">
        <v>26</v>
      </c>
      <c r="F1485" t="s">
        <v>50</v>
      </c>
      <c r="G1485">
        <v>5</v>
      </c>
      <c r="H1485" t="s">
        <v>18</v>
      </c>
      <c r="I1485" t="s">
        <v>32</v>
      </c>
      <c r="J1485">
        <f>orders[[#This Row],[Ship Date]]-orders[[#This Row],[Order Date]]</f>
        <v>1</v>
      </c>
      <c r="K1485">
        <f>WEEKNUM(orders[[#This Row],[Order Date]])</f>
        <v>9</v>
      </c>
      <c r="L1485" t="str" cm="1">
        <f t="array" ref="L1485">_xlfn.IFS(orders[[#This Row],[Customer Gender]]="M","Male", orders[[#This Row],[Customer Gender]]="F","Female", orders[[#This Row],[Customer Gender]]="O","Other", TRUE,"Unknown")</f>
        <v>Female</v>
      </c>
      <c r="M1485">
        <v>5</v>
      </c>
      <c r="N1485">
        <v>26.3</v>
      </c>
      <c r="O1485">
        <v>131.5</v>
      </c>
    </row>
    <row r="1486" spans="1:15" x14ac:dyDescent="0.3">
      <c r="A1486" t="s">
        <v>1584</v>
      </c>
      <c r="B1486" t="s">
        <v>43</v>
      </c>
      <c r="C1486" s="7">
        <v>45713</v>
      </c>
      <c r="D1486" s="7">
        <v>45714</v>
      </c>
      <c r="E1486" t="s">
        <v>88</v>
      </c>
      <c r="F1486" t="s">
        <v>39</v>
      </c>
      <c r="G1486">
        <v>3</v>
      </c>
      <c r="H1486" t="s">
        <v>18</v>
      </c>
      <c r="I1486" t="s">
        <v>32</v>
      </c>
      <c r="J1486">
        <f>orders[[#This Row],[Ship Date]]-orders[[#This Row],[Order Date]]</f>
        <v>1</v>
      </c>
      <c r="K1486">
        <f>WEEKNUM(orders[[#This Row],[Order Date]])</f>
        <v>9</v>
      </c>
      <c r="L1486" t="str" cm="1">
        <f t="array" ref="L1486">_xlfn.IFS(orders[[#This Row],[Customer Gender]]="M","Male", orders[[#This Row],[Customer Gender]]="F","Female", orders[[#This Row],[Customer Gender]]="O","Other", TRUE,"Unknown")</f>
        <v>Other</v>
      </c>
      <c r="M1486">
        <v>3</v>
      </c>
      <c r="N1486">
        <v>23.1</v>
      </c>
      <c r="O1486" s="5">
        <v>69.300000000000011</v>
      </c>
    </row>
    <row r="1487" spans="1:15" x14ac:dyDescent="0.3">
      <c r="A1487" t="s">
        <v>1585</v>
      </c>
      <c r="B1487" t="s">
        <v>31</v>
      </c>
      <c r="C1487" s="7">
        <v>45713</v>
      </c>
      <c r="D1487" s="7">
        <v>45715</v>
      </c>
      <c r="E1487" t="s">
        <v>26</v>
      </c>
      <c r="F1487" t="s">
        <v>39</v>
      </c>
      <c r="G1487">
        <v>4</v>
      </c>
      <c r="H1487" t="s">
        <v>18</v>
      </c>
      <c r="I1487" t="s">
        <v>32</v>
      </c>
      <c r="J1487">
        <f>orders[[#This Row],[Ship Date]]-orders[[#This Row],[Order Date]]</f>
        <v>2</v>
      </c>
      <c r="K1487">
        <f>WEEKNUM(orders[[#This Row],[Order Date]])</f>
        <v>9</v>
      </c>
      <c r="L1487" t="str" cm="1">
        <f t="array" ref="L1487">_xlfn.IFS(orders[[#This Row],[Customer Gender]]="M","Male", orders[[#This Row],[Customer Gender]]="F","Female", orders[[#This Row],[Customer Gender]]="O","Other", TRUE,"Unknown")</f>
        <v>Female</v>
      </c>
      <c r="M1487">
        <v>1</v>
      </c>
      <c r="N1487">
        <v>22.3</v>
      </c>
      <c r="O1487">
        <v>22.3</v>
      </c>
    </row>
    <row r="1488" spans="1:15" x14ac:dyDescent="0.3">
      <c r="A1488" t="s">
        <v>1586</v>
      </c>
      <c r="B1488" t="s">
        <v>68</v>
      </c>
      <c r="C1488" s="7">
        <v>45713</v>
      </c>
      <c r="D1488" s="7">
        <v>45715</v>
      </c>
      <c r="E1488" t="s">
        <v>26</v>
      </c>
      <c r="F1488" t="s">
        <v>39</v>
      </c>
      <c r="G1488">
        <v>4</v>
      </c>
      <c r="H1488" t="s">
        <v>18</v>
      </c>
      <c r="I1488" t="s">
        <v>32</v>
      </c>
      <c r="J1488">
        <f>orders[[#This Row],[Ship Date]]-orders[[#This Row],[Order Date]]</f>
        <v>2</v>
      </c>
      <c r="K1488">
        <f>WEEKNUM(orders[[#This Row],[Order Date]])</f>
        <v>9</v>
      </c>
      <c r="L1488" t="str" cm="1">
        <f t="array" ref="L1488">_xlfn.IFS(orders[[#This Row],[Customer Gender]]="M","Male", orders[[#This Row],[Customer Gender]]="F","Female", orders[[#This Row],[Customer Gender]]="O","Other", TRUE,"Unknown")</f>
        <v>Female</v>
      </c>
      <c r="M1488">
        <v>2</v>
      </c>
      <c r="N1488">
        <v>99.5</v>
      </c>
      <c r="O1488" s="5">
        <v>199</v>
      </c>
    </row>
    <row r="1489" spans="1:15" x14ac:dyDescent="0.3">
      <c r="A1489" t="s">
        <v>1587</v>
      </c>
      <c r="B1489" t="s">
        <v>68</v>
      </c>
      <c r="C1489" s="7">
        <v>45713</v>
      </c>
      <c r="D1489" s="7">
        <v>45716</v>
      </c>
      <c r="E1489" t="s">
        <v>26</v>
      </c>
      <c r="F1489" t="s">
        <v>34</v>
      </c>
      <c r="G1489">
        <v>4</v>
      </c>
      <c r="H1489" t="s">
        <v>18</v>
      </c>
      <c r="I1489" t="s">
        <v>32</v>
      </c>
      <c r="J1489">
        <f>orders[[#This Row],[Ship Date]]-orders[[#This Row],[Order Date]]</f>
        <v>3</v>
      </c>
      <c r="K1489">
        <f>WEEKNUM(orders[[#This Row],[Order Date]])</f>
        <v>9</v>
      </c>
      <c r="L1489" t="str" cm="1">
        <f t="array" ref="L1489">_xlfn.IFS(orders[[#This Row],[Customer Gender]]="M","Male", orders[[#This Row],[Customer Gender]]="F","Female", orders[[#This Row],[Customer Gender]]="O","Other", TRUE,"Unknown")</f>
        <v>Female</v>
      </c>
      <c r="M1489">
        <v>4</v>
      </c>
      <c r="N1489">
        <v>47.4</v>
      </c>
      <c r="O1489">
        <v>189.6</v>
      </c>
    </row>
    <row r="1490" spans="1:15" x14ac:dyDescent="0.3">
      <c r="A1490" t="s">
        <v>1588</v>
      </c>
      <c r="B1490" t="s">
        <v>16</v>
      </c>
      <c r="C1490" s="7">
        <v>45713</v>
      </c>
      <c r="D1490" s="7">
        <v>45715</v>
      </c>
      <c r="E1490" t="s">
        <v>26</v>
      </c>
      <c r="F1490" t="s">
        <v>17</v>
      </c>
      <c r="G1490">
        <v>1</v>
      </c>
      <c r="H1490" t="s">
        <v>18</v>
      </c>
      <c r="I1490" t="s">
        <v>32</v>
      </c>
      <c r="J1490">
        <f>orders[[#This Row],[Ship Date]]-orders[[#This Row],[Order Date]]</f>
        <v>2</v>
      </c>
      <c r="K1490">
        <f>WEEKNUM(orders[[#This Row],[Order Date]])</f>
        <v>9</v>
      </c>
      <c r="L1490" t="str" cm="1">
        <f t="array" ref="L1490">_xlfn.IFS(orders[[#This Row],[Customer Gender]]="M","Male", orders[[#This Row],[Customer Gender]]="F","Female", orders[[#This Row],[Customer Gender]]="O","Other", TRUE,"Unknown")</f>
        <v>Female</v>
      </c>
      <c r="M1490">
        <v>11</v>
      </c>
      <c r="N1490">
        <v>37.5</v>
      </c>
      <c r="O1490" s="5">
        <v>412.5</v>
      </c>
    </row>
    <row r="1491" spans="1:15" x14ac:dyDescent="0.3">
      <c r="A1491" t="s">
        <v>1589</v>
      </c>
      <c r="B1491" t="s">
        <v>53</v>
      </c>
      <c r="C1491" s="7">
        <v>45713</v>
      </c>
      <c r="D1491" s="7">
        <v>45718</v>
      </c>
      <c r="E1491" t="s">
        <v>22</v>
      </c>
      <c r="F1491" t="s">
        <v>50</v>
      </c>
      <c r="G1491">
        <v>5</v>
      </c>
      <c r="H1491" t="s">
        <v>18</v>
      </c>
      <c r="I1491" t="s">
        <v>185</v>
      </c>
      <c r="J1491">
        <f>orders[[#This Row],[Ship Date]]-orders[[#This Row],[Order Date]]</f>
        <v>5</v>
      </c>
      <c r="K1491">
        <f>WEEKNUM(orders[[#This Row],[Order Date]])</f>
        <v>9</v>
      </c>
      <c r="L1491" t="str" cm="1">
        <f t="array" ref="L1491">_xlfn.IFS(orders[[#This Row],[Customer Gender]]="M","Male", orders[[#This Row],[Customer Gender]]="F","Female", orders[[#This Row],[Customer Gender]]="O","Other", TRUE,"Unknown")</f>
        <v>Male</v>
      </c>
      <c r="M1491">
        <v>1</v>
      </c>
      <c r="N1491">
        <v>45.1</v>
      </c>
      <c r="O1491">
        <v>45.1</v>
      </c>
    </row>
    <row r="1492" spans="1:15" x14ac:dyDescent="0.3">
      <c r="A1492" t="s">
        <v>1590</v>
      </c>
      <c r="B1492" t="s">
        <v>36</v>
      </c>
      <c r="C1492" s="7">
        <v>45713</v>
      </c>
      <c r="D1492" s="7">
        <v>45716</v>
      </c>
      <c r="E1492" t="s">
        <v>22</v>
      </c>
      <c r="F1492" t="s">
        <v>39</v>
      </c>
      <c r="G1492">
        <v>4</v>
      </c>
      <c r="H1492" t="s">
        <v>18</v>
      </c>
      <c r="I1492" t="s">
        <v>97</v>
      </c>
      <c r="J1492">
        <f>orders[[#This Row],[Ship Date]]-orders[[#This Row],[Order Date]]</f>
        <v>3</v>
      </c>
      <c r="K1492">
        <f>WEEKNUM(orders[[#This Row],[Order Date]])</f>
        <v>9</v>
      </c>
      <c r="L1492" t="str" cm="1">
        <f t="array" ref="L1492">_xlfn.IFS(orders[[#This Row],[Customer Gender]]="M","Male", orders[[#This Row],[Customer Gender]]="F","Female", orders[[#This Row],[Customer Gender]]="O","Other", TRUE,"Unknown")</f>
        <v>Male</v>
      </c>
      <c r="M1492">
        <v>10</v>
      </c>
      <c r="N1492">
        <v>34.4</v>
      </c>
      <c r="O1492" s="5">
        <v>344</v>
      </c>
    </row>
    <row r="1493" spans="1:15" x14ac:dyDescent="0.3">
      <c r="A1493" t="s">
        <v>1591</v>
      </c>
      <c r="B1493" t="s">
        <v>31</v>
      </c>
      <c r="C1493" s="7">
        <v>45713</v>
      </c>
      <c r="D1493" s="7">
        <v>45715</v>
      </c>
      <c r="E1493" t="s">
        <v>26</v>
      </c>
      <c r="F1493" t="s">
        <v>34</v>
      </c>
      <c r="G1493">
        <v>4</v>
      </c>
      <c r="H1493" t="s">
        <v>18</v>
      </c>
      <c r="I1493" t="s">
        <v>51</v>
      </c>
      <c r="J1493">
        <f>orders[[#This Row],[Ship Date]]-orders[[#This Row],[Order Date]]</f>
        <v>2</v>
      </c>
      <c r="K1493">
        <f>WEEKNUM(orders[[#This Row],[Order Date]])</f>
        <v>9</v>
      </c>
      <c r="L1493" t="str" cm="1">
        <f t="array" ref="L1493">_xlfn.IFS(orders[[#This Row],[Customer Gender]]="M","Male", orders[[#This Row],[Customer Gender]]="F","Female", orders[[#This Row],[Customer Gender]]="O","Other", TRUE,"Unknown")</f>
        <v>Female</v>
      </c>
      <c r="M1493">
        <v>2</v>
      </c>
      <c r="N1493">
        <v>38</v>
      </c>
      <c r="O1493">
        <v>76</v>
      </c>
    </row>
    <row r="1494" spans="1:15" x14ac:dyDescent="0.3">
      <c r="A1494" t="s">
        <v>1592</v>
      </c>
      <c r="B1494" t="s">
        <v>29</v>
      </c>
      <c r="C1494" s="7">
        <v>45713</v>
      </c>
      <c r="D1494" s="7">
        <v>45716</v>
      </c>
      <c r="E1494" t="s">
        <v>22</v>
      </c>
      <c r="F1494" t="s">
        <v>69</v>
      </c>
      <c r="G1494">
        <v>4</v>
      </c>
      <c r="H1494" t="s">
        <v>18</v>
      </c>
      <c r="I1494" t="s">
        <v>54</v>
      </c>
      <c r="J1494">
        <f>orders[[#This Row],[Ship Date]]-orders[[#This Row],[Order Date]]</f>
        <v>3</v>
      </c>
      <c r="K1494">
        <f>WEEKNUM(orders[[#This Row],[Order Date]])</f>
        <v>9</v>
      </c>
      <c r="L1494" t="str" cm="1">
        <f t="array" ref="L1494">_xlfn.IFS(orders[[#This Row],[Customer Gender]]="M","Male", orders[[#This Row],[Customer Gender]]="F","Female", orders[[#This Row],[Customer Gender]]="O","Other", TRUE,"Unknown")</f>
        <v>Male</v>
      </c>
      <c r="M1494">
        <v>14</v>
      </c>
      <c r="N1494">
        <v>32.4</v>
      </c>
      <c r="O1494" s="5">
        <v>453.59999999999997</v>
      </c>
    </row>
    <row r="1495" spans="1:15" x14ac:dyDescent="0.3">
      <c r="A1495" t="s">
        <v>1593</v>
      </c>
      <c r="B1495" t="s">
        <v>38</v>
      </c>
      <c r="C1495" s="7">
        <v>45713</v>
      </c>
      <c r="D1495" s="7">
        <v>45713</v>
      </c>
      <c r="E1495" t="s">
        <v>2517</v>
      </c>
      <c r="F1495" t="s">
        <v>34</v>
      </c>
      <c r="G1495">
        <v>4</v>
      </c>
      <c r="H1495" t="s">
        <v>18</v>
      </c>
      <c r="I1495" t="s">
        <v>61</v>
      </c>
      <c r="J1495">
        <f>orders[[#This Row],[Ship Date]]-orders[[#This Row],[Order Date]]</f>
        <v>0</v>
      </c>
      <c r="K1495">
        <f>WEEKNUM(orders[[#This Row],[Order Date]])</f>
        <v>9</v>
      </c>
      <c r="L1495" t="str" cm="1">
        <f t="array" ref="L1495">_xlfn.IFS(orders[[#This Row],[Customer Gender]]="M","Male", orders[[#This Row],[Customer Gender]]="F","Female", orders[[#This Row],[Customer Gender]]="O","Other", TRUE,"Unknown")</f>
        <v>Unknown</v>
      </c>
      <c r="M1495">
        <v>3</v>
      </c>
      <c r="N1495">
        <v>40.9</v>
      </c>
      <c r="O1495">
        <v>122.69999999999999</v>
      </c>
    </row>
    <row r="1496" spans="1:15" x14ac:dyDescent="0.3">
      <c r="A1496" t="s">
        <v>1594</v>
      </c>
      <c r="B1496" t="s">
        <v>41</v>
      </c>
      <c r="C1496" s="7">
        <v>45713</v>
      </c>
      <c r="D1496" s="7">
        <v>45715</v>
      </c>
      <c r="E1496" t="s">
        <v>26</v>
      </c>
      <c r="F1496" t="s">
        <v>39</v>
      </c>
      <c r="G1496">
        <v>3</v>
      </c>
      <c r="H1496" t="s">
        <v>18</v>
      </c>
      <c r="I1496" t="s">
        <v>61</v>
      </c>
      <c r="J1496">
        <f>orders[[#This Row],[Ship Date]]-orders[[#This Row],[Order Date]]</f>
        <v>2</v>
      </c>
      <c r="K1496">
        <f>WEEKNUM(orders[[#This Row],[Order Date]])</f>
        <v>9</v>
      </c>
      <c r="L1496" t="str" cm="1">
        <f t="array" ref="L1496">_xlfn.IFS(orders[[#This Row],[Customer Gender]]="M","Male", orders[[#This Row],[Customer Gender]]="F","Female", orders[[#This Row],[Customer Gender]]="O","Other", TRUE,"Unknown")</f>
        <v>Female</v>
      </c>
      <c r="M1496">
        <v>7</v>
      </c>
      <c r="N1496">
        <v>76.2</v>
      </c>
      <c r="O1496" s="5">
        <v>533.4</v>
      </c>
    </row>
    <row r="1497" spans="1:15" x14ac:dyDescent="0.3">
      <c r="A1497" t="s">
        <v>1595</v>
      </c>
      <c r="B1497" t="s">
        <v>25</v>
      </c>
      <c r="C1497" s="7">
        <v>45713</v>
      </c>
      <c r="D1497" s="7">
        <v>45715</v>
      </c>
      <c r="E1497" t="s">
        <v>22</v>
      </c>
      <c r="F1497" t="s">
        <v>39</v>
      </c>
      <c r="G1497">
        <v>4</v>
      </c>
      <c r="H1497" t="s">
        <v>18</v>
      </c>
      <c r="I1497" t="s">
        <v>61</v>
      </c>
      <c r="J1497">
        <f>orders[[#This Row],[Ship Date]]-orders[[#This Row],[Order Date]]</f>
        <v>2</v>
      </c>
      <c r="K1497">
        <f>WEEKNUM(orders[[#This Row],[Order Date]])</f>
        <v>9</v>
      </c>
      <c r="L1497" t="str" cm="1">
        <f t="array" ref="L1497">_xlfn.IFS(orders[[#This Row],[Customer Gender]]="M","Male", orders[[#This Row],[Customer Gender]]="F","Female", orders[[#This Row],[Customer Gender]]="O","Other", TRUE,"Unknown")</f>
        <v>Male</v>
      </c>
      <c r="M1497">
        <v>1</v>
      </c>
      <c r="N1497">
        <v>85.6</v>
      </c>
      <c r="O1497">
        <v>85.6</v>
      </c>
    </row>
    <row r="1498" spans="1:15" x14ac:dyDescent="0.3">
      <c r="A1498" t="s">
        <v>1596</v>
      </c>
      <c r="B1498" t="s">
        <v>31</v>
      </c>
      <c r="C1498" s="7">
        <v>45713</v>
      </c>
      <c r="D1498" s="7">
        <v>45715</v>
      </c>
      <c r="E1498" t="s">
        <v>26</v>
      </c>
      <c r="F1498" t="s">
        <v>39</v>
      </c>
      <c r="G1498">
        <v>5</v>
      </c>
      <c r="H1498" t="s">
        <v>18</v>
      </c>
      <c r="I1498" t="s">
        <v>61</v>
      </c>
      <c r="J1498">
        <f>orders[[#This Row],[Ship Date]]-orders[[#This Row],[Order Date]]</f>
        <v>2</v>
      </c>
      <c r="K1498">
        <f>WEEKNUM(orders[[#This Row],[Order Date]])</f>
        <v>9</v>
      </c>
      <c r="L1498" t="str" cm="1">
        <f t="array" ref="L1498">_xlfn.IFS(orders[[#This Row],[Customer Gender]]="M","Male", orders[[#This Row],[Customer Gender]]="F","Female", orders[[#This Row],[Customer Gender]]="O","Other", TRUE,"Unknown")</f>
        <v>Female</v>
      </c>
      <c r="M1498">
        <v>4</v>
      </c>
      <c r="N1498">
        <v>25</v>
      </c>
      <c r="O1498" s="5">
        <v>100</v>
      </c>
    </row>
    <row r="1499" spans="1:15" x14ac:dyDescent="0.3">
      <c r="A1499" t="s">
        <v>1597</v>
      </c>
      <c r="B1499" t="s">
        <v>25</v>
      </c>
      <c r="C1499" s="7">
        <v>45713</v>
      </c>
      <c r="D1499" s="7">
        <v>45714</v>
      </c>
      <c r="E1499" t="s">
        <v>2517</v>
      </c>
      <c r="F1499" t="s">
        <v>17</v>
      </c>
      <c r="G1499">
        <v>5</v>
      </c>
      <c r="H1499" t="s">
        <v>18</v>
      </c>
      <c r="I1499" t="s">
        <v>61</v>
      </c>
      <c r="J1499">
        <f>orders[[#This Row],[Ship Date]]-orders[[#This Row],[Order Date]]</f>
        <v>1</v>
      </c>
      <c r="K1499">
        <f>WEEKNUM(orders[[#This Row],[Order Date]])</f>
        <v>9</v>
      </c>
      <c r="L1499" t="str" cm="1">
        <f t="array" ref="L1499">_xlfn.IFS(orders[[#This Row],[Customer Gender]]="M","Male", orders[[#This Row],[Customer Gender]]="F","Female", orders[[#This Row],[Customer Gender]]="O","Other", TRUE,"Unknown")</f>
        <v>Unknown</v>
      </c>
      <c r="M1499">
        <v>5</v>
      </c>
      <c r="N1499">
        <v>150.69999999999999</v>
      </c>
      <c r="O1499">
        <v>753.5</v>
      </c>
    </row>
    <row r="1500" spans="1:15" x14ac:dyDescent="0.3">
      <c r="A1500" t="s">
        <v>1598</v>
      </c>
      <c r="B1500" t="s">
        <v>43</v>
      </c>
      <c r="C1500" s="7">
        <v>45713</v>
      </c>
      <c r="D1500" s="7">
        <v>45714</v>
      </c>
      <c r="E1500" t="s">
        <v>22</v>
      </c>
      <c r="F1500" t="s">
        <v>34</v>
      </c>
      <c r="G1500">
        <v>2</v>
      </c>
      <c r="H1500" t="s">
        <v>18</v>
      </c>
      <c r="I1500" t="s">
        <v>61</v>
      </c>
      <c r="J1500">
        <f>orders[[#This Row],[Ship Date]]-orders[[#This Row],[Order Date]]</f>
        <v>1</v>
      </c>
      <c r="K1500">
        <f>WEEKNUM(orders[[#This Row],[Order Date]])</f>
        <v>9</v>
      </c>
      <c r="L1500" t="str" cm="1">
        <f t="array" ref="L1500">_xlfn.IFS(orders[[#This Row],[Customer Gender]]="M","Male", orders[[#This Row],[Customer Gender]]="F","Female", orders[[#This Row],[Customer Gender]]="O","Other", TRUE,"Unknown")</f>
        <v>Male</v>
      </c>
      <c r="M1500">
        <v>1</v>
      </c>
      <c r="N1500">
        <v>19.600000000000001</v>
      </c>
      <c r="O1500" s="5">
        <v>19.600000000000001</v>
      </c>
    </row>
    <row r="1501" spans="1:15" x14ac:dyDescent="0.3">
      <c r="A1501" t="s">
        <v>1599</v>
      </c>
      <c r="B1501" t="s">
        <v>75</v>
      </c>
      <c r="C1501" s="7">
        <v>45713</v>
      </c>
      <c r="D1501" s="7">
        <v>45716</v>
      </c>
      <c r="E1501" t="s">
        <v>26</v>
      </c>
      <c r="F1501" t="s">
        <v>34</v>
      </c>
      <c r="G1501">
        <v>5</v>
      </c>
      <c r="H1501" t="s">
        <v>18</v>
      </c>
      <c r="I1501" t="s">
        <v>102</v>
      </c>
      <c r="J1501">
        <f>orders[[#This Row],[Ship Date]]-orders[[#This Row],[Order Date]]</f>
        <v>3</v>
      </c>
      <c r="K1501">
        <f>WEEKNUM(orders[[#This Row],[Order Date]])</f>
        <v>9</v>
      </c>
      <c r="L1501" t="str" cm="1">
        <f t="array" ref="L1501">_xlfn.IFS(orders[[#This Row],[Customer Gender]]="M","Male", orders[[#This Row],[Customer Gender]]="F","Female", orders[[#This Row],[Customer Gender]]="O","Other", TRUE,"Unknown")</f>
        <v>Female</v>
      </c>
      <c r="M1501">
        <v>2</v>
      </c>
      <c r="N1501">
        <v>37.5</v>
      </c>
      <c r="O1501">
        <v>75</v>
      </c>
    </row>
    <row r="1502" spans="1:15" x14ac:dyDescent="0.3">
      <c r="A1502" t="s">
        <v>1600</v>
      </c>
      <c r="B1502" t="s">
        <v>45</v>
      </c>
      <c r="C1502" s="7">
        <v>45713</v>
      </c>
      <c r="D1502" s="7">
        <v>45719</v>
      </c>
      <c r="E1502" t="s">
        <v>26</v>
      </c>
      <c r="F1502" t="s">
        <v>17</v>
      </c>
      <c r="G1502">
        <v>2</v>
      </c>
      <c r="H1502" t="s">
        <v>18</v>
      </c>
      <c r="I1502" t="s">
        <v>76</v>
      </c>
      <c r="J1502">
        <f>orders[[#This Row],[Ship Date]]-orders[[#This Row],[Order Date]]</f>
        <v>6</v>
      </c>
      <c r="K1502">
        <f>WEEKNUM(orders[[#This Row],[Order Date]])</f>
        <v>9</v>
      </c>
      <c r="L1502" t="str" cm="1">
        <f t="array" ref="L1502">_xlfn.IFS(orders[[#This Row],[Customer Gender]]="M","Male", orders[[#This Row],[Customer Gender]]="F","Female", orders[[#This Row],[Customer Gender]]="O","Other", TRUE,"Unknown")</f>
        <v>Female</v>
      </c>
      <c r="M1502">
        <v>3</v>
      </c>
      <c r="N1502">
        <v>51.9</v>
      </c>
      <c r="O1502" s="5">
        <v>155.69999999999999</v>
      </c>
    </row>
    <row r="1503" spans="1:15" x14ac:dyDescent="0.3">
      <c r="A1503" t="s">
        <v>1601</v>
      </c>
      <c r="B1503" t="s">
        <v>21</v>
      </c>
      <c r="C1503" s="7">
        <v>45713</v>
      </c>
      <c r="D1503" s="7">
        <v>45715</v>
      </c>
      <c r="E1503" t="s">
        <v>26</v>
      </c>
      <c r="F1503" t="s">
        <v>34</v>
      </c>
      <c r="G1503">
        <v>4</v>
      </c>
      <c r="H1503" t="s">
        <v>18</v>
      </c>
      <c r="I1503" t="s">
        <v>107</v>
      </c>
      <c r="J1503">
        <f>orders[[#This Row],[Ship Date]]-orders[[#This Row],[Order Date]]</f>
        <v>2</v>
      </c>
      <c r="K1503">
        <f>WEEKNUM(orders[[#This Row],[Order Date]])</f>
        <v>9</v>
      </c>
      <c r="L1503" t="str" cm="1">
        <f t="array" ref="L1503">_xlfn.IFS(orders[[#This Row],[Customer Gender]]="M","Male", orders[[#This Row],[Customer Gender]]="F","Female", orders[[#This Row],[Customer Gender]]="O","Other", TRUE,"Unknown")</f>
        <v>Female</v>
      </c>
      <c r="M1503">
        <v>2</v>
      </c>
      <c r="N1503">
        <v>30.9</v>
      </c>
      <c r="O1503">
        <v>61.8</v>
      </c>
    </row>
    <row r="1504" spans="1:15" x14ac:dyDescent="0.3">
      <c r="A1504" t="s">
        <v>1602</v>
      </c>
      <c r="B1504" t="s">
        <v>31</v>
      </c>
      <c r="C1504" s="7">
        <v>45713</v>
      </c>
      <c r="D1504" s="7">
        <v>45716</v>
      </c>
      <c r="E1504" t="s">
        <v>26</v>
      </c>
      <c r="F1504" t="s">
        <v>34</v>
      </c>
      <c r="G1504">
        <v>4</v>
      </c>
      <c r="H1504" t="s">
        <v>18</v>
      </c>
      <c r="I1504" t="s">
        <v>109</v>
      </c>
      <c r="J1504">
        <f>orders[[#This Row],[Ship Date]]-orders[[#This Row],[Order Date]]</f>
        <v>3</v>
      </c>
      <c r="K1504">
        <f>WEEKNUM(orders[[#This Row],[Order Date]])</f>
        <v>9</v>
      </c>
      <c r="L1504" t="str" cm="1">
        <f t="array" ref="L1504">_xlfn.IFS(orders[[#This Row],[Customer Gender]]="M","Male", orders[[#This Row],[Customer Gender]]="F","Female", orders[[#This Row],[Customer Gender]]="O","Other", TRUE,"Unknown")</f>
        <v>Female</v>
      </c>
      <c r="M1504">
        <v>3</v>
      </c>
      <c r="N1504">
        <v>21.2</v>
      </c>
      <c r="O1504" s="5">
        <v>63.599999999999994</v>
      </c>
    </row>
    <row r="1505" spans="1:15" x14ac:dyDescent="0.3">
      <c r="A1505" t="s">
        <v>1603</v>
      </c>
      <c r="B1505" t="s">
        <v>75</v>
      </c>
      <c r="C1505" s="7">
        <v>45713</v>
      </c>
      <c r="D1505" s="7">
        <v>45714</v>
      </c>
      <c r="E1505" t="s">
        <v>22</v>
      </c>
      <c r="F1505" t="s">
        <v>34</v>
      </c>
      <c r="G1505">
        <v>3</v>
      </c>
      <c r="H1505" t="s">
        <v>18</v>
      </c>
      <c r="I1505" t="s">
        <v>81</v>
      </c>
      <c r="J1505">
        <f>orders[[#This Row],[Ship Date]]-orders[[#This Row],[Order Date]]</f>
        <v>1</v>
      </c>
      <c r="K1505">
        <f>WEEKNUM(orders[[#This Row],[Order Date]])</f>
        <v>9</v>
      </c>
      <c r="L1505" t="str" cm="1">
        <f t="array" ref="L1505">_xlfn.IFS(orders[[#This Row],[Customer Gender]]="M","Male", orders[[#This Row],[Customer Gender]]="F","Female", orders[[#This Row],[Customer Gender]]="O","Other", TRUE,"Unknown")</f>
        <v>Male</v>
      </c>
      <c r="M1505">
        <v>17</v>
      </c>
      <c r="N1505">
        <v>17.5</v>
      </c>
      <c r="O1505">
        <v>297.5</v>
      </c>
    </row>
    <row r="1506" spans="1:15" x14ac:dyDescent="0.3">
      <c r="A1506" t="s">
        <v>1604</v>
      </c>
      <c r="B1506" t="s">
        <v>68</v>
      </c>
      <c r="C1506" s="7">
        <v>45713</v>
      </c>
      <c r="D1506" s="7">
        <v>45718</v>
      </c>
      <c r="E1506" t="s">
        <v>26</v>
      </c>
      <c r="F1506" t="s">
        <v>17</v>
      </c>
      <c r="G1506">
        <v>5</v>
      </c>
      <c r="H1506" t="s">
        <v>18</v>
      </c>
      <c r="I1506" t="s">
        <v>114</v>
      </c>
      <c r="J1506">
        <f>orders[[#This Row],[Ship Date]]-orders[[#This Row],[Order Date]]</f>
        <v>5</v>
      </c>
      <c r="K1506">
        <f>WEEKNUM(orders[[#This Row],[Order Date]])</f>
        <v>9</v>
      </c>
      <c r="L1506" t="str" cm="1">
        <f t="array" ref="L1506">_xlfn.IFS(orders[[#This Row],[Customer Gender]]="M","Male", orders[[#This Row],[Customer Gender]]="F","Female", orders[[#This Row],[Customer Gender]]="O","Other", TRUE,"Unknown")</f>
        <v>Female</v>
      </c>
      <c r="M1506">
        <v>2</v>
      </c>
      <c r="N1506">
        <v>53.8</v>
      </c>
      <c r="O1506" s="5">
        <v>107.6</v>
      </c>
    </row>
    <row r="1507" spans="1:15" x14ac:dyDescent="0.3">
      <c r="A1507" t="s">
        <v>1605</v>
      </c>
      <c r="B1507" t="s">
        <v>170</v>
      </c>
      <c r="C1507" s="7">
        <v>45713</v>
      </c>
      <c r="D1507" s="7">
        <v>45714</v>
      </c>
      <c r="E1507" t="s">
        <v>22</v>
      </c>
      <c r="F1507" t="s">
        <v>50</v>
      </c>
      <c r="G1507">
        <v>4</v>
      </c>
      <c r="H1507" t="s">
        <v>18</v>
      </c>
      <c r="I1507" t="s">
        <v>114</v>
      </c>
      <c r="J1507">
        <f>orders[[#This Row],[Ship Date]]-orders[[#This Row],[Order Date]]</f>
        <v>1</v>
      </c>
      <c r="K1507">
        <f>WEEKNUM(orders[[#This Row],[Order Date]])</f>
        <v>9</v>
      </c>
      <c r="L1507" t="str" cm="1">
        <f t="array" ref="L1507">_xlfn.IFS(orders[[#This Row],[Customer Gender]]="M","Male", orders[[#This Row],[Customer Gender]]="F","Female", orders[[#This Row],[Customer Gender]]="O","Other", TRUE,"Unknown")</f>
        <v>Male</v>
      </c>
      <c r="M1507">
        <v>2</v>
      </c>
      <c r="N1507">
        <v>17</v>
      </c>
      <c r="O1507">
        <v>34</v>
      </c>
    </row>
    <row r="1508" spans="1:15" x14ac:dyDescent="0.3">
      <c r="A1508" t="s">
        <v>1606</v>
      </c>
      <c r="B1508" t="s">
        <v>38</v>
      </c>
      <c r="C1508" s="7">
        <v>45713</v>
      </c>
      <c r="D1508" s="7">
        <v>45721</v>
      </c>
      <c r="E1508" t="s">
        <v>22</v>
      </c>
      <c r="F1508" t="s">
        <v>39</v>
      </c>
      <c r="G1508">
        <v>3</v>
      </c>
      <c r="H1508" t="s">
        <v>18</v>
      </c>
      <c r="I1508" t="s">
        <v>23</v>
      </c>
      <c r="J1508">
        <f>orders[[#This Row],[Ship Date]]-orders[[#This Row],[Order Date]]</f>
        <v>8</v>
      </c>
      <c r="K1508">
        <f>WEEKNUM(orders[[#This Row],[Order Date]])</f>
        <v>9</v>
      </c>
      <c r="L1508" t="str" cm="1">
        <f t="array" ref="L1508">_xlfn.IFS(orders[[#This Row],[Customer Gender]]="M","Male", orders[[#This Row],[Customer Gender]]="F","Female", orders[[#This Row],[Customer Gender]]="O","Other", TRUE,"Unknown")</f>
        <v>Male</v>
      </c>
      <c r="M1508">
        <v>1</v>
      </c>
      <c r="N1508">
        <v>103.2</v>
      </c>
      <c r="O1508" s="5">
        <v>103.2</v>
      </c>
    </row>
    <row r="1509" spans="1:15" x14ac:dyDescent="0.3">
      <c r="A1509" t="s">
        <v>1607</v>
      </c>
      <c r="B1509" t="s">
        <v>38</v>
      </c>
      <c r="C1509" s="7">
        <v>45713</v>
      </c>
      <c r="D1509" s="7">
        <v>45714</v>
      </c>
      <c r="E1509" t="s">
        <v>22</v>
      </c>
      <c r="F1509" t="s">
        <v>17</v>
      </c>
      <c r="G1509">
        <v>4</v>
      </c>
      <c r="H1509" t="s">
        <v>18</v>
      </c>
      <c r="I1509" t="s">
        <v>32</v>
      </c>
      <c r="J1509">
        <f>orders[[#This Row],[Ship Date]]-orders[[#This Row],[Order Date]]</f>
        <v>1</v>
      </c>
      <c r="K1509">
        <f>WEEKNUM(orders[[#This Row],[Order Date]])</f>
        <v>9</v>
      </c>
      <c r="L1509" t="str" cm="1">
        <f t="array" ref="L1509">_xlfn.IFS(orders[[#This Row],[Customer Gender]]="M","Male", orders[[#This Row],[Customer Gender]]="F","Female", orders[[#This Row],[Customer Gender]]="O","Other", TRUE,"Unknown")</f>
        <v>Male</v>
      </c>
      <c r="M1509">
        <v>4</v>
      </c>
      <c r="N1509">
        <v>70.3</v>
      </c>
      <c r="O1509">
        <v>281.2</v>
      </c>
    </row>
    <row r="1510" spans="1:15" x14ac:dyDescent="0.3">
      <c r="A1510" t="s">
        <v>1608</v>
      </c>
      <c r="B1510" t="s">
        <v>25</v>
      </c>
      <c r="C1510" s="7">
        <v>45713</v>
      </c>
      <c r="D1510" s="7">
        <v>45713</v>
      </c>
      <c r="E1510" t="s">
        <v>22</v>
      </c>
      <c r="F1510" t="s">
        <v>50</v>
      </c>
      <c r="G1510">
        <v>5</v>
      </c>
      <c r="H1510" t="s">
        <v>18</v>
      </c>
      <c r="I1510" t="s">
        <v>32</v>
      </c>
      <c r="J1510">
        <f>orders[[#This Row],[Ship Date]]-orders[[#This Row],[Order Date]]</f>
        <v>0</v>
      </c>
      <c r="K1510">
        <f>WEEKNUM(orders[[#This Row],[Order Date]])</f>
        <v>9</v>
      </c>
      <c r="L1510" t="str" cm="1">
        <f t="array" ref="L1510">_xlfn.IFS(orders[[#This Row],[Customer Gender]]="M","Male", orders[[#This Row],[Customer Gender]]="F","Female", orders[[#This Row],[Customer Gender]]="O","Other", TRUE,"Unknown")</f>
        <v>Male</v>
      </c>
      <c r="M1510">
        <v>2</v>
      </c>
      <c r="N1510">
        <v>73.8</v>
      </c>
      <c r="O1510" s="5">
        <v>147.6</v>
      </c>
    </row>
    <row r="1511" spans="1:15" x14ac:dyDescent="0.3">
      <c r="A1511" t="s">
        <v>1609</v>
      </c>
      <c r="B1511" t="s">
        <v>21</v>
      </c>
      <c r="C1511" s="7">
        <v>45713</v>
      </c>
      <c r="D1511" s="7">
        <v>45717</v>
      </c>
      <c r="E1511" t="s">
        <v>22</v>
      </c>
      <c r="F1511" t="s">
        <v>34</v>
      </c>
      <c r="G1511">
        <v>3</v>
      </c>
      <c r="H1511" t="s">
        <v>18</v>
      </c>
      <c r="I1511" t="s">
        <v>32</v>
      </c>
      <c r="J1511">
        <f>orders[[#This Row],[Ship Date]]-orders[[#This Row],[Order Date]]</f>
        <v>4</v>
      </c>
      <c r="K1511">
        <f>WEEKNUM(orders[[#This Row],[Order Date]])</f>
        <v>9</v>
      </c>
      <c r="L1511" t="str" cm="1">
        <f t="array" ref="L1511">_xlfn.IFS(orders[[#This Row],[Customer Gender]]="M","Male", orders[[#This Row],[Customer Gender]]="F","Female", orders[[#This Row],[Customer Gender]]="O","Other", TRUE,"Unknown")</f>
        <v>Male</v>
      </c>
      <c r="M1511">
        <v>12</v>
      </c>
      <c r="N1511">
        <v>67.7</v>
      </c>
      <c r="O1511">
        <v>812.40000000000009</v>
      </c>
    </row>
    <row r="1512" spans="1:15" x14ac:dyDescent="0.3">
      <c r="A1512" t="s">
        <v>1610</v>
      </c>
      <c r="B1512" t="s">
        <v>75</v>
      </c>
      <c r="C1512" s="7">
        <v>45713</v>
      </c>
      <c r="D1512" s="7">
        <v>45715</v>
      </c>
      <c r="E1512" t="s">
        <v>22</v>
      </c>
      <c r="F1512" t="s">
        <v>34</v>
      </c>
      <c r="G1512">
        <v>4</v>
      </c>
      <c r="H1512" t="s">
        <v>18</v>
      </c>
      <c r="I1512" t="s">
        <v>32</v>
      </c>
      <c r="J1512">
        <f>orders[[#This Row],[Ship Date]]-orders[[#This Row],[Order Date]]</f>
        <v>2</v>
      </c>
      <c r="K1512">
        <f>WEEKNUM(orders[[#This Row],[Order Date]])</f>
        <v>9</v>
      </c>
      <c r="L1512" t="str" cm="1">
        <f t="array" ref="L1512">_xlfn.IFS(orders[[#This Row],[Customer Gender]]="M","Male", orders[[#This Row],[Customer Gender]]="F","Female", orders[[#This Row],[Customer Gender]]="O","Other", TRUE,"Unknown")</f>
        <v>Male</v>
      </c>
      <c r="M1512">
        <v>7</v>
      </c>
      <c r="N1512">
        <v>43.8</v>
      </c>
      <c r="O1512" s="5">
        <v>306.59999999999997</v>
      </c>
    </row>
    <row r="1513" spans="1:15" x14ac:dyDescent="0.3">
      <c r="A1513" t="s">
        <v>1611</v>
      </c>
      <c r="B1513" t="s">
        <v>134</v>
      </c>
      <c r="C1513" s="7">
        <v>45713</v>
      </c>
      <c r="D1513" s="7">
        <v>45714</v>
      </c>
      <c r="E1513" t="s">
        <v>26</v>
      </c>
      <c r="F1513" t="s">
        <v>39</v>
      </c>
      <c r="G1513">
        <v>4</v>
      </c>
      <c r="H1513" t="s">
        <v>18</v>
      </c>
      <c r="I1513" t="s">
        <v>32</v>
      </c>
      <c r="J1513">
        <f>orders[[#This Row],[Ship Date]]-orders[[#This Row],[Order Date]]</f>
        <v>1</v>
      </c>
      <c r="K1513">
        <f>WEEKNUM(orders[[#This Row],[Order Date]])</f>
        <v>9</v>
      </c>
      <c r="L1513" t="str" cm="1">
        <f t="array" ref="L1513">_xlfn.IFS(orders[[#This Row],[Customer Gender]]="M","Male", orders[[#This Row],[Customer Gender]]="F","Female", orders[[#This Row],[Customer Gender]]="O","Other", TRUE,"Unknown")</f>
        <v>Female</v>
      </c>
      <c r="M1513">
        <v>6</v>
      </c>
      <c r="N1513">
        <v>71.900000000000006</v>
      </c>
      <c r="O1513">
        <v>431.40000000000003</v>
      </c>
    </row>
    <row r="1514" spans="1:15" x14ac:dyDescent="0.3">
      <c r="A1514" t="s">
        <v>1612</v>
      </c>
      <c r="B1514" t="s">
        <v>43</v>
      </c>
      <c r="C1514" s="7">
        <v>45714</v>
      </c>
      <c r="D1514" s="7">
        <v>45716</v>
      </c>
      <c r="E1514" t="s">
        <v>26</v>
      </c>
      <c r="F1514" t="s">
        <v>17</v>
      </c>
      <c r="G1514">
        <v>3</v>
      </c>
      <c r="H1514" t="s">
        <v>18</v>
      </c>
      <c r="I1514" t="s">
        <v>32</v>
      </c>
      <c r="J1514">
        <f>orders[[#This Row],[Ship Date]]-orders[[#This Row],[Order Date]]</f>
        <v>2</v>
      </c>
      <c r="K1514">
        <f>WEEKNUM(orders[[#This Row],[Order Date]])</f>
        <v>9</v>
      </c>
      <c r="L1514" t="str" cm="1">
        <f t="array" ref="L1514">_xlfn.IFS(orders[[#This Row],[Customer Gender]]="M","Male", orders[[#This Row],[Customer Gender]]="F","Female", orders[[#This Row],[Customer Gender]]="O","Other", TRUE,"Unknown")</f>
        <v>Female</v>
      </c>
      <c r="M1514">
        <v>2</v>
      </c>
      <c r="N1514">
        <v>26.3</v>
      </c>
      <c r="O1514" s="5">
        <v>52.6</v>
      </c>
    </row>
    <row r="1515" spans="1:15" x14ac:dyDescent="0.3">
      <c r="A1515" t="s">
        <v>1613</v>
      </c>
      <c r="B1515" t="s">
        <v>38</v>
      </c>
      <c r="C1515" s="7">
        <v>45714</v>
      </c>
      <c r="D1515" s="7">
        <v>45716</v>
      </c>
      <c r="E1515" t="s">
        <v>26</v>
      </c>
      <c r="F1515" t="s">
        <v>39</v>
      </c>
      <c r="G1515">
        <v>3</v>
      </c>
      <c r="H1515" t="s">
        <v>18</v>
      </c>
      <c r="I1515" t="s">
        <v>32</v>
      </c>
      <c r="J1515">
        <f>orders[[#This Row],[Ship Date]]-orders[[#This Row],[Order Date]]</f>
        <v>2</v>
      </c>
      <c r="K1515">
        <f>WEEKNUM(orders[[#This Row],[Order Date]])</f>
        <v>9</v>
      </c>
      <c r="L1515" t="str" cm="1">
        <f t="array" ref="L1515">_xlfn.IFS(orders[[#This Row],[Customer Gender]]="M","Male", orders[[#This Row],[Customer Gender]]="F","Female", orders[[#This Row],[Customer Gender]]="O","Other", TRUE,"Unknown")</f>
        <v>Female</v>
      </c>
      <c r="M1515">
        <v>4</v>
      </c>
      <c r="N1515">
        <v>52.6</v>
      </c>
      <c r="O1515">
        <v>210.4</v>
      </c>
    </row>
    <row r="1516" spans="1:15" x14ac:dyDescent="0.3">
      <c r="A1516" t="s">
        <v>1614</v>
      </c>
      <c r="B1516" t="s">
        <v>53</v>
      </c>
      <c r="C1516" s="7">
        <v>45714</v>
      </c>
      <c r="D1516" s="7">
        <v>45721</v>
      </c>
      <c r="E1516" t="s">
        <v>26</v>
      </c>
      <c r="F1516" t="s">
        <v>17</v>
      </c>
      <c r="G1516">
        <v>5</v>
      </c>
      <c r="H1516" t="s">
        <v>18</v>
      </c>
      <c r="I1516" t="s">
        <v>32</v>
      </c>
      <c r="J1516">
        <f>orders[[#This Row],[Ship Date]]-orders[[#This Row],[Order Date]]</f>
        <v>7</v>
      </c>
      <c r="K1516">
        <f>WEEKNUM(orders[[#This Row],[Order Date]])</f>
        <v>9</v>
      </c>
      <c r="L1516" t="str" cm="1">
        <f t="array" ref="L1516">_xlfn.IFS(orders[[#This Row],[Customer Gender]]="M","Male", orders[[#This Row],[Customer Gender]]="F","Female", orders[[#This Row],[Customer Gender]]="O","Other", TRUE,"Unknown")</f>
        <v>Female</v>
      </c>
      <c r="M1516">
        <v>1</v>
      </c>
      <c r="N1516">
        <v>32.700000000000003</v>
      </c>
      <c r="O1516" s="5">
        <v>32.700000000000003</v>
      </c>
    </row>
    <row r="1517" spans="1:15" x14ac:dyDescent="0.3">
      <c r="A1517" t="s">
        <v>1615</v>
      </c>
      <c r="B1517" t="s">
        <v>36</v>
      </c>
      <c r="C1517" s="7">
        <v>45714</v>
      </c>
      <c r="D1517" s="7">
        <v>45715</v>
      </c>
      <c r="E1517" t="s">
        <v>26</v>
      </c>
      <c r="F1517" t="s">
        <v>17</v>
      </c>
      <c r="G1517">
        <v>4</v>
      </c>
      <c r="H1517" t="s">
        <v>18</v>
      </c>
      <c r="I1517" t="s">
        <v>32</v>
      </c>
      <c r="J1517">
        <f>orders[[#This Row],[Ship Date]]-orders[[#This Row],[Order Date]]</f>
        <v>1</v>
      </c>
      <c r="K1517">
        <f>WEEKNUM(orders[[#This Row],[Order Date]])</f>
        <v>9</v>
      </c>
      <c r="L1517" t="str" cm="1">
        <f t="array" ref="L1517">_xlfn.IFS(orders[[#This Row],[Customer Gender]]="M","Male", orders[[#This Row],[Customer Gender]]="F","Female", orders[[#This Row],[Customer Gender]]="O","Other", TRUE,"Unknown")</f>
        <v>Female</v>
      </c>
      <c r="M1517">
        <v>4</v>
      </c>
      <c r="N1517">
        <v>38.9</v>
      </c>
      <c r="O1517">
        <v>155.6</v>
      </c>
    </row>
    <row r="1518" spans="1:15" x14ac:dyDescent="0.3">
      <c r="A1518" t="s">
        <v>1616</v>
      </c>
      <c r="B1518" t="s">
        <v>45</v>
      </c>
      <c r="C1518" s="7">
        <v>45714</v>
      </c>
      <c r="D1518" s="7">
        <v>45716</v>
      </c>
      <c r="E1518" t="s">
        <v>22</v>
      </c>
      <c r="F1518" t="s">
        <v>17</v>
      </c>
      <c r="G1518">
        <v>4</v>
      </c>
      <c r="H1518" t="s">
        <v>18</v>
      </c>
      <c r="I1518" t="s">
        <v>32</v>
      </c>
      <c r="J1518">
        <f>orders[[#This Row],[Ship Date]]-orders[[#This Row],[Order Date]]</f>
        <v>2</v>
      </c>
      <c r="K1518">
        <f>WEEKNUM(orders[[#This Row],[Order Date]])</f>
        <v>9</v>
      </c>
      <c r="L1518" t="str" cm="1">
        <f t="array" ref="L1518">_xlfn.IFS(orders[[#This Row],[Customer Gender]]="M","Male", orders[[#This Row],[Customer Gender]]="F","Female", orders[[#This Row],[Customer Gender]]="O","Other", TRUE,"Unknown")</f>
        <v>Male</v>
      </c>
      <c r="M1518">
        <v>5</v>
      </c>
      <c r="N1518">
        <v>35</v>
      </c>
      <c r="O1518" s="5">
        <v>175</v>
      </c>
    </row>
    <row r="1519" spans="1:15" x14ac:dyDescent="0.3">
      <c r="A1519" t="s">
        <v>1617</v>
      </c>
      <c r="B1519" t="s">
        <v>25</v>
      </c>
      <c r="C1519" s="7">
        <v>45714</v>
      </c>
      <c r="D1519" s="7">
        <v>45715</v>
      </c>
      <c r="E1519" t="s">
        <v>26</v>
      </c>
      <c r="F1519" t="s">
        <v>34</v>
      </c>
      <c r="G1519">
        <v>3</v>
      </c>
      <c r="H1519" t="s">
        <v>18</v>
      </c>
      <c r="I1519" t="s">
        <v>32</v>
      </c>
      <c r="J1519">
        <f>orders[[#This Row],[Ship Date]]-orders[[#This Row],[Order Date]]</f>
        <v>1</v>
      </c>
      <c r="K1519">
        <f>WEEKNUM(orders[[#This Row],[Order Date]])</f>
        <v>9</v>
      </c>
      <c r="L1519" t="str" cm="1">
        <f t="array" ref="L1519">_xlfn.IFS(orders[[#This Row],[Customer Gender]]="M","Male", orders[[#This Row],[Customer Gender]]="F","Female", orders[[#This Row],[Customer Gender]]="O","Other", TRUE,"Unknown")</f>
        <v>Female</v>
      </c>
      <c r="M1519">
        <v>2</v>
      </c>
      <c r="N1519">
        <v>121</v>
      </c>
      <c r="O1519">
        <v>242</v>
      </c>
    </row>
    <row r="1520" spans="1:15" x14ac:dyDescent="0.3">
      <c r="A1520" t="s">
        <v>1618</v>
      </c>
      <c r="B1520" t="s">
        <v>38</v>
      </c>
      <c r="C1520" s="7">
        <v>45714</v>
      </c>
      <c r="D1520" s="7">
        <v>45718</v>
      </c>
      <c r="E1520" t="s">
        <v>22</v>
      </c>
      <c r="F1520" t="s">
        <v>39</v>
      </c>
      <c r="G1520">
        <v>4</v>
      </c>
      <c r="H1520" t="s">
        <v>18</v>
      </c>
      <c r="I1520" t="s">
        <v>341</v>
      </c>
      <c r="J1520">
        <f>orders[[#This Row],[Ship Date]]-orders[[#This Row],[Order Date]]</f>
        <v>4</v>
      </c>
      <c r="K1520">
        <f>WEEKNUM(orders[[#This Row],[Order Date]])</f>
        <v>9</v>
      </c>
      <c r="L1520" t="str" cm="1">
        <f t="array" ref="L1520">_xlfn.IFS(orders[[#This Row],[Customer Gender]]="M","Male", orders[[#This Row],[Customer Gender]]="F","Female", orders[[#This Row],[Customer Gender]]="O","Other", TRUE,"Unknown")</f>
        <v>Male</v>
      </c>
      <c r="M1520">
        <v>3</v>
      </c>
      <c r="N1520">
        <v>65.099999999999994</v>
      </c>
      <c r="O1520" s="5">
        <v>195.29999999999998</v>
      </c>
    </row>
    <row r="1521" spans="1:15" x14ac:dyDescent="0.3">
      <c r="A1521" t="s">
        <v>1619</v>
      </c>
      <c r="B1521" t="s">
        <v>21</v>
      </c>
      <c r="C1521" s="7">
        <v>45714</v>
      </c>
      <c r="D1521" s="7">
        <v>45716</v>
      </c>
      <c r="E1521" t="s">
        <v>26</v>
      </c>
      <c r="F1521" t="s">
        <v>17</v>
      </c>
      <c r="G1521">
        <v>4</v>
      </c>
      <c r="H1521" t="s">
        <v>18</v>
      </c>
      <c r="I1521" t="s">
        <v>61</v>
      </c>
      <c r="J1521">
        <f>orders[[#This Row],[Ship Date]]-orders[[#This Row],[Order Date]]</f>
        <v>2</v>
      </c>
      <c r="K1521">
        <f>WEEKNUM(orders[[#This Row],[Order Date]])</f>
        <v>9</v>
      </c>
      <c r="L1521" t="str" cm="1">
        <f t="array" ref="L1521">_xlfn.IFS(orders[[#This Row],[Customer Gender]]="M","Male", orders[[#This Row],[Customer Gender]]="F","Female", orders[[#This Row],[Customer Gender]]="O","Other", TRUE,"Unknown")</f>
        <v>Female</v>
      </c>
      <c r="M1521">
        <v>21</v>
      </c>
      <c r="N1521">
        <v>63.8</v>
      </c>
      <c r="O1521">
        <v>1339.8</v>
      </c>
    </row>
    <row r="1522" spans="1:15" x14ac:dyDescent="0.3">
      <c r="A1522" t="s">
        <v>1620</v>
      </c>
      <c r="B1522" t="s">
        <v>41</v>
      </c>
      <c r="C1522" s="7">
        <v>45714</v>
      </c>
      <c r="D1522" s="7">
        <v>45716</v>
      </c>
      <c r="E1522" t="s">
        <v>22</v>
      </c>
      <c r="F1522" t="s">
        <v>17</v>
      </c>
      <c r="G1522">
        <v>4</v>
      </c>
      <c r="H1522" t="s">
        <v>18</v>
      </c>
      <c r="I1522" t="s">
        <v>61</v>
      </c>
      <c r="J1522">
        <f>orders[[#This Row],[Ship Date]]-orders[[#This Row],[Order Date]]</f>
        <v>2</v>
      </c>
      <c r="K1522">
        <f>WEEKNUM(orders[[#This Row],[Order Date]])</f>
        <v>9</v>
      </c>
      <c r="L1522" t="str" cm="1">
        <f t="array" ref="L1522">_xlfn.IFS(orders[[#This Row],[Customer Gender]]="M","Male", orders[[#This Row],[Customer Gender]]="F","Female", orders[[#This Row],[Customer Gender]]="O","Other", TRUE,"Unknown")</f>
        <v>Male</v>
      </c>
      <c r="M1522">
        <v>1</v>
      </c>
      <c r="N1522">
        <v>77.7</v>
      </c>
      <c r="O1522" s="5">
        <v>77.7</v>
      </c>
    </row>
    <row r="1523" spans="1:15" x14ac:dyDescent="0.3">
      <c r="A1523" t="s">
        <v>1621</v>
      </c>
      <c r="B1523" t="s">
        <v>36</v>
      </c>
      <c r="C1523" s="7">
        <v>45714</v>
      </c>
      <c r="D1523" s="7">
        <v>45714</v>
      </c>
      <c r="E1523" t="s">
        <v>22</v>
      </c>
      <c r="F1523" t="s">
        <v>17</v>
      </c>
      <c r="G1523">
        <v>5</v>
      </c>
      <c r="H1523" t="s">
        <v>18</v>
      </c>
      <c r="I1523" t="s">
        <v>61</v>
      </c>
      <c r="J1523">
        <f>orders[[#This Row],[Ship Date]]-orders[[#This Row],[Order Date]]</f>
        <v>0</v>
      </c>
      <c r="K1523">
        <f>WEEKNUM(orders[[#This Row],[Order Date]])</f>
        <v>9</v>
      </c>
      <c r="L1523" t="str" cm="1">
        <f t="array" ref="L1523">_xlfn.IFS(orders[[#This Row],[Customer Gender]]="M","Male", orders[[#This Row],[Customer Gender]]="F","Female", orders[[#This Row],[Customer Gender]]="O","Other", TRUE,"Unknown")</f>
        <v>Male</v>
      </c>
      <c r="M1523">
        <v>4</v>
      </c>
      <c r="N1523">
        <v>60.3</v>
      </c>
      <c r="O1523">
        <v>241.2</v>
      </c>
    </row>
    <row r="1524" spans="1:15" x14ac:dyDescent="0.3">
      <c r="A1524" t="s">
        <v>1622</v>
      </c>
      <c r="B1524" t="s">
        <v>36</v>
      </c>
      <c r="C1524" s="7">
        <v>45714</v>
      </c>
      <c r="D1524" s="7">
        <v>45717</v>
      </c>
      <c r="E1524" t="s">
        <v>26</v>
      </c>
      <c r="F1524" t="s">
        <v>17</v>
      </c>
      <c r="G1524">
        <v>5</v>
      </c>
      <c r="H1524" t="s">
        <v>18</v>
      </c>
      <c r="I1524" t="s">
        <v>61</v>
      </c>
      <c r="J1524">
        <f>orders[[#This Row],[Ship Date]]-orders[[#This Row],[Order Date]]</f>
        <v>3</v>
      </c>
      <c r="K1524">
        <f>WEEKNUM(orders[[#This Row],[Order Date]])</f>
        <v>9</v>
      </c>
      <c r="L1524" t="str" cm="1">
        <f t="array" ref="L1524">_xlfn.IFS(orders[[#This Row],[Customer Gender]]="M","Male", orders[[#This Row],[Customer Gender]]="F","Female", orders[[#This Row],[Customer Gender]]="O","Other", TRUE,"Unknown")</f>
        <v>Female</v>
      </c>
      <c r="M1524">
        <v>2</v>
      </c>
      <c r="N1524">
        <v>124.1</v>
      </c>
      <c r="O1524" s="5">
        <v>248.2</v>
      </c>
    </row>
    <row r="1525" spans="1:15" x14ac:dyDescent="0.3">
      <c r="A1525" t="s">
        <v>1623</v>
      </c>
      <c r="B1525" t="s">
        <v>127</v>
      </c>
      <c r="C1525" s="7">
        <v>45714</v>
      </c>
      <c r="D1525" s="7">
        <v>45714</v>
      </c>
      <c r="E1525" t="s">
        <v>2517</v>
      </c>
      <c r="F1525" t="s">
        <v>50</v>
      </c>
      <c r="G1525">
        <v>4</v>
      </c>
      <c r="H1525" t="s">
        <v>18</v>
      </c>
      <c r="I1525" t="s">
        <v>102</v>
      </c>
      <c r="J1525">
        <f>orders[[#This Row],[Ship Date]]-orders[[#This Row],[Order Date]]</f>
        <v>0</v>
      </c>
      <c r="K1525">
        <f>WEEKNUM(orders[[#This Row],[Order Date]])</f>
        <v>9</v>
      </c>
      <c r="L1525" t="str" cm="1">
        <f t="array" ref="L1525">_xlfn.IFS(orders[[#This Row],[Customer Gender]]="M","Male", orders[[#This Row],[Customer Gender]]="F","Female", orders[[#This Row],[Customer Gender]]="O","Other", TRUE,"Unknown")</f>
        <v>Unknown</v>
      </c>
      <c r="M1525">
        <v>7</v>
      </c>
      <c r="N1525">
        <v>66</v>
      </c>
      <c r="O1525">
        <v>462</v>
      </c>
    </row>
    <row r="1526" spans="1:15" x14ac:dyDescent="0.3">
      <c r="A1526" t="s">
        <v>1624</v>
      </c>
      <c r="B1526" t="s">
        <v>25</v>
      </c>
      <c r="C1526" s="7">
        <v>45714</v>
      </c>
      <c r="D1526" s="7">
        <v>45719</v>
      </c>
      <c r="E1526" t="s">
        <v>2517</v>
      </c>
      <c r="F1526" t="s">
        <v>17</v>
      </c>
      <c r="G1526">
        <v>4</v>
      </c>
      <c r="H1526" t="s">
        <v>18</v>
      </c>
      <c r="I1526" t="s">
        <v>102</v>
      </c>
      <c r="J1526">
        <f>orders[[#This Row],[Ship Date]]-orders[[#This Row],[Order Date]]</f>
        <v>5</v>
      </c>
      <c r="K1526">
        <f>WEEKNUM(orders[[#This Row],[Order Date]])</f>
        <v>9</v>
      </c>
      <c r="L1526" t="str" cm="1">
        <f t="array" ref="L1526">_xlfn.IFS(orders[[#This Row],[Customer Gender]]="M","Male", orders[[#This Row],[Customer Gender]]="F","Female", orders[[#This Row],[Customer Gender]]="O","Other", TRUE,"Unknown")</f>
        <v>Unknown</v>
      </c>
      <c r="M1526">
        <v>63</v>
      </c>
      <c r="N1526">
        <v>118.2</v>
      </c>
      <c r="O1526" s="5">
        <v>7446.6</v>
      </c>
    </row>
    <row r="1527" spans="1:15" x14ac:dyDescent="0.3">
      <c r="A1527" t="s">
        <v>1625</v>
      </c>
      <c r="B1527" t="s">
        <v>36</v>
      </c>
      <c r="C1527" s="7">
        <v>45714</v>
      </c>
      <c r="D1527" s="7">
        <v>45715</v>
      </c>
      <c r="E1527" t="s">
        <v>22</v>
      </c>
      <c r="F1527" t="s">
        <v>69</v>
      </c>
      <c r="G1527">
        <v>2</v>
      </c>
      <c r="H1527" t="s">
        <v>18</v>
      </c>
      <c r="I1527" t="s">
        <v>200</v>
      </c>
      <c r="J1527">
        <f>orders[[#This Row],[Ship Date]]-orders[[#This Row],[Order Date]]</f>
        <v>1</v>
      </c>
      <c r="K1527">
        <f>WEEKNUM(orders[[#This Row],[Order Date]])</f>
        <v>9</v>
      </c>
      <c r="L1527" t="str" cm="1">
        <f t="array" ref="L1527">_xlfn.IFS(orders[[#This Row],[Customer Gender]]="M","Male", orders[[#This Row],[Customer Gender]]="F","Female", orders[[#This Row],[Customer Gender]]="O","Other", TRUE,"Unknown")</f>
        <v>Male</v>
      </c>
      <c r="M1527">
        <v>5</v>
      </c>
      <c r="N1527">
        <v>64.3</v>
      </c>
      <c r="O1527">
        <v>321.5</v>
      </c>
    </row>
    <row r="1528" spans="1:15" x14ac:dyDescent="0.3">
      <c r="A1528" t="s">
        <v>1626</v>
      </c>
      <c r="B1528" t="s">
        <v>21</v>
      </c>
      <c r="C1528" s="7">
        <v>45714</v>
      </c>
      <c r="D1528" s="7">
        <v>45714</v>
      </c>
      <c r="E1528" t="s">
        <v>22</v>
      </c>
      <c r="F1528" t="s">
        <v>17</v>
      </c>
      <c r="G1528">
        <v>3</v>
      </c>
      <c r="H1528" t="s">
        <v>18</v>
      </c>
      <c r="I1528" t="s">
        <v>200</v>
      </c>
      <c r="J1528">
        <f>orders[[#This Row],[Ship Date]]-orders[[#This Row],[Order Date]]</f>
        <v>0</v>
      </c>
      <c r="K1528">
        <f>WEEKNUM(orders[[#This Row],[Order Date]])</f>
        <v>9</v>
      </c>
      <c r="L1528" t="str" cm="1">
        <f t="array" ref="L1528">_xlfn.IFS(orders[[#This Row],[Customer Gender]]="M","Male", orders[[#This Row],[Customer Gender]]="F","Female", orders[[#This Row],[Customer Gender]]="O","Other", TRUE,"Unknown")</f>
        <v>Male</v>
      </c>
      <c r="M1528">
        <v>2</v>
      </c>
      <c r="N1528">
        <v>54.8</v>
      </c>
      <c r="O1528" s="5">
        <v>109.6</v>
      </c>
    </row>
    <row r="1529" spans="1:15" x14ac:dyDescent="0.3">
      <c r="A1529" t="s">
        <v>1627</v>
      </c>
      <c r="B1529" t="s">
        <v>41</v>
      </c>
      <c r="C1529" s="7">
        <v>45714</v>
      </c>
      <c r="D1529" s="7">
        <v>45715</v>
      </c>
      <c r="E1529" t="s">
        <v>22</v>
      </c>
      <c r="F1529" t="s">
        <v>17</v>
      </c>
      <c r="G1529">
        <v>5</v>
      </c>
      <c r="H1529" t="s">
        <v>18</v>
      </c>
      <c r="I1529" t="s">
        <v>71</v>
      </c>
      <c r="J1529">
        <f>orders[[#This Row],[Ship Date]]-orders[[#This Row],[Order Date]]</f>
        <v>1</v>
      </c>
      <c r="K1529">
        <f>WEEKNUM(orders[[#This Row],[Order Date]])</f>
        <v>9</v>
      </c>
      <c r="L1529" t="str" cm="1">
        <f t="array" ref="L1529">_xlfn.IFS(orders[[#This Row],[Customer Gender]]="M","Male", orders[[#This Row],[Customer Gender]]="F","Female", orders[[#This Row],[Customer Gender]]="O","Other", TRUE,"Unknown")</f>
        <v>Male</v>
      </c>
      <c r="M1529">
        <v>2</v>
      </c>
      <c r="N1529">
        <v>78.599999999999994</v>
      </c>
      <c r="O1529">
        <v>157.19999999999999</v>
      </c>
    </row>
    <row r="1530" spans="1:15" x14ac:dyDescent="0.3">
      <c r="A1530" t="s">
        <v>1628</v>
      </c>
      <c r="B1530" t="s">
        <v>25</v>
      </c>
      <c r="C1530" s="7">
        <v>45714</v>
      </c>
      <c r="D1530" s="7">
        <v>45716</v>
      </c>
      <c r="E1530" t="s">
        <v>2517</v>
      </c>
      <c r="F1530" t="s">
        <v>39</v>
      </c>
      <c r="G1530">
        <v>5</v>
      </c>
      <c r="H1530" t="s">
        <v>18</v>
      </c>
      <c r="I1530" t="s">
        <v>71</v>
      </c>
      <c r="J1530">
        <f>orders[[#This Row],[Ship Date]]-orders[[#This Row],[Order Date]]</f>
        <v>2</v>
      </c>
      <c r="K1530">
        <f>WEEKNUM(orders[[#This Row],[Order Date]])</f>
        <v>9</v>
      </c>
      <c r="L1530" t="str" cm="1">
        <f t="array" ref="L1530">_xlfn.IFS(orders[[#This Row],[Customer Gender]]="M","Male", orders[[#This Row],[Customer Gender]]="F","Female", orders[[#This Row],[Customer Gender]]="O","Other", TRUE,"Unknown")</f>
        <v>Unknown</v>
      </c>
      <c r="M1530">
        <v>5</v>
      </c>
      <c r="N1530">
        <v>158.5</v>
      </c>
      <c r="O1530" s="5">
        <v>792.5</v>
      </c>
    </row>
    <row r="1531" spans="1:15" x14ac:dyDescent="0.3">
      <c r="A1531" t="s">
        <v>1629</v>
      </c>
      <c r="B1531" t="s">
        <v>31</v>
      </c>
      <c r="C1531" s="7">
        <v>45714</v>
      </c>
      <c r="D1531" s="7">
        <v>45717</v>
      </c>
      <c r="E1531" t="s">
        <v>22</v>
      </c>
      <c r="F1531" t="s">
        <v>17</v>
      </c>
      <c r="G1531">
        <v>2</v>
      </c>
      <c r="H1531" t="s">
        <v>18</v>
      </c>
      <c r="I1531" t="s">
        <v>73</v>
      </c>
      <c r="J1531">
        <f>orders[[#This Row],[Ship Date]]-orders[[#This Row],[Order Date]]</f>
        <v>3</v>
      </c>
      <c r="K1531">
        <f>WEEKNUM(orders[[#This Row],[Order Date]])</f>
        <v>9</v>
      </c>
      <c r="L1531" t="str" cm="1">
        <f t="array" ref="L1531">_xlfn.IFS(orders[[#This Row],[Customer Gender]]="M","Male", orders[[#This Row],[Customer Gender]]="F","Female", orders[[#This Row],[Customer Gender]]="O","Other", TRUE,"Unknown")</f>
        <v>Male</v>
      </c>
      <c r="M1531">
        <v>10</v>
      </c>
      <c r="N1531">
        <v>23.5</v>
      </c>
      <c r="O1531">
        <v>235</v>
      </c>
    </row>
    <row r="1532" spans="1:15" x14ac:dyDescent="0.3">
      <c r="A1532" t="s">
        <v>1630</v>
      </c>
      <c r="B1532" t="s">
        <v>36</v>
      </c>
      <c r="C1532" s="7">
        <v>45714</v>
      </c>
      <c r="D1532" s="7">
        <v>45716</v>
      </c>
      <c r="E1532" t="s">
        <v>2517</v>
      </c>
      <c r="F1532" t="s">
        <v>50</v>
      </c>
      <c r="G1532">
        <v>4</v>
      </c>
      <c r="H1532" t="s">
        <v>18</v>
      </c>
      <c r="I1532" t="s">
        <v>73</v>
      </c>
      <c r="J1532">
        <f>orders[[#This Row],[Ship Date]]-orders[[#This Row],[Order Date]]</f>
        <v>2</v>
      </c>
      <c r="K1532">
        <f>WEEKNUM(orders[[#This Row],[Order Date]])</f>
        <v>9</v>
      </c>
      <c r="L1532" t="str" cm="1">
        <f t="array" ref="L1532">_xlfn.IFS(orders[[#This Row],[Customer Gender]]="M","Male", orders[[#This Row],[Customer Gender]]="F","Female", orders[[#This Row],[Customer Gender]]="O","Other", TRUE,"Unknown")</f>
        <v>Unknown</v>
      </c>
      <c r="M1532">
        <v>2</v>
      </c>
      <c r="N1532">
        <v>32.1</v>
      </c>
      <c r="O1532" s="5">
        <v>64.2</v>
      </c>
    </row>
    <row r="1533" spans="1:15" x14ac:dyDescent="0.3">
      <c r="A1533" t="s">
        <v>1631</v>
      </c>
      <c r="B1533" t="s">
        <v>134</v>
      </c>
      <c r="C1533" s="7">
        <v>45714</v>
      </c>
      <c r="D1533" s="7">
        <v>45714</v>
      </c>
      <c r="E1533" t="s">
        <v>22</v>
      </c>
      <c r="F1533" t="s">
        <v>39</v>
      </c>
      <c r="G1533">
        <v>4</v>
      </c>
      <c r="H1533" t="s">
        <v>18</v>
      </c>
      <c r="I1533" t="s">
        <v>109</v>
      </c>
      <c r="J1533">
        <f>orders[[#This Row],[Ship Date]]-orders[[#This Row],[Order Date]]</f>
        <v>0</v>
      </c>
      <c r="K1533">
        <f>WEEKNUM(orders[[#This Row],[Order Date]])</f>
        <v>9</v>
      </c>
      <c r="L1533" t="str" cm="1">
        <f t="array" ref="L1533">_xlfn.IFS(orders[[#This Row],[Customer Gender]]="M","Male", orders[[#This Row],[Customer Gender]]="F","Female", orders[[#This Row],[Customer Gender]]="O","Other", TRUE,"Unknown")</f>
        <v>Male</v>
      </c>
      <c r="M1533">
        <v>4</v>
      </c>
      <c r="N1533">
        <v>71.900000000000006</v>
      </c>
      <c r="O1533">
        <v>287.60000000000002</v>
      </c>
    </row>
    <row r="1534" spans="1:15" x14ac:dyDescent="0.3">
      <c r="A1534" t="s">
        <v>1632</v>
      </c>
      <c r="B1534" t="s">
        <v>31</v>
      </c>
      <c r="C1534" s="7">
        <v>45714</v>
      </c>
      <c r="D1534" s="7">
        <v>45715</v>
      </c>
      <c r="E1534" t="s">
        <v>2517</v>
      </c>
      <c r="F1534" t="s">
        <v>50</v>
      </c>
      <c r="G1534">
        <v>5</v>
      </c>
      <c r="H1534" t="s">
        <v>18</v>
      </c>
      <c r="I1534" t="s">
        <v>81</v>
      </c>
      <c r="J1534">
        <f>orders[[#This Row],[Ship Date]]-orders[[#This Row],[Order Date]]</f>
        <v>1</v>
      </c>
      <c r="K1534">
        <f>WEEKNUM(orders[[#This Row],[Order Date]])</f>
        <v>9</v>
      </c>
      <c r="L1534" t="str" cm="1">
        <f t="array" ref="L1534">_xlfn.IFS(orders[[#This Row],[Customer Gender]]="M","Male", orders[[#This Row],[Customer Gender]]="F","Female", orders[[#This Row],[Customer Gender]]="O","Other", TRUE,"Unknown")</f>
        <v>Unknown</v>
      </c>
      <c r="M1534">
        <v>6</v>
      </c>
      <c r="N1534">
        <v>22.3</v>
      </c>
      <c r="O1534" s="5">
        <v>133.80000000000001</v>
      </c>
    </row>
    <row r="1535" spans="1:15" x14ac:dyDescent="0.3">
      <c r="A1535" t="s">
        <v>1633</v>
      </c>
      <c r="B1535" t="s">
        <v>66</v>
      </c>
      <c r="C1535" s="7">
        <v>45714</v>
      </c>
      <c r="D1535" s="7">
        <v>45715</v>
      </c>
      <c r="E1535" t="s">
        <v>26</v>
      </c>
      <c r="F1535" t="s">
        <v>17</v>
      </c>
      <c r="G1535">
        <v>5</v>
      </c>
      <c r="H1535" t="s">
        <v>18</v>
      </c>
      <c r="I1535" t="s">
        <v>81</v>
      </c>
      <c r="J1535">
        <f>orders[[#This Row],[Ship Date]]-orders[[#This Row],[Order Date]]</f>
        <v>1</v>
      </c>
      <c r="K1535">
        <f>WEEKNUM(orders[[#This Row],[Order Date]])</f>
        <v>9</v>
      </c>
      <c r="L1535" t="str" cm="1">
        <f t="array" ref="L1535">_xlfn.IFS(orders[[#This Row],[Customer Gender]]="M","Male", orders[[#This Row],[Customer Gender]]="F","Female", orders[[#This Row],[Customer Gender]]="O","Other", TRUE,"Unknown")</f>
        <v>Female</v>
      </c>
      <c r="M1535">
        <v>2</v>
      </c>
      <c r="N1535">
        <v>29.5</v>
      </c>
      <c r="O1535">
        <v>59</v>
      </c>
    </row>
    <row r="1536" spans="1:15" x14ac:dyDescent="0.3">
      <c r="A1536" t="s">
        <v>1634</v>
      </c>
      <c r="B1536" t="s">
        <v>38</v>
      </c>
      <c r="C1536" s="7">
        <v>45714</v>
      </c>
      <c r="D1536" s="7">
        <v>45718</v>
      </c>
      <c r="E1536" t="s">
        <v>26</v>
      </c>
      <c r="F1536" t="s">
        <v>17</v>
      </c>
      <c r="G1536">
        <v>3</v>
      </c>
      <c r="H1536" t="s">
        <v>18</v>
      </c>
      <c r="I1536" t="s">
        <v>114</v>
      </c>
      <c r="J1536">
        <f>orders[[#This Row],[Ship Date]]-orders[[#This Row],[Order Date]]</f>
        <v>4</v>
      </c>
      <c r="K1536">
        <f>WEEKNUM(orders[[#This Row],[Order Date]])</f>
        <v>9</v>
      </c>
      <c r="L1536" t="str" cm="1">
        <f t="array" ref="L1536">_xlfn.IFS(orders[[#This Row],[Customer Gender]]="M","Male", orders[[#This Row],[Customer Gender]]="F","Female", orders[[#This Row],[Customer Gender]]="O","Other", TRUE,"Unknown")</f>
        <v>Female</v>
      </c>
      <c r="M1536">
        <v>4</v>
      </c>
      <c r="N1536">
        <v>41.9</v>
      </c>
      <c r="O1536" s="5">
        <v>167.6</v>
      </c>
    </row>
    <row r="1537" spans="1:15" x14ac:dyDescent="0.3">
      <c r="A1537" t="s">
        <v>1635</v>
      </c>
      <c r="B1537" t="s">
        <v>38</v>
      </c>
      <c r="C1537" s="7">
        <v>45714</v>
      </c>
      <c r="D1537" s="7">
        <v>45715</v>
      </c>
      <c r="E1537" t="s">
        <v>22</v>
      </c>
      <c r="F1537" t="s">
        <v>34</v>
      </c>
      <c r="G1537">
        <v>5</v>
      </c>
      <c r="H1537" t="s">
        <v>18</v>
      </c>
      <c r="I1537" t="s">
        <v>640</v>
      </c>
      <c r="J1537">
        <f>orders[[#This Row],[Ship Date]]-orders[[#This Row],[Order Date]]</f>
        <v>1</v>
      </c>
      <c r="K1537">
        <f>WEEKNUM(orders[[#This Row],[Order Date]])</f>
        <v>9</v>
      </c>
      <c r="L1537" t="str" cm="1">
        <f t="array" ref="L1537">_xlfn.IFS(orders[[#This Row],[Customer Gender]]="M","Male", orders[[#This Row],[Customer Gender]]="F","Female", orders[[#This Row],[Customer Gender]]="O","Other", TRUE,"Unknown")</f>
        <v>Male</v>
      </c>
      <c r="M1537">
        <v>3</v>
      </c>
      <c r="N1537">
        <v>107.8</v>
      </c>
      <c r="O1537">
        <v>323.39999999999998</v>
      </c>
    </row>
    <row r="1538" spans="1:15" x14ac:dyDescent="0.3">
      <c r="A1538" t="s">
        <v>1636</v>
      </c>
      <c r="B1538" t="s">
        <v>31</v>
      </c>
      <c r="C1538" s="7">
        <v>45714</v>
      </c>
      <c r="D1538" s="7">
        <v>45717</v>
      </c>
      <c r="E1538" t="s">
        <v>22</v>
      </c>
      <c r="F1538" t="s">
        <v>17</v>
      </c>
      <c r="G1538">
        <v>5</v>
      </c>
      <c r="H1538" t="s">
        <v>18</v>
      </c>
      <c r="I1538" t="s">
        <v>27</v>
      </c>
      <c r="J1538">
        <f>orders[[#This Row],[Ship Date]]-orders[[#This Row],[Order Date]]</f>
        <v>3</v>
      </c>
      <c r="K1538">
        <f>WEEKNUM(orders[[#This Row],[Order Date]])</f>
        <v>9</v>
      </c>
      <c r="L1538" t="str" cm="1">
        <f t="array" ref="L1538">_xlfn.IFS(orders[[#This Row],[Customer Gender]]="M","Male", orders[[#This Row],[Customer Gender]]="F","Female", orders[[#This Row],[Customer Gender]]="O","Other", TRUE,"Unknown")</f>
        <v>Male</v>
      </c>
      <c r="M1538">
        <v>5</v>
      </c>
      <c r="N1538">
        <v>18.100000000000001</v>
      </c>
      <c r="O1538" s="5">
        <v>90.5</v>
      </c>
    </row>
    <row r="1539" spans="1:15" x14ac:dyDescent="0.3">
      <c r="A1539" t="s">
        <v>1637</v>
      </c>
      <c r="B1539" t="s">
        <v>68</v>
      </c>
      <c r="C1539" s="7">
        <v>45714</v>
      </c>
      <c r="D1539" s="7">
        <v>45715</v>
      </c>
      <c r="E1539" t="s">
        <v>26</v>
      </c>
      <c r="F1539" t="s">
        <v>34</v>
      </c>
      <c r="G1539">
        <v>3</v>
      </c>
      <c r="H1539" t="s">
        <v>18</v>
      </c>
      <c r="I1539" t="s">
        <v>146</v>
      </c>
      <c r="J1539">
        <f>orders[[#This Row],[Ship Date]]-orders[[#This Row],[Order Date]]</f>
        <v>1</v>
      </c>
      <c r="K1539">
        <f>WEEKNUM(orders[[#This Row],[Order Date]])</f>
        <v>9</v>
      </c>
      <c r="L1539" t="str" cm="1">
        <f t="array" ref="L1539">_xlfn.IFS(orders[[#This Row],[Customer Gender]]="M","Male", orders[[#This Row],[Customer Gender]]="F","Female", orders[[#This Row],[Customer Gender]]="O","Other", TRUE,"Unknown")</f>
        <v>Female</v>
      </c>
      <c r="M1539">
        <v>9</v>
      </c>
      <c r="N1539">
        <v>79.8</v>
      </c>
      <c r="O1539">
        <v>718.19999999999993</v>
      </c>
    </row>
    <row r="1540" spans="1:15" x14ac:dyDescent="0.3">
      <c r="A1540" t="s">
        <v>1638</v>
      </c>
      <c r="B1540" t="s">
        <v>16</v>
      </c>
      <c r="C1540" s="7">
        <v>45714</v>
      </c>
      <c r="D1540" s="7">
        <v>45717</v>
      </c>
      <c r="E1540" t="s">
        <v>26</v>
      </c>
      <c r="F1540" t="s">
        <v>17</v>
      </c>
      <c r="G1540">
        <v>5</v>
      </c>
      <c r="H1540" t="s">
        <v>18</v>
      </c>
      <c r="I1540" t="s">
        <v>146</v>
      </c>
      <c r="J1540">
        <f>orders[[#This Row],[Ship Date]]-orders[[#This Row],[Order Date]]</f>
        <v>3</v>
      </c>
      <c r="K1540">
        <f>WEEKNUM(orders[[#This Row],[Order Date]])</f>
        <v>9</v>
      </c>
      <c r="L1540" t="str" cm="1">
        <f t="array" ref="L1540">_xlfn.IFS(orders[[#This Row],[Customer Gender]]="M","Male", orders[[#This Row],[Customer Gender]]="F","Female", orders[[#This Row],[Customer Gender]]="O","Other", TRUE,"Unknown")</f>
        <v>Female</v>
      </c>
      <c r="M1540">
        <v>3</v>
      </c>
      <c r="N1540">
        <v>22.3</v>
      </c>
      <c r="O1540" s="5">
        <v>66.900000000000006</v>
      </c>
    </row>
    <row r="1541" spans="1:15" x14ac:dyDescent="0.3">
      <c r="A1541" t="s">
        <v>1639</v>
      </c>
      <c r="B1541" t="s">
        <v>43</v>
      </c>
      <c r="C1541" s="7">
        <v>45714</v>
      </c>
      <c r="D1541" s="7">
        <v>45714</v>
      </c>
      <c r="E1541" t="s">
        <v>26</v>
      </c>
      <c r="F1541" t="s">
        <v>34</v>
      </c>
      <c r="G1541">
        <v>4</v>
      </c>
      <c r="H1541" t="s">
        <v>18</v>
      </c>
      <c r="I1541" t="s">
        <v>146</v>
      </c>
      <c r="J1541">
        <f>orders[[#This Row],[Ship Date]]-orders[[#This Row],[Order Date]]</f>
        <v>0</v>
      </c>
      <c r="K1541">
        <f>WEEKNUM(orders[[#This Row],[Order Date]])</f>
        <v>9</v>
      </c>
      <c r="L1541" t="str" cm="1">
        <f t="array" ref="L1541">_xlfn.IFS(orders[[#This Row],[Customer Gender]]="M","Male", orders[[#This Row],[Customer Gender]]="F","Female", orders[[#This Row],[Customer Gender]]="O","Other", TRUE,"Unknown")</f>
        <v>Female</v>
      </c>
      <c r="M1541">
        <v>1</v>
      </c>
      <c r="N1541">
        <v>22.9</v>
      </c>
      <c r="O1541">
        <v>22.9</v>
      </c>
    </row>
    <row r="1542" spans="1:15" x14ac:dyDescent="0.3">
      <c r="A1542" t="s">
        <v>1640</v>
      </c>
      <c r="B1542" t="s">
        <v>16</v>
      </c>
      <c r="C1542" s="7">
        <v>45715</v>
      </c>
      <c r="D1542" s="7">
        <v>45715</v>
      </c>
      <c r="E1542" t="s">
        <v>22</v>
      </c>
      <c r="F1542" t="s">
        <v>69</v>
      </c>
      <c r="G1542">
        <v>5</v>
      </c>
      <c r="H1542" t="s">
        <v>18</v>
      </c>
      <c r="I1542" t="s">
        <v>32</v>
      </c>
      <c r="J1542">
        <f>orders[[#This Row],[Ship Date]]-orders[[#This Row],[Order Date]]</f>
        <v>0</v>
      </c>
      <c r="K1542">
        <f>WEEKNUM(orders[[#This Row],[Order Date]])</f>
        <v>9</v>
      </c>
      <c r="L1542" t="str" cm="1">
        <f t="array" ref="L1542">_xlfn.IFS(orders[[#This Row],[Customer Gender]]="M","Male", orders[[#This Row],[Customer Gender]]="F","Female", orders[[#This Row],[Customer Gender]]="O","Other", TRUE,"Unknown")</f>
        <v>Male</v>
      </c>
      <c r="M1542">
        <v>3</v>
      </c>
      <c r="N1542">
        <v>16.2</v>
      </c>
      <c r="O1542" s="5">
        <v>48.599999999999994</v>
      </c>
    </row>
    <row r="1543" spans="1:15" x14ac:dyDescent="0.3">
      <c r="A1543" t="s">
        <v>1641</v>
      </c>
      <c r="B1543" t="s">
        <v>53</v>
      </c>
      <c r="C1543" s="7">
        <v>45715</v>
      </c>
      <c r="D1543" s="7">
        <v>45716</v>
      </c>
      <c r="E1543" t="s">
        <v>22</v>
      </c>
      <c r="F1543" t="s">
        <v>34</v>
      </c>
      <c r="G1543">
        <v>5</v>
      </c>
      <c r="H1543" t="s">
        <v>18</v>
      </c>
      <c r="I1543" t="s">
        <v>32</v>
      </c>
      <c r="J1543">
        <f>orders[[#This Row],[Ship Date]]-orders[[#This Row],[Order Date]]</f>
        <v>1</v>
      </c>
      <c r="K1543">
        <f>WEEKNUM(orders[[#This Row],[Order Date]])</f>
        <v>9</v>
      </c>
      <c r="L1543" t="str" cm="1">
        <f t="array" ref="L1543">_xlfn.IFS(orders[[#This Row],[Customer Gender]]="M","Male", orders[[#This Row],[Customer Gender]]="F","Female", orders[[#This Row],[Customer Gender]]="O","Other", TRUE,"Unknown")</f>
        <v>Male</v>
      </c>
      <c r="M1543">
        <v>4</v>
      </c>
      <c r="N1543">
        <v>59.5</v>
      </c>
      <c r="O1543">
        <v>238</v>
      </c>
    </row>
    <row r="1544" spans="1:15" x14ac:dyDescent="0.3">
      <c r="A1544" t="s">
        <v>1642</v>
      </c>
      <c r="B1544" t="s">
        <v>145</v>
      </c>
      <c r="C1544" s="7">
        <v>45715</v>
      </c>
      <c r="D1544" s="7">
        <v>45718</v>
      </c>
      <c r="E1544" t="s">
        <v>22</v>
      </c>
      <c r="F1544" t="s">
        <v>50</v>
      </c>
      <c r="G1544">
        <v>2</v>
      </c>
      <c r="H1544" t="s">
        <v>18</v>
      </c>
      <c r="I1544" t="s">
        <v>32</v>
      </c>
      <c r="J1544">
        <f>orders[[#This Row],[Ship Date]]-orders[[#This Row],[Order Date]]</f>
        <v>3</v>
      </c>
      <c r="K1544">
        <f>WEEKNUM(orders[[#This Row],[Order Date]])</f>
        <v>9</v>
      </c>
      <c r="L1544" t="str" cm="1">
        <f t="array" ref="L1544">_xlfn.IFS(orders[[#This Row],[Customer Gender]]="M","Male", orders[[#This Row],[Customer Gender]]="F","Female", orders[[#This Row],[Customer Gender]]="O","Other", TRUE,"Unknown")</f>
        <v>Male</v>
      </c>
      <c r="M1544">
        <v>5</v>
      </c>
      <c r="N1544">
        <v>26.2</v>
      </c>
      <c r="O1544" s="5">
        <v>131</v>
      </c>
    </row>
    <row r="1545" spans="1:15" x14ac:dyDescent="0.3">
      <c r="A1545" t="s">
        <v>1643</v>
      </c>
      <c r="B1545" t="s">
        <v>29</v>
      </c>
      <c r="C1545" s="7">
        <v>45715</v>
      </c>
      <c r="D1545" s="7">
        <v>45718</v>
      </c>
      <c r="E1545" t="s">
        <v>26</v>
      </c>
      <c r="F1545" t="s">
        <v>34</v>
      </c>
      <c r="G1545">
        <v>4</v>
      </c>
      <c r="H1545" t="s">
        <v>18</v>
      </c>
      <c r="I1545" t="s">
        <v>32</v>
      </c>
      <c r="J1545">
        <f>orders[[#This Row],[Ship Date]]-orders[[#This Row],[Order Date]]</f>
        <v>3</v>
      </c>
      <c r="K1545">
        <f>WEEKNUM(orders[[#This Row],[Order Date]])</f>
        <v>9</v>
      </c>
      <c r="L1545" t="str" cm="1">
        <f t="array" ref="L1545">_xlfn.IFS(orders[[#This Row],[Customer Gender]]="M","Male", orders[[#This Row],[Customer Gender]]="F","Female", orders[[#This Row],[Customer Gender]]="O","Other", TRUE,"Unknown")</f>
        <v>Female</v>
      </c>
      <c r="M1545">
        <v>1</v>
      </c>
      <c r="N1545">
        <v>44.2</v>
      </c>
      <c r="O1545">
        <v>44.2</v>
      </c>
    </row>
    <row r="1546" spans="1:15" x14ac:dyDescent="0.3">
      <c r="A1546" t="s">
        <v>1644</v>
      </c>
      <c r="B1546" t="s">
        <v>45</v>
      </c>
      <c r="C1546" s="7">
        <v>45715</v>
      </c>
      <c r="D1546" s="7">
        <v>45715</v>
      </c>
      <c r="E1546" t="s">
        <v>26</v>
      </c>
      <c r="F1546" t="s">
        <v>34</v>
      </c>
      <c r="G1546">
        <v>2</v>
      </c>
      <c r="H1546" t="s">
        <v>18</v>
      </c>
      <c r="I1546" t="s">
        <v>32</v>
      </c>
      <c r="J1546">
        <f>orders[[#This Row],[Ship Date]]-orders[[#This Row],[Order Date]]</f>
        <v>0</v>
      </c>
      <c r="K1546">
        <f>WEEKNUM(orders[[#This Row],[Order Date]])</f>
        <v>9</v>
      </c>
      <c r="L1546" t="str" cm="1">
        <f t="array" ref="L1546">_xlfn.IFS(orders[[#This Row],[Customer Gender]]="M","Male", orders[[#This Row],[Customer Gender]]="F","Female", orders[[#This Row],[Customer Gender]]="O","Other", TRUE,"Unknown")</f>
        <v>Female</v>
      </c>
      <c r="M1546">
        <v>2</v>
      </c>
      <c r="N1546">
        <v>59.2</v>
      </c>
      <c r="O1546" s="5">
        <v>118.4</v>
      </c>
    </row>
    <row r="1547" spans="1:15" x14ac:dyDescent="0.3">
      <c r="A1547" t="s">
        <v>1645</v>
      </c>
      <c r="B1547" t="s">
        <v>122</v>
      </c>
      <c r="C1547" s="7">
        <v>45715</v>
      </c>
      <c r="D1547" s="7">
        <v>45717</v>
      </c>
      <c r="E1547" t="s">
        <v>26</v>
      </c>
      <c r="F1547" t="s">
        <v>17</v>
      </c>
      <c r="G1547">
        <v>4</v>
      </c>
      <c r="H1547" t="s">
        <v>18</v>
      </c>
      <c r="I1547" t="s">
        <v>97</v>
      </c>
      <c r="J1547">
        <f>orders[[#This Row],[Ship Date]]-orders[[#This Row],[Order Date]]</f>
        <v>2</v>
      </c>
      <c r="K1547">
        <f>WEEKNUM(orders[[#This Row],[Order Date]])</f>
        <v>9</v>
      </c>
      <c r="L1547" t="str" cm="1">
        <f t="array" ref="L1547">_xlfn.IFS(orders[[#This Row],[Customer Gender]]="M","Male", orders[[#This Row],[Customer Gender]]="F","Female", orders[[#This Row],[Customer Gender]]="O","Other", TRUE,"Unknown")</f>
        <v>Female</v>
      </c>
      <c r="M1547">
        <v>4</v>
      </c>
      <c r="N1547">
        <v>41.5</v>
      </c>
      <c r="O1547">
        <v>166</v>
      </c>
    </row>
    <row r="1548" spans="1:15" x14ac:dyDescent="0.3">
      <c r="A1548" t="s">
        <v>1646</v>
      </c>
      <c r="B1548" t="s">
        <v>38</v>
      </c>
      <c r="C1548" s="7">
        <v>45715</v>
      </c>
      <c r="D1548" s="7">
        <v>45729</v>
      </c>
      <c r="E1548" t="s">
        <v>26</v>
      </c>
      <c r="F1548" t="s">
        <v>17</v>
      </c>
      <c r="G1548">
        <v>5</v>
      </c>
      <c r="H1548" t="s">
        <v>18</v>
      </c>
      <c r="I1548" t="s">
        <v>157</v>
      </c>
      <c r="J1548">
        <f>orders[[#This Row],[Ship Date]]-orders[[#This Row],[Order Date]]</f>
        <v>14</v>
      </c>
      <c r="K1548">
        <f>WEEKNUM(orders[[#This Row],[Order Date]])</f>
        <v>9</v>
      </c>
      <c r="L1548" t="str" cm="1">
        <f t="array" ref="L1548">_xlfn.IFS(orders[[#This Row],[Customer Gender]]="M","Male", orders[[#This Row],[Customer Gender]]="F","Female", orders[[#This Row],[Customer Gender]]="O","Other", TRUE,"Unknown")</f>
        <v>Female</v>
      </c>
      <c r="M1548">
        <v>12</v>
      </c>
      <c r="N1548">
        <v>67.099999999999994</v>
      </c>
      <c r="O1548" s="5">
        <v>805.19999999999993</v>
      </c>
    </row>
    <row r="1549" spans="1:15" x14ac:dyDescent="0.3">
      <c r="A1549" t="s">
        <v>1647</v>
      </c>
      <c r="B1549" t="s">
        <v>43</v>
      </c>
      <c r="C1549" s="7">
        <v>45715</v>
      </c>
      <c r="D1549" s="7">
        <v>45719</v>
      </c>
      <c r="E1549" t="s">
        <v>26</v>
      </c>
      <c r="F1549" t="s">
        <v>34</v>
      </c>
      <c r="G1549">
        <v>4</v>
      </c>
      <c r="H1549" t="s">
        <v>18</v>
      </c>
      <c r="I1549" t="s">
        <v>54</v>
      </c>
      <c r="J1549">
        <f>orders[[#This Row],[Ship Date]]-orders[[#This Row],[Order Date]]</f>
        <v>4</v>
      </c>
      <c r="K1549">
        <f>WEEKNUM(orders[[#This Row],[Order Date]])</f>
        <v>9</v>
      </c>
      <c r="L1549" t="str" cm="1">
        <f t="array" ref="L1549">_xlfn.IFS(orders[[#This Row],[Customer Gender]]="M","Male", orders[[#This Row],[Customer Gender]]="F","Female", orders[[#This Row],[Customer Gender]]="O","Other", TRUE,"Unknown")</f>
        <v>Female</v>
      </c>
      <c r="M1549">
        <v>2</v>
      </c>
      <c r="N1549">
        <v>28.7</v>
      </c>
      <c r="O1549">
        <v>57.4</v>
      </c>
    </row>
    <row r="1550" spans="1:15" x14ac:dyDescent="0.3">
      <c r="A1550" t="s">
        <v>1648</v>
      </c>
      <c r="B1550" t="s">
        <v>25</v>
      </c>
      <c r="C1550" s="7">
        <v>45715</v>
      </c>
      <c r="D1550" s="7">
        <v>45716</v>
      </c>
      <c r="E1550" t="s">
        <v>26</v>
      </c>
      <c r="F1550" t="s">
        <v>17</v>
      </c>
      <c r="G1550">
        <v>3</v>
      </c>
      <c r="H1550" t="s">
        <v>18</v>
      </c>
      <c r="I1550" t="s">
        <v>54</v>
      </c>
      <c r="J1550">
        <f>orders[[#This Row],[Ship Date]]-orders[[#This Row],[Order Date]]</f>
        <v>1</v>
      </c>
      <c r="K1550">
        <f>WEEKNUM(orders[[#This Row],[Order Date]])</f>
        <v>9</v>
      </c>
      <c r="L1550" t="str" cm="1">
        <f t="array" ref="L1550">_xlfn.IFS(orders[[#This Row],[Customer Gender]]="M","Male", orders[[#This Row],[Customer Gender]]="F","Female", orders[[#This Row],[Customer Gender]]="O","Other", TRUE,"Unknown")</f>
        <v>Female</v>
      </c>
      <c r="M1550">
        <v>4</v>
      </c>
      <c r="N1550">
        <v>132.1</v>
      </c>
      <c r="O1550" s="5">
        <v>528.4</v>
      </c>
    </row>
    <row r="1551" spans="1:15" x14ac:dyDescent="0.3">
      <c r="A1551" t="s">
        <v>1649</v>
      </c>
      <c r="B1551" t="s">
        <v>145</v>
      </c>
      <c r="C1551" s="7">
        <v>45715</v>
      </c>
      <c r="D1551" s="7">
        <v>45717</v>
      </c>
      <c r="E1551" t="s">
        <v>22</v>
      </c>
      <c r="F1551" t="s">
        <v>69</v>
      </c>
      <c r="G1551">
        <v>4</v>
      </c>
      <c r="H1551" t="s">
        <v>18</v>
      </c>
      <c r="I1551" t="s">
        <v>61</v>
      </c>
      <c r="J1551">
        <f>orders[[#This Row],[Ship Date]]-orders[[#This Row],[Order Date]]</f>
        <v>2</v>
      </c>
      <c r="K1551">
        <f>WEEKNUM(orders[[#This Row],[Order Date]])</f>
        <v>9</v>
      </c>
      <c r="L1551" t="str" cm="1">
        <f t="array" ref="L1551">_xlfn.IFS(orders[[#This Row],[Customer Gender]]="M","Male", orders[[#This Row],[Customer Gender]]="F","Female", orders[[#This Row],[Customer Gender]]="O","Other", TRUE,"Unknown")</f>
        <v>Male</v>
      </c>
      <c r="M1551">
        <v>2</v>
      </c>
      <c r="N1551">
        <v>47</v>
      </c>
      <c r="O1551">
        <v>94</v>
      </c>
    </row>
    <row r="1552" spans="1:15" x14ac:dyDescent="0.3">
      <c r="A1552" t="s">
        <v>1650</v>
      </c>
      <c r="B1552" t="s">
        <v>43</v>
      </c>
      <c r="C1552" s="7">
        <v>45715</v>
      </c>
      <c r="D1552" s="7">
        <v>45719</v>
      </c>
      <c r="E1552" t="s">
        <v>22</v>
      </c>
      <c r="F1552" t="s">
        <v>34</v>
      </c>
      <c r="G1552">
        <v>5</v>
      </c>
      <c r="H1552" t="s">
        <v>18</v>
      </c>
      <c r="I1552" t="s">
        <v>61</v>
      </c>
      <c r="J1552">
        <f>orders[[#This Row],[Ship Date]]-orders[[#This Row],[Order Date]]</f>
        <v>4</v>
      </c>
      <c r="K1552">
        <f>WEEKNUM(orders[[#This Row],[Order Date]])</f>
        <v>9</v>
      </c>
      <c r="L1552" t="str" cm="1">
        <f t="array" ref="L1552">_xlfn.IFS(orders[[#This Row],[Customer Gender]]="M","Male", orders[[#This Row],[Customer Gender]]="F","Female", orders[[#This Row],[Customer Gender]]="O","Other", TRUE,"Unknown")</f>
        <v>Male</v>
      </c>
      <c r="M1552">
        <v>2</v>
      </c>
      <c r="N1552">
        <v>41.6</v>
      </c>
      <c r="O1552" s="5">
        <v>83.2</v>
      </c>
    </row>
    <row r="1553" spans="1:15" x14ac:dyDescent="0.3">
      <c r="A1553" t="s">
        <v>1651</v>
      </c>
      <c r="B1553" t="s">
        <v>43</v>
      </c>
      <c r="C1553" s="7">
        <v>45715</v>
      </c>
      <c r="D1553" s="7">
        <v>45717</v>
      </c>
      <c r="E1553" t="s">
        <v>22</v>
      </c>
      <c r="F1553" t="s">
        <v>39</v>
      </c>
      <c r="G1553">
        <v>5</v>
      </c>
      <c r="H1553" t="s">
        <v>18</v>
      </c>
      <c r="I1553" t="s">
        <v>61</v>
      </c>
      <c r="J1553">
        <f>orders[[#This Row],[Ship Date]]-orders[[#This Row],[Order Date]]</f>
        <v>2</v>
      </c>
      <c r="K1553">
        <f>WEEKNUM(orders[[#This Row],[Order Date]])</f>
        <v>9</v>
      </c>
      <c r="L1553" t="str" cm="1">
        <f t="array" ref="L1553">_xlfn.IFS(orders[[#This Row],[Customer Gender]]="M","Male", orders[[#This Row],[Customer Gender]]="F","Female", orders[[#This Row],[Customer Gender]]="O","Other", TRUE,"Unknown")</f>
        <v>Male</v>
      </c>
      <c r="M1553">
        <v>38</v>
      </c>
      <c r="N1553">
        <v>17.3</v>
      </c>
      <c r="O1553">
        <v>657.4</v>
      </c>
    </row>
    <row r="1554" spans="1:15" x14ac:dyDescent="0.3">
      <c r="A1554" t="s">
        <v>1652</v>
      </c>
      <c r="B1554" t="s">
        <v>75</v>
      </c>
      <c r="C1554" s="7">
        <v>45715</v>
      </c>
      <c r="D1554" s="7">
        <v>45718</v>
      </c>
      <c r="E1554" t="s">
        <v>22</v>
      </c>
      <c r="F1554" t="s">
        <v>17</v>
      </c>
      <c r="G1554">
        <v>5</v>
      </c>
      <c r="H1554" t="s">
        <v>18</v>
      </c>
      <c r="I1554" t="s">
        <v>61</v>
      </c>
      <c r="J1554">
        <f>orders[[#This Row],[Ship Date]]-orders[[#This Row],[Order Date]]</f>
        <v>3</v>
      </c>
      <c r="K1554">
        <f>WEEKNUM(orders[[#This Row],[Order Date]])</f>
        <v>9</v>
      </c>
      <c r="L1554" t="str" cm="1">
        <f t="array" ref="L1554">_xlfn.IFS(orders[[#This Row],[Customer Gender]]="M","Male", orders[[#This Row],[Customer Gender]]="F","Female", orders[[#This Row],[Customer Gender]]="O","Other", TRUE,"Unknown")</f>
        <v>Male</v>
      </c>
      <c r="M1554">
        <v>3</v>
      </c>
      <c r="N1554">
        <v>41.8</v>
      </c>
      <c r="O1554" s="5">
        <v>125.39999999999999</v>
      </c>
    </row>
    <row r="1555" spans="1:15" x14ac:dyDescent="0.3">
      <c r="A1555" t="s">
        <v>1653</v>
      </c>
      <c r="B1555" t="s">
        <v>53</v>
      </c>
      <c r="C1555" s="7">
        <v>45715</v>
      </c>
      <c r="D1555" s="7">
        <v>45716</v>
      </c>
      <c r="E1555" t="s">
        <v>26</v>
      </c>
      <c r="F1555" t="s">
        <v>17</v>
      </c>
      <c r="G1555">
        <v>4</v>
      </c>
      <c r="H1555" t="s">
        <v>18</v>
      </c>
      <c r="I1555" t="s">
        <v>102</v>
      </c>
      <c r="J1555">
        <f>orders[[#This Row],[Ship Date]]-orders[[#This Row],[Order Date]]</f>
        <v>1</v>
      </c>
      <c r="K1555">
        <f>WEEKNUM(orders[[#This Row],[Order Date]])</f>
        <v>9</v>
      </c>
      <c r="L1555" t="str" cm="1">
        <f t="array" ref="L1555">_xlfn.IFS(orders[[#This Row],[Customer Gender]]="M","Male", orders[[#This Row],[Customer Gender]]="F","Female", orders[[#This Row],[Customer Gender]]="O","Other", TRUE,"Unknown")</f>
        <v>Female</v>
      </c>
      <c r="M1555">
        <v>1</v>
      </c>
      <c r="N1555">
        <v>24</v>
      </c>
      <c r="O1555">
        <v>24</v>
      </c>
    </row>
    <row r="1556" spans="1:15" x14ac:dyDescent="0.3">
      <c r="A1556" t="s">
        <v>1654</v>
      </c>
      <c r="B1556" t="s">
        <v>80</v>
      </c>
      <c r="C1556" s="7">
        <v>45715</v>
      </c>
      <c r="D1556" s="7">
        <v>45717</v>
      </c>
      <c r="E1556" t="s">
        <v>26</v>
      </c>
      <c r="F1556" t="s">
        <v>17</v>
      </c>
      <c r="G1556">
        <v>4</v>
      </c>
      <c r="H1556" t="s">
        <v>18</v>
      </c>
      <c r="I1556" t="s">
        <v>71</v>
      </c>
      <c r="J1556">
        <f>orders[[#This Row],[Ship Date]]-orders[[#This Row],[Order Date]]</f>
        <v>2</v>
      </c>
      <c r="K1556">
        <f>WEEKNUM(orders[[#This Row],[Order Date]])</f>
        <v>9</v>
      </c>
      <c r="L1556" t="str" cm="1">
        <f t="array" ref="L1556">_xlfn.IFS(orders[[#This Row],[Customer Gender]]="M","Male", orders[[#This Row],[Customer Gender]]="F","Female", orders[[#This Row],[Customer Gender]]="O","Other", TRUE,"Unknown")</f>
        <v>Female</v>
      </c>
      <c r="M1556">
        <v>9</v>
      </c>
      <c r="N1556">
        <v>18.5</v>
      </c>
      <c r="O1556" s="5">
        <v>166.5</v>
      </c>
    </row>
    <row r="1557" spans="1:15" x14ac:dyDescent="0.3">
      <c r="A1557" t="s">
        <v>1655</v>
      </c>
      <c r="B1557" t="s">
        <v>29</v>
      </c>
      <c r="C1557" s="7">
        <v>45715</v>
      </c>
      <c r="D1557" s="7">
        <v>45718</v>
      </c>
      <c r="E1557" t="s">
        <v>2517</v>
      </c>
      <c r="F1557" t="s">
        <v>17</v>
      </c>
      <c r="G1557">
        <v>5</v>
      </c>
      <c r="H1557" t="s">
        <v>18</v>
      </c>
      <c r="I1557" t="s">
        <v>76</v>
      </c>
      <c r="J1557">
        <f>orders[[#This Row],[Ship Date]]-orders[[#This Row],[Order Date]]</f>
        <v>3</v>
      </c>
      <c r="K1557">
        <f>WEEKNUM(orders[[#This Row],[Order Date]])</f>
        <v>9</v>
      </c>
      <c r="L1557" t="str" cm="1">
        <f t="array" ref="L1557">_xlfn.IFS(orders[[#This Row],[Customer Gender]]="M","Male", orders[[#This Row],[Customer Gender]]="F","Female", orders[[#This Row],[Customer Gender]]="O","Other", TRUE,"Unknown")</f>
        <v>Unknown</v>
      </c>
      <c r="M1557">
        <v>12</v>
      </c>
      <c r="N1557">
        <v>66.7</v>
      </c>
      <c r="O1557">
        <v>800.40000000000009</v>
      </c>
    </row>
    <row r="1558" spans="1:15" x14ac:dyDescent="0.3">
      <c r="A1558" t="s">
        <v>1656</v>
      </c>
      <c r="B1558" t="s">
        <v>21</v>
      </c>
      <c r="C1558" s="7">
        <v>45715</v>
      </c>
      <c r="D1558" s="7">
        <v>45720</v>
      </c>
      <c r="E1558" t="s">
        <v>22</v>
      </c>
      <c r="F1558" t="s">
        <v>50</v>
      </c>
      <c r="G1558">
        <v>4</v>
      </c>
      <c r="H1558" t="s">
        <v>18</v>
      </c>
      <c r="I1558" t="s">
        <v>76</v>
      </c>
      <c r="J1558">
        <f>orders[[#This Row],[Ship Date]]-orders[[#This Row],[Order Date]]</f>
        <v>5</v>
      </c>
      <c r="K1558">
        <f>WEEKNUM(orders[[#This Row],[Order Date]])</f>
        <v>9</v>
      </c>
      <c r="L1558" t="str" cm="1">
        <f t="array" ref="L1558">_xlfn.IFS(orders[[#This Row],[Customer Gender]]="M","Male", orders[[#This Row],[Customer Gender]]="F","Female", orders[[#This Row],[Customer Gender]]="O","Other", TRUE,"Unknown")</f>
        <v>Male</v>
      </c>
      <c r="M1558">
        <v>4</v>
      </c>
      <c r="N1558">
        <v>33.1</v>
      </c>
      <c r="O1558" s="5">
        <v>132.4</v>
      </c>
    </row>
    <row r="1559" spans="1:15" x14ac:dyDescent="0.3">
      <c r="A1559" t="s">
        <v>1657</v>
      </c>
      <c r="B1559" t="s">
        <v>170</v>
      </c>
      <c r="C1559" s="7">
        <v>45715</v>
      </c>
      <c r="D1559" s="7">
        <v>45726</v>
      </c>
      <c r="E1559" t="s">
        <v>22</v>
      </c>
      <c r="F1559" t="s">
        <v>34</v>
      </c>
      <c r="G1559">
        <v>4</v>
      </c>
      <c r="H1559" t="s">
        <v>18</v>
      </c>
      <c r="I1559" t="s">
        <v>107</v>
      </c>
      <c r="J1559">
        <f>orders[[#This Row],[Ship Date]]-orders[[#This Row],[Order Date]]</f>
        <v>11</v>
      </c>
      <c r="K1559">
        <f>WEEKNUM(orders[[#This Row],[Order Date]])</f>
        <v>9</v>
      </c>
      <c r="L1559" t="str" cm="1">
        <f t="array" ref="L1559">_xlfn.IFS(orders[[#This Row],[Customer Gender]]="M","Male", orders[[#This Row],[Customer Gender]]="F","Female", orders[[#This Row],[Customer Gender]]="O","Other", TRUE,"Unknown")</f>
        <v>Male</v>
      </c>
      <c r="M1559">
        <v>9</v>
      </c>
      <c r="N1559">
        <v>42.1</v>
      </c>
      <c r="O1559">
        <v>378.90000000000003</v>
      </c>
    </row>
    <row r="1560" spans="1:15" x14ac:dyDescent="0.3">
      <c r="A1560" t="s">
        <v>1658</v>
      </c>
      <c r="B1560" t="s">
        <v>145</v>
      </c>
      <c r="C1560" s="7">
        <v>45715</v>
      </c>
      <c r="D1560" s="7">
        <v>45715</v>
      </c>
      <c r="E1560" t="s">
        <v>88</v>
      </c>
      <c r="F1560" t="s">
        <v>50</v>
      </c>
      <c r="G1560">
        <v>4</v>
      </c>
      <c r="H1560" t="s">
        <v>18</v>
      </c>
      <c r="I1560" t="s">
        <v>291</v>
      </c>
      <c r="J1560">
        <f>orders[[#This Row],[Ship Date]]-orders[[#This Row],[Order Date]]</f>
        <v>0</v>
      </c>
      <c r="K1560">
        <f>WEEKNUM(orders[[#This Row],[Order Date]])</f>
        <v>9</v>
      </c>
      <c r="L1560" t="str" cm="1">
        <f t="array" ref="L1560">_xlfn.IFS(orders[[#This Row],[Customer Gender]]="M","Male", orders[[#This Row],[Customer Gender]]="F","Female", orders[[#This Row],[Customer Gender]]="O","Other", TRUE,"Unknown")</f>
        <v>Other</v>
      </c>
      <c r="M1560">
        <v>7</v>
      </c>
      <c r="N1560">
        <v>58.7</v>
      </c>
      <c r="O1560" s="5">
        <v>410.90000000000003</v>
      </c>
    </row>
    <row r="1561" spans="1:15" x14ac:dyDescent="0.3">
      <c r="A1561" t="s">
        <v>1659</v>
      </c>
      <c r="B1561" t="s">
        <v>38</v>
      </c>
      <c r="C1561" s="7">
        <v>45715</v>
      </c>
      <c r="D1561" s="7">
        <v>45717</v>
      </c>
      <c r="E1561" t="s">
        <v>26</v>
      </c>
      <c r="F1561" t="s">
        <v>34</v>
      </c>
      <c r="G1561">
        <v>4</v>
      </c>
      <c r="H1561" t="s">
        <v>18</v>
      </c>
      <c r="I1561" t="s">
        <v>23</v>
      </c>
      <c r="J1561">
        <f>orders[[#This Row],[Ship Date]]-orders[[#This Row],[Order Date]]</f>
        <v>2</v>
      </c>
      <c r="K1561">
        <f>WEEKNUM(orders[[#This Row],[Order Date]])</f>
        <v>9</v>
      </c>
      <c r="L1561" t="str" cm="1">
        <f t="array" ref="L1561">_xlfn.IFS(orders[[#This Row],[Customer Gender]]="M","Male", orders[[#This Row],[Customer Gender]]="F","Female", orders[[#This Row],[Customer Gender]]="O","Other", TRUE,"Unknown")</f>
        <v>Female</v>
      </c>
      <c r="M1561">
        <v>4</v>
      </c>
      <c r="N1561">
        <v>54</v>
      </c>
      <c r="O1561">
        <v>216</v>
      </c>
    </row>
    <row r="1562" spans="1:15" x14ac:dyDescent="0.3">
      <c r="A1562" t="s">
        <v>1660</v>
      </c>
      <c r="B1562" t="s">
        <v>43</v>
      </c>
      <c r="C1562" s="7">
        <v>45715</v>
      </c>
      <c r="D1562" s="7">
        <v>45716</v>
      </c>
      <c r="E1562" t="s">
        <v>26</v>
      </c>
      <c r="F1562" t="s">
        <v>39</v>
      </c>
      <c r="G1562">
        <v>5</v>
      </c>
      <c r="H1562" t="s">
        <v>18</v>
      </c>
      <c r="I1562" t="s">
        <v>27</v>
      </c>
      <c r="J1562">
        <f>orders[[#This Row],[Ship Date]]-orders[[#This Row],[Order Date]]</f>
        <v>1</v>
      </c>
      <c r="K1562">
        <f>WEEKNUM(orders[[#This Row],[Order Date]])</f>
        <v>9</v>
      </c>
      <c r="L1562" t="str" cm="1">
        <f t="array" ref="L1562">_xlfn.IFS(orders[[#This Row],[Customer Gender]]="M","Male", orders[[#This Row],[Customer Gender]]="F","Female", orders[[#This Row],[Customer Gender]]="O","Other", TRUE,"Unknown")</f>
        <v>Female</v>
      </c>
      <c r="M1562">
        <v>1</v>
      </c>
      <c r="N1562">
        <v>52.1</v>
      </c>
      <c r="O1562" s="5">
        <v>52.1</v>
      </c>
    </row>
    <row r="1563" spans="1:15" x14ac:dyDescent="0.3">
      <c r="A1563" t="s">
        <v>1661</v>
      </c>
      <c r="B1563" t="s">
        <v>170</v>
      </c>
      <c r="C1563" s="7">
        <v>45715</v>
      </c>
      <c r="D1563" s="7">
        <v>45718</v>
      </c>
      <c r="E1563" t="s">
        <v>88</v>
      </c>
      <c r="F1563" t="s">
        <v>39</v>
      </c>
      <c r="G1563">
        <v>4</v>
      </c>
      <c r="H1563" t="s">
        <v>18</v>
      </c>
      <c r="I1563" t="s">
        <v>146</v>
      </c>
      <c r="J1563">
        <f>orders[[#This Row],[Ship Date]]-orders[[#This Row],[Order Date]]</f>
        <v>3</v>
      </c>
      <c r="K1563">
        <f>WEEKNUM(orders[[#This Row],[Order Date]])</f>
        <v>9</v>
      </c>
      <c r="L1563" t="str" cm="1">
        <f t="array" ref="L1563">_xlfn.IFS(orders[[#This Row],[Customer Gender]]="M","Male", orders[[#This Row],[Customer Gender]]="F","Female", orders[[#This Row],[Customer Gender]]="O","Other", TRUE,"Unknown")</f>
        <v>Other</v>
      </c>
      <c r="M1563">
        <v>2</v>
      </c>
      <c r="N1563">
        <v>27</v>
      </c>
      <c r="O1563">
        <v>54</v>
      </c>
    </row>
    <row r="1564" spans="1:15" x14ac:dyDescent="0.3">
      <c r="A1564" t="s">
        <v>1662</v>
      </c>
      <c r="B1564" t="s">
        <v>68</v>
      </c>
      <c r="C1564" s="7">
        <v>45716</v>
      </c>
      <c r="D1564" s="7">
        <v>45717</v>
      </c>
      <c r="E1564" t="s">
        <v>26</v>
      </c>
      <c r="F1564" t="s">
        <v>50</v>
      </c>
      <c r="G1564">
        <v>5</v>
      </c>
      <c r="H1564" t="s">
        <v>18</v>
      </c>
      <c r="I1564" t="s">
        <v>146</v>
      </c>
      <c r="J1564">
        <f>orders[[#This Row],[Ship Date]]-orders[[#This Row],[Order Date]]</f>
        <v>1</v>
      </c>
      <c r="K1564">
        <f>WEEKNUM(orders[[#This Row],[Order Date]])</f>
        <v>9</v>
      </c>
      <c r="L1564" t="str" cm="1">
        <f t="array" ref="L1564">_xlfn.IFS(orders[[#This Row],[Customer Gender]]="M","Male", orders[[#This Row],[Customer Gender]]="F","Female", orders[[#This Row],[Customer Gender]]="O","Other", TRUE,"Unknown")</f>
        <v>Female</v>
      </c>
      <c r="M1564">
        <v>10</v>
      </c>
      <c r="N1564">
        <v>31</v>
      </c>
      <c r="O1564" s="5">
        <v>310</v>
      </c>
    </row>
    <row r="1565" spans="1:15" x14ac:dyDescent="0.3">
      <c r="A1565" t="s">
        <v>1663</v>
      </c>
      <c r="B1565" t="s">
        <v>53</v>
      </c>
      <c r="C1565" s="7">
        <v>45716</v>
      </c>
      <c r="D1565" s="7">
        <v>45716</v>
      </c>
      <c r="E1565" t="s">
        <v>26</v>
      </c>
      <c r="F1565" t="s">
        <v>17</v>
      </c>
      <c r="G1565">
        <v>4</v>
      </c>
      <c r="H1565" t="s">
        <v>18</v>
      </c>
      <c r="I1565" t="s">
        <v>333</v>
      </c>
      <c r="J1565">
        <f>orders[[#This Row],[Ship Date]]-orders[[#This Row],[Order Date]]</f>
        <v>0</v>
      </c>
      <c r="K1565">
        <f>WEEKNUM(orders[[#This Row],[Order Date]])</f>
        <v>9</v>
      </c>
      <c r="L1565" t="str" cm="1">
        <f t="array" ref="L1565">_xlfn.IFS(orders[[#This Row],[Customer Gender]]="M","Male", orders[[#This Row],[Customer Gender]]="F","Female", orders[[#This Row],[Customer Gender]]="O","Other", TRUE,"Unknown")</f>
        <v>Female</v>
      </c>
      <c r="M1565">
        <v>2</v>
      </c>
      <c r="N1565">
        <v>46.7</v>
      </c>
      <c r="O1565">
        <v>93.4</v>
      </c>
    </row>
    <row r="1566" spans="1:15" x14ac:dyDescent="0.3">
      <c r="A1566" t="s">
        <v>1664</v>
      </c>
      <c r="B1566" t="s">
        <v>38</v>
      </c>
      <c r="C1566" s="7">
        <v>45716</v>
      </c>
      <c r="D1566" s="7">
        <v>45719</v>
      </c>
      <c r="E1566" t="s">
        <v>22</v>
      </c>
      <c r="F1566" t="s">
        <v>17</v>
      </c>
      <c r="G1566">
        <v>5</v>
      </c>
      <c r="H1566" t="s">
        <v>18</v>
      </c>
      <c r="I1566" t="s">
        <v>32</v>
      </c>
      <c r="J1566">
        <f>orders[[#This Row],[Ship Date]]-orders[[#This Row],[Order Date]]</f>
        <v>3</v>
      </c>
      <c r="K1566">
        <f>WEEKNUM(orders[[#This Row],[Order Date]])</f>
        <v>9</v>
      </c>
      <c r="L1566" t="str" cm="1">
        <f t="array" ref="L1566">_xlfn.IFS(orders[[#This Row],[Customer Gender]]="M","Male", orders[[#This Row],[Customer Gender]]="F","Female", orders[[#This Row],[Customer Gender]]="O","Other", TRUE,"Unknown")</f>
        <v>Male</v>
      </c>
      <c r="M1566">
        <v>1</v>
      </c>
      <c r="N1566">
        <v>144.69999999999999</v>
      </c>
      <c r="O1566" s="5">
        <v>144.69999999999999</v>
      </c>
    </row>
    <row r="1567" spans="1:15" x14ac:dyDescent="0.3">
      <c r="A1567" t="s">
        <v>1665</v>
      </c>
      <c r="B1567" t="s">
        <v>25</v>
      </c>
      <c r="C1567" s="7">
        <v>45716</v>
      </c>
      <c r="D1567" s="7">
        <v>45717</v>
      </c>
      <c r="E1567" t="s">
        <v>22</v>
      </c>
      <c r="F1567" t="s">
        <v>17</v>
      </c>
      <c r="G1567">
        <v>5</v>
      </c>
      <c r="H1567" t="s">
        <v>18</v>
      </c>
      <c r="I1567" t="s">
        <v>32</v>
      </c>
      <c r="J1567">
        <f>orders[[#This Row],[Ship Date]]-orders[[#This Row],[Order Date]]</f>
        <v>1</v>
      </c>
      <c r="K1567">
        <f>WEEKNUM(orders[[#This Row],[Order Date]])</f>
        <v>9</v>
      </c>
      <c r="L1567" t="str" cm="1">
        <f t="array" ref="L1567">_xlfn.IFS(orders[[#This Row],[Customer Gender]]="M","Male", orders[[#This Row],[Customer Gender]]="F","Female", orders[[#This Row],[Customer Gender]]="O","Other", TRUE,"Unknown")</f>
        <v>Male</v>
      </c>
      <c r="M1567">
        <v>9</v>
      </c>
      <c r="N1567">
        <v>90.9</v>
      </c>
      <c r="O1567">
        <v>818.1</v>
      </c>
    </row>
    <row r="1568" spans="1:15" x14ac:dyDescent="0.3">
      <c r="A1568" t="s">
        <v>1666</v>
      </c>
      <c r="B1568" t="s">
        <v>21</v>
      </c>
      <c r="C1568" s="7">
        <v>45716</v>
      </c>
      <c r="D1568" s="7">
        <v>45717</v>
      </c>
      <c r="E1568" t="s">
        <v>26</v>
      </c>
      <c r="F1568" t="s">
        <v>39</v>
      </c>
      <c r="G1568">
        <v>3</v>
      </c>
      <c r="H1568" t="s">
        <v>18</v>
      </c>
      <c r="I1568" t="s">
        <v>32</v>
      </c>
      <c r="J1568">
        <f>orders[[#This Row],[Ship Date]]-orders[[#This Row],[Order Date]]</f>
        <v>1</v>
      </c>
      <c r="K1568">
        <f>WEEKNUM(orders[[#This Row],[Order Date]])</f>
        <v>9</v>
      </c>
      <c r="L1568" t="str" cm="1">
        <f t="array" ref="L1568">_xlfn.IFS(orders[[#This Row],[Customer Gender]]="M","Male", orders[[#This Row],[Customer Gender]]="F","Female", orders[[#This Row],[Customer Gender]]="O","Other", TRUE,"Unknown")</f>
        <v>Female</v>
      </c>
      <c r="M1568">
        <v>2</v>
      </c>
      <c r="N1568">
        <v>75.8</v>
      </c>
      <c r="O1568" s="5">
        <v>151.6</v>
      </c>
    </row>
    <row r="1569" spans="1:15" x14ac:dyDescent="0.3">
      <c r="A1569" t="s">
        <v>1667</v>
      </c>
      <c r="B1569" t="s">
        <v>41</v>
      </c>
      <c r="C1569" s="7">
        <v>45716</v>
      </c>
      <c r="D1569" s="7">
        <v>45718</v>
      </c>
      <c r="E1569" t="s">
        <v>22</v>
      </c>
      <c r="F1569" t="s">
        <v>39</v>
      </c>
      <c r="G1569">
        <v>5</v>
      </c>
      <c r="H1569" t="s">
        <v>18</v>
      </c>
      <c r="I1569" t="s">
        <v>32</v>
      </c>
      <c r="J1569">
        <f>orders[[#This Row],[Ship Date]]-orders[[#This Row],[Order Date]]</f>
        <v>2</v>
      </c>
      <c r="K1569">
        <f>WEEKNUM(orders[[#This Row],[Order Date]])</f>
        <v>9</v>
      </c>
      <c r="L1569" t="str" cm="1">
        <f t="array" ref="L1569">_xlfn.IFS(orders[[#This Row],[Customer Gender]]="M","Male", orders[[#This Row],[Customer Gender]]="F","Female", orders[[#This Row],[Customer Gender]]="O","Other", TRUE,"Unknown")</f>
        <v>Male</v>
      </c>
      <c r="M1569">
        <v>5</v>
      </c>
      <c r="N1569">
        <v>57.9</v>
      </c>
      <c r="O1569">
        <v>289.5</v>
      </c>
    </row>
    <row r="1570" spans="1:15" x14ac:dyDescent="0.3">
      <c r="A1570" t="s">
        <v>1668</v>
      </c>
      <c r="B1570" t="s">
        <v>43</v>
      </c>
      <c r="C1570" s="7">
        <v>45716</v>
      </c>
      <c r="D1570" s="7">
        <v>45717</v>
      </c>
      <c r="E1570" t="s">
        <v>26</v>
      </c>
      <c r="F1570" t="s">
        <v>50</v>
      </c>
      <c r="G1570">
        <v>5</v>
      </c>
      <c r="H1570" t="s">
        <v>18</v>
      </c>
      <c r="I1570" t="s">
        <v>32</v>
      </c>
      <c r="J1570">
        <f>orders[[#This Row],[Ship Date]]-orders[[#This Row],[Order Date]]</f>
        <v>1</v>
      </c>
      <c r="K1570">
        <f>WEEKNUM(orders[[#This Row],[Order Date]])</f>
        <v>9</v>
      </c>
      <c r="L1570" t="str" cm="1">
        <f t="array" ref="L1570">_xlfn.IFS(orders[[#This Row],[Customer Gender]]="M","Male", orders[[#This Row],[Customer Gender]]="F","Female", orders[[#This Row],[Customer Gender]]="O","Other", TRUE,"Unknown")</f>
        <v>Female</v>
      </c>
      <c r="M1570">
        <v>5</v>
      </c>
      <c r="N1570">
        <v>44.8</v>
      </c>
      <c r="O1570" s="5">
        <v>224</v>
      </c>
    </row>
    <row r="1571" spans="1:15" x14ac:dyDescent="0.3">
      <c r="A1571" t="s">
        <v>1669</v>
      </c>
      <c r="B1571" t="s">
        <v>45</v>
      </c>
      <c r="C1571" s="7">
        <v>45716</v>
      </c>
      <c r="D1571" s="7">
        <v>45720</v>
      </c>
      <c r="E1571" t="s">
        <v>22</v>
      </c>
      <c r="F1571" t="s">
        <v>39</v>
      </c>
      <c r="G1571">
        <v>5</v>
      </c>
      <c r="H1571" t="s">
        <v>18</v>
      </c>
      <c r="I1571" t="s">
        <v>32</v>
      </c>
      <c r="J1571">
        <f>orders[[#This Row],[Ship Date]]-orders[[#This Row],[Order Date]]</f>
        <v>4</v>
      </c>
      <c r="K1571">
        <f>WEEKNUM(orders[[#This Row],[Order Date]])</f>
        <v>9</v>
      </c>
      <c r="L1571" t="str" cm="1">
        <f t="array" ref="L1571">_xlfn.IFS(orders[[#This Row],[Customer Gender]]="M","Male", orders[[#This Row],[Customer Gender]]="F","Female", orders[[#This Row],[Customer Gender]]="O","Other", TRUE,"Unknown")</f>
        <v>Male</v>
      </c>
      <c r="M1571">
        <v>3</v>
      </c>
      <c r="N1571">
        <v>44.2</v>
      </c>
      <c r="O1571">
        <v>132.60000000000002</v>
      </c>
    </row>
    <row r="1572" spans="1:15" x14ac:dyDescent="0.3">
      <c r="A1572" t="s">
        <v>1670</v>
      </c>
      <c r="B1572" t="s">
        <v>36</v>
      </c>
      <c r="C1572" s="7">
        <v>45716</v>
      </c>
      <c r="D1572" s="7">
        <v>45718</v>
      </c>
      <c r="E1572" t="s">
        <v>22</v>
      </c>
      <c r="F1572" t="s">
        <v>17</v>
      </c>
      <c r="G1572">
        <v>4</v>
      </c>
      <c r="H1572" t="s">
        <v>18</v>
      </c>
      <c r="I1572" t="s">
        <v>363</v>
      </c>
      <c r="J1572">
        <f>orders[[#This Row],[Ship Date]]-orders[[#This Row],[Order Date]]</f>
        <v>2</v>
      </c>
      <c r="K1572">
        <f>WEEKNUM(orders[[#This Row],[Order Date]])</f>
        <v>9</v>
      </c>
      <c r="L1572" t="str" cm="1">
        <f t="array" ref="L1572">_xlfn.IFS(orders[[#This Row],[Customer Gender]]="M","Male", orders[[#This Row],[Customer Gender]]="F","Female", orders[[#This Row],[Customer Gender]]="O","Other", TRUE,"Unknown")</f>
        <v>Male</v>
      </c>
      <c r="M1572">
        <v>5</v>
      </c>
      <c r="N1572">
        <v>53.5</v>
      </c>
      <c r="O1572" s="5">
        <v>267.5</v>
      </c>
    </row>
    <row r="1573" spans="1:15" x14ac:dyDescent="0.3">
      <c r="A1573" t="s">
        <v>1671</v>
      </c>
      <c r="B1573" t="s">
        <v>38</v>
      </c>
      <c r="C1573" s="7">
        <v>45716</v>
      </c>
      <c r="D1573" s="7">
        <v>45717</v>
      </c>
      <c r="E1573" t="s">
        <v>22</v>
      </c>
      <c r="F1573" t="s">
        <v>17</v>
      </c>
      <c r="G1573">
        <v>5</v>
      </c>
      <c r="H1573" t="s">
        <v>18</v>
      </c>
      <c r="I1573" t="s">
        <v>187</v>
      </c>
      <c r="J1573">
        <f>orders[[#This Row],[Ship Date]]-orders[[#This Row],[Order Date]]</f>
        <v>1</v>
      </c>
      <c r="K1573">
        <f>WEEKNUM(orders[[#This Row],[Order Date]])</f>
        <v>9</v>
      </c>
      <c r="L1573" t="str" cm="1">
        <f t="array" ref="L1573">_xlfn.IFS(orders[[#This Row],[Customer Gender]]="M","Male", orders[[#This Row],[Customer Gender]]="F","Female", orders[[#This Row],[Customer Gender]]="O","Other", TRUE,"Unknown")</f>
        <v>Male</v>
      </c>
      <c r="M1573">
        <v>2</v>
      </c>
      <c r="N1573">
        <v>72.2</v>
      </c>
      <c r="O1573">
        <v>144.4</v>
      </c>
    </row>
    <row r="1574" spans="1:15" x14ac:dyDescent="0.3">
      <c r="A1574" t="s">
        <v>1672</v>
      </c>
      <c r="B1574" t="s">
        <v>38</v>
      </c>
      <c r="C1574" s="7">
        <v>45716</v>
      </c>
      <c r="D1574" s="7">
        <v>45719</v>
      </c>
      <c r="E1574" t="s">
        <v>26</v>
      </c>
      <c r="F1574" t="s">
        <v>17</v>
      </c>
      <c r="G1574">
        <v>3</v>
      </c>
      <c r="H1574" t="s">
        <v>18</v>
      </c>
      <c r="I1574" t="s">
        <v>157</v>
      </c>
      <c r="J1574">
        <f>orders[[#This Row],[Ship Date]]-orders[[#This Row],[Order Date]]</f>
        <v>3</v>
      </c>
      <c r="K1574">
        <f>WEEKNUM(orders[[#This Row],[Order Date]])</f>
        <v>9</v>
      </c>
      <c r="L1574" t="str" cm="1">
        <f t="array" ref="L1574">_xlfn.IFS(orders[[#This Row],[Customer Gender]]="M","Male", orders[[#This Row],[Customer Gender]]="F","Female", orders[[#This Row],[Customer Gender]]="O","Other", TRUE,"Unknown")</f>
        <v>Female</v>
      </c>
      <c r="M1574">
        <v>4</v>
      </c>
      <c r="N1574">
        <v>62.4</v>
      </c>
      <c r="O1574" s="5">
        <v>249.6</v>
      </c>
    </row>
    <row r="1575" spans="1:15" x14ac:dyDescent="0.3">
      <c r="A1575" t="s">
        <v>1673</v>
      </c>
      <c r="B1575" t="s">
        <v>53</v>
      </c>
      <c r="C1575" s="7">
        <v>45716</v>
      </c>
      <c r="D1575" s="7">
        <v>45717</v>
      </c>
      <c r="E1575" t="s">
        <v>26</v>
      </c>
      <c r="F1575" t="s">
        <v>17</v>
      </c>
      <c r="G1575">
        <v>4</v>
      </c>
      <c r="H1575" t="s">
        <v>18</v>
      </c>
      <c r="I1575" t="s">
        <v>54</v>
      </c>
      <c r="J1575">
        <f>orders[[#This Row],[Ship Date]]-orders[[#This Row],[Order Date]]</f>
        <v>1</v>
      </c>
      <c r="K1575">
        <f>WEEKNUM(orders[[#This Row],[Order Date]])</f>
        <v>9</v>
      </c>
      <c r="L1575" t="str" cm="1">
        <f t="array" ref="L1575">_xlfn.IFS(orders[[#This Row],[Customer Gender]]="M","Male", orders[[#This Row],[Customer Gender]]="F","Female", orders[[#This Row],[Customer Gender]]="O","Other", TRUE,"Unknown")</f>
        <v>Female</v>
      </c>
      <c r="M1575">
        <v>5</v>
      </c>
      <c r="N1575">
        <v>24.7</v>
      </c>
      <c r="O1575">
        <v>123.5</v>
      </c>
    </row>
    <row r="1576" spans="1:15" x14ac:dyDescent="0.3">
      <c r="A1576" t="s">
        <v>1674</v>
      </c>
      <c r="B1576" t="s">
        <v>21</v>
      </c>
      <c r="C1576" s="7">
        <v>45716</v>
      </c>
      <c r="D1576" s="7">
        <v>45718</v>
      </c>
      <c r="E1576" t="s">
        <v>26</v>
      </c>
      <c r="F1576" t="s">
        <v>39</v>
      </c>
      <c r="G1576">
        <v>4</v>
      </c>
      <c r="H1576" t="s">
        <v>18</v>
      </c>
      <c r="I1576" t="s">
        <v>61</v>
      </c>
      <c r="J1576">
        <f>orders[[#This Row],[Ship Date]]-orders[[#This Row],[Order Date]]</f>
        <v>2</v>
      </c>
      <c r="K1576">
        <f>WEEKNUM(orders[[#This Row],[Order Date]])</f>
        <v>9</v>
      </c>
      <c r="L1576" t="str" cm="1">
        <f t="array" ref="L1576">_xlfn.IFS(orders[[#This Row],[Customer Gender]]="M","Male", orders[[#This Row],[Customer Gender]]="F","Female", orders[[#This Row],[Customer Gender]]="O","Other", TRUE,"Unknown")</f>
        <v>Female</v>
      </c>
      <c r="M1576">
        <v>5</v>
      </c>
      <c r="N1576">
        <v>61.7</v>
      </c>
      <c r="O1576" s="5">
        <v>308.5</v>
      </c>
    </row>
    <row r="1577" spans="1:15" x14ac:dyDescent="0.3">
      <c r="A1577" t="s">
        <v>1675</v>
      </c>
      <c r="B1577" t="s">
        <v>43</v>
      </c>
      <c r="C1577" s="7">
        <v>45716</v>
      </c>
      <c r="D1577" s="7">
        <v>45718</v>
      </c>
      <c r="E1577" t="s">
        <v>26</v>
      </c>
      <c r="F1577" t="s">
        <v>50</v>
      </c>
      <c r="G1577">
        <v>4</v>
      </c>
      <c r="H1577" t="s">
        <v>18</v>
      </c>
      <c r="I1577" t="s">
        <v>61</v>
      </c>
      <c r="J1577">
        <f>orders[[#This Row],[Ship Date]]-orders[[#This Row],[Order Date]]</f>
        <v>2</v>
      </c>
      <c r="K1577">
        <f>WEEKNUM(orders[[#This Row],[Order Date]])</f>
        <v>9</v>
      </c>
      <c r="L1577" t="str" cm="1">
        <f t="array" ref="L1577">_xlfn.IFS(orders[[#This Row],[Customer Gender]]="M","Male", orders[[#This Row],[Customer Gender]]="F","Female", orders[[#This Row],[Customer Gender]]="O","Other", TRUE,"Unknown")</f>
        <v>Female</v>
      </c>
      <c r="M1577">
        <v>5</v>
      </c>
      <c r="N1577">
        <v>18.2</v>
      </c>
      <c r="O1577">
        <v>91</v>
      </c>
    </row>
    <row r="1578" spans="1:15" x14ac:dyDescent="0.3">
      <c r="A1578" t="s">
        <v>1676</v>
      </c>
      <c r="B1578" t="s">
        <v>53</v>
      </c>
      <c r="C1578" s="7">
        <v>45716</v>
      </c>
      <c r="D1578" s="7">
        <v>45722</v>
      </c>
      <c r="E1578" t="s">
        <v>26</v>
      </c>
      <c r="F1578" t="s">
        <v>17</v>
      </c>
      <c r="G1578">
        <v>4</v>
      </c>
      <c r="H1578" t="s">
        <v>18</v>
      </c>
      <c r="I1578" t="s">
        <v>61</v>
      </c>
      <c r="J1578">
        <f>orders[[#This Row],[Ship Date]]-orders[[#This Row],[Order Date]]</f>
        <v>6</v>
      </c>
      <c r="K1578">
        <f>WEEKNUM(orders[[#This Row],[Order Date]])</f>
        <v>9</v>
      </c>
      <c r="L1578" t="str" cm="1">
        <f t="array" ref="L1578">_xlfn.IFS(orders[[#This Row],[Customer Gender]]="M","Male", orders[[#This Row],[Customer Gender]]="F","Female", orders[[#This Row],[Customer Gender]]="O","Other", TRUE,"Unknown")</f>
        <v>Female</v>
      </c>
      <c r="M1578">
        <v>4</v>
      </c>
      <c r="N1578">
        <v>37.200000000000003</v>
      </c>
      <c r="O1578" s="5">
        <v>148.80000000000001</v>
      </c>
    </row>
    <row r="1579" spans="1:15" x14ac:dyDescent="0.3">
      <c r="A1579" t="s">
        <v>1677</v>
      </c>
      <c r="B1579" t="s">
        <v>45</v>
      </c>
      <c r="C1579" s="7">
        <v>45716</v>
      </c>
      <c r="D1579" s="7">
        <v>45718</v>
      </c>
      <c r="E1579" t="s">
        <v>26</v>
      </c>
      <c r="F1579" t="s">
        <v>34</v>
      </c>
      <c r="G1579">
        <v>5</v>
      </c>
      <c r="H1579" t="s">
        <v>18</v>
      </c>
      <c r="I1579" t="s">
        <v>71</v>
      </c>
      <c r="J1579">
        <f>orders[[#This Row],[Ship Date]]-orders[[#This Row],[Order Date]]</f>
        <v>2</v>
      </c>
      <c r="K1579">
        <f>WEEKNUM(orders[[#This Row],[Order Date]])</f>
        <v>9</v>
      </c>
      <c r="L1579" t="str" cm="1">
        <f t="array" ref="L1579">_xlfn.IFS(orders[[#This Row],[Customer Gender]]="M","Male", orders[[#This Row],[Customer Gender]]="F","Female", orders[[#This Row],[Customer Gender]]="O","Other", TRUE,"Unknown")</f>
        <v>Female</v>
      </c>
      <c r="M1579">
        <v>3</v>
      </c>
      <c r="N1579">
        <v>53.5</v>
      </c>
      <c r="O1579">
        <v>160.5</v>
      </c>
    </row>
    <row r="1580" spans="1:15" x14ac:dyDescent="0.3">
      <c r="A1580" t="s">
        <v>1678</v>
      </c>
      <c r="B1580" t="s">
        <v>43</v>
      </c>
      <c r="C1580" s="7">
        <v>45716</v>
      </c>
      <c r="D1580" s="7">
        <v>45716</v>
      </c>
      <c r="E1580" t="s">
        <v>26</v>
      </c>
      <c r="F1580" t="s">
        <v>17</v>
      </c>
      <c r="G1580">
        <v>4</v>
      </c>
      <c r="H1580" t="s">
        <v>18</v>
      </c>
      <c r="I1580" t="s">
        <v>71</v>
      </c>
      <c r="J1580">
        <f>orders[[#This Row],[Ship Date]]-orders[[#This Row],[Order Date]]</f>
        <v>0</v>
      </c>
      <c r="K1580">
        <f>WEEKNUM(orders[[#This Row],[Order Date]])</f>
        <v>9</v>
      </c>
      <c r="L1580" t="str" cm="1">
        <f t="array" ref="L1580">_xlfn.IFS(orders[[#This Row],[Customer Gender]]="M","Male", orders[[#This Row],[Customer Gender]]="F","Female", orders[[#This Row],[Customer Gender]]="O","Other", TRUE,"Unknown")</f>
        <v>Female</v>
      </c>
      <c r="M1580">
        <v>3</v>
      </c>
      <c r="N1580">
        <v>43.6</v>
      </c>
      <c r="O1580" s="5">
        <v>130.80000000000001</v>
      </c>
    </row>
    <row r="1581" spans="1:15" x14ac:dyDescent="0.3">
      <c r="A1581" t="s">
        <v>1679</v>
      </c>
      <c r="B1581" t="s">
        <v>21</v>
      </c>
      <c r="C1581" s="7">
        <v>45716</v>
      </c>
      <c r="D1581" s="7">
        <v>45718</v>
      </c>
      <c r="E1581" t="s">
        <v>26</v>
      </c>
      <c r="F1581" t="s">
        <v>17</v>
      </c>
      <c r="G1581">
        <v>5</v>
      </c>
      <c r="H1581" t="s">
        <v>18</v>
      </c>
      <c r="I1581" t="s">
        <v>71</v>
      </c>
      <c r="J1581">
        <f>orders[[#This Row],[Ship Date]]-orders[[#This Row],[Order Date]]</f>
        <v>2</v>
      </c>
      <c r="K1581">
        <f>WEEKNUM(orders[[#This Row],[Order Date]])</f>
        <v>9</v>
      </c>
      <c r="L1581" t="str" cm="1">
        <f t="array" ref="L1581">_xlfn.IFS(orders[[#This Row],[Customer Gender]]="M","Male", orders[[#This Row],[Customer Gender]]="F","Female", orders[[#This Row],[Customer Gender]]="O","Other", TRUE,"Unknown")</f>
        <v>Female</v>
      </c>
      <c r="M1581">
        <v>10</v>
      </c>
      <c r="N1581">
        <v>135</v>
      </c>
      <c r="O1581">
        <v>1350</v>
      </c>
    </row>
    <row r="1582" spans="1:15" x14ac:dyDescent="0.3">
      <c r="A1582" t="s">
        <v>1680</v>
      </c>
      <c r="B1582" t="s">
        <v>43</v>
      </c>
      <c r="C1582" s="7">
        <v>45716</v>
      </c>
      <c r="D1582" s="7">
        <v>45716</v>
      </c>
      <c r="E1582" t="s">
        <v>22</v>
      </c>
      <c r="F1582" t="s">
        <v>69</v>
      </c>
      <c r="G1582">
        <v>5</v>
      </c>
      <c r="H1582" t="s">
        <v>18</v>
      </c>
      <c r="I1582" t="s">
        <v>73</v>
      </c>
      <c r="J1582">
        <f>orders[[#This Row],[Ship Date]]-orders[[#This Row],[Order Date]]</f>
        <v>0</v>
      </c>
      <c r="K1582">
        <f>WEEKNUM(orders[[#This Row],[Order Date]])</f>
        <v>9</v>
      </c>
      <c r="L1582" t="str" cm="1">
        <f t="array" ref="L1582">_xlfn.IFS(orders[[#This Row],[Customer Gender]]="M","Male", orders[[#This Row],[Customer Gender]]="F","Female", orders[[#This Row],[Customer Gender]]="O","Other", TRUE,"Unknown")</f>
        <v>Male</v>
      </c>
      <c r="M1582">
        <v>5</v>
      </c>
      <c r="N1582">
        <v>38.5</v>
      </c>
      <c r="O1582" s="5">
        <v>192.5</v>
      </c>
    </row>
    <row r="1583" spans="1:15" x14ac:dyDescent="0.3">
      <c r="A1583" t="s">
        <v>1681</v>
      </c>
      <c r="B1583" t="s">
        <v>45</v>
      </c>
      <c r="C1583" s="7">
        <v>45716</v>
      </c>
      <c r="D1583" s="7">
        <v>45721</v>
      </c>
      <c r="E1583" t="s">
        <v>26</v>
      </c>
      <c r="F1583" t="s">
        <v>17</v>
      </c>
      <c r="G1583">
        <v>4</v>
      </c>
      <c r="H1583" t="s">
        <v>18</v>
      </c>
      <c r="I1583" t="s">
        <v>76</v>
      </c>
      <c r="J1583">
        <f>orders[[#This Row],[Ship Date]]-orders[[#This Row],[Order Date]]</f>
        <v>5</v>
      </c>
      <c r="K1583">
        <f>WEEKNUM(orders[[#This Row],[Order Date]])</f>
        <v>9</v>
      </c>
      <c r="L1583" t="str" cm="1">
        <f t="array" ref="L1583">_xlfn.IFS(orders[[#This Row],[Customer Gender]]="M","Male", orders[[#This Row],[Customer Gender]]="F","Female", orders[[#This Row],[Customer Gender]]="O","Other", TRUE,"Unknown")</f>
        <v>Female</v>
      </c>
      <c r="M1583">
        <v>2</v>
      </c>
      <c r="N1583">
        <v>24</v>
      </c>
      <c r="O1583">
        <v>48</v>
      </c>
    </row>
    <row r="1584" spans="1:15" x14ac:dyDescent="0.3">
      <c r="A1584" t="s">
        <v>1682</v>
      </c>
      <c r="B1584" t="s">
        <v>31</v>
      </c>
      <c r="C1584" s="7">
        <v>45716</v>
      </c>
      <c r="D1584" s="7">
        <v>45718</v>
      </c>
      <c r="E1584" t="s">
        <v>22</v>
      </c>
      <c r="F1584" t="s">
        <v>17</v>
      </c>
      <c r="G1584">
        <v>1</v>
      </c>
      <c r="H1584" t="s">
        <v>18</v>
      </c>
      <c r="I1584" t="s">
        <v>107</v>
      </c>
      <c r="J1584">
        <f>orders[[#This Row],[Ship Date]]-orders[[#This Row],[Order Date]]</f>
        <v>2</v>
      </c>
      <c r="K1584">
        <f>WEEKNUM(orders[[#This Row],[Order Date]])</f>
        <v>9</v>
      </c>
      <c r="L1584" t="str" cm="1">
        <f t="array" ref="L1584">_xlfn.IFS(orders[[#This Row],[Customer Gender]]="M","Male", orders[[#This Row],[Customer Gender]]="F","Female", orders[[#This Row],[Customer Gender]]="O","Other", TRUE,"Unknown")</f>
        <v>Male</v>
      </c>
      <c r="M1584">
        <v>3</v>
      </c>
      <c r="N1584">
        <v>28.2</v>
      </c>
      <c r="O1584" s="5">
        <v>84.6</v>
      </c>
    </row>
    <row r="1585" spans="1:15" x14ac:dyDescent="0.3">
      <c r="A1585" t="s">
        <v>1683</v>
      </c>
      <c r="B1585" t="s">
        <v>41</v>
      </c>
      <c r="C1585" s="7">
        <v>45716</v>
      </c>
      <c r="D1585" s="7">
        <v>45717</v>
      </c>
      <c r="E1585" t="s">
        <v>26</v>
      </c>
      <c r="F1585" t="s">
        <v>50</v>
      </c>
      <c r="G1585">
        <v>4</v>
      </c>
      <c r="H1585" t="s">
        <v>18</v>
      </c>
      <c r="I1585" t="s">
        <v>23</v>
      </c>
      <c r="J1585">
        <f>orders[[#This Row],[Ship Date]]-orders[[#This Row],[Order Date]]</f>
        <v>1</v>
      </c>
      <c r="K1585">
        <f>WEEKNUM(orders[[#This Row],[Order Date]])</f>
        <v>9</v>
      </c>
      <c r="L1585" t="str" cm="1">
        <f t="array" ref="L1585">_xlfn.IFS(orders[[#This Row],[Customer Gender]]="M","Male", orders[[#This Row],[Customer Gender]]="F","Female", orders[[#This Row],[Customer Gender]]="O","Other", TRUE,"Unknown")</f>
        <v>Female</v>
      </c>
      <c r="M1585">
        <v>3</v>
      </c>
      <c r="N1585">
        <v>37.4</v>
      </c>
      <c r="O1585">
        <v>112.19999999999999</v>
      </c>
    </row>
    <row r="1586" spans="1:15" x14ac:dyDescent="0.3">
      <c r="A1586" t="s">
        <v>1684</v>
      </c>
      <c r="B1586" t="s">
        <v>38</v>
      </c>
      <c r="C1586" s="7">
        <v>45716</v>
      </c>
      <c r="D1586" s="7">
        <v>45719</v>
      </c>
      <c r="E1586" t="s">
        <v>2517</v>
      </c>
      <c r="F1586" t="s">
        <v>69</v>
      </c>
      <c r="G1586">
        <v>2</v>
      </c>
      <c r="H1586" t="s">
        <v>18</v>
      </c>
      <c r="I1586" t="s">
        <v>23</v>
      </c>
      <c r="J1586">
        <f>orders[[#This Row],[Ship Date]]-orders[[#This Row],[Order Date]]</f>
        <v>3</v>
      </c>
      <c r="K1586">
        <f>WEEKNUM(orders[[#This Row],[Order Date]])</f>
        <v>9</v>
      </c>
      <c r="L1586" t="str" cm="1">
        <f t="array" ref="L1586">_xlfn.IFS(orders[[#This Row],[Customer Gender]]="M","Male", orders[[#This Row],[Customer Gender]]="F","Female", orders[[#This Row],[Customer Gender]]="O","Other", TRUE,"Unknown")</f>
        <v>Unknown</v>
      </c>
      <c r="M1586">
        <v>3</v>
      </c>
      <c r="N1586">
        <v>53.5</v>
      </c>
      <c r="O1586" s="5">
        <v>160.5</v>
      </c>
    </row>
    <row r="1587" spans="1:15" x14ac:dyDescent="0.3">
      <c r="A1587" t="s">
        <v>1685</v>
      </c>
      <c r="B1587" t="s">
        <v>66</v>
      </c>
      <c r="C1587" s="7">
        <v>45716</v>
      </c>
      <c r="D1587" s="7">
        <v>45717</v>
      </c>
      <c r="E1587" t="s">
        <v>22</v>
      </c>
      <c r="F1587" t="s">
        <v>34</v>
      </c>
      <c r="G1587">
        <v>5</v>
      </c>
      <c r="H1587" t="s">
        <v>18</v>
      </c>
      <c r="I1587" t="s">
        <v>330</v>
      </c>
      <c r="J1587">
        <f>orders[[#This Row],[Ship Date]]-orders[[#This Row],[Order Date]]</f>
        <v>1</v>
      </c>
      <c r="K1587">
        <f>WEEKNUM(orders[[#This Row],[Order Date]])</f>
        <v>9</v>
      </c>
      <c r="L1587" t="str" cm="1">
        <f t="array" ref="L1587">_xlfn.IFS(orders[[#This Row],[Customer Gender]]="M","Male", orders[[#This Row],[Customer Gender]]="F","Female", orders[[#This Row],[Customer Gender]]="O","Other", TRUE,"Unknown")</f>
        <v>Male</v>
      </c>
      <c r="M1587">
        <v>5</v>
      </c>
      <c r="N1587">
        <v>36.200000000000003</v>
      </c>
      <c r="O1587">
        <v>181</v>
      </c>
    </row>
    <row r="1588" spans="1:15" x14ac:dyDescent="0.3">
      <c r="A1588" t="s">
        <v>1686</v>
      </c>
      <c r="B1588" t="s">
        <v>16</v>
      </c>
      <c r="C1588" s="7">
        <v>45716</v>
      </c>
      <c r="D1588" s="7">
        <v>45717</v>
      </c>
      <c r="E1588" t="s">
        <v>26</v>
      </c>
      <c r="F1588" t="s">
        <v>69</v>
      </c>
      <c r="G1588">
        <v>4</v>
      </c>
      <c r="H1588" t="s">
        <v>18</v>
      </c>
      <c r="I1588" t="s">
        <v>32</v>
      </c>
      <c r="J1588">
        <f>orders[[#This Row],[Ship Date]]-orders[[#This Row],[Order Date]]</f>
        <v>1</v>
      </c>
      <c r="K1588">
        <f>WEEKNUM(orders[[#This Row],[Order Date]])</f>
        <v>9</v>
      </c>
      <c r="L1588" t="str" cm="1">
        <f t="array" ref="L1588">_xlfn.IFS(orders[[#This Row],[Customer Gender]]="M","Male", orders[[#This Row],[Customer Gender]]="F","Female", orders[[#This Row],[Customer Gender]]="O","Other", TRUE,"Unknown")</f>
        <v>Female</v>
      </c>
      <c r="M1588">
        <v>8</v>
      </c>
      <c r="N1588">
        <v>31.9</v>
      </c>
      <c r="O1588" s="5">
        <v>255.2</v>
      </c>
    </row>
    <row r="1589" spans="1:15" x14ac:dyDescent="0.3">
      <c r="A1589" t="s">
        <v>1687</v>
      </c>
      <c r="B1589" t="s">
        <v>43</v>
      </c>
      <c r="C1589" s="7">
        <v>45716</v>
      </c>
      <c r="D1589" s="7">
        <v>45717</v>
      </c>
      <c r="E1589" t="s">
        <v>22</v>
      </c>
      <c r="F1589" t="s">
        <v>17</v>
      </c>
      <c r="G1589">
        <v>5</v>
      </c>
      <c r="H1589" t="s">
        <v>18</v>
      </c>
      <c r="I1589" t="s">
        <v>32</v>
      </c>
      <c r="J1589">
        <f>orders[[#This Row],[Ship Date]]-orders[[#This Row],[Order Date]]</f>
        <v>1</v>
      </c>
      <c r="K1589">
        <f>WEEKNUM(orders[[#This Row],[Order Date]])</f>
        <v>9</v>
      </c>
      <c r="L1589" t="str" cm="1">
        <f t="array" ref="L1589">_xlfn.IFS(orders[[#This Row],[Customer Gender]]="M","Male", orders[[#This Row],[Customer Gender]]="F","Female", orders[[#This Row],[Customer Gender]]="O","Other", TRUE,"Unknown")</f>
        <v>Male</v>
      </c>
      <c r="M1589">
        <v>3</v>
      </c>
      <c r="N1589">
        <v>21.3</v>
      </c>
      <c r="O1589">
        <v>63.900000000000006</v>
      </c>
    </row>
    <row r="1590" spans="1:15" x14ac:dyDescent="0.3">
      <c r="A1590" t="s">
        <v>1688</v>
      </c>
      <c r="B1590" t="s">
        <v>43</v>
      </c>
      <c r="C1590" s="7">
        <v>45716</v>
      </c>
      <c r="D1590" s="7">
        <v>45718</v>
      </c>
      <c r="E1590" t="s">
        <v>88</v>
      </c>
      <c r="F1590" t="s">
        <v>69</v>
      </c>
      <c r="G1590">
        <v>4</v>
      </c>
      <c r="H1590" t="s">
        <v>18</v>
      </c>
      <c r="I1590" t="s">
        <v>32</v>
      </c>
      <c r="J1590">
        <f>orders[[#This Row],[Ship Date]]-orders[[#This Row],[Order Date]]</f>
        <v>2</v>
      </c>
      <c r="K1590">
        <f>WEEKNUM(orders[[#This Row],[Order Date]])</f>
        <v>9</v>
      </c>
      <c r="L1590" t="str" cm="1">
        <f t="array" ref="L1590">_xlfn.IFS(orders[[#This Row],[Customer Gender]]="M","Male", orders[[#This Row],[Customer Gender]]="F","Female", orders[[#This Row],[Customer Gender]]="O","Other", TRUE,"Unknown")</f>
        <v>Other</v>
      </c>
      <c r="M1590">
        <v>1</v>
      </c>
      <c r="N1590">
        <v>36.299999999999997</v>
      </c>
      <c r="O1590" s="5">
        <v>36.299999999999997</v>
      </c>
    </row>
    <row r="1591" spans="1:15" x14ac:dyDescent="0.3">
      <c r="A1591" t="s">
        <v>1689</v>
      </c>
      <c r="B1591" t="s">
        <v>38</v>
      </c>
      <c r="C1591" s="7">
        <v>45716</v>
      </c>
      <c r="D1591" s="7">
        <v>45717</v>
      </c>
      <c r="E1591" t="s">
        <v>26</v>
      </c>
      <c r="F1591" t="s">
        <v>17</v>
      </c>
      <c r="G1591">
        <v>1</v>
      </c>
      <c r="H1591" t="s">
        <v>18</v>
      </c>
      <c r="I1591" t="s">
        <v>32</v>
      </c>
      <c r="J1591">
        <f>orders[[#This Row],[Ship Date]]-orders[[#This Row],[Order Date]]</f>
        <v>1</v>
      </c>
      <c r="K1591">
        <f>WEEKNUM(orders[[#This Row],[Order Date]])</f>
        <v>9</v>
      </c>
      <c r="L1591" t="str" cm="1">
        <f t="array" ref="L1591">_xlfn.IFS(orders[[#This Row],[Customer Gender]]="M","Male", orders[[#This Row],[Customer Gender]]="F","Female", orders[[#This Row],[Customer Gender]]="O","Other", TRUE,"Unknown")</f>
        <v>Female</v>
      </c>
      <c r="M1591">
        <v>3</v>
      </c>
      <c r="N1591">
        <v>110.5</v>
      </c>
      <c r="O1591">
        <v>331.5</v>
      </c>
    </row>
    <row r="1592" spans="1:15" x14ac:dyDescent="0.3">
      <c r="A1592" t="s">
        <v>1690</v>
      </c>
      <c r="B1592" t="s">
        <v>53</v>
      </c>
      <c r="C1592" s="7">
        <v>45716</v>
      </c>
      <c r="D1592" s="7">
        <v>45718</v>
      </c>
      <c r="E1592" t="s">
        <v>26</v>
      </c>
      <c r="F1592" t="s">
        <v>17</v>
      </c>
      <c r="G1592">
        <v>3</v>
      </c>
      <c r="H1592" t="s">
        <v>18</v>
      </c>
      <c r="I1592" t="s">
        <v>32</v>
      </c>
      <c r="J1592">
        <f>orders[[#This Row],[Ship Date]]-orders[[#This Row],[Order Date]]</f>
        <v>2</v>
      </c>
      <c r="K1592">
        <f>WEEKNUM(orders[[#This Row],[Order Date]])</f>
        <v>9</v>
      </c>
      <c r="L1592" t="str" cm="1">
        <f t="array" ref="L1592">_xlfn.IFS(orders[[#This Row],[Customer Gender]]="M","Male", orders[[#This Row],[Customer Gender]]="F","Female", orders[[#This Row],[Customer Gender]]="O","Other", TRUE,"Unknown")</f>
        <v>Female</v>
      </c>
      <c r="M1592">
        <v>7</v>
      </c>
      <c r="N1592">
        <v>32.6</v>
      </c>
      <c r="O1592" s="5">
        <v>228.20000000000002</v>
      </c>
    </row>
    <row r="1593" spans="1:15" x14ac:dyDescent="0.3">
      <c r="A1593" t="s">
        <v>1691</v>
      </c>
      <c r="B1593" t="s">
        <v>36</v>
      </c>
      <c r="C1593" s="7">
        <v>45717</v>
      </c>
      <c r="D1593" s="7">
        <v>45730</v>
      </c>
      <c r="E1593" t="s">
        <v>26</v>
      </c>
      <c r="F1593" t="s">
        <v>17</v>
      </c>
      <c r="G1593">
        <v>4</v>
      </c>
      <c r="H1593" t="s">
        <v>18</v>
      </c>
      <c r="I1593" t="s">
        <v>32</v>
      </c>
      <c r="J1593">
        <f>orders[[#This Row],[Ship Date]]-orders[[#This Row],[Order Date]]</f>
        <v>13</v>
      </c>
      <c r="K1593">
        <f>WEEKNUM(orders[[#This Row],[Order Date]])</f>
        <v>9</v>
      </c>
      <c r="L1593" t="str" cm="1">
        <f t="array" ref="L1593">_xlfn.IFS(orders[[#This Row],[Customer Gender]]="M","Male", orders[[#This Row],[Customer Gender]]="F","Female", orders[[#This Row],[Customer Gender]]="O","Other", TRUE,"Unknown")</f>
        <v>Female</v>
      </c>
      <c r="M1593">
        <v>3</v>
      </c>
      <c r="N1593">
        <v>55.6</v>
      </c>
      <c r="O1593">
        <v>166.8</v>
      </c>
    </row>
    <row r="1594" spans="1:15" x14ac:dyDescent="0.3">
      <c r="A1594" t="s">
        <v>1692</v>
      </c>
      <c r="B1594" t="s">
        <v>21</v>
      </c>
      <c r="C1594" s="7">
        <v>45717</v>
      </c>
      <c r="D1594" s="7">
        <v>45718</v>
      </c>
      <c r="E1594" t="s">
        <v>26</v>
      </c>
      <c r="F1594" t="s">
        <v>50</v>
      </c>
      <c r="G1594">
        <v>5</v>
      </c>
      <c r="H1594" t="s">
        <v>18</v>
      </c>
      <c r="I1594" t="s">
        <v>51</v>
      </c>
      <c r="J1594">
        <f>orders[[#This Row],[Ship Date]]-orders[[#This Row],[Order Date]]</f>
        <v>1</v>
      </c>
      <c r="K1594">
        <f>WEEKNUM(orders[[#This Row],[Order Date]])</f>
        <v>9</v>
      </c>
      <c r="L1594" t="str" cm="1">
        <f t="array" ref="L1594">_xlfn.IFS(orders[[#This Row],[Customer Gender]]="M","Male", orders[[#This Row],[Customer Gender]]="F","Female", orders[[#This Row],[Customer Gender]]="O","Other", TRUE,"Unknown")</f>
        <v>Female</v>
      </c>
      <c r="M1594">
        <v>4</v>
      </c>
      <c r="N1594">
        <v>38</v>
      </c>
      <c r="O1594" s="5">
        <v>152</v>
      </c>
    </row>
    <row r="1595" spans="1:15" x14ac:dyDescent="0.3">
      <c r="A1595" t="s">
        <v>1693</v>
      </c>
      <c r="B1595" t="s">
        <v>53</v>
      </c>
      <c r="C1595" s="7">
        <v>45717</v>
      </c>
      <c r="D1595" s="7">
        <v>45723</v>
      </c>
      <c r="E1595" t="s">
        <v>22</v>
      </c>
      <c r="F1595" t="s">
        <v>34</v>
      </c>
      <c r="G1595">
        <v>2</v>
      </c>
      <c r="H1595" t="s">
        <v>18</v>
      </c>
      <c r="I1595" t="s">
        <v>54</v>
      </c>
      <c r="J1595">
        <f>orders[[#This Row],[Ship Date]]-orders[[#This Row],[Order Date]]</f>
        <v>6</v>
      </c>
      <c r="K1595">
        <f>WEEKNUM(orders[[#This Row],[Order Date]])</f>
        <v>9</v>
      </c>
      <c r="L1595" t="str" cm="1">
        <f t="array" ref="L1595">_xlfn.IFS(orders[[#This Row],[Customer Gender]]="M","Male", orders[[#This Row],[Customer Gender]]="F","Female", orders[[#This Row],[Customer Gender]]="O","Other", TRUE,"Unknown")</f>
        <v>Male</v>
      </c>
      <c r="M1595">
        <v>2</v>
      </c>
      <c r="N1595">
        <v>51.8</v>
      </c>
      <c r="O1595">
        <v>103.6</v>
      </c>
    </row>
    <row r="1596" spans="1:15" x14ac:dyDescent="0.3">
      <c r="A1596" t="s">
        <v>1694</v>
      </c>
      <c r="B1596" t="s">
        <v>66</v>
      </c>
      <c r="C1596" s="7">
        <v>45717</v>
      </c>
      <c r="D1596" s="7">
        <v>45722</v>
      </c>
      <c r="E1596" t="s">
        <v>26</v>
      </c>
      <c r="F1596" t="s">
        <v>17</v>
      </c>
      <c r="G1596">
        <v>4</v>
      </c>
      <c r="H1596" t="s">
        <v>18</v>
      </c>
      <c r="I1596" t="s">
        <v>54</v>
      </c>
      <c r="J1596">
        <f>orders[[#This Row],[Ship Date]]-orders[[#This Row],[Order Date]]</f>
        <v>5</v>
      </c>
      <c r="K1596">
        <f>WEEKNUM(orders[[#This Row],[Order Date]])</f>
        <v>9</v>
      </c>
      <c r="L1596" t="str" cm="1">
        <f t="array" ref="L1596">_xlfn.IFS(orders[[#This Row],[Customer Gender]]="M","Male", orders[[#This Row],[Customer Gender]]="F","Female", orders[[#This Row],[Customer Gender]]="O","Other", TRUE,"Unknown")</f>
        <v>Female</v>
      </c>
      <c r="M1596">
        <v>8</v>
      </c>
      <c r="N1596">
        <v>28.7</v>
      </c>
      <c r="O1596" s="5">
        <v>229.6</v>
      </c>
    </row>
    <row r="1597" spans="1:15" x14ac:dyDescent="0.3">
      <c r="A1597" t="s">
        <v>1695</v>
      </c>
      <c r="B1597" t="s">
        <v>38</v>
      </c>
      <c r="C1597" s="7">
        <v>45717</v>
      </c>
      <c r="D1597" s="7">
        <v>45717</v>
      </c>
      <c r="E1597" t="s">
        <v>22</v>
      </c>
      <c r="F1597" t="s">
        <v>17</v>
      </c>
      <c r="G1597">
        <v>3</v>
      </c>
      <c r="H1597" t="s">
        <v>18</v>
      </c>
      <c r="I1597" t="s">
        <v>54</v>
      </c>
      <c r="J1597">
        <f>orders[[#This Row],[Ship Date]]-orders[[#This Row],[Order Date]]</f>
        <v>0</v>
      </c>
      <c r="K1597">
        <f>WEEKNUM(orders[[#This Row],[Order Date]])</f>
        <v>9</v>
      </c>
      <c r="L1597" t="str" cm="1">
        <f t="array" ref="L1597">_xlfn.IFS(orders[[#This Row],[Customer Gender]]="M","Male", orders[[#This Row],[Customer Gender]]="F","Female", orders[[#This Row],[Customer Gender]]="O","Other", TRUE,"Unknown")</f>
        <v>Male</v>
      </c>
      <c r="M1597">
        <v>12</v>
      </c>
      <c r="N1597">
        <v>52.2</v>
      </c>
      <c r="O1597">
        <v>626.40000000000009</v>
      </c>
    </row>
    <row r="1598" spans="1:15" x14ac:dyDescent="0.3">
      <c r="A1598" t="s">
        <v>1696</v>
      </c>
      <c r="B1598" t="s">
        <v>21</v>
      </c>
      <c r="C1598" s="7">
        <v>45717</v>
      </c>
      <c r="D1598" s="7">
        <v>45718</v>
      </c>
      <c r="E1598" t="s">
        <v>2517</v>
      </c>
      <c r="F1598" t="s">
        <v>39</v>
      </c>
      <c r="G1598">
        <v>4</v>
      </c>
      <c r="H1598" t="s">
        <v>18</v>
      </c>
      <c r="I1598" t="s">
        <v>58</v>
      </c>
      <c r="J1598">
        <f>orders[[#This Row],[Ship Date]]-orders[[#This Row],[Order Date]]</f>
        <v>1</v>
      </c>
      <c r="K1598">
        <f>WEEKNUM(orders[[#This Row],[Order Date]])</f>
        <v>9</v>
      </c>
      <c r="L1598" t="str" cm="1">
        <f t="array" ref="L1598">_xlfn.IFS(orders[[#This Row],[Customer Gender]]="M","Male", orders[[#This Row],[Customer Gender]]="F","Female", orders[[#This Row],[Customer Gender]]="O","Other", TRUE,"Unknown")</f>
        <v>Unknown</v>
      </c>
      <c r="M1598">
        <v>2</v>
      </c>
      <c r="N1598">
        <v>68.2</v>
      </c>
      <c r="O1598" s="5">
        <v>136.4</v>
      </c>
    </row>
    <row r="1599" spans="1:15" x14ac:dyDescent="0.3">
      <c r="A1599" t="s">
        <v>1697</v>
      </c>
      <c r="B1599" t="s">
        <v>16</v>
      </c>
      <c r="C1599" s="7">
        <v>45717</v>
      </c>
      <c r="D1599" s="7">
        <v>45721</v>
      </c>
      <c r="E1599" t="s">
        <v>26</v>
      </c>
      <c r="F1599" t="s">
        <v>17</v>
      </c>
      <c r="G1599">
        <v>4</v>
      </c>
      <c r="H1599" t="s">
        <v>18</v>
      </c>
      <c r="I1599" t="s">
        <v>61</v>
      </c>
      <c r="J1599">
        <f>orders[[#This Row],[Ship Date]]-orders[[#This Row],[Order Date]]</f>
        <v>4</v>
      </c>
      <c r="K1599">
        <f>WEEKNUM(orders[[#This Row],[Order Date]])</f>
        <v>9</v>
      </c>
      <c r="L1599" t="str" cm="1">
        <f t="array" ref="L1599">_xlfn.IFS(orders[[#This Row],[Customer Gender]]="M","Male", orders[[#This Row],[Customer Gender]]="F","Female", orders[[#This Row],[Customer Gender]]="O","Other", TRUE,"Unknown")</f>
        <v>Female</v>
      </c>
      <c r="M1599">
        <v>3</v>
      </c>
      <c r="N1599">
        <v>34</v>
      </c>
      <c r="O1599">
        <v>102</v>
      </c>
    </row>
    <row r="1600" spans="1:15" x14ac:dyDescent="0.3">
      <c r="A1600" t="s">
        <v>1698</v>
      </c>
      <c r="B1600" t="s">
        <v>43</v>
      </c>
      <c r="C1600" s="7">
        <v>45717</v>
      </c>
      <c r="D1600" s="7">
        <v>45718</v>
      </c>
      <c r="E1600" t="s">
        <v>26</v>
      </c>
      <c r="F1600" t="s">
        <v>69</v>
      </c>
      <c r="G1600">
        <v>4</v>
      </c>
      <c r="H1600" t="s">
        <v>18</v>
      </c>
      <c r="I1600" t="s">
        <v>61</v>
      </c>
      <c r="J1600">
        <f>orders[[#This Row],[Ship Date]]-orders[[#This Row],[Order Date]]</f>
        <v>1</v>
      </c>
      <c r="K1600">
        <f>WEEKNUM(orders[[#This Row],[Order Date]])</f>
        <v>9</v>
      </c>
      <c r="L1600" t="str" cm="1">
        <f t="array" ref="L1600">_xlfn.IFS(orders[[#This Row],[Customer Gender]]="M","Male", orders[[#This Row],[Customer Gender]]="F","Female", orders[[#This Row],[Customer Gender]]="O","Other", TRUE,"Unknown")</f>
        <v>Female</v>
      </c>
      <c r="M1600">
        <v>3</v>
      </c>
      <c r="N1600">
        <v>19.100000000000001</v>
      </c>
      <c r="O1600" s="5">
        <v>57.300000000000004</v>
      </c>
    </row>
    <row r="1601" spans="1:15" x14ac:dyDescent="0.3">
      <c r="A1601" t="s">
        <v>1699</v>
      </c>
      <c r="B1601" t="s">
        <v>36</v>
      </c>
      <c r="C1601" s="7">
        <v>45717</v>
      </c>
      <c r="D1601" s="7">
        <v>45725</v>
      </c>
      <c r="E1601" t="s">
        <v>26</v>
      </c>
      <c r="F1601" t="s">
        <v>69</v>
      </c>
      <c r="G1601">
        <v>4</v>
      </c>
      <c r="H1601" t="s">
        <v>18</v>
      </c>
      <c r="I1601" t="s">
        <v>61</v>
      </c>
      <c r="J1601">
        <f>orders[[#This Row],[Ship Date]]-orders[[#This Row],[Order Date]]</f>
        <v>8</v>
      </c>
      <c r="K1601">
        <f>WEEKNUM(orders[[#This Row],[Order Date]])</f>
        <v>9</v>
      </c>
      <c r="L1601" t="str" cm="1">
        <f t="array" ref="L1601">_xlfn.IFS(orders[[#This Row],[Customer Gender]]="M","Male", orders[[#This Row],[Customer Gender]]="F","Female", orders[[#This Row],[Customer Gender]]="O","Other", TRUE,"Unknown")</f>
        <v>Female</v>
      </c>
      <c r="M1601">
        <v>8</v>
      </c>
      <c r="N1601">
        <v>34</v>
      </c>
      <c r="O1601">
        <v>272</v>
      </c>
    </row>
    <row r="1602" spans="1:15" x14ac:dyDescent="0.3">
      <c r="A1602" t="s">
        <v>1700</v>
      </c>
      <c r="B1602" t="s">
        <v>68</v>
      </c>
      <c r="C1602" s="7">
        <v>45717</v>
      </c>
      <c r="D1602" s="7">
        <v>45719</v>
      </c>
      <c r="E1602" t="s">
        <v>22</v>
      </c>
      <c r="F1602" t="s">
        <v>17</v>
      </c>
      <c r="G1602">
        <v>5</v>
      </c>
      <c r="H1602" t="s">
        <v>18</v>
      </c>
      <c r="I1602" t="s">
        <v>61</v>
      </c>
      <c r="J1602">
        <f>orders[[#This Row],[Ship Date]]-orders[[#This Row],[Order Date]]</f>
        <v>2</v>
      </c>
      <c r="K1602">
        <f>WEEKNUM(orders[[#This Row],[Order Date]])</f>
        <v>9</v>
      </c>
      <c r="L1602" t="str" cm="1">
        <f t="array" ref="L1602">_xlfn.IFS(orders[[#This Row],[Customer Gender]]="M","Male", orders[[#This Row],[Customer Gender]]="F","Female", orders[[#This Row],[Customer Gender]]="O","Other", TRUE,"Unknown")</f>
        <v>Male</v>
      </c>
      <c r="M1602">
        <v>2</v>
      </c>
      <c r="N1602">
        <v>109.1</v>
      </c>
      <c r="O1602" s="5">
        <v>218.2</v>
      </c>
    </row>
    <row r="1603" spans="1:15" x14ac:dyDescent="0.3">
      <c r="A1603" t="s">
        <v>1701</v>
      </c>
      <c r="B1603" t="s">
        <v>145</v>
      </c>
      <c r="C1603" s="7">
        <v>45717</v>
      </c>
      <c r="D1603" s="7">
        <v>45719</v>
      </c>
      <c r="E1603" t="s">
        <v>22</v>
      </c>
      <c r="F1603" t="s">
        <v>17</v>
      </c>
      <c r="G1603">
        <v>5</v>
      </c>
      <c r="H1603" t="s">
        <v>18</v>
      </c>
      <c r="I1603" t="s">
        <v>61</v>
      </c>
      <c r="J1603">
        <f>orders[[#This Row],[Ship Date]]-orders[[#This Row],[Order Date]]</f>
        <v>2</v>
      </c>
      <c r="K1603">
        <f>WEEKNUM(orders[[#This Row],[Order Date]])</f>
        <v>9</v>
      </c>
      <c r="L1603" t="str" cm="1">
        <f t="array" ref="L1603">_xlfn.IFS(orders[[#This Row],[Customer Gender]]="M","Male", orders[[#This Row],[Customer Gender]]="F","Female", orders[[#This Row],[Customer Gender]]="O","Other", TRUE,"Unknown")</f>
        <v>Male</v>
      </c>
      <c r="M1603">
        <v>2</v>
      </c>
      <c r="N1603">
        <v>64.8</v>
      </c>
      <c r="O1603">
        <v>129.6</v>
      </c>
    </row>
    <row r="1604" spans="1:15" x14ac:dyDescent="0.3">
      <c r="A1604" t="s">
        <v>1702</v>
      </c>
      <c r="B1604" t="s">
        <v>53</v>
      </c>
      <c r="C1604" s="7">
        <v>45717</v>
      </c>
      <c r="D1604" s="7">
        <v>45717</v>
      </c>
      <c r="E1604" t="s">
        <v>26</v>
      </c>
      <c r="F1604" t="s">
        <v>34</v>
      </c>
      <c r="G1604">
        <v>4</v>
      </c>
      <c r="H1604" t="s">
        <v>18</v>
      </c>
      <c r="I1604" t="s">
        <v>76</v>
      </c>
      <c r="J1604">
        <f>orders[[#This Row],[Ship Date]]-orders[[#This Row],[Order Date]]</f>
        <v>0</v>
      </c>
      <c r="K1604">
        <f>WEEKNUM(orders[[#This Row],[Order Date]])</f>
        <v>9</v>
      </c>
      <c r="L1604" t="str" cm="1">
        <f t="array" ref="L1604">_xlfn.IFS(orders[[#This Row],[Customer Gender]]="M","Male", orders[[#This Row],[Customer Gender]]="F","Female", orders[[#This Row],[Customer Gender]]="O","Other", TRUE,"Unknown")</f>
        <v>Female</v>
      </c>
      <c r="M1604">
        <v>2</v>
      </c>
      <c r="N1604">
        <v>21.1</v>
      </c>
      <c r="O1604" s="5">
        <v>42.2</v>
      </c>
    </row>
    <row r="1605" spans="1:15" x14ac:dyDescent="0.3">
      <c r="A1605" t="s">
        <v>1703</v>
      </c>
      <c r="B1605" t="s">
        <v>16</v>
      </c>
      <c r="C1605" s="7">
        <v>45717</v>
      </c>
      <c r="D1605" s="7">
        <v>45719</v>
      </c>
      <c r="E1605" t="s">
        <v>22</v>
      </c>
      <c r="F1605" t="s">
        <v>50</v>
      </c>
      <c r="G1605">
        <v>3</v>
      </c>
      <c r="H1605" t="s">
        <v>18</v>
      </c>
      <c r="I1605" t="s">
        <v>107</v>
      </c>
      <c r="J1605">
        <f>orders[[#This Row],[Ship Date]]-orders[[#This Row],[Order Date]]</f>
        <v>2</v>
      </c>
      <c r="K1605">
        <f>WEEKNUM(orders[[#This Row],[Order Date]])</f>
        <v>9</v>
      </c>
      <c r="L1605" t="str" cm="1">
        <f t="array" ref="L1605">_xlfn.IFS(orders[[#This Row],[Customer Gender]]="M","Male", orders[[#This Row],[Customer Gender]]="F","Female", orders[[#This Row],[Customer Gender]]="O","Other", TRUE,"Unknown")</f>
        <v>Male</v>
      </c>
      <c r="M1605">
        <v>8</v>
      </c>
      <c r="N1605">
        <v>21.3</v>
      </c>
      <c r="O1605">
        <v>170.4</v>
      </c>
    </row>
    <row r="1606" spans="1:15" x14ac:dyDescent="0.3">
      <c r="A1606" t="s">
        <v>1704</v>
      </c>
      <c r="B1606" t="s">
        <v>45</v>
      </c>
      <c r="C1606" s="7">
        <v>45717</v>
      </c>
      <c r="D1606" s="7">
        <v>45718</v>
      </c>
      <c r="E1606" t="s">
        <v>22</v>
      </c>
      <c r="F1606" t="s">
        <v>34</v>
      </c>
      <c r="G1606">
        <v>4</v>
      </c>
      <c r="H1606" t="s">
        <v>18</v>
      </c>
      <c r="I1606" t="s">
        <v>109</v>
      </c>
      <c r="J1606">
        <f>orders[[#This Row],[Ship Date]]-orders[[#This Row],[Order Date]]</f>
        <v>1</v>
      </c>
      <c r="K1606">
        <f>WEEKNUM(orders[[#This Row],[Order Date]])</f>
        <v>9</v>
      </c>
      <c r="L1606" t="str" cm="1">
        <f t="array" ref="L1606">_xlfn.IFS(orders[[#This Row],[Customer Gender]]="M","Male", orders[[#This Row],[Customer Gender]]="F","Female", orders[[#This Row],[Customer Gender]]="O","Other", TRUE,"Unknown")</f>
        <v>Male</v>
      </c>
      <c r="M1606">
        <v>3</v>
      </c>
      <c r="N1606">
        <v>24.3</v>
      </c>
      <c r="O1606" s="5">
        <v>72.900000000000006</v>
      </c>
    </row>
    <row r="1607" spans="1:15" x14ac:dyDescent="0.3">
      <c r="A1607" t="s">
        <v>1705</v>
      </c>
      <c r="B1607" t="s">
        <v>43</v>
      </c>
      <c r="C1607" s="7">
        <v>45717</v>
      </c>
      <c r="D1607" s="7">
        <v>45721</v>
      </c>
      <c r="E1607" t="s">
        <v>22</v>
      </c>
      <c r="F1607" t="s">
        <v>34</v>
      </c>
      <c r="G1607">
        <v>3</v>
      </c>
      <c r="H1607" t="s">
        <v>18</v>
      </c>
      <c r="I1607" t="s">
        <v>81</v>
      </c>
      <c r="J1607">
        <f>orders[[#This Row],[Ship Date]]-orders[[#This Row],[Order Date]]</f>
        <v>4</v>
      </c>
      <c r="K1607">
        <f>WEEKNUM(orders[[#This Row],[Order Date]])</f>
        <v>9</v>
      </c>
      <c r="L1607" t="str" cm="1">
        <f t="array" ref="L1607">_xlfn.IFS(orders[[#This Row],[Customer Gender]]="M","Male", orders[[#This Row],[Customer Gender]]="F","Female", orders[[#This Row],[Customer Gender]]="O","Other", TRUE,"Unknown")</f>
        <v>Male</v>
      </c>
      <c r="M1607">
        <v>1</v>
      </c>
      <c r="N1607">
        <v>43.3</v>
      </c>
      <c r="O1607">
        <v>43.3</v>
      </c>
    </row>
    <row r="1608" spans="1:15" x14ac:dyDescent="0.3">
      <c r="A1608" t="s">
        <v>1706</v>
      </c>
      <c r="B1608" t="s">
        <v>45</v>
      </c>
      <c r="C1608" s="7">
        <v>45717</v>
      </c>
      <c r="D1608" s="7">
        <v>45718</v>
      </c>
      <c r="E1608" t="s">
        <v>26</v>
      </c>
      <c r="F1608" t="s">
        <v>50</v>
      </c>
      <c r="G1608">
        <v>2</v>
      </c>
      <c r="H1608" t="s">
        <v>18</v>
      </c>
      <c r="I1608" t="s">
        <v>114</v>
      </c>
      <c r="J1608">
        <f>orders[[#This Row],[Ship Date]]-orders[[#This Row],[Order Date]]</f>
        <v>1</v>
      </c>
      <c r="K1608">
        <f>WEEKNUM(orders[[#This Row],[Order Date]])</f>
        <v>9</v>
      </c>
      <c r="L1608" t="str" cm="1">
        <f t="array" ref="L1608">_xlfn.IFS(orders[[#This Row],[Customer Gender]]="M","Male", orders[[#This Row],[Customer Gender]]="F","Female", orders[[#This Row],[Customer Gender]]="O","Other", TRUE,"Unknown")</f>
        <v>Female</v>
      </c>
      <c r="M1608">
        <v>3</v>
      </c>
      <c r="N1608">
        <v>41</v>
      </c>
      <c r="O1608" s="5">
        <v>123</v>
      </c>
    </row>
    <row r="1609" spans="1:15" x14ac:dyDescent="0.3">
      <c r="A1609" t="s">
        <v>1707</v>
      </c>
      <c r="B1609" t="s">
        <v>127</v>
      </c>
      <c r="C1609" s="7">
        <v>45717</v>
      </c>
      <c r="D1609" s="7">
        <v>45719</v>
      </c>
      <c r="E1609" t="s">
        <v>26</v>
      </c>
      <c r="F1609" t="s">
        <v>69</v>
      </c>
      <c r="G1609">
        <v>4</v>
      </c>
      <c r="H1609" t="s">
        <v>18</v>
      </c>
      <c r="I1609" t="s">
        <v>114</v>
      </c>
      <c r="J1609">
        <f>orders[[#This Row],[Ship Date]]-orders[[#This Row],[Order Date]]</f>
        <v>2</v>
      </c>
      <c r="K1609">
        <f>WEEKNUM(orders[[#This Row],[Order Date]])</f>
        <v>9</v>
      </c>
      <c r="L1609" t="str" cm="1">
        <f t="array" ref="L1609">_xlfn.IFS(orders[[#This Row],[Customer Gender]]="M","Male", orders[[#This Row],[Customer Gender]]="F","Female", orders[[#This Row],[Customer Gender]]="O","Other", TRUE,"Unknown")</f>
        <v>Female</v>
      </c>
      <c r="M1609">
        <v>3</v>
      </c>
      <c r="N1609">
        <v>54.1</v>
      </c>
      <c r="O1609">
        <v>162.30000000000001</v>
      </c>
    </row>
    <row r="1610" spans="1:15" x14ac:dyDescent="0.3">
      <c r="A1610" t="s">
        <v>1708</v>
      </c>
      <c r="B1610" t="s">
        <v>66</v>
      </c>
      <c r="C1610" s="7">
        <v>45717</v>
      </c>
      <c r="D1610" s="7">
        <v>45718</v>
      </c>
      <c r="E1610" t="s">
        <v>22</v>
      </c>
      <c r="F1610" t="s">
        <v>34</v>
      </c>
      <c r="G1610">
        <v>5</v>
      </c>
      <c r="H1610" t="s">
        <v>18</v>
      </c>
      <c r="I1610" t="s">
        <v>23</v>
      </c>
      <c r="J1610">
        <f>orders[[#This Row],[Ship Date]]-orders[[#This Row],[Order Date]]</f>
        <v>1</v>
      </c>
      <c r="K1610">
        <f>WEEKNUM(orders[[#This Row],[Order Date]])</f>
        <v>9</v>
      </c>
      <c r="L1610" t="str" cm="1">
        <f t="array" ref="L1610">_xlfn.IFS(orders[[#This Row],[Customer Gender]]="M","Male", orders[[#This Row],[Customer Gender]]="F","Female", orders[[#This Row],[Customer Gender]]="O","Other", TRUE,"Unknown")</f>
        <v>Male</v>
      </c>
      <c r="M1610">
        <v>2</v>
      </c>
      <c r="N1610">
        <v>39</v>
      </c>
      <c r="O1610" s="5">
        <v>78</v>
      </c>
    </row>
    <row r="1611" spans="1:15" x14ac:dyDescent="0.3">
      <c r="A1611" t="s">
        <v>1709</v>
      </c>
      <c r="B1611" t="s">
        <v>43</v>
      </c>
      <c r="C1611" s="7">
        <v>45717</v>
      </c>
      <c r="D1611" s="7">
        <v>45719</v>
      </c>
      <c r="E1611" t="s">
        <v>22</v>
      </c>
      <c r="F1611" t="s">
        <v>50</v>
      </c>
      <c r="G1611">
        <v>4</v>
      </c>
      <c r="H1611" t="s">
        <v>18</v>
      </c>
      <c r="I1611" t="s">
        <v>207</v>
      </c>
      <c r="J1611">
        <f>orders[[#This Row],[Ship Date]]-orders[[#This Row],[Order Date]]</f>
        <v>2</v>
      </c>
      <c r="K1611">
        <f>WEEKNUM(orders[[#This Row],[Order Date]])</f>
        <v>9</v>
      </c>
      <c r="L1611" t="str" cm="1">
        <f t="array" ref="L1611">_xlfn.IFS(orders[[#This Row],[Customer Gender]]="M","Male", orders[[#This Row],[Customer Gender]]="F","Female", orders[[#This Row],[Customer Gender]]="O","Other", TRUE,"Unknown")</f>
        <v>Male</v>
      </c>
      <c r="M1611">
        <v>2</v>
      </c>
      <c r="N1611">
        <v>40.299999999999997</v>
      </c>
      <c r="O1611">
        <v>80.599999999999994</v>
      </c>
    </row>
    <row r="1612" spans="1:15" x14ac:dyDescent="0.3">
      <c r="A1612" t="s">
        <v>1710</v>
      </c>
      <c r="B1612" t="s">
        <v>43</v>
      </c>
      <c r="C1612" s="7">
        <v>45717</v>
      </c>
      <c r="D1612" s="7">
        <v>45718</v>
      </c>
      <c r="E1612" t="s">
        <v>22</v>
      </c>
      <c r="F1612" t="s">
        <v>17</v>
      </c>
      <c r="G1612">
        <v>5</v>
      </c>
      <c r="H1612" t="s">
        <v>18</v>
      </c>
      <c r="I1612" t="s">
        <v>333</v>
      </c>
      <c r="J1612">
        <f>orders[[#This Row],[Ship Date]]-orders[[#This Row],[Order Date]]</f>
        <v>1</v>
      </c>
      <c r="K1612">
        <f>WEEKNUM(orders[[#This Row],[Order Date]])</f>
        <v>9</v>
      </c>
      <c r="L1612" t="str" cm="1">
        <f t="array" ref="L1612">_xlfn.IFS(orders[[#This Row],[Customer Gender]]="M","Male", orders[[#This Row],[Customer Gender]]="F","Female", orders[[#This Row],[Customer Gender]]="O","Other", TRUE,"Unknown")</f>
        <v>Male</v>
      </c>
      <c r="M1612">
        <v>3</v>
      </c>
      <c r="N1612">
        <v>24.1</v>
      </c>
      <c r="O1612" s="5">
        <v>72.300000000000011</v>
      </c>
    </row>
    <row r="1613" spans="1:15" x14ac:dyDescent="0.3">
      <c r="A1613" t="s">
        <v>1711</v>
      </c>
      <c r="B1613" t="s">
        <v>38</v>
      </c>
      <c r="C1613" s="7">
        <v>45717</v>
      </c>
      <c r="D1613" s="7">
        <v>45718</v>
      </c>
      <c r="E1613" t="s">
        <v>22</v>
      </c>
      <c r="F1613" t="s">
        <v>39</v>
      </c>
      <c r="G1613">
        <v>4</v>
      </c>
      <c r="H1613" t="s">
        <v>18</v>
      </c>
      <c r="I1613" t="s">
        <v>32</v>
      </c>
      <c r="J1613">
        <f>orders[[#This Row],[Ship Date]]-orders[[#This Row],[Order Date]]</f>
        <v>1</v>
      </c>
      <c r="K1613">
        <f>WEEKNUM(orders[[#This Row],[Order Date]])</f>
        <v>9</v>
      </c>
      <c r="L1613" t="str" cm="1">
        <f t="array" ref="L1613">_xlfn.IFS(orders[[#This Row],[Customer Gender]]="M","Male", orders[[#This Row],[Customer Gender]]="F","Female", orders[[#This Row],[Customer Gender]]="O","Other", TRUE,"Unknown")</f>
        <v>Male</v>
      </c>
      <c r="M1613">
        <v>5</v>
      </c>
      <c r="N1613">
        <v>52.3</v>
      </c>
      <c r="O1613">
        <v>261.5</v>
      </c>
    </row>
    <row r="1614" spans="1:15" x14ac:dyDescent="0.3">
      <c r="A1614" t="s">
        <v>1712</v>
      </c>
      <c r="B1614" t="s">
        <v>68</v>
      </c>
      <c r="C1614" s="7">
        <v>45717</v>
      </c>
      <c r="D1614" s="7">
        <v>45721</v>
      </c>
      <c r="E1614" t="s">
        <v>26</v>
      </c>
      <c r="F1614" t="s">
        <v>69</v>
      </c>
      <c r="G1614">
        <v>5</v>
      </c>
      <c r="H1614" t="s">
        <v>18</v>
      </c>
      <c r="I1614" t="s">
        <v>32</v>
      </c>
      <c r="J1614">
        <f>orders[[#This Row],[Ship Date]]-orders[[#This Row],[Order Date]]</f>
        <v>4</v>
      </c>
      <c r="K1614">
        <f>WEEKNUM(orders[[#This Row],[Order Date]])</f>
        <v>9</v>
      </c>
      <c r="L1614" t="str" cm="1">
        <f t="array" ref="L1614">_xlfn.IFS(orders[[#This Row],[Customer Gender]]="M","Male", orders[[#This Row],[Customer Gender]]="F","Female", orders[[#This Row],[Customer Gender]]="O","Other", TRUE,"Unknown")</f>
        <v>Female</v>
      </c>
      <c r="M1614">
        <v>4</v>
      </c>
      <c r="N1614">
        <v>68.8</v>
      </c>
      <c r="O1614" s="5">
        <v>275.2</v>
      </c>
    </row>
    <row r="1615" spans="1:15" x14ac:dyDescent="0.3">
      <c r="A1615" t="s">
        <v>1713</v>
      </c>
      <c r="B1615" t="s">
        <v>25</v>
      </c>
      <c r="C1615" s="7">
        <v>45718</v>
      </c>
      <c r="D1615" s="7">
        <v>45721</v>
      </c>
      <c r="E1615" t="s">
        <v>26</v>
      </c>
      <c r="F1615" t="s">
        <v>34</v>
      </c>
      <c r="G1615">
        <v>3</v>
      </c>
      <c r="H1615" t="s">
        <v>18</v>
      </c>
      <c r="I1615" t="s">
        <v>32</v>
      </c>
      <c r="J1615">
        <f>orders[[#This Row],[Ship Date]]-orders[[#This Row],[Order Date]]</f>
        <v>3</v>
      </c>
      <c r="K1615">
        <f>WEEKNUM(orders[[#This Row],[Order Date]])</f>
        <v>10</v>
      </c>
      <c r="L1615" t="str" cm="1">
        <f t="array" ref="L1615">_xlfn.IFS(orders[[#This Row],[Customer Gender]]="M","Male", orders[[#This Row],[Customer Gender]]="F","Female", orders[[#This Row],[Customer Gender]]="O","Other", TRUE,"Unknown")</f>
        <v>Female</v>
      </c>
      <c r="M1615">
        <v>2</v>
      </c>
      <c r="N1615">
        <v>128.80000000000001</v>
      </c>
      <c r="O1615">
        <v>257.60000000000002</v>
      </c>
    </row>
    <row r="1616" spans="1:15" x14ac:dyDescent="0.3">
      <c r="A1616" t="s">
        <v>1714</v>
      </c>
      <c r="B1616" t="s">
        <v>122</v>
      </c>
      <c r="C1616" s="7">
        <v>45718</v>
      </c>
      <c r="D1616" s="7">
        <v>45720</v>
      </c>
      <c r="E1616" t="s">
        <v>26</v>
      </c>
      <c r="F1616" t="s">
        <v>50</v>
      </c>
      <c r="G1616">
        <v>4</v>
      </c>
      <c r="H1616" t="s">
        <v>18</v>
      </c>
      <c r="I1616" t="s">
        <v>32</v>
      </c>
      <c r="J1616">
        <f>orders[[#This Row],[Ship Date]]-orders[[#This Row],[Order Date]]</f>
        <v>2</v>
      </c>
      <c r="K1616">
        <f>WEEKNUM(orders[[#This Row],[Order Date]])</f>
        <v>10</v>
      </c>
      <c r="L1616" t="str" cm="1">
        <f t="array" ref="L1616">_xlfn.IFS(orders[[#This Row],[Customer Gender]]="M","Male", orders[[#This Row],[Customer Gender]]="F","Female", orders[[#This Row],[Customer Gender]]="O","Other", TRUE,"Unknown")</f>
        <v>Female</v>
      </c>
      <c r="M1616">
        <v>5</v>
      </c>
      <c r="N1616">
        <v>48.2</v>
      </c>
      <c r="O1616" s="5">
        <v>241</v>
      </c>
    </row>
    <row r="1617" spans="1:15" x14ac:dyDescent="0.3">
      <c r="A1617" t="s">
        <v>1715</v>
      </c>
      <c r="B1617" t="s">
        <v>53</v>
      </c>
      <c r="C1617" s="7">
        <v>45718</v>
      </c>
      <c r="D1617" s="7">
        <v>45720</v>
      </c>
      <c r="E1617" t="s">
        <v>26</v>
      </c>
      <c r="F1617" t="s">
        <v>17</v>
      </c>
      <c r="G1617">
        <v>3</v>
      </c>
      <c r="H1617" t="s">
        <v>18</v>
      </c>
      <c r="I1617" t="s">
        <v>32</v>
      </c>
      <c r="J1617">
        <f>orders[[#This Row],[Ship Date]]-orders[[#This Row],[Order Date]]</f>
        <v>2</v>
      </c>
      <c r="K1617">
        <f>WEEKNUM(orders[[#This Row],[Order Date]])</f>
        <v>10</v>
      </c>
      <c r="L1617" t="str" cm="1">
        <f t="array" ref="L1617">_xlfn.IFS(orders[[#This Row],[Customer Gender]]="M","Male", orders[[#This Row],[Customer Gender]]="F","Female", orders[[#This Row],[Customer Gender]]="O","Other", TRUE,"Unknown")</f>
        <v>Female</v>
      </c>
      <c r="M1617">
        <v>1</v>
      </c>
      <c r="N1617">
        <v>39.700000000000003</v>
      </c>
      <c r="O1617">
        <v>39.700000000000003</v>
      </c>
    </row>
    <row r="1618" spans="1:15" x14ac:dyDescent="0.3">
      <c r="A1618" t="s">
        <v>1716</v>
      </c>
      <c r="B1618" t="s">
        <v>45</v>
      </c>
      <c r="C1618" s="7">
        <v>45718</v>
      </c>
      <c r="D1618" s="7">
        <v>45721</v>
      </c>
      <c r="E1618" t="s">
        <v>26</v>
      </c>
      <c r="F1618" t="s">
        <v>69</v>
      </c>
      <c r="G1618">
        <v>4</v>
      </c>
      <c r="H1618" t="s">
        <v>18</v>
      </c>
      <c r="I1618" t="s">
        <v>32</v>
      </c>
      <c r="J1618">
        <f>orders[[#This Row],[Ship Date]]-orders[[#This Row],[Order Date]]</f>
        <v>3</v>
      </c>
      <c r="K1618">
        <f>WEEKNUM(orders[[#This Row],[Order Date]])</f>
        <v>10</v>
      </c>
      <c r="L1618" t="str" cm="1">
        <f t="array" ref="L1618">_xlfn.IFS(orders[[#This Row],[Customer Gender]]="M","Male", orders[[#This Row],[Customer Gender]]="F","Female", orders[[#This Row],[Customer Gender]]="O","Other", TRUE,"Unknown")</f>
        <v>Female</v>
      </c>
      <c r="M1618">
        <v>1</v>
      </c>
      <c r="N1618">
        <v>59.7</v>
      </c>
      <c r="O1618" s="5">
        <v>59.7</v>
      </c>
    </row>
    <row r="1619" spans="1:15" x14ac:dyDescent="0.3">
      <c r="A1619" t="s">
        <v>1717</v>
      </c>
      <c r="B1619" t="s">
        <v>38</v>
      </c>
      <c r="C1619" s="7">
        <v>45718</v>
      </c>
      <c r="D1619" s="7">
        <v>45732</v>
      </c>
      <c r="E1619" t="s">
        <v>88</v>
      </c>
      <c r="F1619" t="s">
        <v>17</v>
      </c>
      <c r="G1619">
        <v>5</v>
      </c>
      <c r="H1619" t="s">
        <v>18</v>
      </c>
      <c r="I1619" t="s">
        <v>32</v>
      </c>
      <c r="J1619">
        <f>orders[[#This Row],[Ship Date]]-orders[[#This Row],[Order Date]]</f>
        <v>14</v>
      </c>
      <c r="K1619">
        <f>WEEKNUM(orders[[#This Row],[Order Date]])</f>
        <v>10</v>
      </c>
      <c r="L1619" t="str" cm="1">
        <f t="array" ref="L1619">_xlfn.IFS(orders[[#This Row],[Customer Gender]]="M","Male", orders[[#This Row],[Customer Gender]]="F","Female", orders[[#This Row],[Customer Gender]]="O","Other", TRUE,"Unknown")</f>
        <v>Other</v>
      </c>
      <c r="M1619">
        <v>1</v>
      </c>
      <c r="N1619">
        <v>48.3</v>
      </c>
      <c r="O1619">
        <v>48.3</v>
      </c>
    </row>
    <row r="1620" spans="1:15" x14ac:dyDescent="0.3">
      <c r="A1620" t="s">
        <v>1718</v>
      </c>
      <c r="B1620" t="s">
        <v>43</v>
      </c>
      <c r="C1620" s="7">
        <v>45718</v>
      </c>
      <c r="D1620" s="7">
        <v>45720</v>
      </c>
      <c r="E1620" t="s">
        <v>22</v>
      </c>
      <c r="F1620" t="s">
        <v>39</v>
      </c>
      <c r="G1620">
        <v>3</v>
      </c>
      <c r="H1620" t="s">
        <v>18</v>
      </c>
      <c r="I1620" t="s">
        <v>32</v>
      </c>
      <c r="J1620">
        <f>orders[[#This Row],[Ship Date]]-orders[[#This Row],[Order Date]]</f>
        <v>2</v>
      </c>
      <c r="K1620">
        <f>WEEKNUM(orders[[#This Row],[Order Date]])</f>
        <v>10</v>
      </c>
      <c r="L1620" t="str" cm="1">
        <f t="array" ref="L1620">_xlfn.IFS(orders[[#This Row],[Customer Gender]]="M","Male", orders[[#This Row],[Customer Gender]]="F","Female", orders[[#This Row],[Customer Gender]]="O","Other", TRUE,"Unknown")</f>
        <v>Male</v>
      </c>
      <c r="M1620">
        <v>3</v>
      </c>
      <c r="N1620">
        <v>45.5</v>
      </c>
      <c r="O1620" s="5">
        <v>136.5</v>
      </c>
    </row>
    <row r="1621" spans="1:15" x14ac:dyDescent="0.3">
      <c r="A1621" t="s">
        <v>1719</v>
      </c>
      <c r="B1621" t="s">
        <v>45</v>
      </c>
      <c r="C1621" s="7">
        <v>45718</v>
      </c>
      <c r="D1621" s="7">
        <v>45718</v>
      </c>
      <c r="E1621" t="s">
        <v>26</v>
      </c>
      <c r="F1621" t="s">
        <v>39</v>
      </c>
      <c r="G1621">
        <v>4</v>
      </c>
      <c r="H1621" t="s">
        <v>18</v>
      </c>
      <c r="I1621" t="s">
        <v>32</v>
      </c>
      <c r="J1621">
        <f>orders[[#This Row],[Ship Date]]-orders[[#This Row],[Order Date]]</f>
        <v>0</v>
      </c>
      <c r="K1621">
        <f>WEEKNUM(orders[[#This Row],[Order Date]])</f>
        <v>10</v>
      </c>
      <c r="L1621" t="str" cm="1">
        <f t="array" ref="L1621">_xlfn.IFS(orders[[#This Row],[Customer Gender]]="M","Male", orders[[#This Row],[Customer Gender]]="F","Female", orders[[#This Row],[Customer Gender]]="O","Other", TRUE,"Unknown")</f>
        <v>Female</v>
      </c>
      <c r="M1621">
        <v>27</v>
      </c>
      <c r="N1621">
        <v>51</v>
      </c>
      <c r="O1621">
        <v>1377</v>
      </c>
    </row>
    <row r="1622" spans="1:15" x14ac:dyDescent="0.3">
      <c r="A1622" t="s">
        <v>1720</v>
      </c>
      <c r="B1622" t="s">
        <v>31</v>
      </c>
      <c r="C1622" s="7">
        <v>45718</v>
      </c>
      <c r="D1622" s="7">
        <v>45719</v>
      </c>
      <c r="E1622" t="s">
        <v>22</v>
      </c>
      <c r="F1622" t="s">
        <v>39</v>
      </c>
      <c r="G1622">
        <v>4</v>
      </c>
      <c r="H1622" t="s">
        <v>18</v>
      </c>
      <c r="I1622" t="s">
        <v>32</v>
      </c>
      <c r="J1622">
        <f>orders[[#This Row],[Ship Date]]-orders[[#This Row],[Order Date]]</f>
        <v>1</v>
      </c>
      <c r="K1622">
        <f>WEEKNUM(orders[[#This Row],[Order Date]])</f>
        <v>10</v>
      </c>
      <c r="L1622" t="str" cm="1">
        <f t="array" ref="L1622">_xlfn.IFS(orders[[#This Row],[Customer Gender]]="M","Male", orders[[#This Row],[Customer Gender]]="F","Female", orders[[#This Row],[Customer Gender]]="O","Other", TRUE,"Unknown")</f>
        <v>Male</v>
      </c>
      <c r="M1622">
        <v>6</v>
      </c>
      <c r="N1622">
        <v>20.399999999999999</v>
      </c>
      <c r="O1622" s="5">
        <v>122.39999999999999</v>
      </c>
    </row>
    <row r="1623" spans="1:15" x14ac:dyDescent="0.3">
      <c r="A1623" t="s">
        <v>1721</v>
      </c>
      <c r="B1623" t="s">
        <v>53</v>
      </c>
      <c r="C1623" s="7">
        <v>45718</v>
      </c>
      <c r="D1623" s="7">
        <v>45720</v>
      </c>
      <c r="E1623" t="s">
        <v>22</v>
      </c>
      <c r="F1623" t="s">
        <v>39</v>
      </c>
      <c r="G1623">
        <v>4</v>
      </c>
      <c r="H1623" t="s">
        <v>18</v>
      </c>
      <c r="I1623" t="s">
        <v>32</v>
      </c>
      <c r="J1623">
        <f>orders[[#This Row],[Ship Date]]-orders[[#This Row],[Order Date]]</f>
        <v>2</v>
      </c>
      <c r="K1623">
        <f>WEEKNUM(orders[[#This Row],[Order Date]])</f>
        <v>10</v>
      </c>
      <c r="L1623" t="str" cm="1">
        <f t="array" ref="L1623">_xlfn.IFS(orders[[#This Row],[Customer Gender]]="M","Male", orders[[#This Row],[Customer Gender]]="F","Female", orders[[#This Row],[Customer Gender]]="O","Other", TRUE,"Unknown")</f>
        <v>Male</v>
      </c>
      <c r="M1623">
        <v>2</v>
      </c>
      <c r="N1623">
        <v>30.4</v>
      </c>
      <c r="O1623">
        <v>60.8</v>
      </c>
    </row>
    <row r="1624" spans="1:15" x14ac:dyDescent="0.3">
      <c r="A1624" t="s">
        <v>1722</v>
      </c>
      <c r="B1624" t="s">
        <v>41</v>
      </c>
      <c r="C1624" s="7">
        <v>45718</v>
      </c>
      <c r="D1624" s="7">
        <v>45722</v>
      </c>
      <c r="E1624" t="s">
        <v>26</v>
      </c>
      <c r="F1624" t="s">
        <v>17</v>
      </c>
      <c r="G1624">
        <v>4</v>
      </c>
      <c r="H1624" t="s">
        <v>18</v>
      </c>
      <c r="I1624" t="s">
        <v>32</v>
      </c>
      <c r="J1624">
        <f>orders[[#This Row],[Ship Date]]-orders[[#This Row],[Order Date]]</f>
        <v>4</v>
      </c>
      <c r="K1624">
        <f>WEEKNUM(orders[[#This Row],[Order Date]])</f>
        <v>10</v>
      </c>
      <c r="L1624" t="str" cm="1">
        <f t="array" ref="L1624">_xlfn.IFS(orders[[#This Row],[Customer Gender]]="M","Male", orders[[#This Row],[Customer Gender]]="F","Female", orders[[#This Row],[Customer Gender]]="O","Other", TRUE,"Unknown")</f>
        <v>Female</v>
      </c>
      <c r="M1624">
        <v>2</v>
      </c>
      <c r="N1624">
        <v>71.5</v>
      </c>
      <c r="O1624" s="5">
        <v>143</v>
      </c>
    </row>
    <row r="1625" spans="1:15" x14ac:dyDescent="0.3">
      <c r="A1625" t="s">
        <v>1723</v>
      </c>
      <c r="B1625" t="s">
        <v>43</v>
      </c>
      <c r="C1625" s="7">
        <v>45718</v>
      </c>
      <c r="D1625" s="7">
        <v>45719</v>
      </c>
      <c r="E1625" t="s">
        <v>88</v>
      </c>
      <c r="F1625" t="s">
        <v>34</v>
      </c>
      <c r="G1625">
        <v>5</v>
      </c>
      <c r="H1625" t="s">
        <v>18</v>
      </c>
      <c r="I1625" t="s">
        <v>54</v>
      </c>
      <c r="J1625">
        <f>orders[[#This Row],[Ship Date]]-orders[[#This Row],[Order Date]]</f>
        <v>1</v>
      </c>
      <c r="K1625">
        <f>WEEKNUM(orders[[#This Row],[Order Date]])</f>
        <v>10</v>
      </c>
      <c r="L1625" t="str" cm="1">
        <f t="array" ref="L1625">_xlfn.IFS(orders[[#This Row],[Customer Gender]]="M","Male", orders[[#This Row],[Customer Gender]]="F","Female", orders[[#This Row],[Customer Gender]]="O","Other", TRUE,"Unknown")</f>
        <v>Other</v>
      </c>
      <c r="M1625">
        <v>6</v>
      </c>
      <c r="N1625">
        <v>18</v>
      </c>
      <c r="O1625">
        <v>108</v>
      </c>
    </row>
    <row r="1626" spans="1:15" x14ac:dyDescent="0.3">
      <c r="A1626" t="s">
        <v>1724</v>
      </c>
      <c r="B1626" t="s">
        <v>122</v>
      </c>
      <c r="C1626" s="7">
        <v>45718</v>
      </c>
      <c r="D1626" s="7">
        <v>45719</v>
      </c>
      <c r="E1626" t="s">
        <v>88</v>
      </c>
      <c r="F1626" t="s">
        <v>34</v>
      </c>
      <c r="G1626">
        <v>3</v>
      </c>
      <c r="H1626" t="s">
        <v>18</v>
      </c>
      <c r="I1626" t="s">
        <v>58</v>
      </c>
      <c r="J1626">
        <f>orders[[#This Row],[Ship Date]]-orders[[#This Row],[Order Date]]</f>
        <v>1</v>
      </c>
      <c r="K1626">
        <f>WEEKNUM(orders[[#This Row],[Order Date]])</f>
        <v>10</v>
      </c>
      <c r="L1626" t="str" cm="1">
        <f t="array" ref="L1626">_xlfn.IFS(orders[[#This Row],[Customer Gender]]="M","Male", orders[[#This Row],[Customer Gender]]="F","Female", orders[[#This Row],[Customer Gender]]="O","Other", TRUE,"Unknown")</f>
        <v>Other</v>
      </c>
      <c r="M1626">
        <v>11</v>
      </c>
      <c r="N1626">
        <v>45.6</v>
      </c>
      <c r="O1626" s="5">
        <v>501.6</v>
      </c>
    </row>
    <row r="1627" spans="1:15" x14ac:dyDescent="0.3">
      <c r="A1627" t="s">
        <v>1725</v>
      </c>
      <c r="B1627" t="s">
        <v>45</v>
      </c>
      <c r="C1627" s="7">
        <v>45718</v>
      </c>
      <c r="D1627" s="7">
        <v>45722</v>
      </c>
      <c r="E1627" t="s">
        <v>26</v>
      </c>
      <c r="F1627" t="s">
        <v>17</v>
      </c>
      <c r="G1627">
        <v>5</v>
      </c>
      <c r="H1627" t="s">
        <v>18</v>
      </c>
      <c r="I1627" t="s">
        <v>58</v>
      </c>
      <c r="J1627">
        <f>orders[[#This Row],[Ship Date]]-orders[[#This Row],[Order Date]]</f>
        <v>4</v>
      </c>
      <c r="K1627">
        <f>WEEKNUM(orders[[#This Row],[Order Date]])</f>
        <v>10</v>
      </c>
      <c r="L1627" t="str" cm="1">
        <f t="array" ref="L1627">_xlfn.IFS(orders[[#This Row],[Customer Gender]]="M","Male", orders[[#This Row],[Customer Gender]]="F","Female", orders[[#This Row],[Customer Gender]]="O","Other", TRUE,"Unknown")</f>
        <v>Female</v>
      </c>
      <c r="M1627">
        <v>1</v>
      </c>
      <c r="N1627">
        <v>31.8</v>
      </c>
      <c r="O1627">
        <v>31.8</v>
      </c>
    </row>
    <row r="1628" spans="1:15" x14ac:dyDescent="0.3">
      <c r="A1628" t="s">
        <v>1726</v>
      </c>
      <c r="B1628" t="s">
        <v>43</v>
      </c>
      <c r="C1628" s="7">
        <v>45718</v>
      </c>
      <c r="D1628" s="7">
        <v>45719</v>
      </c>
      <c r="E1628" t="s">
        <v>26</v>
      </c>
      <c r="F1628" t="s">
        <v>34</v>
      </c>
      <c r="G1628">
        <v>4</v>
      </c>
      <c r="H1628" t="s">
        <v>18</v>
      </c>
      <c r="I1628" t="s">
        <v>58</v>
      </c>
      <c r="J1628">
        <f>orders[[#This Row],[Ship Date]]-orders[[#This Row],[Order Date]]</f>
        <v>1</v>
      </c>
      <c r="K1628">
        <f>WEEKNUM(orders[[#This Row],[Order Date]])</f>
        <v>10</v>
      </c>
      <c r="L1628" t="str" cm="1">
        <f t="array" ref="L1628">_xlfn.IFS(orders[[#This Row],[Customer Gender]]="M","Male", orders[[#This Row],[Customer Gender]]="F","Female", orders[[#This Row],[Customer Gender]]="O","Other", TRUE,"Unknown")</f>
        <v>Female</v>
      </c>
      <c r="M1628">
        <v>5</v>
      </c>
      <c r="N1628">
        <v>19.899999999999999</v>
      </c>
      <c r="O1628" s="5">
        <v>99.5</v>
      </c>
    </row>
    <row r="1629" spans="1:15" x14ac:dyDescent="0.3">
      <c r="A1629" t="s">
        <v>1727</v>
      </c>
      <c r="B1629" t="s">
        <v>68</v>
      </c>
      <c r="C1629" s="7">
        <v>45718</v>
      </c>
      <c r="D1629" s="7">
        <v>45720</v>
      </c>
      <c r="E1629" t="s">
        <v>22</v>
      </c>
      <c r="F1629" t="s">
        <v>17</v>
      </c>
      <c r="G1629">
        <v>4</v>
      </c>
      <c r="H1629" t="s">
        <v>18</v>
      </c>
      <c r="I1629" t="s">
        <v>61</v>
      </c>
      <c r="J1629">
        <f>orders[[#This Row],[Ship Date]]-orders[[#This Row],[Order Date]]</f>
        <v>2</v>
      </c>
      <c r="K1629">
        <f>WEEKNUM(orders[[#This Row],[Order Date]])</f>
        <v>10</v>
      </c>
      <c r="L1629" t="str" cm="1">
        <f t="array" ref="L1629">_xlfn.IFS(orders[[#This Row],[Customer Gender]]="M","Male", orders[[#This Row],[Customer Gender]]="F","Female", orders[[#This Row],[Customer Gender]]="O","Other", TRUE,"Unknown")</f>
        <v>Male</v>
      </c>
      <c r="M1629">
        <v>9</v>
      </c>
      <c r="N1629">
        <v>52.1</v>
      </c>
      <c r="O1629">
        <v>468.90000000000003</v>
      </c>
    </row>
    <row r="1630" spans="1:15" x14ac:dyDescent="0.3">
      <c r="A1630" t="s">
        <v>1728</v>
      </c>
      <c r="B1630" t="s">
        <v>21</v>
      </c>
      <c r="C1630" s="7">
        <v>45718</v>
      </c>
      <c r="D1630" s="7">
        <v>45719</v>
      </c>
      <c r="E1630" t="s">
        <v>22</v>
      </c>
      <c r="F1630" t="s">
        <v>17</v>
      </c>
      <c r="G1630">
        <v>3</v>
      </c>
      <c r="H1630" t="s">
        <v>18</v>
      </c>
      <c r="I1630" t="s">
        <v>61</v>
      </c>
      <c r="J1630">
        <f>orders[[#This Row],[Ship Date]]-orders[[#This Row],[Order Date]]</f>
        <v>1</v>
      </c>
      <c r="K1630">
        <f>WEEKNUM(orders[[#This Row],[Order Date]])</f>
        <v>10</v>
      </c>
      <c r="L1630" t="str" cm="1">
        <f t="array" ref="L1630">_xlfn.IFS(orders[[#This Row],[Customer Gender]]="M","Male", orders[[#This Row],[Customer Gender]]="F","Female", orders[[#This Row],[Customer Gender]]="O","Other", TRUE,"Unknown")</f>
        <v>Male</v>
      </c>
      <c r="M1630">
        <v>7</v>
      </c>
      <c r="N1630">
        <v>45.9</v>
      </c>
      <c r="O1630" s="5">
        <v>321.3</v>
      </c>
    </row>
    <row r="1631" spans="1:15" x14ac:dyDescent="0.3">
      <c r="A1631" t="s">
        <v>1729</v>
      </c>
      <c r="B1631" t="s">
        <v>21</v>
      </c>
      <c r="C1631" s="7">
        <v>45718</v>
      </c>
      <c r="D1631" s="7">
        <v>45721</v>
      </c>
      <c r="E1631" t="s">
        <v>26</v>
      </c>
      <c r="F1631" t="s">
        <v>34</v>
      </c>
      <c r="G1631">
        <v>4</v>
      </c>
      <c r="H1631" t="s">
        <v>18</v>
      </c>
      <c r="I1631" t="s">
        <v>61</v>
      </c>
      <c r="J1631">
        <f>orders[[#This Row],[Ship Date]]-orders[[#This Row],[Order Date]]</f>
        <v>3</v>
      </c>
      <c r="K1631">
        <f>WEEKNUM(orders[[#This Row],[Order Date]])</f>
        <v>10</v>
      </c>
      <c r="L1631" t="str" cm="1">
        <f t="array" ref="L1631">_xlfn.IFS(orders[[#This Row],[Customer Gender]]="M","Male", orders[[#This Row],[Customer Gender]]="F","Female", orders[[#This Row],[Customer Gender]]="O","Other", TRUE,"Unknown")</f>
        <v>Female</v>
      </c>
      <c r="M1631">
        <v>10</v>
      </c>
      <c r="N1631">
        <v>115.9</v>
      </c>
      <c r="O1631">
        <v>1159</v>
      </c>
    </row>
    <row r="1632" spans="1:15" x14ac:dyDescent="0.3">
      <c r="A1632" t="s">
        <v>1730</v>
      </c>
      <c r="B1632" t="s">
        <v>38</v>
      </c>
      <c r="C1632" s="7">
        <v>45718</v>
      </c>
      <c r="D1632" s="7">
        <v>45723</v>
      </c>
      <c r="E1632" t="s">
        <v>26</v>
      </c>
      <c r="F1632" t="s">
        <v>17</v>
      </c>
      <c r="G1632">
        <v>3</v>
      </c>
      <c r="H1632" t="s">
        <v>18</v>
      </c>
      <c r="I1632" t="s">
        <v>61</v>
      </c>
      <c r="J1632">
        <f>orders[[#This Row],[Ship Date]]-orders[[#This Row],[Order Date]]</f>
        <v>5</v>
      </c>
      <c r="K1632">
        <f>WEEKNUM(orders[[#This Row],[Order Date]])</f>
        <v>10</v>
      </c>
      <c r="L1632" t="str" cm="1">
        <f t="array" ref="L1632">_xlfn.IFS(orders[[#This Row],[Customer Gender]]="M","Male", orders[[#This Row],[Customer Gender]]="F","Female", orders[[#This Row],[Customer Gender]]="O","Other", TRUE,"Unknown")</f>
        <v>Female</v>
      </c>
      <c r="M1632">
        <v>9</v>
      </c>
      <c r="N1632">
        <v>86</v>
      </c>
      <c r="O1632" s="5">
        <v>774</v>
      </c>
    </row>
    <row r="1633" spans="1:15" x14ac:dyDescent="0.3">
      <c r="A1633" t="s">
        <v>1731</v>
      </c>
      <c r="B1633" t="s">
        <v>41</v>
      </c>
      <c r="C1633" s="7">
        <v>45718</v>
      </c>
      <c r="D1633" s="7">
        <v>45720</v>
      </c>
      <c r="E1633" t="s">
        <v>26</v>
      </c>
      <c r="F1633" t="s">
        <v>17</v>
      </c>
      <c r="G1633">
        <v>4</v>
      </c>
      <c r="H1633" t="s">
        <v>18</v>
      </c>
      <c r="I1633" t="s">
        <v>102</v>
      </c>
      <c r="J1633">
        <f>orders[[#This Row],[Ship Date]]-orders[[#This Row],[Order Date]]</f>
        <v>2</v>
      </c>
      <c r="K1633">
        <f>WEEKNUM(orders[[#This Row],[Order Date]])</f>
        <v>10</v>
      </c>
      <c r="L1633" t="str" cm="1">
        <f t="array" ref="L1633">_xlfn.IFS(orders[[#This Row],[Customer Gender]]="M","Male", orders[[#This Row],[Customer Gender]]="F","Female", orders[[#This Row],[Customer Gender]]="O","Other", TRUE,"Unknown")</f>
        <v>Female</v>
      </c>
      <c r="M1633">
        <v>7</v>
      </c>
      <c r="N1633">
        <v>73.599999999999994</v>
      </c>
      <c r="O1633">
        <v>515.19999999999993</v>
      </c>
    </row>
    <row r="1634" spans="1:15" x14ac:dyDescent="0.3">
      <c r="A1634" t="s">
        <v>1732</v>
      </c>
      <c r="B1634" t="s">
        <v>53</v>
      </c>
      <c r="C1634" s="7">
        <v>45718</v>
      </c>
      <c r="D1634" s="7">
        <v>45722</v>
      </c>
      <c r="E1634" t="s">
        <v>26</v>
      </c>
      <c r="F1634" t="s">
        <v>17</v>
      </c>
      <c r="G1634">
        <v>4</v>
      </c>
      <c r="H1634" t="s">
        <v>18</v>
      </c>
      <c r="I1634" t="s">
        <v>76</v>
      </c>
      <c r="J1634">
        <f>orders[[#This Row],[Ship Date]]-orders[[#This Row],[Order Date]]</f>
        <v>4</v>
      </c>
      <c r="K1634">
        <f>WEEKNUM(orders[[#This Row],[Order Date]])</f>
        <v>10</v>
      </c>
      <c r="L1634" t="str" cm="1">
        <f t="array" ref="L1634">_xlfn.IFS(orders[[#This Row],[Customer Gender]]="M","Male", orders[[#This Row],[Customer Gender]]="F","Female", orders[[#This Row],[Customer Gender]]="O","Other", TRUE,"Unknown")</f>
        <v>Female</v>
      </c>
      <c r="M1634">
        <v>3</v>
      </c>
      <c r="N1634">
        <v>26.7</v>
      </c>
      <c r="O1634" s="5">
        <v>80.099999999999994</v>
      </c>
    </row>
    <row r="1635" spans="1:15" x14ac:dyDescent="0.3">
      <c r="A1635" t="s">
        <v>1733</v>
      </c>
      <c r="B1635" t="s">
        <v>43</v>
      </c>
      <c r="C1635" s="7">
        <v>45718</v>
      </c>
      <c r="D1635" s="7">
        <v>45720</v>
      </c>
      <c r="E1635" t="s">
        <v>2517</v>
      </c>
      <c r="F1635" t="s">
        <v>50</v>
      </c>
      <c r="G1635">
        <v>4</v>
      </c>
      <c r="H1635" t="s">
        <v>18</v>
      </c>
      <c r="I1635" t="s">
        <v>76</v>
      </c>
      <c r="J1635">
        <f>orders[[#This Row],[Ship Date]]-orders[[#This Row],[Order Date]]</f>
        <v>2</v>
      </c>
      <c r="K1635">
        <f>WEEKNUM(orders[[#This Row],[Order Date]])</f>
        <v>10</v>
      </c>
      <c r="L1635" t="str" cm="1">
        <f t="array" ref="L1635">_xlfn.IFS(orders[[#This Row],[Customer Gender]]="M","Male", orders[[#This Row],[Customer Gender]]="F","Female", orders[[#This Row],[Customer Gender]]="O","Other", TRUE,"Unknown")</f>
        <v>Unknown</v>
      </c>
      <c r="M1635">
        <v>7</v>
      </c>
      <c r="N1635">
        <v>46.6</v>
      </c>
      <c r="O1635">
        <v>326.2</v>
      </c>
    </row>
    <row r="1636" spans="1:15" x14ac:dyDescent="0.3">
      <c r="A1636" t="s">
        <v>1734</v>
      </c>
      <c r="B1636" t="s">
        <v>29</v>
      </c>
      <c r="C1636" s="7">
        <v>45718</v>
      </c>
      <c r="D1636" s="7">
        <v>45720</v>
      </c>
      <c r="E1636" t="s">
        <v>22</v>
      </c>
      <c r="F1636" t="s">
        <v>69</v>
      </c>
      <c r="G1636">
        <v>4</v>
      </c>
      <c r="H1636" t="s">
        <v>18</v>
      </c>
      <c r="I1636" t="s">
        <v>76</v>
      </c>
      <c r="J1636">
        <f>orders[[#This Row],[Ship Date]]-orders[[#This Row],[Order Date]]</f>
        <v>2</v>
      </c>
      <c r="K1636">
        <f>WEEKNUM(orders[[#This Row],[Order Date]])</f>
        <v>10</v>
      </c>
      <c r="L1636" t="str" cm="1">
        <f t="array" ref="L1636">_xlfn.IFS(orders[[#This Row],[Customer Gender]]="M","Male", orders[[#This Row],[Customer Gender]]="F","Female", orders[[#This Row],[Customer Gender]]="O","Other", TRUE,"Unknown")</f>
        <v>Male</v>
      </c>
      <c r="M1636">
        <v>3</v>
      </c>
      <c r="N1636">
        <v>84.6</v>
      </c>
      <c r="O1636" s="5">
        <v>253.79999999999998</v>
      </c>
    </row>
    <row r="1637" spans="1:15" x14ac:dyDescent="0.3">
      <c r="A1637" t="s">
        <v>1735</v>
      </c>
      <c r="B1637" t="s">
        <v>41</v>
      </c>
      <c r="C1637" s="7">
        <v>45718</v>
      </c>
      <c r="D1637" s="7">
        <v>45732</v>
      </c>
      <c r="E1637" t="s">
        <v>22</v>
      </c>
      <c r="F1637" t="s">
        <v>34</v>
      </c>
      <c r="G1637">
        <v>4</v>
      </c>
      <c r="H1637" t="s">
        <v>18</v>
      </c>
      <c r="I1637" t="s">
        <v>1115</v>
      </c>
      <c r="J1637">
        <f>orders[[#This Row],[Ship Date]]-orders[[#This Row],[Order Date]]</f>
        <v>14</v>
      </c>
      <c r="K1637">
        <f>WEEKNUM(orders[[#This Row],[Order Date]])</f>
        <v>10</v>
      </c>
      <c r="L1637" t="str" cm="1">
        <f t="array" ref="L1637">_xlfn.IFS(orders[[#This Row],[Customer Gender]]="M","Male", orders[[#This Row],[Customer Gender]]="F","Female", orders[[#This Row],[Customer Gender]]="O","Other", TRUE,"Unknown")</f>
        <v>Male</v>
      </c>
      <c r="M1637">
        <v>14</v>
      </c>
      <c r="N1637">
        <v>41.5</v>
      </c>
      <c r="O1637">
        <v>581</v>
      </c>
    </row>
    <row r="1638" spans="1:15" x14ac:dyDescent="0.3">
      <c r="A1638" t="s">
        <v>1736</v>
      </c>
      <c r="B1638" t="s">
        <v>43</v>
      </c>
      <c r="C1638" s="7">
        <v>45718</v>
      </c>
      <c r="D1638" s="7">
        <v>45721</v>
      </c>
      <c r="E1638" t="s">
        <v>22</v>
      </c>
      <c r="F1638" t="s">
        <v>17</v>
      </c>
      <c r="G1638">
        <v>5</v>
      </c>
      <c r="H1638" t="s">
        <v>18</v>
      </c>
      <c r="I1638" t="s">
        <v>267</v>
      </c>
      <c r="J1638">
        <f>orders[[#This Row],[Ship Date]]-orders[[#This Row],[Order Date]]</f>
        <v>3</v>
      </c>
      <c r="K1638">
        <f>WEEKNUM(orders[[#This Row],[Order Date]])</f>
        <v>10</v>
      </c>
      <c r="L1638" t="str" cm="1">
        <f t="array" ref="L1638">_xlfn.IFS(orders[[#This Row],[Customer Gender]]="M","Male", orders[[#This Row],[Customer Gender]]="F","Female", orders[[#This Row],[Customer Gender]]="O","Other", TRUE,"Unknown")</f>
        <v>Male</v>
      </c>
      <c r="M1638">
        <v>1</v>
      </c>
      <c r="N1638">
        <v>32.799999999999997</v>
      </c>
      <c r="O1638" s="5">
        <v>32.799999999999997</v>
      </c>
    </row>
    <row r="1639" spans="1:15" x14ac:dyDescent="0.3">
      <c r="A1639" t="s">
        <v>1737</v>
      </c>
      <c r="B1639" t="s">
        <v>31</v>
      </c>
      <c r="C1639" s="7">
        <v>45718</v>
      </c>
      <c r="D1639" s="7">
        <v>45720</v>
      </c>
      <c r="E1639" t="s">
        <v>88</v>
      </c>
      <c r="F1639" t="s">
        <v>17</v>
      </c>
      <c r="G1639">
        <v>5</v>
      </c>
      <c r="H1639" t="s">
        <v>18</v>
      </c>
      <c r="I1639" t="s">
        <v>107</v>
      </c>
      <c r="J1639">
        <f>orders[[#This Row],[Ship Date]]-orders[[#This Row],[Order Date]]</f>
        <v>2</v>
      </c>
      <c r="K1639">
        <f>WEEKNUM(orders[[#This Row],[Order Date]])</f>
        <v>10</v>
      </c>
      <c r="L1639" t="str" cm="1">
        <f t="array" ref="L1639">_xlfn.IFS(orders[[#This Row],[Customer Gender]]="M","Male", orders[[#This Row],[Customer Gender]]="F","Female", orders[[#This Row],[Customer Gender]]="O","Other", TRUE,"Unknown")</f>
        <v>Other</v>
      </c>
      <c r="M1639">
        <v>7</v>
      </c>
      <c r="N1639">
        <v>46.7</v>
      </c>
      <c r="O1639">
        <v>326.90000000000003</v>
      </c>
    </row>
    <row r="1640" spans="1:15" x14ac:dyDescent="0.3">
      <c r="A1640" t="s">
        <v>1738</v>
      </c>
      <c r="B1640" t="s">
        <v>122</v>
      </c>
      <c r="C1640" s="7">
        <v>45718</v>
      </c>
      <c r="D1640" s="7">
        <v>45721</v>
      </c>
      <c r="E1640" t="s">
        <v>22</v>
      </c>
      <c r="F1640" t="s">
        <v>39</v>
      </c>
      <c r="G1640">
        <v>3</v>
      </c>
      <c r="H1640" t="s">
        <v>18</v>
      </c>
      <c r="I1640" t="s">
        <v>114</v>
      </c>
      <c r="J1640">
        <f>orders[[#This Row],[Ship Date]]-orders[[#This Row],[Order Date]]</f>
        <v>3</v>
      </c>
      <c r="K1640">
        <f>WEEKNUM(orders[[#This Row],[Order Date]])</f>
        <v>10</v>
      </c>
      <c r="L1640" t="str" cm="1">
        <f t="array" ref="L1640">_xlfn.IFS(orders[[#This Row],[Customer Gender]]="M","Male", orders[[#This Row],[Customer Gender]]="F","Female", orders[[#This Row],[Customer Gender]]="O","Other", TRUE,"Unknown")</f>
        <v>Male</v>
      </c>
      <c r="M1640">
        <v>7</v>
      </c>
      <c r="N1640">
        <v>21</v>
      </c>
      <c r="O1640" s="5">
        <v>147</v>
      </c>
    </row>
    <row r="1641" spans="1:15" x14ac:dyDescent="0.3">
      <c r="A1641" t="s">
        <v>1739</v>
      </c>
      <c r="B1641" t="s">
        <v>36</v>
      </c>
      <c r="C1641" s="7">
        <v>45718</v>
      </c>
      <c r="D1641" s="7">
        <v>45718</v>
      </c>
      <c r="E1641" t="s">
        <v>22</v>
      </c>
      <c r="F1641" t="s">
        <v>50</v>
      </c>
      <c r="G1641">
        <v>5</v>
      </c>
      <c r="H1641" t="s">
        <v>18</v>
      </c>
      <c r="I1641" t="s">
        <v>114</v>
      </c>
      <c r="J1641">
        <f>orders[[#This Row],[Ship Date]]-orders[[#This Row],[Order Date]]</f>
        <v>0</v>
      </c>
      <c r="K1641">
        <f>WEEKNUM(orders[[#This Row],[Order Date]])</f>
        <v>10</v>
      </c>
      <c r="L1641" t="str" cm="1">
        <f t="array" ref="L1641">_xlfn.IFS(orders[[#This Row],[Customer Gender]]="M","Male", orders[[#This Row],[Customer Gender]]="F","Female", orders[[#This Row],[Customer Gender]]="O","Other", TRUE,"Unknown")</f>
        <v>Male</v>
      </c>
      <c r="M1641">
        <v>7</v>
      </c>
      <c r="N1641">
        <v>29.4</v>
      </c>
      <c r="O1641">
        <v>205.79999999999998</v>
      </c>
    </row>
    <row r="1642" spans="1:15" x14ac:dyDescent="0.3">
      <c r="A1642" t="s">
        <v>1740</v>
      </c>
      <c r="B1642" t="s">
        <v>122</v>
      </c>
      <c r="C1642" s="7">
        <v>45718</v>
      </c>
      <c r="D1642" s="7">
        <v>45719</v>
      </c>
      <c r="E1642" t="s">
        <v>22</v>
      </c>
      <c r="F1642" t="s">
        <v>17</v>
      </c>
      <c r="G1642">
        <v>5</v>
      </c>
      <c r="H1642" t="s">
        <v>18</v>
      </c>
      <c r="I1642" t="s">
        <v>114</v>
      </c>
      <c r="J1642">
        <f>orders[[#This Row],[Ship Date]]-orders[[#This Row],[Order Date]]</f>
        <v>1</v>
      </c>
      <c r="K1642">
        <f>WEEKNUM(orders[[#This Row],[Order Date]])</f>
        <v>10</v>
      </c>
      <c r="L1642" t="str" cm="1">
        <f t="array" ref="L1642">_xlfn.IFS(orders[[#This Row],[Customer Gender]]="M","Male", orders[[#This Row],[Customer Gender]]="F","Female", orders[[#This Row],[Customer Gender]]="O","Other", TRUE,"Unknown")</f>
        <v>Male</v>
      </c>
      <c r="M1642">
        <v>2</v>
      </c>
      <c r="N1642">
        <v>32.299999999999997</v>
      </c>
      <c r="O1642" s="5">
        <v>64.599999999999994</v>
      </c>
    </row>
    <row r="1643" spans="1:15" x14ac:dyDescent="0.3">
      <c r="A1643" t="s">
        <v>1741</v>
      </c>
      <c r="B1643" t="s">
        <v>38</v>
      </c>
      <c r="C1643" s="7">
        <v>45719</v>
      </c>
      <c r="D1643" s="7">
        <v>45721</v>
      </c>
      <c r="E1643" t="s">
        <v>26</v>
      </c>
      <c r="F1643" t="s">
        <v>17</v>
      </c>
      <c r="G1643">
        <v>5</v>
      </c>
      <c r="H1643" t="s">
        <v>18</v>
      </c>
      <c r="I1643" t="s">
        <v>114</v>
      </c>
      <c r="J1643">
        <f>orders[[#This Row],[Ship Date]]-orders[[#This Row],[Order Date]]</f>
        <v>2</v>
      </c>
      <c r="K1643">
        <f>WEEKNUM(orders[[#This Row],[Order Date]])</f>
        <v>10</v>
      </c>
      <c r="L1643" t="str" cm="1">
        <f t="array" ref="L1643">_xlfn.IFS(orders[[#This Row],[Customer Gender]]="M","Male", orders[[#This Row],[Customer Gender]]="F","Female", orders[[#This Row],[Customer Gender]]="O","Other", TRUE,"Unknown")</f>
        <v>Female</v>
      </c>
      <c r="M1643">
        <v>1</v>
      </c>
      <c r="N1643">
        <v>42.2</v>
      </c>
      <c r="O1643">
        <v>42.2</v>
      </c>
    </row>
    <row r="1644" spans="1:15" x14ac:dyDescent="0.3">
      <c r="A1644" t="s">
        <v>1742</v>
      </c>
      <c r="B1644" t="s">
        <v>38</v>
      </c>
      <c r="C1644" s="7">
        <v>45719</v>
      </c>
      <c r="D1644" s="7">
        <v>45721</v>
      </c>
      <c r="E1644" t="s">
        <v>22</v>
      </c>
      <c r="F1644" t="s">
        <v>34</v>
      </c>
      <c r="G1644">
        <v>3</v>
      </c>
      <c r="H1644" t="s">
        <v>18</v>
      </c>
      <c r="I1644" t="s">
        <v>23</v>
      </c>
      <c r="J1644">
        <f>orders[[#This Row],[Ship Date]]-orders[[#This Row],[Order Date]]</f>
        <v>2</v>
      </c>
      <c r="K1644">
        <f>WEEKNUM(orders[[#This Row],[Order Date]])</f>
        <v>10</v>
      </c>
      <c r="L1644" t="str" cm="1">
        <f t="array" ref="L1644">_xlfn.IFS(orders[[#This Row],[Customer Gender]]="M","Male", orders[[#This Row],[Customer Gender]]="F","Female", orders[[#This Row],[Customer Gender]]="O","Other", TRUE,"Unknown")</f>
        <v>Male</v>
      </c>
      <c r="M1644">
        <v>1</v>
      </c>
      <c r="N1644">
        <v>53.7</v>
      </c>
      <c r="O1644" s="5">
        <v>53.7</v>
      </c>
    </row>
    <row r="1645" spans="1:15" x14ac:dyDescent="0.3">
      <c r="A1645" t="s">
        <v>1743</v>
      </c>
      <c r="B1645" t="s">
        <v>25</v>
      </c>
      <c r="C1645" s="7">
        <v>45719</v>
      </c>
      <c r="D1645" s="7">
        <v>45722</v>
      </c>
      <c r="E1645" t="s">
        <v>22</v>
      </c>
      <c r="F1645" t="s">
        <v>39</v>
      </c>
      <c r="G1645">
        <v>4</v>
      </c>
      <c r="H1645" t="s">
        <v>18</v>
      </c>
      <c r="I1645" t="s">
        <v>23</v>
      </c>
      <c r="J1645">
        <f>orders[[#This Row],[Ship Date]]-orders[[#This Row],[Order Date]]</f>
        <v>3</v>
      </c>
      <c r="K1645">
        <f>WEEKNUM(orders[[#This Row],[Order Date]])</f>
        <v>10</v>
      </c>
      <c r="L1645" t="str" cm="1">
        <f t="array" ref="L1645">_xlfn.IFS(orders[[#This Row],[Customer Gender]]="M","Male", orders[[#This Row],[Customer Gender]]="F","Female", orders[[#This Row],[Customer Gender]]="O","Other", TRUE,"Unknown")</f>
        <v>Male</v>
      </c>
      <c r="M1645">
        <v>2</v>
      </c>
      <c r="N1645">
        <v>123.9</v>
      </c>
      <c r="O1645">
        <v>247.8</v>
      </c>
    </row>
    <row r="1646" spans="1:15" x14ac:dyDescent="0.3">
      <c r="A1646" t="s">
        <v>1744</v>
      </c>
      <c r="B1646" t="s">
        <v>31</v>
      </c>
      <c r="C1646" s="7">
        <v>45719</v>
      </c>
      <c r="D1646" s="7">
        <v>45721</v>
      </c>
      <c r="E1646" t="s">
        <v>22</v>
      </c>
      <c r="F1646" t="s">
        <v>39</v>
      </c>
      <c r="G1646">
        <v>4</v>
      </c>
      <c r="H1646" t="s">
        <v>18</v>
      </c>
      <c r="I1646" t="s">
        <v>146</v>
      </c>
      <c r="J1646">
        <f>orders[[#This Row],[Ship Date]]-orders[[#This Row],[Order Date]]</f>
        <v>2</v>
      </c>
      <c r="K1646">
        <f>WEEKNUM(orders[[#This Row],[Order Date]])</f>
        <v>10</v>
      </c>
      <c r="L1646" t="str" cm="1">
        <f t="array" ref="L1646">_xlfn.IFS(orders[[#This Row],[Customer Gender]]="M","Male", orders[[#This Row],[Customer Gender]]="F","Female", orders[[#This Row],[Customer Gender]]="O","Other", TRUE,"Unknown")</f>
        <v>Male</v>
      </c>
      <c r="M1646">
        <v>3</v>
      </c>
      <c r="N1646">
        <v>35.9</v>
      </c>
      <c r="O1646" s="5">
        <v>107.69999999999999</v>
      </c>
    </row>
    <row r="1647" spans="1:15" x14ac:dyDescent="0.3">
      <c r="A1647" t="s">
        <v>1745</v>
      </c>
      <c r="B1647" t="s">
        <v>31</v>
      </c>
      <c r="C1647" s="7">
        <v>45719</v>
      </c>
      <c r="D1647" s="7">
        <v>45722</v>
      </c>
      <c r="E1647" t="s">
        <v>22</v>
      </c>
      <c r="F1647" t="s">
        <v>17</v>
      </c>
      <c r="G1647">
        <v>5</v>
      </c>
      <c r="H1647" t="s">
        <v>18</v>
      </c>
      <c r="I1647" t="s">
        <v>32</v>
      </c>
      <c r="J1647">
        <f>orders[[#This Row],[Ship Date]]-orders[[#This Row],[Order Date]]</f>
        <v>3</v>
      </c>
      <c r="K1647">
        <f>WEEKNUM(orders[[#This Row],[Order Date]])</f>
        <v>10</v>
      </c>
      <c r="L1647" t="str" cm="1">
        <f t="array" ref="L1647">_xlfn.IFS(orders[[#This Row],[Customer Gender]]="M","Male", orders[[#This Row],[Customer Gender]]="F","Female", orders[[#This Row],[Customer Gender]]="O","Other", TRUE,"Unknown")</f>
        <v>Male</v>
      </c>
      <c r="M1647">
        <v>2</v>
      </c>
      <c r="N1647">
        <v>23.6</v>
      </c>
      <c r="O1647">
        <v>47.2</v>
      </c>
    </row>
    <row r="1648" spans="1:15" x14ac:dyDescent="0.3">
      <c r="A1648" t="s">
        <v>1746</v>
      </c>
      <c r="B1648" t="s">
        <v>122</v>
      </c>
      <c r="C1648" s="7">
        <v>45719</v>
      </c>
      <c r="D1648" s="7">
        <v>45720</v>
      </c>
      <c r="E1648" t="s">
        <v>22</v>
      </c>
      <c r="F1648" t="s">
        <v>17</v>
      </c>
      <c r="G1648">
        <v>3</v>
      </c>
      <c r="H1648" t="s">
        <v>18</v>
      </c>
      <c r="I1648" t="s">
        <v>32</v>
      </c>
      <c r="J1648">
        <f>orders[[#This Row],[Ship Date]]-orders[[#This Row],[Order Date]]</f>
        <v>1</v>
      </c>
      <c r="K1648">
        <f>WEEKNUM(orders[[#This Row],[Order Date]])</f>
        <v>10</v>
      </c>
      <c r="L1648" t="str" cm="1">
        <f t="array" ref="L1648">_xlfn.IFS(orders[[#This Row],[Customer Gender]]="M","Male", orders[[#This Row],[Customer Gender]]="F","Female", orders[[#This Row],[Customer Gender]]="O","Other", TRUE,"Unknown")</f>
        <v>Male</v>
      </c>
      <c r="M1648">
        <v>35</v>
      </c>
      <c r="N1648">
        <v>45.7</v>
      </c>
      <c r="O1648" s="5">
        <v>1599.5</v>
      </c>
    </row>
    <row r="1649" spans="1:15" x14ac:dyDescent="0.3">
      <c r="A1649" t="s">
        <v>1747</v>
      </c>
      <c r="B1649" t="s">
        <v>38</v>
      </c>
      <c r="C1649" s="7">
        <v>45719</v>
      </c>
      <c r="D1649" s="7">
        <v>45721</v>
      </c>
      <c r="E1649" t="s">
        <v>22</v>
      </c>
      <c r="F1649" t="s">
        <v>69</v>
      </c>
      <c r="G1649">
        <v>5</v>
      </c>
      <c r="H1649" t="s">
        <v>18</v>
      </c>
      <c r="I1649" t="s">
        <v>32</v>
      </c>
      <c r="J1649">
        <f>orders[[#This Row],[Ship Date]]-orders[[#This Row],[Order Date]]</f>
        <v>2</v>
      </c>
      <c r="K1649">
        <f>WEEKNUM(orders[[#This Row],[Order Date]])</f>
        <v>10</v>
      </c>
      <c r="L1649" t="str" cm="1">
        <f t="array" ref="L1649">_xlfn.IFS(orders[[#This Row],[Customer Gender]]="M","Male", orders[[#This Row],[Customer Gender]]="F","Female", orders[[#This Row],[Customer Gender]]="O","Other", TRUE,"Unknown")</f>
        <v>Male</v>
      </c>
      <c r="M1649">
        <v>11</v>
      </c>
      <c r="N1649">
        <v>118.3</v>
      </c>
      <c r="O1649">
        <v>1301.3</v>
      </c>
    </row>
    <row r="1650" spans="1:15" x14ac:dyDescent="0.3">
      <c r="A1650" t="s">
        <v>1748</v>
      </c>
      <c r="B1650" t="s">
        <v>170</v>
      </c>
      <c r="C1650" s="7">
        <v>45719</v>
      </c>
      <c r="D1650" s="7">
        <v>45720</v>
      </c>
      <c r="E1650" t="s">
        <v>26</v>
      </c>
      <c r="F1650" t="s">
        <v>17</v>
      </c>
      <c r="G1650">
        <v>3</v>
      </c>
      <c r="H1650" t="s">
        <v>18</v>
      </c>
      <c r="I1650" t="s">
        <v>32</v>
      </c>
      <c r="J1650">
        <f>orders[[#This Row],[Ship Date]]-orders[[#This Row],[Order Date]]</f>
        <v>1</v>
      </c>
      <c r="K1650">
        <f>WEEKNUM(orders[[#This Row],[Order Date]])</f>
        <v>10</v>
      </c>
      <c r="L1650" t="str" cm="1">
        <f t="array" ref="L1650">_xlfn.IFS(orders[[#This Row],[Customer Gender]]="M","Male", orders[[#This Row],[Customer Gender]]="F","Female", orders[[#This Row],[Customer Gender]]="O","Other", TRUE,"Unknown")</f>
        <v>Female</v>
      </c>
      <c r="M1650">
        <v>1</v>
      </c>
      <c r="N1650">
        <v>36</v>
      </c>
      <c r="O1650" s="5">
        <v>36</v>
      </c>
    </row>
    <row r="1651" spans="1:15" x14ac:dyDescent="0.3">
      <c r="A1651" t="s">
        <v>1749</v>
      </c>
      <c r="B1651" t="s">
        <v>43</v>
      </c>
      <c r="C1651" s="7">
        <v>45719</v>
      </c>
      <c r="D1651" s="7">
        <v>45722</v>
      </c>
      <c r="E1651" t="s">
        <v>26</v>
      </c>
      <c r="F1651" t="s">
        <v>39</v>
      </c>
      <c r="G1651">
        <v>4</v>
      </c>
      <c r="H1651" t="s">
        <v>18</v>
      </c>
      <c r="I1651" t="s">
        <v>32</v>
      </c>
      <c r="J1651">
        <f>orders[[#This Row],[Ship Date]]-orders[[#This Row],[Order Date]]</f>
        <v>3</v>
      </c>
      <c r="K1651">
        <f>WEEKNUM(orders[[#This Row],[Order Date]])</f>
        <v>10</v>
      </c>
      <c r="L1651" t="str" cm="1">
        <f t="array" ref="L1651">_xlfn.IFS(orders[[#This Row],[Customer Gender]]="M","Male", orders[[#This Row],[Customer Gender]]="F","Female", orders[[#This Row],[Customer Gender]]="O","Other", TRUE,"Unknown")</f>
        <v>Female</v>
      </c>
      <c r="M1651">
        <v>2</v>
      </c>
      <c r="N1651">
        <v>37.1</v>
      </c>
      <c r="O1651">
        <v>74.2</v>
      </c>
    </row>
    <row r="1652" spans="1:15" x14ac:dyDescent="0.3">
      <c r="A1652" t="s">
        <v>1750</v>
      </c>
      <c r="B1652" t="s">
        <v>145</v>
      </c>
      <c r="C1652" s="7">
        <v>45719</v>
      </c>
      <c r="D1652" s="7">
        <v>45721</v>
      </c>
      <c r="E1652" t="s">
        <v>26</v>
      </c>
      <c r="F1652" t="s">
        <v>34</v>
      </c>
      <c r="G1652">
        <v>5</v>
      </c>
      <c r="H1652" t="s">
        <v>18</v>
      </c>
      <c r="I1652" t="s">
        <v>32</v>
      </c>
      <c r="J1652">
        <f>orders[[#This Row],[Ship Date]]-orders[[#This Row],[Order Date]]</f>
        <v>2</v>
      </c>
      <c r="K1652">
        <f>WEEKNUM(orders[[#This Row],[Order Date]])</f>
        <v>10</v>
      </c>
      <c r="L1652" t="str" cm="1">
        <f t="array" ref="L1652">_xlfn.IFS(orders[[#This Row],[Customer Gender]]="M","Male", orders[[#This Row],[Customer Gender]]="F","Female", orders[[#This Row],[Customer Gender]]="O","Other", TRUE,"Unknown")</f>
        <v>Female</v>
      </c>
      <c r="M1652">
        <v>3</v>
      </c>
      <c r="N1652">
        <v>45.1</v>
      </c>
      <c r="O1652" s="5">
        <v>135.30000000000001</v>
      </c>
    </row>
    <row r="1653" spans="1:15" x14ac:dyDescent="0.3">
      <c r="A1653" t="s">
        <v>1751</v>
      </c>
      <c r="B1653" t="s">
        <v>36</v>
      </c>
      <c r="C1653" s="7">
        <v>45719</v>
      </c>
      <c r="D1653" s="7">
        <v>45720</v>
      </c>
      <c r="E1653" t="s">
        <v>26</v>
      </c>
      <c r="F1653" t="s">
        <v>50</v>
      </c>
      <c r="G1653">
        <v>5</v>
      </c>
      <c r="H1653" t="s">
        <v>18</v>
      </c>
      <c r="I1653" t="s">
        <v>32</v>
      </c>
      <c r="J1653">
        <f>orders[[#This Row],[Ship Date]]-orders[[#This Row],[Order Date]]</f>
        <v>1</v>
      </c>
      <c r="K1653">
        <f>WEEKNUM(orders[[#This Row],[Order Date]])</f>
        <v>10</v>
      </c>
      <c r="L1653" t="str" cm="1">
        <f t="array" ref="L1653">_xlfn.IFS(orders[[#This Row],[Customer Gender]]="M","Male", orders[[#This Row],[Customer Gender]]="F","Female", orders[[#This Row],[Customer Gender]]="O","Other", TRUE,"Unknown")</f>
        <v>Female</v>
      </c>
      <c r="M1653">
        <v>16</v>
      </c>
      <c r="N1653">
        <v>37.9</v>
      </c>
      <c r="O1653">
        <v>606.4</v>
      </c>
    </row>
    <row r="1654" spans="1:15" x14ac:dyDescent="0.3">
      <c r="A1654" t="s">
        <v>1752</v>
      </c>
      <c r="B1654" t="s">
        <v>25</v>
      </c>
      <c r="C1654" s="7">
        <v>45719</v>
      </c>
      <c r="D1654" s="7">
        <v>45722</v>
      </c>
      <c r="E1654" t="s">
        <v>22</v>
      </c>
      <c r="F1654" t="s">
        <v>50</v>
      </c>
      <c r="G1654">
        <v>5</v>
      </c>
      <c r="H1654" t="s">
        <v>18</v>
      </c>
      <c r="I1654" t="s">
        <v>32</v>
      </c>
      <c r="J1654">
        <f>orders[[#This Row],[Ship Date]]-orders[[#This Row],[Order Date]]</f>
        <v>3</v>
      </c>
      <c r="K1654">
        <f>WEEKNUM(orders[[#This Row],[Order Date]])</f>
        <v>10</v>
      </c>
      <c r="L1654" t="str" cm="1">
        <f t="array" ref="L1654">_xlfn.IFS(orders[[#This Row],[Customer Gender]]="M","Male", orders[[#This Row],[Customer Gender]]="F","Female", orders[[#This Row],[Customer Gender]]="O","Other", TRUE,"Unknown")</f>
        <v>Male</v>
      </c>
      <c r="M1654">
        <v>2</v>
      </c>
      <c r="N1654">
        <v>121.6</v>
      </c>
      <c r="O1654" s="5">
        <v>243.2</v>
      </c>
    </row>
    <row r="1655" spans="1:15" x14ac:dyDescent="0.3">
      <c r="A1655" t="s">
        <v>1753</v>
      </c>
      <c r="B1655" t="s">
        <v>36</v>
      </c>
      <c r="C1655" s="7">
        <v>45719</v>
      </c>
      <c r="D1655" s="7">
        <v>45722</v>
      </c>
      <c r="E1655" t="s">
        <v>26</v>
      </c>
      <c r="F1655" t="s">
        <v>17</v>
      </c>
      <c r="G1655">
        <v>4</v>
      </c>
      <c r="H1655" t="s">
        <v>18</v>
      </c>
      <c r="I1655" t="s">
        <v>32</v>
      </c>
      <c r="J1655">
        <f>orders[[#This Row],[Ship Date]]-orders[[#This Row],[Order Date]]</f>
        <v>3</v>
      </c>
      <c r="K1655">
        <f>WEEKNUM(orders[[#This Row],[Order Date]])</f>
        <v>10</v>
      </c>
      <c r="L1655" t="str" cm="1">
        <f t="array" ref="L1655">_xlfn.IFS(orders[[#This Row],[Customer Gender]]="M","Male", orders[[#This Row],[Customer Gender]]="F","Female", orders[[#This Row],[Customer Gender]]="O","Other", TRUE,"Unknown")</f>
        <v>Female</v>
      </c>
      <c r="M1655">
        <v>7</v>
      </c>
      <c r="N1655">
        <v>38.200000000000003</v>
      </c>
      <c r="O1655">
        <v>267.40000000000003</v>
      </c>
    </row>
    <row r="1656" spans="1:15" x14ac:dyDescent="0.3">
      <c r="A1656" t="s">
        <v>1754</v>
      </c>
      <c r="B1656" t="s">
        <v>134</v>
      </c>
      <c r="C1656" s="7">
        <v>45719</v>
      </c>
      <c r="D1656" s="7">
        <v>45722</v>
      </c>
      <c r="E1656" t="s">
        <v>22</v>
      </c>
      <c r="F1656" t="s">
        <v>69</v>
      </c>
      <c r="G1656">
        <v>4</v>
      </c>
      <c r="H1656" t="s">
        <v>18</v>
      </c>
      <c r="I1656" t="s">
        <v>32</v>
      </c>
      <c r="J1656">
        <f>orders[[#This Row],[Ship Date]]-orders[[#This Row],[Order Date]]</f>
        <v>3</v>
      </c>
      <c r="K1656">
        <f>WEEKNUM(orders[[#This Row],[Order Date]])</f>
        <v>10</v>
      </c>
      <c r="L1656" t="str" cm="1">
        <f t="array" ref="L1656">_xlfn.IFS(orders[[#This Row],[Customer Gender]]="M","Male", orders[[#This Row],[Customer Gender]]="F","Female", orders[[#This Row],[Customer Gender]]="O","Other", TRUE,"Unknown")</f>
        <v>Male</v>
      </c>
      <c r="M1656">
        <v>2</v>
      </c>
      <c r="N1656">
        <v>37.200000000000003</v>
      </c>
      <c r="O1656" s="5">
        <v>74.400000000000006</v>
      </c>
    </row>
    <row r="1657" spans="1:15" x14ac:dyDescent="0.3">
      <c r="A1657" t="s">
        <v>1755</v>
      </c>
      <c r="B1657" t="s">
        <v>25</v>
      </c>
      <c r="C1657" s="7">
        <v>45719</v>
      </c>
      <c r="D1657" s="7">
        <v>45722</v>
      </c>
      <c r="E1657" t="s">
        <v>26</v>
      </c>
      <c r="F1657" t="s">
        <v>34</v>
      </c>
      <c r="G1657">
        <v>4</v>
      </c>
      <c r="H1657" t="s">
        <v>18</v>
      </c>
      <c r="I1657" t="s">
        <v>32</v>
      </c>
      <c r="J1657">
        <f>orders[[#This Row],[Ship Date]]-orders[[#This Row],[Order Date]]</f>
        <v>3</v>
      </c>
      <c r="K1657">
        <f>WEEKNUM(orders[[#This Row],[Order Date]])</f>
        <v>10</v>
      </c>
      <c r="L1657" t="str" cm="1">
        <f t="array" ref="L1657">_xlfn.IFS(orders[[#This Row],[Customer Gender]]="M","Male", orders[[#This Row],[Customer Gender]]="F","Female", orders[[#This Row],[Customer Gender]]="O","Other", TRUE,"Unknown")</f>
        <v>Female</v>
      </c>
      <c r="M1657">
        <v>4</v>
      </c>
      <c r="N1657">
        <v>115.7</v>
      </c>
      <c r="O1657">
        <v>462.8</v>
      </c>
    </row>
    <row r="1658" spans="1:15" x14ac:dyDescent="0.3">
      <c r="A1658" t="s">
        <v>1756</v>
      </c>
      <c r="B1658" t="s">
        <v>25</v>
      </c>
      <c r="C1658" s="7">
        <v>45719</v>
      </c>
      <c r="D1658" s="7">
        <v>45722</v>
      </c>
      <c r="E1658" t="s">
        <v>22</v>
      </c>
      <c r="F1658" t="s">
        <v>17</v>
      </c>
      <c r="G1658">
        <v>5</v>
      </c>
      <c r="H1658" t="s">
        <v>18</v>
      </c>
      <c r="I1658" t="s">
        <v>32</v>
      </c>
      <c r="J1658">
        <f>orders[[#This Row],[Ship Date]]-orders[[#This Row],[Order Date]]</f>
        <v>3</v>
      </c>
      <c r="K1658">
        <f>WEEKNUM(orders[[#This Row],[Order Date]])</f>
        <v>10</v>
      </c>
      <c r="L1658" t="str" cm="1">
        <f t="array" ref="L1658">_xlfn.IFS(orders[[#This Row],[Customer Gender]]="M","Male", orders[[#This Row],[Customer Gender]]="F","Female", orders[[#This Row],[Customer Gender]]="O","Other", TRUE,"Unknown")</f>
        <v>Male</v>
      </c>
      <c r="M1658">
        <v>6</v>
      </c>
      <c r="N1658">
        <v>99.4</v>
      </c>
      <c r="O1658" s="5">
        <v>596.40000000000009</v>
      </c>
    </row>
    <row r="1659" spans="1:15" x14ac:dyDescent="0.3">
      <c r="A1659" t="s">
        <v>1757</v>
      </c>
      <c r="B1659" t="s">
        <v>66</v>
      </c>
      <c r="C1659" s="7">
        <v>45719</v>
      </c>
      <c r="D1659" s="7">
        <v>45720</v>
      </c>
      <c r="E1659" t="s">
        <v>26</v>
      </c>
      <c r="F1659" t="s">
        <v>39</v>
      </c>
      <c r="G1659">
        <v>4</v>
      </c>
      <c r="H1659" t="s">
        <v>18</v>
      </c>
      <c r="I1659" t="s">
        <v>187</v>
      </c>
      <c r="J1659">
        <f>orders[[#This Row],[Ship Date]]-orders[[#This Row],[Order Date]]</f>
        <v>1</v>
      </c>
      <c r="K1659">
        <f>WEEKNUM(orders[[#This Row],[Order Date]])</f>
        <v>10</v>
      </c>
      <c r="L1659" t="str" cm="1">
        <f t="array" ref="L1659">_xlfn.IFS(orders[[#This Row],[Customer Gender]]="M","Male", orders[[#This Row],[Customer Gender]]="F","Female", orders[[#This Row],[Customer Gender]]="O","Other", TRUE,"Unknown")</f>
        <v>Female</v>
      </c>
      <c r="M1659">
        <v>1</v>
      </c>
      <c r="N1659">
        <v>38.700000000000003</v>
      </c>
      <c r="O1659">
        <v>38.700000000000003</v>
      </c>
    </row>
    <row r="1660" spans="1:15" x14ac:dyDescent="0.3">
      <c r="A1660" t="s">
        <v>1758</v>
      </c>
      <c r="B1660" t="s">
        <v>31</v>
      </c>
      <c r="C1660" s="7">
        <v>45719</v>
      </c>
      <c r="D1660" s="7">
        <v>45722</v>
      </c>
      <c r="E1660" t="s">
        <v>22</v>
      </c>
      <c r="F1660" t="s">
        <v>17</v>
      </c>
      <c r="G1660">
        <v>5</v>
      </c>
      <c r="H1660" t="s">
        <v>18</v>
      </c>
      <c r="I1660" t="s">
        <v>187</v>
      </c>
      <c r="J1660">
        <f>orders[[#This Row],[Ship Date]]-orders[[#This Row],[Order Date]]</f>
        <v>3</v>
      </c>
      <c r="K1660">
        <f>WEEKNUM(orders[[#This Row],[Order Date]])</f>
        <v>10</v>
      </c>
      <c r="L1660" t="str" cm="1">
        <f t="array" ref="L1660">_xlfn.IFS(orders[[#This Row],[Customer Gender]]="M","Male", orders[[#This Row],[Customer Gender]]="F","Female", orders[[#This Row],[Customer Gender]]="O","Other", TRUE,"Unknown")</f>
        <v>Male</v>
      </c>
      <c r="M1660">
        <v>2</v>
      </c>
      <c r="N1660">
        <v>35.5</v>
      </c>
      <c r="O1660" s="5">
        <v>71</v>
      </c>
    </row>
    <row r="1661" spans="1:15" x14ac:dyDescent="0.3">
      <c r="A1661" t="s">
        <v>1759</v>
      </c>
      <c r="B1661" t="s">
        <v>25</v>
      </c>
      <c r="C1661" s="7">
        <v>45719</v>
      </c>
      <c r="D1661" s="7">
        <v>45722</v>
      </c>
      <c r="E1661" t="s">
        <v>26</v>
      </c>
      <c r="F1661" t="s">
        <v>17</v>
      </c>
      <c r="G1661">
        <v>5</v>
      </c>
      <c r="H1661" t="s">
        <v>18</v>
      </c>
      <c r="I1661" t="s">
        <v>54</v>
      </c>
      <c r="J1661">
        <f>orders[[#This Row],[Ship Date]]-orders[[#This Row],[Order Date]]</f>
        <v>3</v>
      </c>
      <c r="K1661">
        <f>WEEKNUM(orders[[#This Row],[Order Date]])</f>
        <v>10</v>
      </c>
      <c r="L1661" t="str" cm="1">
        <f t="array" ref="L1661">_xlfn.IFS(orders[[#This Row],[Customer Gender]]="M","Male", orders[[#This Row],[Customer Gender]]="F","Female", orders[[#This Row],[Customer Gender]]="O","Other", TRUE,"Unknown")</f>
        <v>Female</v>
      </c>
      <c r="M1661">
        <v>4</v>
      </c>
      <c r="N1661">
        <v>93.3</v>
      </c>
      <c r="O1661">
        <v>373.2</v>
      </c>
    </row>
    <row r="1662" spans="1:15" x14ac:dyDescent="0.3">
      <c r="A1662" t="s">
        <v>1760</v>
      </c>
      <c r="B1662" t="s">
        <v>127</v>
      </c>
      <c r="C1662" s="7">
        <v>45719</v>
      </c>
      <c r="D1662" s="7">
        <v>45724</v>
      </c>
      <c r="E1662" t="s">
        <v>26</v>
      </c>
      <c r="F1662" t="s">
        <v>39</v>
      </c>
      <c r="G1662">
        <v>5</v>
      </c>
      <c r="H1662" t="s">
        <v>18</v>
      </c>
      <c r="I1662" t="s">
        <v>54</v>
      </c>
      <c r="J1662">
        <f>orders[[#This Row],[Ship Date]]-orders[[#This Row],[Order Date]]</f>
        <v>5</v>
      </c>
      <c r="K1662">
        <f>WEEKNUM(orders[[#This Row],[Order Date]])</f>
        <v>10</v>
      </c>
      <c r="L1662" t="str" cm="1">
        <f t="array" ref="L1662">_xlfn.IFS(orders[[#This Row],[Customer Gender]]="M","Male", orders[[#This Row],[Customer Gender]]="F","Female", orders[[#This Row],[Customer Gender]]="O","Other", TRUE,"Unknown")</f>
        <v>Female</v>
      </c>
      <c r="M1662">
        <v>1</v>
      </c>
      <c r="N1662">
        <v>31.4</v>
      </c>
      <c r="O1662" s="5">
        <v>31.4</v>
      </c>
    </row>
    <row r="1663" spans="1:15" x14ac:dyDescent="0.3">
      <c r="A1663" t="s">
        <v>1761</v>
      </c>
      <c r="B1663" t="s">
        <v>21</v>
      </c>
      <c r="C1663" s="7">
        <v>45719</v>
      </c>
      <c r="D1663" s="7">
        <v>45722</v>
      </c>
      <c r="E1663" t="s">
        <v>22</v>
      </c>
      <c r="F1663" t="s">
        <v>34</v>
      </c>
      <c r="G1663">
        <v>4</v>
      </c>
      <c r="H1663" t="s">
        <v>18</v>
      </c>
      <c r="I1663" t="s">
        <v>54</v>
      </c>
      <c r="J1663">
        <f>orders[[#This Row],[Ship Date]]-orders[[#This Row],[Order Date]]</f>
        <v>3</v>
      </c>
      <c r="K1663">
        <f>WEEKNUM(orders[[#This Row],[Order Date]])</f>
        <v>10</v>
      </c>
      <c r="L1663" t="str" cm="1">
        <f t="array" ref="L1663">_xlfn.IFS(orders[[#This Row],[Customer Gender]]="M","Male", orders[[#This Row],[Customer Gender]]="F","Female", orders[[#This Row],[Customer Gender]]="O","Other", TRUE,"Unknown")</f>
        <v>Male</v>
      </c>
      <c r="M1663">
        <v>1</v>
      </c>
      <c r="N1663">
        <v>85.9</v>
      </c>
      <c r="O1663">
        <v>85.9</v>
      </c>
    </row>
    <row r="1664" spans="1:15" x14ac:dyDescent="0.3">
      <c r="A1664" t="s">
        <v>1762</v>
      </c>
      <c r="B1664" t="s">
        <v>38</v>
      </c>
      <c r="C1664" s="7">
        <v>45719</v>
      </c>
      <c r="D1664" s="7">
        <v>45727</v>
      </c>
      <c r="E1664" t="s">
        <v>22</v>
      </c>
      <c r="F1664" t="s">
        <v>17</v>
      </c>
      <c r="G1664">
        <v>5</v>
      </c>
      <c r="H1664" t="s">
        <v>18</v>
      </c>
      <c r="I1664" t="s">
        <v>58</v>
      </c>
      <c r="J1664">
        <f>orders[[#This Row],[Ship Date]]-orders[[#This Row],[Order Date]]</f>
        <v>8</v>
      </c>
      <c r="K1664">
        <f>WEEKNUM(orders[[#This Row],[Order Date]])</f>
        <v>10</v>
      </c>
      <c r="L1664" t="str" cm="1">
        <f t="array" ref="L1664">_xlfn.IFS(orders[[#This Row],[Customer Gender]]="M","Male", orders[[#This Row],[Customer Gender]]="F","Female", orders[[#This Row],[Customer Gender]]="O","Other", TRUE,"Unknown")</f>
        <v>Male</v>
      </c>
      <c r="M1664">
        <v>8</v>
      </c>
      <c r="N1664">
        <v>41.7</v>
      </c>
      <c r="O1664" s="5">
        <v>333.6</v>
      </c>
    </row>
    <row r="1665" spans="1:15" x14ac:dyDescent="0.3">
      <c r="A1665" t="s">
        <v>1763</v>
      </c>
      <c r="B1665" t="s">
        <v>43</v>
      </c>
      <c r="C1665" s="7">
        <v>45719</v>
      </c>
      <c r="D1665" s="7">
        <v>45720</v>
      </c>
      <c r="E1665" t="s">
        <v>26</v>
      </c>
      <c r="F1665" t="s">
        <v>17</v>
      </c>
      <c r="G1665">
        <v>4</v>
      </c>
      <c r="H1665" t="s">
        <v>18</v>
      </c>
      <c r="I1665" t="s">
        <v>58</v>
      </c>
      <c r="J1665">
        <f>orders[[#This Row],[Ship Date]]-orders[[#This Row],[Order Date]]</f>
        <v>1</v>
      </c>
      <c r="K1665">
        <f>WEEKNUM(orders[[#This Row],[Order Date]])</f>
        <v>10</v>
      </c>
      <c r="L1665" t="str" cm="1">
        <f t="array" ref="L1665">_xlfn.IFS(orders[[#This Row],[Customer Gender]]="M","Male", orders[[#This Row],[Customer Gender]]="F","Female", orders[[#This Row],[Customer Gender]]="O","Other", TRUE,"Unknown")</f>
        <v>Female</v>
      </c>
      <c r="M1665">
        <v>4</v>
      </c>
      <c r="N1665">
        <v>31.5</v>
      </c>
      <c r="O1665">
        <v>126</v>
      </c>
    </row>
    <row r="1666" spans="1:15" x14ac:dyDescent="0.3">
      <c r="A1666" t="s">
        <v>1764</v>
      </c>
      <c r="B1666" t="s">
        <v>43</v>
      </c>
      <c r="C1666" s="7">
        <v>45719</v>
      </c>
      <c r="D1666" s="7">
        <v>45720</v>
      </c>
      <c r="E1666" t="s">
        <v>26</v>
      </c>
      <c r="F1666" t="s">
        <v>17</v>
      </c>
      <c r="G1666">
        <v>2</v>
      </c>
      <c r="H1666" t="s">
        <v>18</v>
      </c>
      <c r="I1666" t="s">
        <v>61</v>
      </c>
      <c r="J1666">
        <f>orders[[#This Row],[Ship Date]]-orders[[#This Row],[Order Date]]</f>
        <v>1</v>
      </c>
      <c r="K1666">
        <f>WEEKNUM(orders[[#This Row],[Order Date]])</f>
        <v>10</v>
      </c>
      <c r="L1666" t="str" cm="1">
        <f t="array" ref="L1666">_xlfn.IFS(orders[[#This Row],[Customer Gender]]="M","Male", orders[[#This Row],[Customer Gender]]="F","Female", orders[[#This Row],[Customer Gender]]="O","Other", TRUE,"Unknown")</f>
        <v>Female</v>
      </c>
      <c r="M1666">
        <v>2</v>
      </c>
      <c r="N1666">
        <v>36.299999999999997</v>
      </c>
      <c r="O1666" s="5">
        <v>72.599999999999994</v>
      </c>
    </row>
    <row r="1667" spans="1:15" x14ac:dyDescent="0.3">
      <c r="A1667" t="s">
        <v>1765</v>
      </c>
      <c r="B1667" t="s">
        <v>43</v>
      </c>
      <c r="C1667" s="7">
        <v>45719</v>
      </c>
      <c r="D1667" s="7">
        <v>45720</v>
      </c>
      <c r="E1667" t="s">
        <v>26</v>
      </c>
      <c r="F1667" t="s">
        <v>50</v>
      </c>
      <c r="G1667">
        <v>4</v>
      </c>
      <c r="H1667" t="s">
        <v>18</v>
      </c>
      <c r="I1667" t="s">
        <v>102</v>
      </c>
      <c r="J1667">
        <f>orders[[#This Row],[Ship Date]]-orders[[#This Row],[Order Date]]</f>
        <v>1</v>
      </c>
      <c r="K1667">
        <f>WEEKNUM(orders[[#This Row],[Order Date]])</f>
        <v>10</v>
      </c>
      <c r="L1667" t="str" cm="1">
        <f t="array" ref="L1667">_xlfn.IFS(orders[[#This Row],[Customer Gender]]="M","Male", orders[[#This Row],[Customer Gender]]="F","Female", orders[[#This Row],[Customer Gender]]="O","Other", TRUE,"Unknown")</f>
        <v>Female</v>
      </c>
      <c r="M1667">
        <v>3</v>
      </c>
      <c r="N1667">
        <v>33.4</v>
      </c>
      <c r="O1667">
        <v>100.19999999999999</v>
      </c>
    </row>
    <row r="1668" spans="1:15" x14ac:dyDescent="0.3">
      <c r="A1668" t="s">
        <v>1766</v>
      </c>
      <c r="B1668" t="s">
        <v>25</v>
      </c>
      <c r="C1668" s="7">
        <v>45719</v>
      </c>
      <c r="D1668" s="7">
        <v>45720</v>
      </c>
      <c r="E1668" t="s">
        <v>26</v>
      </c>
      <c r="F1668" t="s">
        <v>39</v>
      </c>
      <c r="G1668">
        <v>5</v>
      </c>
      <c r="H1668" t="s">
        <v>18</v>
      </c>
      <c r="I1668" t="s">
        <v>200</v>
      </c>
      <c r="J1668">
        <f>orders[[#This Row],[Ship Date]]-orders[[#This Row],[Order Date]]</f>
        <v>1</v>
      </c>
      <c r="K1668">
        <f>WEEKNUM(orders[[#This Row],[Order Date]])</f>
        <v>10</v>
      </c>
      <c r="L1668" t="str" cm="1">
        <f t="array" ref="L1668">_xlfn.IFS(orders[[#This Row],[Customer Gender]]="M","Male", orders[[#This Row],[Customer Gender]]="F","Female", orders[[#This Row],[Customer Gender]]="O","Other", TRUE,"Unknown")</f>
        <v>Female</v>
      </c>
      <c r="M1668">
        <v>3</v>
      </c>
      <c r="N1668">
        <v>65.2</v>
      </c>
      <c r="O1668" s="5">
        <v>195.60000000000002</v>
      </c>
    </row>
    <row r="1669" spans="1:15" x14ac:dyDescent="0.3">
      <c r="A1669" t="s">
        <v>1767</v>
      </c>
      <c r="B1669" t="s">
        <v>43</v>
      </c>
      <c r="C1669" s="7">
        <v>45719</v>
      </c>
      <c r="D1669" s="7">
        <v>45722</v>
      </c>
      <c r="E1669" t="s">
        <v>26</v>
      </c>
      <c r="F1669" t="s">
        <v>17</v>
      </c>
      <c r="G1669">
        <v>5</v>
      </c>
      <c r="H1669" t="s">
        <v>18</v>
      </c>
      <c r="I1669" t="s">
        <v>71</v>
      </c>
      <c r="J1669">
        <f>orders[[#This Row],[Ship Date]]-orders[[#This Row],[Order Date]]</f>
        <v>3</v>
      </c>
      <c r="K1669">
        <f>WEEKNUM(orders[[#This Row],[Order Date]])</f>
        <v>10</v>
      </c>
      <c r="L1669" t="str" cm="1">
        <f t="array" ref="L1669">_xlfn.IFS(orders[[#This Row],[Customer Gender]]="M","Male", orders[[#This Row],[Customer Gender]]="F","Female", orders[[#This Row],[Customer Gender]]="O","Other", TRUE,"Unknown")</f>
        <v>Female</v>
      </c>
      <c r="M1669">
        <v>9</v>
      </c>
      <c r="N1669">
        <v>65.5</v>
      </c>
      <c r="O1669">
        <v>589.5</v>
      </c>
    </row>
    <row r="1670" spans="1:15" x14ac:dyDescent="0.3">
      <c r="A1670" t="s">
        <v>1768</v>
      </c>
      <c r="B1670" t="s">
        <v>38</v>
      </c>
      <c r="C1670" s="7">
        <v>45719</v>
      </c>
      <c r="D1670" s="7">
        <v>45722</v>
      </c>
      <c r="E1670" t="s">
        <v>22</v>
      </c>
      <c r="F1670" t="s">
        <v>39</v>
      </c>
      <c r="G1670">
        <v>4</v>
      </c>
      <c r="H1670" t="s">
        <v>18</v>
      </c>
      <c r="I1670" t="s">
        <v>71</v>
      </c>
      <c r="J1670">
        <f>orders[[#This Row],[Ship Date]]-orders[[#This Row],[Order Date]]</f>
        <v>3</v>
      </c>
      <c r="K1670">
        <f>WEEKNUM(orders[[#This Row],[Order Date]])</f>
        <v>10</v>
      </c>
      <c r="L1670" t="str" cm="1">
        <f t="array" ref="L1670">_xlfn.IFS(orders[[#This Row],[Customer Gender]]="M","Male", orders[[#This Row],[Customer Gender]]="F","Female", orders[[#This Row],[Customer Gender]]="O","Other", TRUE,"Unknown")</f>
        <v>Male</v>
      </c>
      <c r="M1670">
        <v>3</v>
      </c>
      <c r="N1670">
        <v>52.8</v>
      </c>
      <c r="O1670" s="5">
        <v>158.39999999999998</v>
      </c>
    </row>
    <row r="1671" spans="1:15" x14ac:dyDescent="0.3">
      <c r="A1671" t="s">
        <v>1769</v>
      </c>
      <c r="B1671" t="s">
        <v>45</v>
      </c>
      <c r="C1671" s="7">
        <v>45719</v>
      </c>
      <c r="D1671" s="7">
        <v>45723</v>
      </c>
      <c r="E1671" t="s">
        <v>22</v>
      </c>
      <c r="F1671" t="s">
        <v>17</v>
      </c>
      <c r="G1671">
        <v>3</v>
      </c>
      <c r="H1671" t="s">
        <v>18</v>
      </c>
      <c r="I1671" t="s">
        <v>76</v>
      </c>
      <c r="J1671">
        <f>orders[[#This Row],[Ship Date]]-orders[[#This Row],[Order Date]]</f>
        <v>4</v>
      </c>
      <c r="K1671">
        <f>WEEKNUM(orders[[#This Row],[Order Date]])</f>
        <v>10</v>
      </c>
      <c r="L1671" t="str" cm="1">
        <f t="array" ref="L1671">_xlfn.IFS(orders[[#This Row],[Customer Gender]]="M","Male", orders[[#This Row],[Customer Gender]]="F","Female", orders[[#This Row],[Customer Gender]]="O","Other", TRUE,"Unknown")</f>
        <v>Male</v>
      </c>
      <c r="M1671">
        <v>5</v>
      </c>
      <c r="N1671">
        <v>24</v>
      </c>
      <c r="O1671">
        <v>120</v>
      </c>
    </row>
    <row r="1672" spans="1:15" x14ac:dyDescent="0.3">
      <c r="A1672" t="s">
        <v>1770</v>
      </c>
      <c r="B1672" t="s">
        <v>29</v>
      </c>
      <c r="C1672" s="7">
        <v>45719</v>
      </c>
      <c r="D1672" s="7">
        <v>45720</v>
      </c>
      <c r="E1672" t="s">
        <v>26</v>
      </c>
      <c r="F1672" t="s">
        <v>17</v>
      </c>
      <c r="G1672">
        <v>4</v>
      </c>
      <c r="H1672" t="s">
        <v>18</v>
      </c>
      <c r="I1672" t="s">
        <v>308</v>
      </c>
      <c r="J1672">
        <f>orders[[#This Row],[Ship Date]]-orders[[#This Row],[Order Date]]</f>
        <v>1</v>
      </c>
      <c r="K1672">
        <f>WEEKNUM(orders[[#This Row],[Order Date]])</f>
        <v>10</v>
      </c>
      <c r="L1672" t="str" cm="1">
        <f t="array" ref="L1672">_xlfn.IFS(orders[[#This Row],[Customer Gender]]="M","Male", orders[[#This Row],[Customer Gender]]="F","Female", orders[[#This Row],[Customer Gender]]="O","Other", TRUE,"Unknown")</f>
        <v>Female</v>
      </c>
      <c r="M1672">
        <v>3</v>
      </c>
      <c r="N1672">
        <v>51.2</v>
      </c>
      <c r="O1672" s="5">
        <v>153.60000000000002</v>
      </c>
    </row>
    <row r="1673" spans="1:15" x14ac:dyDescent="0.3">
      <c r="A1673" t="s">
        <v>1771</v>
      </c>
      <c r="B1673" t="s">
        <v>36</v>
      </c>
      <c r="C1673" s="7">
        <v>45719</v>
      </c>
      <c r="D1673" s="7">
        <v>45721</v>
      </c>
      <c r="E1673" t="s">
        <v>22</v>
      </c>
      <c r="F1673" t="s">
        <v>69</v>
      </c>
      <c r="G1673">
        <v>4</v>
      </c>
      <c r="H1673" t="s">
        <v>18</v>
      </c>
      <c r="I1673" t="s">
        <v>109</v>
      </c>
      <c r="J1673">
        <f>orders[[#This Row],[Ship Date]]-orders[[#This Row],[Order Date]]</f>
        <v>2</v>
      </c>
      <c r="K1673">
        <f>WEEKNUM(orders[[#This Row],[Order Date]])</f>
        <v>10</v>
      </c>
      <c r="L1673" t="str" cm="1">
        <f t="array" ref="L1673">_xlfn.IFS(orders[[#This Row],[Customer Gender]]="M","Male", orders[[#This Row],[Customer Gender]]="F","Female", orders[[#This Row],[Customer Gender]]="O","Other", TRUE,"Unknown")</f>
        <v>Male</v>
      </c>
      <c r="M1673">
        <v>3</v>
      </c>
      <c r="N1673">
        <v>28.3</v>
      </c>
      <c r="O1673">
        <v>84.9</v>
      </c>
    </row>
    <row r="1674" spans="1:15" x14ac:dyDescent="0.3">
      <c r="A1674" t="s">
        <v>1772</v>
      </c>
      <c r="B1674" t="s">
        <v>38</v>
      </c>
      <c r="C1674" s="7">
        <v>45719</v>
      </c>
      <c r="D1674" s="7">
        <v>45719</v>
      </c>
      <c r="E1674" t="s">
        <v>26</v>
      </c>
      <c r="F1674" t="s">
        <v>39</v>
      </c>
      <c r="G1674">
        <v>3</v>
      </c>
      <c r="H1674" t="s">
        <v>18</v>
      </c>
      <c r="I1674" t="s">
        <v>109</v>
      </c>
      <c r="J1674">
        <f>orders[[#This Row],[Ship Date]]-orders[[#This Row],[Order Date]]</f>
        <v>0</v>
      </c>
      <c r="K1674">
        <f>WEEKNUM(orders[[#This Row],[Order Date]])</f>
        <v>10</v>
      </c>
      <c r="L1674" t="str" cm="1">
        <f t="array" ref="L1674">_xlfn.IFS(orders[[#This Row],[Customer Gender]]="M","Male", orders[[#This Row],[Customer Gender]]="F","Female", orders[[#This Row],[Customer Gender]]="O","Other", TRUE,"Unknown")</f>
        <v>Female</v>
      </c>
      <c r="M1674">
        <v>3</v>
      </c>
      <c r="N1674">
        <v>42.3</v>
      </c>
      <c r="O1674" s="5">
        <v>126.89999999999999</v>
      </c>
    </row>
    <row r="1675" spans="1:15" x14ac:dyDescent="0.3">
      <c r="A1675" t="s">
        <v>1773</v>
      </c>
      <c r="B1675" t="s">
        <v>25</v>
      </c>
      <c r="C1675" s="7">
        <v>45720</v>
      </c>
      <c r="D1675" s="7">
        <v>45721</v>
      </c>
      <c r="E1675" t="s">
        <v>26</v>
      </c>
      <c r="F1675" t="s">
        <v>34</v>
      </c>
      <c r="G1675">
        <v>4</v>
      </c>
      <c r="H1675" t="s">
        <v>18</v>
      </c>
      <c r="I1675" t="s">
        <v>81</v>
      </c>
      <c r="J1675">
        <f>orders[[#This Row],[Ship Date]]-orders[[#This Row],[Order Date]]</f>
        <v>1</v>
      </c>
      <c r="K1675">
        <f>WEEKNUM(orders[[#This Row],[Order Date]])</f>
        <v>10</v>
      </c>
      <c r="L1675" t="str" cm="1">
        <f t="array" ref="L1675">_xlfn.IFS(orders[[#This Row],[Customer Gender]]="M","Male", orders[[#This Row],[Customer Gender]]="F","Female", orders[[#This Row],[Customer Gender]]="O","Other", TRUE,"Unknown")</f>
        <v>Female</v>
      </c>
      <c r="M1675">
        <v>8</v>
      </c>
      <c r="N1675">
        <v>163.30000000000001</v>
      </c>
      <c r="O1675">
        <v>1306.4000000000001</v>
      </c>
    </row>
    <row r="1676" spans="1:15" x14ac:dyDescent="0.3">
      <c r="A1676" t="s">
        <v>1774</v>
      </c>
      <c r="B1676" t="s">
        <v>38</v>
      </c>
      <c r="C1676" s="7">
        <v>45720</v>
      </c>
      <c r="D1676" s="7">
        <v>45723</v>
      </c>
      <c r="E1676" t="s">
        <v>26</v>
      </c>
      <c r="F1676" t="s">
        <v>69</v>
      </c>
      <c r="G1676">
        <v>3</v>
      </c>
      <c r="H1676" t="s">
        <v>18</v>
      </c>
      <c r="I1676" t="s">
        <v>114</v>
      </c>
      <c r="J1676">
        <f>orders[[#This Row],[Ship Date]]-orders[[#This Row],[Order Date]]</f>
        <v>3</v>
      </c>
      <c r="K1676">
        <f>WEEKNUM(orders[[#This Row],[Order Date]])</f>
        <v>10</v>
      </c>
      <c r="L1676" t="str" cm="1">
        <f t="array" ref="L1676">_xlfn.IFS(orders[[#This Row],[Customer Gender]]="M","Male", orders[[#This Row],[Customer Gender]]="F","Female", orders[[#This Row],[Customer Gender]]="O","Other", TRUE,"Unknown")</f>
        <v>Female</v>
      </c>
      <c r="M1676">
        <v>7</v>
      </c>
      <c r="N1676">
        <v>47.3</v>
      </c>
      <c r="O1676" s="5">
        <v>331.09999999999997</v>
      </c>
    </row>
    <row r="1677" spans="1:15" x14ac:dyDescent="0.3">
      <c r="A1677" t="s">
        <v>1775</v>
      </c>
      <c r="B1677" t="s">
        <v>43</v>
      </c>
      <c r="C1677" s="7">
        <v>45720</v>
      </c>
      <c r="D1677" s="7">
        <v>45721</v>
      </c>
      <c r="E1677" t="s">
        <v>26</v>
      </c>
      <c r="F1677" t="s">
        <v>39</v>
      </c>
      <c r="G1677">
        <v>4</v>
      </c>
      <c r="H1677" t="s">
        <v>18</v>
      </c>
      <c r="I1677" t="s">
        <v>114</v>
      </c>
      <c r="J1677">
        <f>orders[[#This Row],[Ship Date]]-orders[[#This Row],[Order Date]]</f>
        <v>1</v>
      </c>
      <c r="K1677">
        <f>WEEKNUM(orders[[#This Row],[Order Date]])</f>
        <v>10</v>
      </c>
      <c r="L1677" t="str" cm="1">
        <f t="array" ref="L1677">_xlfn.IFS(orders[[#This Row],[Customer Gender]]="M","Male", orders[[#This Row],[Customer Gender]]="F","Female", orders[[#This Row],[Customer Gender]]="O","Other", TRUE,"Unknown")</f>
        <v>Female</v>
      </c>
      <c r="M1677">
        <v>16</v>
      </c>
      <c r="N1677">
        <v>27.3</v>
      </c>
      <c r="O1677">
        <v>436.8</v>
      </c>
    </row>
    <row r="1678" spans="1:15" x14ac:dyDescent="0.3">
      <c r="A1678" t="s">
        <v>1776</v>
      </c>
      <c r="B1678" t="s">
        <v>53</v>
      </c>
      <c r="C1678" s="7">
        <v>45720</v>
      </c>
      <c r="D1678" s="7">
        <v>45731</v>
      </c>
      <c r="E1678" t="s">
        <v>26</v>
      </c>
      <c r="F1678" t="s">
        <v>17</v>
      </c>
      <c r="G1678">
        <v>4</v>
      </c>
      <c r="H1678" t="s">
        <v>18</v>
      </c>
      <c r="I1678" t="s">
        <v>114</v>
      </c>
      <c r="J1678">
        <f>orders[[#This Row],[Ship Date]]-orders[[#This Row],[Order Date]]</f>
        <v>11</v>
      </c>
      <c r="K1678">
        <f>WEEKNUM(orders[[#This Row],[Order Date]])</f>
        <v>10</v>
      </c>
      <c r="L1678" t="str" cm="1">
        <f t="array" ref="L1678">_xlfn.IFS(orders[[#This Row],[Customer Gender]]="M","Male", orders[[#This Row],[Customer Gender]]="F","Female", orders[[#This Row],[Customer Gender]]="O","Other", TRUE,"Unknown")</f>
        <v>Female</v>
      </c>
      <c r="M1678">
        <v>6</v>
      </c>
      <c r="N1678">
        <v>34.9</v>
      </c>
      <c r="O1678" s="5">
        <v>209.39999999999998</v>
      </c>
    </row>
    <row r="1679" spans="1:15" x14ac:dyDescent="0.3">
      <c r="A1679" t="s">
        <v>1777</v>
      </c>
      <c r="B1679" t="s">
        <v>38</v>
      </c>
      <c r="C1679" s="7">
        <v>45720</v>
      </c>
      <c r="D1679" s="7">
        <v>45723</v>
      </c>
      <c r="E1679" t="s">
        <v>88</v>
      </c>
      <c r="F1679" t="s">
        <v>17</v>
      </c>
      <c r="G1679">
        <v>2</v>
      </c>
      <c r="H1679" t="s">
        <v>18</v>
      </c>
      <c r="I1679" t="s">
        <v>23</v>
      </c>
      <c r="J1679">
        <f>orders[[#This Row],[Ship Date]]-orders[[#This Row],[Order Date]]</f>
        <v>3</v>
      </c>
      <c r="K1679">
        <f>WEEKNUM(orders[[#This Row],[Order Date]])</f>
        <v>10</v>
      </c>
      <c r="L1679" t="str" cm="1">
        <f t="array" ref="L1679">_xlfn.IFS(orders[[#This Row],[Customer Gender]]="M","Male", orders[[#This Row],[Customer Gender]]="F","Female", orders[[#This Row],[Customer Gender]]="O","Other", TRUE,"Unknown")</f>
        <v>Other</v>
      </c>
      <c r="M1679">
        <v>2</v>
      </c>
      <c r="N1679">
        <v>53.9</v>
      </c>
      <c r="O1679">
        <v>107.8</v>
      </c>
    </row>
    <row r="1680" spans="1:15" x14ac:dyDescent="0.3">
      <c r="A1680" t="s">
        <v>1778</v>
      </c>
      <c r="B1680" t="s">
        <v>25</v>
      </c>
      <c r="C1680" s="7">
        <v>45720</v>
      </c>
      <c r="D1680" s="7">
        <v>45721</v>
      </c>
      <c r="E1680" t="s">
        <v>26</v>
      </c>
      <c r="F1680" t="s">
        <v>17</v>
      </c>
      <c r="G1680">
        <v>3</v>
      </c>
      <c r="H1680" t="s">
        <v>18</v>
      </c>
      <c r="I1680" t="s">
        <v>23</v>
      </c>
      <c r="J1680">
        <f>orders[[#This Row],[Ship Date]]-orders[[#This Row],[Order Date]]</f>
        <v>1</v>
      </c>
      <c r="K1680">
        <f>WEEKNUM(orders[[#This Row],[Order Date]])</f>
        <v>10</v>
      </c>
      <c r="L1680" t="str" cm="1">
        <f t="array" ref="L1680">_xlfn.IFS(orders[[#This Row],[Customer Gender]]="M","Male", orders[[#This Row],[Customer Gender]]="F","Female", orders[[#This Row],[Customer Gender]]="O","Other", TRUE,"Unknown")</f>
        <v>Female</v>
      </c>
      <c r="M1680">
        <v>2</v>
      </c>
      <c r="N1680">
        <v>87.2</v>
      </c>
      <c r="O1680" s="5">
        <v>174.4</v>
      </c>
    </row>
    <row r="1681" spans="1:15" x14ac:dyDescent="0.3">
      <c r="A1681" t="s">
        <v>1779</v>
      </c>
      <c r="B1681" t="s">
        <v>122</v>
      </c>
      <c r="C1681" s="7">
        <v>45720</v>
      </c>
      <c r="D1681" s="7">
        <v>45722</v>
      </c>
      <c r="E1681" t="s">
        <v>26</v>
      </c>
      <c r="F1681" t="s">
        <v>39</v>
      </c>
      <c r="G1681">
        <v>4</v>
      </c>
      <c r="H1681" t="s">
        <v>18</v>
      </c>
      <c r="I1681" t="s">
        <v>586</v>
      </c>
      <c r="J1681">
        <f>orders[[#This Row],[Ship Date]]-orders[[#This Row],[Order Date]]</f>
        <v>2</v>
      </c>
      <c r="K1681">
        <f>WEEKNUM(orders[[#This Row],[Order Date]])</f>
        <v>10</v>
      </c>
      <c r="L1681" t="str" cm="1">
        <f t="array" ref="L1681">_xlfn.IFS(orders[[#This Row],[Customer Gender]]="M","Male", orders[[#This Row],[Customer Gender]]="F","Female", orders[[#This Row],[Customer Gender]]="O","Other", TRUE,"Unknown")</f>
        <v>Female</v>
      </c>
      <c r="M1681">
        <v>1</v>
      </c>
      <c r="N1681">
        <v>58.8</v>
      </c>
      <c r="O1681">
        <v>58.8</v>
      </c>
    </row>
    <row r="1682" spans="1:15" x14ac:dyDescent="0.3">
      <c r="A1682" t="s">
        <v>1780</v>
      </c>
      <c r="B1682" t="s">
        <v>25</v>
      </c>
      <c r="C1682" s="7">
        <v>45720</v>
      </c>
      <c r="D1682" s="7">
        <v>45721</v>
      </c>
      <c r="E1682" t="s">
        <v>22</v>
      </c>
      <c r="F1682" t="s">
        <v>39</v>
      </c>
      <c r="G1682">
        <v>2</v>
      </c>
      <c r="H1682" t="s">
        <v>18</v>
      </c>
      <c r="I1682" t="s">
        <v>146</v>
      </c>
      <c r="J1682">
        <f>orders[[#This Row],[Ship Date]]-orders[[#This Row],[Order Date]]</f>
        <v>1</v>
      </c>
      <c r="K1682">
        <f>WEEKNUM(orders[[#This Row],[Order Date]])</f>
        <v>10</v>
      </c>
      <c r="L1682" t="str" cm="1">
        <f t="array" ref="L1682">_xlfn.IFS(orders[[#This Row],[Customer Gender]]="M","Male", orders[[#This Row],[Customer Gender]]="F","Female", orders[[#This Row],[Customer Gender]]="O","Other", TRUE,"Unknown")</f>
        <v>Male</v>
      </c>
      <c r="M1682">
        <v>7</v>
      </c>
      <c r="N1682">
        <v>125.5</v>
      </c>
      <c r="O1682" s="5">
        <v>878.5</v>
      </c>
    </row>
    <row r="1683" spans="1:15" x14ac:dyDescent="0.3">
      <c r="A1683" t="s">
        <v>1781</v>
      </c>
      <c r="B1683" t="s">
        <v>21</v>
      </c>
      <c r="C1683" s="7">
        <v>45720</v>
      </c>
      <c r="D1683" s="7">
        <v>45722</v>
      </c>
      <c r="E1683" t="s">
        <v>26</v>
      </c>
      <c r="F1683" t="s">
        <v>17</v>
      </c>
      <c r="G1683">
        <v>3</v>
      </c>
      <c r="H1683" t="s">
        <v>18</v>
      </c>
      <c r="I1683" t="s">
        <v>146</v>
      </c>
      <c r="J1683">
        <f>orders[[#This Row],[Ship Date]]-orders[[#This Row],[Order Date]]</f>
        <v>2</v>
      </c>
      <c r="K1683">
        <f>WEEKNUM(orders[[#This Row],[Order Date]])</f>
        <v>10</v>
      </c>
      <c r="L1683" t="str" cm="1">
        <f t="array" ref="L1683">_xlfn.IFS(orders[[#This Row],[Customer Gender]]="M","Male", orders[[#This Row],[Customer Gender]]="F","Female", orders[[#This Row],[Customer Gender]]="O","Other", TRUE,"Unknown")</f>
        <v>Female</v>
      </c>
      <c r="M1683">
        <v>4</v>
      </c>
      <c r="N1683">
        <v>124.6</v>
      </c>
      <c r="O1683">
        <v>498.4</v>
      </c>
    </row>
    <row r="1684" spans="1:15" x14ac:dyDescent="0.3">
      <c r="A1684" t="s">
        <v>1782</v>
      </c>
      <c r="B1684" t="s">
        <v>21</v>
      </c>
      <c r="C1684" s="7">
        <v>45720</v>
      </c>
      <c r="D1684" s="7">
        <v>45721</v>
      </c>
      <c r="E1684" t="s">
        <v>22</v>
      </c>
      <c r="F1684" t="s">
        <v>39</v>
      </c>
      <c r="G1684">
        <v>3</v>
      </c>
      <c r="H1684" t="s">
        <v>18</v>
      </c>
      <c r="I1684" t="s">
        <v>32</v>
      </c>
      <c r="J1684">
        <f>orders[[#This Row],[Ship Date]]-orders[[#This Row],[Order Date]]</f>
        <v>1</v>
      </c>
      <c r="K1684">
        <f>WEEKNUM(orders[[#This Row],[Order Date]])</f>
        <v>10</v>
      </c>
      <c r="L1684" t="str" cm="1">
        <f t="array" ref="L1684">_xlfn.IFS(orders[[#This Row],[Customer Gender]]="M","Male", orders[[#This Row],[Customer Gender]]="F","Female", orders[[#This Row],[Customer Gender]]="O","Other", TRUE,"Unknown")</f>
        <v>Male</v>
      </c>
      <c r="M1684">
        <v>7</v>
      </c>
      <c r="N1684">
        <v>39.9</v>
      </c>
      <c r="O1684" s="5">
        <v>279.3</v>
      </c>
    </row>
    <row r="1685" spans="1:15" x14ac:dyDescent="0.3">
      <c r="A1685" t="s">
        <v>1783</v>
      </c>
      <c r="B1685" t="s">
        <v>38</v>
      </c>
      <c r="C1685" s="7">
        <v>45720</v>
      </c>
      <c r="D1685" s="7">
        <v>45734</v>
      </c>
      <c r="E1685" t="s">
        <v>26</v>
      </c>
      <c r="F1685" t="s">
        <v>17</v>
      </c>
      <c r="G1685">
        <v>3</v>
      </c>
      <c r="H1685" t="s">
        <v>18</v>
      </c>
      <c r="I1685" t="s">
        <v>32</v>
      </c>
      <c r="J1685">
        <f>orders[[#This Row],[Ship Date]]-orders[[#This Row],[Order Date]]</f>
        <v>14</v>
      </c>
      <c r="K1685">
        <f>WEEKNUM(orders[[#This Row],[Order Date]])</f>
        <v>10</v>
      </c>
      <c r="L1685" t="str" cm="1">
        <f t="array" ref="L1685">_xlfn.IFS(orders[[#This Row],[Customer Gender]]="M","Male", orders[[#This Row],[Customer Gender]]="F","Female", orders[[#This Row],[Customer Gender]]="O","Other", TRUE,"Unknown")</f>
        <v>Female</v>
      </c>
      <c r="M1685">
        <v>1</v>
      </c>
      <c r="N1685">
        <v>94.6</v>
      </c>
      <c r="O1685">
        <v>94.6</v>
      </c>
    </row>
    <row r="1686" spans="1:15" x14ac:dyDescent="0.3">
      <c r="A1686" t="s">
        <v>1784</v>
      </c>
      <c r="B1686" t="s">
        <v>25</v>
      </c>
      <c r="C1686" s="7">
        <v>45720</v>
      </c>
      <c r="D1686" s="7">
        <v>45721</v>
      </c>
      <c r="E1686" t="s">
        <v>26</v>
      </c>
      <c r="F1686" t="s">
        <v>17</v>
      </c>
      <c r="G1686">
        <v>4</v>
      </c>
      <c r="H1686" t="s">
        <v>18</v>
      </c>
      <c r="I1686" t="s">
        <v>32</v>
      </c>
      <c r="J1686">
        <f>orders[[#This Row],[Ship Date]]-orders[[#This Row],[Order Date]]</f>
        <v>1</v>
      </c>
      <c r="K1686">
        <f>WEEKNUM(orders[[#This Row],[Order Date]])</f>
        <v>10</v>
      </c>
      <c r="L1686" t="str" cm="1">
        <f t="array" ref="L1686">_xlfn.IFS(orders[[#This Row],[Customer Gender]]="M","Male", orders[[#This Row],[Customer Gender]]="F","Female", orders[[#This Row],[Customer Gender]]="O","Other", TRUE,"Unknown")</f>
        <v>Female</v>
      </c>
      <c r="M1686">
        <v>2</v>
      </c>
      <c r="N1686">
        <v>149.6</v>
      </c>
      <c r="O1686" s="5">
        <v>299.2</v>
      </c>
    </row>
    <row r="1687" spans="1:15" x14ac:dyDescent="0.3">
      <c r="A1687" t="s">
        <v>1785</v>
      </c>
      <c r="B1687" t="s">
        <v>43</v>
      </c>
      <c r="C1687" s="7">
        <v>45720</v>
      </c>
      <c r="D1687" s="7">
        <v>45721</v>
      </c>
      <c r="E1687" t="s">
        <v>2517</v>
      </c>
      <c r="F1687" t="s">
        <v>34</v>
      </c>
      <c r="G1687">
        <v>4</v>
      </c>
      <c r="H1687" t="s">
        <v>18</v>
      </c>
      <c r="I1687" t="s">
        <v>32</v>
      </c>
      <c r="J1687">
        <f>orders[[#This Row],[Ship Date]]-orders[[#This Row],[Order Date]]</f>
        <v>1</v>
      </c>
      <c r="K1687">
        <f>WEEKNUM(orders[[#This Row],[Order Date]])</f>
        <v>10</v>
      </c>
      <c r="L1687" t="str" cm="1">
        <f t="array" ref="L1687">_xlfn.IFS(orders[[#This Row],[Customer Gender]]="M","Male", orders[[#This Row],[Customer Gender]]="F","Female", orders[[#This Row],[Customer Gender]]="O","Other", TRUE,"Unknown")</f>
        <v>Unknown</v>
      </c>
      <c r="M1687">
        <v>1</v>
      </c>
      <c r="N1687">
        <v>52.2</v>
      </c>
      <c r="O1687">
        <v>52.2</v>
      </c>
    </row>
    <row r="1688" spans="1:15" x14ac:dyDescent="0.3">
      <c r="A1688" t="s">
        <v>1786</v>
      </c>
      <c r="B1688" t="s">
        <v>38</v>
      </c>
      <c r="C1688" s="7">
        <v>45720</v>
      </c>
      <c r="D1688" s="7">
        <v>45721</v>
      </c>
      <c r="E1688" t="s">
        <v>26</v>
      </c>
      <c r="F1688" t="s">
        <v>34</v>
      </c>
      <c r="G1688">
        <v>3</v>
      </c>
      <c r="H1688" t="s">
        <v>18</v>
      </c>
      <c r="I1688" t="s">
        <v>32</v>
      </c>
      <c r="J1688">
        <f>orders[[#This Row],[Ship Date]]-orders[[#This Row],[Order Date]]</f>
        <v>1</v>
      </c>
      <c r="K1688">
        <f>WEEKNUM(orders[[#This Row],[Order Date]])</f>
        <v>10</v>
      </c>
      <c r="L1688" t="str" cm="1">
        <f t="array" ref="L1688">_xlfn.IFS(orders[[#This Row],[Customer Gender]]="M","Male", orders[[#This Row],[Customer Gender]]="F","Female", orders[[#This Row],[Customer Gender]]="O","Other", TRUE,"Unknown")</f>
        <v>Female</v>
      </c>
      <c r="M1688">
        <v>2</v>
      </c>
      <c r="N1688">
        <v>96.5</v>
      </c>
      <c r="O1688" s="5">
        <v>193</v>
      </c>
    </row>
    <row r="1689" spans="1:15" x14ac:dyDescent="0.3">
      <c r="A1689" t="s">
        <v>1787</v>
      </c>
      <c r="B1689" t="s">
        <v>43</v>
      </c>
      <c r="C1689" s="7">
        <v>45720</v>
      </c>
      <c r="D1689" s="7">
        <v>45722</v>
      </c>
      <c r="E1689" t="s">
        <v>26</v>
      </c>
      <c r="F1689" t="s">
        <v>17</v>
      </c>
      <c r="G1689">
        <v>3</v>
      </c>
      <c r="H1689" t="s">
        <v>18</v>
      </c>
      <c r="I1689" t="s">
        <v>32</v>
      </c>
      <c r="J1689">
        <f>orders[[#This Row],[Ship Date]]-orders[[#This Row],[Order Date]]</f>
        <v>2</v>
      </c>
      <c r="K1689">
        <f>WEEKNUM(orders[[#This Row],[Order Date]])</f>
        <v>10</v>
      </c>
      <c r="L1689" t="str" cm="1">
        <f t="array" ref="L1689">_xlfn.IFS(orders[[#This Row],[Customer Gender]]="M","Male", orders[[#This Row],[Customer Gender]]="F","Female", orders[[#This Row],[Customer Gender]]="O","Other", TRUE,"Unknown")</f>
        <v>Female</v>
      </c>
      <c r="M1689">
        <v>2</v>
      </c>
      <c r="N1689">
        <v>79.8</v>
      </c>
      <c r="O1689">
        <v>159.6</v>
      </c>
    </row>
    <row r="1690" spans="1:15" x14ac:dyDescent="0.3">
      <c r="A1690" t="s">
        <v>1788</v>
      </c>
      <c r="B1690" t="s">
        <v>43</v>
      </c>
      <c r="C1690" s="7">
        <v>45720</v>
      </c>
      <c r="D1690" s="7">
        <v>45721</v>
      </c>
      <c r="E1690" t="s">
        <v>26</v>
      </c>
      <c r="F1690" t="s">
        <v>39</v>
      </c>
      <c r="G1690">
        <v>4</v>
      </c>
      <c r="H1690" t="s">
        <v>18</v>
      </c>
      <c r="I1690" t="s">
        <v>32</v>
      </c>
      <c r="J1690">
        <f>orders[[#This Row],[Ship Date]]-orders[[#This Row],[Order Date]]</f>
        <v>1</v>
      </c>
      <c r="K1690">
        <f>WEEKNUM(orders[[#This Row],[Order Date]])</f>
        <v>10</v>
      </c>
      <c r="L1690" t="str" cm="1">
        <f t="array" ref="L1690">_xlfn.IFS(orders[[#This Row],[Customer Gender]]="M","Male", orders[[#This Row],[Customer Gender]]="F","Female", orders[[#This Row],[Customer Gender]]="O","Other", TRUE,"Unknown")</f>
        <v>Female</v>
      </c>
      <c r="M1690">
        <v>3</v>
      </c>
      <c r="N1690">
        <v>35.6</v>
      </c>
      <c r="O1690" s="5">
        <v>106.80000000000001</v>
      </c>
    </row>
    <row r="1691" spans="1:15" x14ac:dyDescent="0.3">
      <c r="A1691" t="s">
        <v>1789</v>
      </c>
      <c r="B1691" t="s">
        <v>127</v>
      </c>
      <c r="C1691" s="7">
        <v>45720</v>
      </c>
      <c r="D1691" s="7">
        <v>45721</v>
      </c>
      <c r="E1691" t="s">
        <v>26</v>
      </c>
      <c r="F1691" t="s">
        <v>34</v>
      </c>
      <c r="G1691">
        <v>5</v>
      </c>
      <c r="H1691" t="s">
        <v>18</v>
      </c>
      <c r="I1691" t="s">
        <v>32</v>
      </c>
      <c r="J1691">
        <f>orders[[#This Row],[Ship Date]]-orders[[#This Row],[Order Date]]</f>
        <v>1</v>
      </c>
      <c r="K1691">
        <f>WEEKNUM(orders[[#This Row],[Order Date]])</f>
        <v>10</v>
      </c>
      <c r="L1691" t="str" cm="1">
        <f t="array" ref="L1691">_xlfn.IFS(orders[[#This Row],[Customer Gender]]="M","Male", orders[[#This Row],[Customer Gender]]="F","Female", orders[[#This Row],[Customer Gender]]="O","Other", TRUE,"Unknown")</f>
        <v>Female</v>
      </c>
      <c r="M1691">
        <v>1</v>
      </c>
      <c r="N1691">
        <v>50.2</v>
      </c>
      <c r="O1691">
        <v>50.2</v>
      </c>
    </row>
    <row r="1692" spans="1:15" x14ac:dyDescent="0.3">
      <c r="A1692" t="s">
        <v>1790</v>
      </c>
      <c r="B1692" t="s">
        <v>21</v>
      </c>
      <c r="C1692" s="7">
        <v>45720</v>
      </c>
      <c r="D1692" s="7">
        <v>45723</v>
      </c>
      <c r="E1692" t="s">
        <v>26</v>
      </c>
      <c r="F1692" t="s">
        <v>17</v>
      </c>
      <c r="G1692">
        <v>2</v>
      </c>
      <c r="H1692" t="s">
        <v>18</v>
      </c>
      <c r="I1692" t="s">
        <v>415</v>
      </c>
      <c r="J1692">
        <f>orders[[#This Row],[Ship Date]]-orders[[#This Row],[Order Date]]</f>
        <v>3</v>
      </c>
      <c r="K1692">
        <f>WEEKNUM(orders[[#This Row],[Order Date]])</f>
        <v>10</v>
      </c>
      <c r="L1692" t="str" cm="1">
        <f t="array" ref="L1692">_xlfn.IFS(orders[[#This Row],[Customer Gender]]="M","Male", orders[[#This Row],[Customer Gender]]="F","Female", orders[[#This Row],[Customer Gender]]="O","Other", TRUE,"Unknown")</f>
        <v>Female</v>
      </c>
      <c r="M1692">
        <v>3</v>
      </c>
      <c r="N1692">
        <v>55.3</v>
      </c>
      <c r="O1692" s="5">
        <v>165.89999999999998</v>
      </c>
    </row>
    <row r="1693" spans="1:15" x14ac:dyDescent="0.3">
      <c r="A1693" t="s">
        <v>1791</v>
      </c>
      <c r="B1693" t="s">
        <v>38</v>
      </c>
      <c r="C1693" s="7">
        <v>45720</v>
      </c>
      <c r="D1693" s="7">
        <v>45724</v>
      </c>
      <c r="E1693" t="s">
        <v>26</v>
      </c>
      <c r="F1693" t="s">
        <v>34</v>
      </c>
      <c r="G1693">
        <v>4</v>
      </c>
      <c r="H1693" t="s">
        <v>18</v>
      </c>
      <c r="I1693" t="s">
        <v>58</v>
      </c>
      <c r="J1693">
        <f>orders[[#This Row],[Ship Date]]-orders[[#This Row],[Order Date]]</f>
        <v>4</v>
      </c>
      <c r="K1693">
        <f>WEEKNUM(orders[[#This Row],[Order Date]])</f>
        <v>10</v>
      </c>
      <c r="L1693" t="str" cm="1">
        <f t="array" ref="L1693">_xlfn.IFS(orders[[#This Row],[Customer Gender]]="M","Male", orders[[#This Row],[Customer Gender]]="F","Female", orders[[#This Row],[Customer Gender]]="O","Other", TRUE,"Unknown")</f>
        <v>Female</v>
      </c>
      <c r="M1693">
        <v>7</v>
      </c>
      <c r="N1693">
        <v>104.5</v>
      </c>
      <c r="O1693">
        <v>731.5</v>
      </c>
    </row>
    <row r="1694" spans="1:15" x14ac:dyDescent="0.3">
      <c r="A1694" t="s">
        <v>1792</v>
      </c>
      <c r="B1694" t="s">
        <v>38</v>
      </c>
      <c r="C1694" s="7">
        <v>45720</v>
      </c>
      <c r="D1694" s="7">
        <v>45722</v>
      </c>
      <c r="E1694" t="s">
        <v>22</v>
      </c>
      <c r="F1694" t="s">
        <v>34</v>
      </c>
      <c r="G1694">
        <v>4</v>
      </c>
      <c r="H1694" t="s">
        <v>18</v>
      </c>
      <c r="I1694" t="s">
        <v>58</v>
      </c>
      <c r="J1694">
        <f>orders[[#This Row],[Ship Date]]-orders[[#This Row],[Order Date]]</f>
        <v>2</v>
      </c>
      <c r="K1694">
        <f>WEEKNUM(orders[[#This Row],[Order Date]])</f>
        <v>10</v>
      </c>
      <c r="L1694" t="str" cm="1">
        <f t="array" ref="L1694">_xlfn.IFS(orders[[#This Row],[Customer Gender]]="M","Male", orders[[#This Row],[Customer Gender]]="F","Female", orders[[#This Row],[Customer Gender]]="O","Other", TRUE,"Unknown")</f>
        <v>Male</v>
      </c>
      <c r="M1694">
        <v>4</v>
      </c>
      <c r="N1694">
        <v>66.5</v>
      </c>
      <c r="O1694" s="5">
        <v>266</v>
      </c>
    </row>
    <row r="1695" spans="1:15" x14ac:dyDescent="0.3">
      <c r="A1695" t="s">
        <v>1793</v>
      </c>
      <c r="B1695" t="s">
        <v>53</v>
      </c>
      <c r="C1695" s="7">
        <v>45720</v>
      </c>
      <c r="D1695" s="7">
        <v>45721</v>
      </c>
      <c r="E1695" t="s">
        <v>26</v>
      </c>
      <c r="F1695" t="s">
        <v>17</v>
      </c>
      <c r="G1695">
        <v>4</v>
      </c>
      <c r="H1695" t="s">
        <v>18</v>
      </c>
      <c r="I1695" t="s">
        <v>58</v>
      </c>
      <c r="J1695">
        <f>orders[[#This Row],[Ship Date]]-orders[[#This Row],[Order Date]]</f>
        <v>1</v>
      </c>
      <c r="K1695">
        <f>WEEKNUM(orders[[#This Row],[Order Date]])</f>
        <v>10</v>
      </c>
      <c r="L1695" t="str" cm="1">
        <f t="array" ref="L1695">_xlfn.IFS(orders[[#This Row],[Customer Gender]]="M","Male", orders[[#This Row],[Customer Gender]]="F","Female", orders[[#This Row],[Customer Gender]]="O","Other", TRUE,"Unknown")</f>
        <v>Female</v>
      </c>
      <c r="M1695">
        <v>8</v>
      </c>
      <c r="N1695">
        <v>38.299999999999997</v>
      </c>
      <c r="O1695">
        <v>306.39999999999998</v>
      </c>
    </row>
    <row r="1696" spans="1:15" x14ac:dyDescent="0.3">
      <c r="A1696" t="s">
        <v>1794</v>
      </c>
      <c r="B1696" t="s">
        <v>38</v>
      </c>
      <c r="C1696" s="7">
        <v>45720</v>
      </c>
      <c r="D1696" s="7">
        <v>45723</v>
      </c>
      <c r="E1696" t="s">
        <v>26</v>
      </c>
      <c r="F1696" t="s">
        <v>34</v>
      </c>
      <c r="G1696">
        <v>4</v>
      </c>
      <c r="H1696" t="s">
        <v>18</v>
      </c>
      <c r="I1696" t="s">
        <v>61</v>
      </c>
      <c r="J1696">
        <f>orders[[#This Row],[Ship Date]]-orders[[#This Row],[Order Date]]</f>
        <v>3</v>
      </c>
      <c r="K1696">
        <f>WEEKNUM(orders[[#This Row],[Order Date]])</f>
        <v>10</v>
      </c>
      <c r="L1696" t="str" cm="1">
        <f t="array" ref="L1696">_xlfn.IFS(orders[[#This Row],[Customer Gender]]="M","Male", orders[[#This Row],[Customer Gender]]="F","Female", orders[[#This Row],[Customer Gender]]="O","Other", TRUE,"Unknown")</f>
        <v>Female</v>
      </c>
      <c r="M1696">
        <v>3</v>
      </c>
      <c r="N1696">
        <v>63.8</v>
      </c>
      <c r="O1696" s="5">
        <v>191.39999999999998</v>
      </c>
    </row>
    <row r="1697" spans="1:15" x14ac:dyDescent="0.3">
      <c r="A1697" t="s">
        <v>1795</v>
      </c>
      <c r="B1697" t="s">
        <v>122</v>
      </c>
      <c r="C1697" s="7">
        <v>45720</v>
      </c>
      <c r="D1697" s="7">
        <v>45720</v>
      </c>
      <c r="E1697" t="s">
        <v>22</v>
      </c>
      <c r="F1697" t="s">
        <v>69</v>
      </c>
      <c r="G1697">
        <v>4</v>
      </c>
      <c r="H1697" t="s">
        <v>18</v>
      </c>
      <c r="I1697" t="s">
        <v>61</v>
      </c>
      <c r="J1697">
        <f>orders[[#This Row],[Ship Date]]-orders[[#This Row],[Order Date]]</f>
        <v>0</v>
      </c>
      <c r="K1697">
        <f>WEEKNUM(orders[[#This Row],[Order Date]])</f>
        <v>10</v>
      </c>
      <c r="L1697" t="str" cm="1">
        <f t="array" ref="L1697">_xlfn.IFS(orders[[#This Row],[Customer Gender]]="M","Male", orders[[#This Row],[Customer Gender]]="F","Female", orders[[#This Row],[Customer Gender]]="O","Other", TRUE,"Unknown")</f>
        <v>Male</v>
      </c>
      <c r="M1697">
        <v>1</v>
      </c>
      <c r="N1697">
        <v>21.4</v>
      </c>
      <c r="O1697">
        <v>21.4</v>
      </c>
    </row>
    <row r="1698" spans="1:15" x14ac:dyDescent="0.3">
      <c r="A1698" t="s">
        <v>1796</v>
      </c>
      <c r="B1698" t="s">
        <v>43</v>
      </c>
      <c r="C1698" s="7">
        <v>45720</v>
      </c>
      <c r="D1698" s="7">
        <v>45722</v>
      </c>
      <c r="E1698" t="s">
        <v>26</v>
      </c>
      <c r="F1698" t="s">
        <v>39</v>
      </c>
      <c r="G1698">
        <v>4</v>
      </c>
      <c r="H1698" t="s">
        <v>18</v>
      </c>
      <c r="I1698" t="s">
        <v>61</v>
      </c>
      <c r="J1698">
        <f>orders[[#This Row],[Ship Date]]-orders[[#This Row],[Order Date]]</f>
        <v>2</v>
      </c>
      <c r="K1698">
        <f>WEEKNUM(orders[[#This Row],[Order Date]])</f>
        <v>10</v>
      </c>
      <c r="L1698" t="str" cm="1">
        <f t="array" ref="L1698">_xlfn.IFS(orders[[#This Row],[Customer Gender]]="M","Male", orders[[#This Row],[Customer Gender]]="F","Female", orders[[#This Row],[Customer Gender]]="O","Other", TRUE,"Unknown")</f>
        <v>Female</v>
      </c>
      <c r="M1698">
        <v>4</v>
      </c>
      <c r="N1698">
        <v>44.1</v>
      </c>
      <c r="O1698" s="5">
        <v>176.4</v>
      </c>
    </row>
    <row r="1699" spans="1:15" x14ac:dyDescent="0.3">
      <c r="A1699" t="s">
        <v>1797</v>
      </c>
      <c r="B1699" t="s">
        <v>36</v>
      </c>
      <c r="C1699" s="7">
        <v>45720</v>
      </c>
      <c r="D1699" s="7">
        <v>45722</v>
      </c>
      <c r="E1699" t="s">
        <v>22</v>
      </c>
      <c r="F1699" t="s">
        <v>34</v>
      </c>
      <c r="G1699">
        <v>5</v>
      </c>
      <c r="H1699" t="s">
        <v>18</v>
      </c>
      <c r="I1699" t="s">
        <v>61</v>
      </c>
      <c r="J1699">
        <f>orders[[#This Row],[Ship Date]]-orders[[#This Row],[Order Date]]</f>
        <v>2</v>
      </c>
      <c r="K1699">
        <f>WEEKNUM(orders[[#This Row],[Order Date]])</f>
        <v>10</v>
      </c>
      <c r="L1699" t="str" cm="1">
        <f t="array" ref="L1699">_xlfn.IFS(orders[[#This Row],[Customer Gender]]="M","Male", orders[[#This Row],[Customer Gender]]="F","Female", orders[[#This Row],[Customer Gender]]="O","Other", TRUE,"Unknown")</f>
        <v>Male</v>
      </c>
      <c r="M1699">
        <v>8</v>
      </c>
      <c r="N1699">
        <v>57.6</v>
      </c>
      <c r="O1699">
        <v>460.8</v>
      </c>
    </row>
    <row r="1700" spans="1:15" x14ac:dyDescent="0.3">
      <c r="A1700" t="s">
        <v>1798</v>
      </c>
      <c r="B1700" t="s">
        <v>45</v>
      </c>
      <c r="C1700" s="7">
        <v>45720</v>
      </c>
      <c r="D1700" s="7">
        <v>45726</v>
      </c>
      <c r="E1700" t="s">
        <v>26</v>
      </c>
      <c r="F1700" t="s">
        <v>50</v>
      </c>
      <c r="G1700">
        <v>4</v>
      </c>
      <c r="H1700" t="s">
        <v>18</v>
      </c>
      <c r="I1700" t="s">
        <v>61</v>
      </c>
      <c r="J1700">
        <f>orders[[#This Row],[Ship Date]]-orders[[#This Row],[Order Date]]</f>
        <v>6</v>
      </c>
      <c r="K1700">
        <f>WEEKNUM(orders[[#This Row],[Order Date]])</f>
        <v>10</v>
      </c>
      <c r="L1700" t="str" cm="1">
        <f t="array" ref="L1700">_xlfn.IFS(orders[[#This Row],[Customer Gender]]="M","Male", orders[[#This Row],[Customer Gender]]="F","Female", orders[[#This Row],[Customer Gender]]="O","Other", TRUE,"Unknown")</f>
        <v>Female</v>
      </c>
      <c r="M1700">
        <v>2</v>
      </c>
      <c r="N1700">
        <v>20.3</v>
      </c>
      <c r="O1700" s="5">
        <v>40.6</v>
      </c>
    </row>
    <row r="1701" spans="1:15" x14ac:dyDescent="0.3">
      <c r="A1701" t="s">
        <v>1799</v>
      </c>
      <c r="B1701" t="s">
        <v>43</v>
      </c>
      <c r="C1701" s="7">
        <v>45720</v>
      </c>
      <c r="D1701" s="7">
        <v>45722</v>
      </c>
      <c r="E1701" t="s">
        <v>26</v>
      </c>
      <c r="F1701" t="s">
        <v>39</v>
      </c>
      <c r="G1701">
        <v>5</v>
      </c>
      <c r="H1701" t="s">
        <v>18</v>
      </c>
      <c r="I1701" t="s">
        <v>61</v>
      </c>
      <c r="J1701">
        <f>orders[[#This Row],[Ship Date]]-orders[[#This Row],[Order Date]]</f>
        <v>2</v>
      </c>
      <c r="K1701">
        <f>WEEKNUM(orders[[#This Row],[Order Date]])</f>
        <v>10</v>
      </c>
      <c r="L1701" t="str" cm="1">
        <f t="array" ref="L1701">_xlfn.IFS(orders[[#This Row],[Customer Gender]]="M","Male", orders[[#This Row],[Customer Gender]]="F","Female", orders[[#This Row],[Customer Gender]]="O","Other", TRUE,"Unknown")</f>
        <v>Female</v>
      </c>
      <c r="M1701">
        <v>1</v>
      </c>
      <c r="N1701">
        <v>22.9</v>
      </c>
      <c r="O1701">
        <v>22.9</v>
      </c>
    </row>
    <row r="1702" spans="1:15" x14ac:dyDescent="0.3">
      <c r="A1702" t="s">
        <v>1800</v>
      </c>
      <c r="B1702" t="s">
        <v>38</v>
      </c>
      <c r="C1702" s="7">
        <v>45720</v>
      </c>
      <c r="D1702" s="7">
        <v>45721</v>
      </c>
      <c r="E1702" t="s">
        <v>26</v>
      </c>
      <c r="F1702" t="s">
        <v>34</v>
      </c>
      <c r="G1702">
        <v>5</v>
      </c>
      <c r="H1702" t="s">
        <v>18</v>
      </c>
      <c r="I1702" t="s">
        <v>102</v>
      </c>
      <c r="J1702">
        <f>orders[[#This Row],[Ship Date]]-orders[[#This Row],[Order Date]]</f>
        <v>1</v>
      </c>
      <c r="K1702">
        <f>WEEKNUM(orders[[#This Row],[Order Date]])</f>
        <v>10</v>
      </c>
      <c r="L1702" t="str" cm="1">
        <f t="array" ref="L1702">_xlfn.IFS(orders[[#This Row],[Customer Gender]]="M","Male", orders[[#This Row],[Customer Gender]]="F","Female", orders[[#This Row],[Customer Gender]]="O","Other", TRUE,"Unknown")</f>
        <v>Female</v>
      </c>
      <c r="M1702">
        <v>4</v>
      </c>
      <c r="N1702">
        <v>105.9</v>
      </c>
      <c r="O1702" s="5">
        <v>423.6</v>
      </c>
    </row>
    <row r="1703" spans="1:15" x14ac:dyDescent="0.3">
      <c r="A1703" t="s">
        <v>1801</v>
      </c>
      <c r="B1703" t="s">
        <v>21</v>
      </c>
      <c r="C1703" s="7">
        <v>45720</v>
      </c>
      <c r="D1703" s="7">
        <v>45724</v>
      </c>
      <c r="E1703" t="s">
        <v>22</v>
      </c>
      <c r="F1703" t="s">
        <v>34</v>
      </c>
      <c r="G1703">
        <v>4</v>
      </c>
      <c r="H1703" t="s">
        <v>18</v>
      </c>
      <c r="I1703" t="s">
        <v>76</v>
      </c>
      <c r="J1703">
        <f>orders[[#This Row],[Ship Date]]-orders[[#This Row],[Order Date]]</f>
        <v>4</v>
      </c>
      <c r="K1703">
        <f>WEEKNUM(orders[[#This Row],[Order Date]])</f>
        <v>10</v>
      </c>
      <c r="L1703" t="str" cm="1">
        <f t="array" ref="L1703">_xlfn.IFS(orders[[#This Row],[Customer Gender]]="M","Male", orders[[#This Row],[Customer Gender]]="F","Female", orders[[#This Row],[Customer Gender]]="O","Other", TRUE,"Unknown")</f>
        <v>Male</v>
      </c>
      <c r="M1703">
        <v>9</v>
      </c>
      <c r="N1703">
        <v>37.4</v>
      </c>
      <c r="O1703">
        <v>336.59999999999997</v>
      </c>
    </row>
    <row r="1704" spans="1:15" x14ac:dyDescent="0.3">
      <c r="A1704" t="s">
        <v>1802</v>
      </c>
      <c r="B1704" t="s">
        <v>145</v>
      </c>
      <c r="C1704" s="7">
        <v>45720</v>
      </c>
      <c r="D1704" s="7">
        <v>45721</v>
      </c>
      <c r="E1704" t="s">
        <v>22</v>
      </c>
      <c r="F1704" t="s">
        <v>39</v>
      </c>
      <c r="G1704">
        <v>4</v>
      </c>
      <c r="H1704" t="s">
        <v>18</v>
      </c>
      <c r="I1704" t="s">
        <v>242</v>
      </c>
      <c r="J1704">
        <f>orders[[#This Row],[Ship Date]]-orders[[#This Row],[Order Date]]</f>
        <v>1</v>
      </c>
      <c r="K1704">
        <f>WEEKNUM(orders[[#This Row],[Order Date]])</f>
        <v>10</v>
      </c>
      <c r="L1704" t="str" cm="1">
        <f t="array" ref="L1704">_xlfn.IFS(orders[[#This Row],[Customer Gender]]="M","Male", orders[[#This Row],[Customer Gender]]="F","Female", orders[[#This Row],[Customer Gender]]="O","Other", TRUE,"Unknown")</f>
        <v>Male</v>
      </c>
      <c r="M1704">
        <v>2</v>
      </c>
      <c r="N1704">
        <v>79</v>
      </c>
      <c r="O1704" s="5">
        <v>158</v>
      </c>
    </row>
    <row r="1705" spans="1:15" x14ac:dyDescent="0.3">
      <c r="A1705" t="s">
        <v>1803</v>
      </c>
      <c r="B1705" t="s">
        <v>16</v>
      </c>
      <c r="C1705" s="7">
        <v>45720</v>
      </c>
      <c r="D1705" s="7">
        <v>45721</v>
      </c>
      <c r="E1705" t="s">
        <v>26</v>
      </c>
      <c r="F1705" t="s">
        <v>69</v>
      </c>
      <c r="G1705">
        <v>4</v>
      </c>
      <c r="H1705" t="s">
        <v>18</v>
      </c>
      <c r="I1705" t="s">
        <v>114</v>
      </c>
      <c r="J1705">
        <f>orders[[#This Row],[Ship Date]]-orders[[#This Row],[Order Date]]</f>
        <v>1</v>
      </c>
      <c r="K1705">
        <f>WEEKNUM(orders[[#This Row],[Order Date]])</f>
        <v>10</v>
      </c>
      <c r="L1705" t="str" cm="1">
        <f t="array" ref="L1705">_xlfn.IFS(orders[[#This Row],[Customer Gender]]="M","Male", orders[[#This Row],[Customer Gender]]="F","Female", orders[[#This Row],[Customer Gender]]="O","Other", TRUE,"Unknown")</f>
        <v>Female</v>
      </c>
      <c r="M1705">
        <v>3</v>
      </c>
      <c r="N1705">
        <v>19.3</v>
      </c>
      <c r="O1705">
        <v>57.900000000000006</v>
      </c>
    </row>
    <row r="1706" spans="1:15" x14ac:dyDescent="0.3">
      <c r="A1706" t="s">
        <v>1804</v>
      </c>
      <c r="B1706" t="s">
        <v>16</v>
      </c>
      <c r="C1706" s="7">
        <v>45720</v>
      </c>
      <c r="D1706" s="7">
        <v>45721</v>
      </c>
      <c r="E1706" t="s">
        <v>26</v>
      </c>
      <c r="F1706" t="s">
        <v>34</v>
      </c>
      <c r="G1706">
        <v>4</v>
      </c>
      <c r="H1706" t="s">
        <v>18</v>
      </c>
      <c r="I1706" t="s">
        <v>23</v>
      </c>
      <c r="J1706">
        <f>orders[[#This Row],[Ship Date]]-orders[[#This Row],[Order Date]]</f>
        <v>1</v>
      </c>
      <c r="K1706">
        <f>WEEKNUM(orders[[#This Row],[Order Date]])</f>
        <v>10</v>
      </c>
      <c r="L1706" t="str" cm="1">
        <f t="array" ref="L1706">_xlfn.IFS(orders[[#This Row],[Customer Gender]]="M","Male", orders[[#This Row],[Customer Gender]]="F","Female", orders[[#This Row],[Customer Gender]]="O","Other", TRUE,"Unknown")</f>
        <v>Female</v>
      </c>
      <c r="M1706">
        <v>1</v>
      </c>
      <c r="N1706">
        <v>24</v>
      </c>
      <c r="O1706" s="5">
        <v>24</v>
      </c>
    </row>
    <row r="1707" spans="1:15" x14ac:dyDescent="0.3">
      <c r="A1707" t="s">
        <v>1805</v>
      </c>
      <c r="B1707" t="s">
        <v>38</v>
      </c>
      <c r="C1707" s="7">
        <v>45720</v>
      </c>
      <c r="D1707" s="7">
        <v>45723</v>
      </c>
      <c r="E1707" t="s">
        <v>26</v>
      </c>
      <c r="F1707" t="s">
        <v>39</v>
      </c>
      <c r="G1707">
        <v>4</v>
      </c>
      <c r="H1707" t="s">
        <v>18</v>
      </c>
      <c r="I1707" t="s">
        <v>27</v>
      </c>
      <c r="J1707">
        <f>orders[[#This Row],[Ship Date]]-orders[[#This Row],[Order Date]]</f>
        <v>3</v>
      </c>
      <c r="K1707">
        <f>WEEKNUM(orders[[#This Row],[Order Date]])</f>
        <v>10</v>
      </c>
      <c r="L1707" t="str" cm="1">
        <f t="array" ref="L1707">_xlfn.IFS(orders[[#This Row],[Customer Gender]]="M","Male", orders[[#This Row],[Customer Gender]]="F","Female", orders[[#This Row],[Customer Gender]]="O","Other", TRUE,"Unknown")</f>
        <v>Female</v>
      </c>
      <c r="M1707">
        <v>5</v>
      </c>
      <c r="N1707">
        <v>71.3</v>
      </c>
      <c r="O1707">
        <v>356.5</v>
      </c>
    </row>
    <row r="1708" spans="1:15" x14ac:dyDescent="0.3">
      <c r="A1708" t="s">
        <v>1806</v>
      </c>
      <c r="B1708" t="s">
        <v>36</v>
      </c>
      <c r="C1708" s="7">
        <v>45720</v>
      </c>
      <c r="D1708" s="7">
        <v>45721</v>
      </c>
      <c r="E1708" t="s">
        <v>22</v>
      </c>
      <c r="F1708" t="s">
        <v>17</v>
      </c>
      <c r="G1708">
        <v>5</v>
      </c>
      <c r="H1708" t="s">
        <v>18</v>
      </c>
      <c r="I1708" t="s">
        <v>948</v>
      </c>
      <c r="J1708">
        <f>orders[[#This Row],[Ship Date]]-orders[[#This Row],[Order Date]]</f>
        <v>1</v>
      </c>
      <c r="K1708">
        <f>WEEKNUM(orders[[#This Row],[Order Date]])</f>
        <v>10</v>
      </c>
      <c r="L1708" t="str" cm="1">
        <f t="array" ref="L1708">_xlfn.IFS(orders[[#This Row],[Customer Gender]]="M","Male", orders[[#This Row],[Customer Gender]]="F","Female", orders[[#This Row],[Customer Gender]]="O","Other", TRUE,"Unknown")</f>
        <v>Male</v>
      </c>
      <c r="M1708">
        <v>2</v>
      </c>
      <c r="N1708">
        <v>166.2</v>
      </c>
      <c r="O1708" s="5">
        <v>332.4</v>
      </c>
    </row>
    <row r="1709" spans="1:15" x14ac:dyDescent="0.3">
      <c r="A1709" t="s">
        <v>1807</v>
      </c>
      <c r="B1709" t="s">
        <v>38</v>
      </c>
      <c r="C1709" s="7">
        <v>45720</v>
      </c>
      <c r="D1709" s="7">
        <v>45721</v>
      </c>
      <c r="E1709" t="s">
        <v>26</v>
      </c>
      <c r="F1709" t="s">
        <v>39</v>
      </c>
      <c r="G1709">
        <v>3</v>
      </c>
      <c r="H1709" t="s">
        <v>18</v>
      </c>
      <c r="I1709" t="s">
        <v>32</v>
      </c>
      <c r="J1709">
        <f>orders[[#This Row],[Ship Date]]-orders[[#This Row],[Order Date]]</f>
        <v>1</v>
      </c>
      <c r="K1709">
        <f>WEEKNUM(orders[[#This Row],[Order Date]])</f>
        <v>10</v>
      </c>
      <c r="L1709" t="str" cm="1">
        <f t="array" ref="L1709">_xlfn.IFS(orders[[#This Row],[Customer Gender]]="M","Male", orders[[#This Row],[Customer Gender]]="F","Female", orders[[#This Row],[Customer Gender]]="O","Other", TRUE,"Unknown")</f>
        <v>Female</v>
      </c>
      <c r="M1709">
        <v>1</v>
      </c>
      <c r="N1709">
        <v>81</v>
      </c>
      <c r="O1709">
        <v>81</v>
      </c>
    </row>
    <row r="1710" spans="1:15" x14ac:dyDescent="0.3">
      <c r="A1710" t="s">
        <v>1808</v>
      </c>
      <c r="B1710" t="s">
        <v>53</v>
      </c>
      <c r="C1710" s="7">
        <v>45720</v>
      </c>
      <c r="D1710" s="7">
        <v>45724</v>
      </c>
      <c r="E1710" t="s">
        <v>26</v>
      </c>
      <c r="F1710" t="s">
        <v>17</v>
      </c>
      <c r="G1710">
        <v>4</v>
      </c>
      <c r="H1710" t="s">
        <v>18</v>
      </c>
      <c r="I1710" t="s">
        <v>32</v>
      </c>
      <c r="J1710">
        <f>orders[[#This Row],[Ship Date]]-orders[[#This Row],[Order Date]]</f>
        <v>4</v>
      </c>
      <c r="K1710">
        <f>WEEKNUM(orders[[#This Row],[Order Date]])</f>
        <v>10</v>
      </c>
      <c r="L1710" t="str" cm="1">
        <f t="array" ref="L1710">_xlfn.IFS(orders[[#This Row],[Customer Gender]]="M","Male", orders[[#This Row],[Customer Gender]]="F","Female", orders[[#This Row],[Customer Gender]]="O","Other", TRUE,"Unknown")</f>
        <v>Female</v>
      </c>
      <c r="M1710">
        <v>6</v>
      </c>
      <c r="N1710">
        <v>38.5</v>
      </c>
      <c r="O1710" s="5">
        <v>231</v>
      </c>
    </row>
    <row r="1711" spans="1:15" x14ac:dyDescent="0.3">
      <c r="A1711" t="s">
        <v>1809</v>
      </c>
      <c r="B1711" t="s">
        <v>38</v>
      </c>
      <c r="C1711" s="7">
        <v>45720</v>
      </c>
      <c r="D1711" s="7">
        <v>45722</v>
      </c>
      <c r="E1711" t="s">
        <v>26</v>
      </c>
      <c r="F1711" t="s">
        <v>50</v>
      </c>
      <c r="G1711">
        <v>4</v>
      </c>
      <c r="H1711" t="s">
        <v>18</v>
      </c>
      <c r="I1711" t="s">
        <v>32</v>
      </c>
      <c r="J1711">
        <f>orders[[#This Row],[Ship Date]]-orders[[#This Row],[Order Date]]</f>
        <v>2</v>
      </c>
      <c r="K1711">
        <f>WEEKNUM(orders[[#This Row],[Order Date]])</f>
        <v>10</v>
      </c>
      <c r="L1711" t="str" cm="1">
        <f t="array" ref="L1711">_xlfn.IFS(orders[[#This Row],[Customer Gender]]="M","Male", orders[[#This Row],[Customer Gender]]="F","Female", orders[[#This Row],[Customer Gender]]="O","Other", TRUE,"Unknown")</f>
        <v>Female</v>
      </c>
      <c r="M1711">
        <v>1</v>
      </c>
      <c r="N1711">
        <v>86.1</v>
      </c>
      <c r="O1711">
        <v>86.1</v>
      </c>
    </row>
    <row r="1712" spans="1:15" x14ac:dyDescent="0.3">
      <c r="A1712" t="s">
        <v>1810</v>
      </c>
      <c r="B1712" t="s">
        <v>25</v>
      </c>
      <c r="C1712" s="7">
        <v>45720</v>
      </c>
      <c r="D1712" s="7">
        <v>45721</v>
      </c>
      <c r="E1712" t="s">
        <v>22</v>
      </c>
      <c r="F1712" t="s">
        <v>17</v>
      </c>
      <c r="G1712">
        <v>3</v>
      </c>
      <c r="H1712" t="s">
        <v>18</v>
      </c>
      <c r="I1712" t="s">
        <v>32</v>
      </c>
      <c r="J1712">
        <f>orders[[#This Row],[Ship Date]]-orders[[#This Row],[Order Date]]</f>
        <v>1</v>
      </c>
      <c r="K1712">
        <f>WEEKNUM(orders[[#This Row],[Order Date]])</f>
        <v>10</v>
      </c>
      <c r="L1712" t="str" cm="1">
        <f t="array" ref="L1712">_xlfn.IFS(orders[[#This Row],[Customer Gender]]="M","Male", orders[[#This Row],[Customer Gender]]="F","Female", orders[[#This Row],[Customer Gender]]="O","Other", TRUE,"Unknown")</f>
        <v>Male</v>
      </c>
      <c r="M1712">
        <v>5</v>
      </c>
      <c r="N1712">
        <v>51</v>
      </c>
      <c r="O1712" s="5">
        <v>255</v>
      </c>
    </row>
    <row r="1713" spans="1:15" x14ac:dyDescent="0.3">
      <c r="A1713" t="s">
        <v>1811</v>
      </c>
      <c r="B1713" t="s">
        <v>29</v>
      </c>
      <c r="C1713" s="7">
        <v>45720</v>
      </c>
      <c r="D1713" s="7">
        <v>45721</v>
      </c>
      <c r="E1713" t="s">
        <v>22</v>
      </c>
      <c r="F1713" t="s">
        <v>17</v>
      </c>
      <c r="G1713">
        <v>4</v>
      </c>
      <c r="H1713" t="s">
        <v>18</v>
      </c>
      <c r="I1713" t="s">
        <v>32</v>
      </c>
      <c r="J1713">
        <f>orders[[#This Row],[Ship Date]]-orders[[#This Row],[Order Date]]</f>
        <v>1</v>
      </c>
      <c r="K1713">
        <f>WEEKNUM(orders[[#This Row],[Order Date]])</f>
        <v>10</v>
      </c>
      <c r="L1713" t="str" cm="1">
        <f t="array" ref="L1713">_xlfn.IFS(orders[[#This Row],[Customer Gender]]="M","Male", orders[[#This Row],[Customer Gender]]="F","Female", orders[[#This Row],[Customer Gender]]="O","Other", TRUE,"Unknown")</f>
        <v>Male</v>
      </c>
      <c r="M1713">
        <v>5</v>
      </c>
      <c r="N1713">
        <v>115.4</v>
      </c>
      <c r="O1713">
        <v>577</v>
      </c>
    </row>
    <row r="1714" spans="1:15" x14ac:dyDescent="0.3">
      <c r="A1714" t="s">
        <v>1812</v>
      </c>
      <c r="B1714" t="s">
        <v>38</v>
      </c>
      <c r="C1714" s="7">
        <v>45720</v>
      </c>
      <c r="D1714" s="7">
        <v>45721</v>
      </c>
      <c r="E1714" t="s">
        <v>26</v>
      </c>
      <c r="F1714" t="s">
        <v>39</v>
      </c>
      <c r="G1714">
        <v>5</v>
      </c>
      <c r="H1714" t="s">
        <v>18</v>
      </c>
      <c r="I1714" t="s">
        <v>32</v>
      </c>
      <c r="J1714">
        <f>orders[[#This Row],[Ship Date]]-orders[[#This Row],[Order Date]]</f>
        <v>1</v>
      </c>
      <c r="K1714">
        <f>WEEKNUM(orders[[#This Row],[Order Date]])</f>
        <v>10</v>
      </c>
      <c r="L1714" t="str" cm="1">
        <f t="array" ref="L1714">_xlfn.IFS(orders[[#This Row],[Customer Gender]]="M","Male", orders[[#This Row],[Customer Gender]]="F","Female", orders[[#This Row],[Customer Gender]]="O","Other", TRUE,"Unknown")</f>
        <v>Female</v>
      </c>
      <c r="M1714">
        <v>4</v>
      </c>
      <c r="N1714">
        <v>176.5</v>
      </c>
      <c r="O1714" s="5">
        <v>706</v>
      </c>
    </row>
    <row r="1715" spans="1:15" x14ac:dyDescent="0.3">
      <c r="A1715" t="s">
        <v>1813</v>
      </c>
      <c r="B1715" t="s">
        <v>41</v>
      </c>
      <c r="C1715" s="7">
        <v>45720</v>
      </c>
      <c r="D1715" s="7">
        <v>45721</v>
      </c>
      <c r="E1715" t="s">
        <v>22</v>
      </c>
      <c r="F1715" t="s">
        <v>69</v>
      </c>
      <c r="G1715">
        <v>4</v>
      </c>
      <c r="H1715" t="s">
        <v>18</v>
      </c>
      <c r="I1715" t="s">
        <v>32</v>
      </c>
      <c r="J1715">
        <f>orders[[#This Row],[Ship Date]]-orders[[#This Row],[Order Date]]</f>
        <v>1</v>
      </c>
      <c r="K1715">
        <f>WEEKNUM(orders[[#This Row],[Order Date]])</f>
        <v>10</v>
      </c>
      <c r="L1715" t="str" cm="1">
        <f t="array" ref="L1715">_xlfn.IFS(orders[[#This Row],[Customer Gender]]="M","Male", orders[[#This Row],[Customer Gender]]="F","Female", orders[[#This Row],[Customer Gender]]="O","Other", TRUE,"Unknown")</f>
        <v>Male</v>
      </c>
      <c r="M1715">
        <v>3</v>
      </c>
      <c r="N1715">
        <v>48.9</v>
      </c>
      <c r="O1715">
        <v>146.69999999999999</v>
      </c>
    </row>
    <row r="1716" spans="1:15" x14ac:dyDescent="0.3">
      <c r="A1716" t="s">
        <v>1814</v>
      </c>
      <c r="B1716" t="s">
        <v>43</v>
      </c>
      <c r="C1716" s="7">
        <v>45720</v>
      </c>
      <c r="D1716" s="7">
        <v>45727</v>
      </c>
      <c r="E1716" t="s">
        <v>26</v>
      </c>
      <c r="F1716" t="s">
        <v>34</v>
      </c>
      <c r="G1716">
        <v>5</v>
      </c>
      <c r="H1716" t="s">
        <v>18</v>
      </c>
      <c r="I1716" t="s">
        <v>257</v>
      </c>
      <c r="J1716">
        <f>orders[[#This Row],[Ship Date]]-orders[[#This Row],[Order Date]]</f>
        <v>7</v>
      </c>
      <c r="K1716">
        <f>WEEKNUM(orders[[#This Row],[Order Date]])</f>
        <v>10</v>
      </c>
      <c r="L1716" t="str" cm="1">
        <f t="array" ref="L1716">_xlfn.IFS(orders[[#This Row],[Customer Gender]]="M","Male", orders[[#This Row],[Customer Gender]]="F","Female", orders[[#This Row],[Customer Gender]]="O","Other", TRUE,"Unknown")</f>
        <v>Female</v>
      </c>
      <c r="M1716">
        <v>3</v>
      </c>
      <c r="N1716">
        <v>18.100000000000001</v>
      </c>
      <c r="O1716" s="5">
        <v>54.300000000000004</v>
      </c>
    </row>
    <row r="1717" spans="1:15" x14ac:dyDescent="0.3">
      <c r="A1717" t="s">
        <v>1815</v>
      </c>
      <c r="B1717" t="s">
        <v>25</v>
      </c>
      <c r="C1717" s="7">
        <v>45720</v>
      </c>
      <c r="D1717" s="7">
        <v>45723</v>
      </c>
      <c r="E1717" t="s">
        <v>22</v>
      </c>
      <c r="F1717" t="s">
        <v>34</v>
      </c>
      <c r="G1717">
        <v>5</v>
      </c>
      <c r="H1717" t="s">
        <v>18</v>
      </c>
      <c r="I1717" t="s">
        <v>97</v>
      </c>
      <c r="J1717">
        <f>orders[[#This Row],[Ship Date]]-orders[[#This Row],[Order Date]]</f>
        <v>3</v>
      </c>
      <c r="K1717">
        <f>WEEKNUM(orders[[#This Row],[Order Date]])</f>
        <v>10</v>
      </c>
      <c r="L1717" t="str" cm="1">
        <f t="array" ref="L1717">_xlfn.IFS(orders[[#This Row],[Customer Gender]]="M","Male", orders[[#This Row],[Customer Gender]]="F","Female", orders[[#This Row],[Customer Gender]]="O","Other", TRUE,"Unknown")</f>
        <v>Male</v>
      </c>
      <c r="M1717">
        <v>2</v>
      </c>
      <c r="N1717">
        <v>118.5</v>
      </c>
      <c r="O1717">
        <v>237</v>
      </c>
    </row>
    <row r="1718" spans="1:15" x14ac:dyDescent="0.3">
      <c r="A1718" t="s">
        <v>1816</v>
      </c>
      <c r="B1718" t="s">
        <v>122</v>
      </c>
      <c r="C1718" s="7">
        <v>45720</v>
      </c>
      <c r="D1718" s="7">
        <v>45721</v>
      </c>
      <c r="E1718" t="s">
        <v>26</v>
      </c>
      <c r="F1718" t="s">
        <v>50</v>
      </c>
      <c r="G1718">
        <v>4</v>
      </c>
      <c r="H1718" t="s">
        <v>18</v>
      </c>
      <c r="I1718" t="s">
        <v>187</v>
      </c>
      <c r="J1718">
        <f>orders[[#This Row],[Ship Date]]-orders[[#This Row],[Order Date]]</f>
        <v>1</v>
      </c>
      <c r="K1718">
        <f>WEEKNUM(orders[[#This Row],[Order Date]])</f>
        <v>10</v>
      </c>
      <c r="L1718" t="str" cm="1">
        <f t="array" ref="L1718">_xlfn.IFS(orders[[#This Row],[Customer Gender]]="M","Male", orders[[#This Row],[Customer Gender]]="F","Female", orders[[#This Row],[Customer Gender]]="O","Other", TRUE,"Unknown")</f>
        <v>Female</v>
      </c>
      <c r="M1718">
        <v>7</v>
      </c>
      <c r="N1718">
        <v>59.1</v>
      </c>
      <c r="O1718" s="5">
        <v>413.7</v>
      </c>
    </row>
    <row r="1719" spans="1:15" x14ac:dyDescent="0.3">
      <c r="A1719" t="s">
        <v>1817</v>
      </c>
      <c r="B1719" t="s">
        <v>31</v>
      </c>
      <c r="C1719" s="7">
        <v>45720</v>
      </c>
      <c r="D1719" s="7">
        <v>45721</v>
      </c>
      <c r="E1719" t="s">
        <v>26</v>
      </c>
      <c r="F1719" t="s">
        <v>17</v>
      </c>
      <c r="G1719">
        <v>3</v>
      </c>
      <c r="H1719" t="s">
        <v>18</v>
      </c>
      <c r="I1719" t="s">
        <v>54</v>
      </c>
      <c r="J1719">
        <f>orders[[#This Row],[Ship Date]]-orders[[#This Row],[Order Date]]</f>
        <v>1</v>
      </c>
      <c r="K1719">
        <f>WEEKNUM(orders[[#This Row],[Order Date]])</f>
        <v>10</v>
      </c>
      <c r="L1719" t="str" cm="1">
        <f t="array" ref="L1719">_xlfn.IFS(orders[[#This Row],[Customer Gender]]="M","Male", orders[[#This Row],[Customer Gender]]="F","Female", orders[[#This Row],[Customer Gender]]="O","Other", TRUE,"Unknown")</f>
        <v>Female</v>
      </c>
      <c r="M1719">
        <v>1</v>
      </c>
      <c r="N1719">
        <v>21.2</v>
      </c>
      <c r="O1719">
        <v>21.2</v>
      </c>
    </row>
    <row r="1720" spans="1:15" x14ac:dyDescent="0.3">
      <c r="A1720" t="s">
        <v>1818</v>
      </c>
      <c r="B1720" t="s">
        <v>38</v>
      </c>
      <c r="C1720" s="7">
        <v>45720</v>
      </c>
      <c r="D1720" s="7">
        <v>45725</v>
      </c>
      <c r="E1720" t="s">
        <v>26</v>
      </c>
      <c r="F1720" t="s">
        <v>50</v>
      </c>
      <c r="G1720">
        <v>5</v>
      </c>
      <c r="H1720" t="s">
        <v>18</v>
      </c>
      <c r="I1720" t="s">
        <v>54</v>
      </c>
      <c r="J1720">
        <f>orders[[#This Row],[Ship Date]]-orders[[#This Row],[Order Date]]</f>
        <v>5</v>
      </c>
      <c r="K1720">
        <f>WEEKNUM(orders[[#This Row],[Order Date]])</f>
        <v>10</v>
      </c>
      <c r="L1720" t="str" cm="1">
        <f t="array" ref="L1720">_xlfn.IFS(orders[[#This Row],[Customer Gender]]="M","Male", orders[[#This Row],[Customer Gender]]="F","Female", orders[[#This Row],[Customer Gender]]="O","Other", TRUE,"Unknown")</f>
        <v>Female</v>
      </c>
      <c r="M1720">
        <v>2</v>
      </c>
      <c r="N1720">
        <v>68.8</v>
      </c>
      <c r="O1720" s="5">
        <v>137.6</v>
      </c>
    </row>
    <row r="1721" spans="1:15" x14ac:dyDescent="0.3">
      <c r="A1721" t="s">
        <v>1819</v>
      </c>
      <c r="B1721" t="s">
        <v>38</v>
      </c>
      <c r="C1721" s="7">
        <v>45720</v>
      </c>
      <c r="D1721" s="7">
        <v>45724</v>
      </c>
      <c r="E1721" t="s">
        <v>26</v>
      </c>
      <c r="F1721" t="s">
        <v>17</v>
      </c>
      <c r="G1721">
        <v>4</v>
      </c>
      <c r="H1721" t="s">
        <v>18</v>
      </c>
      <c r="I1721" t="s">
        <v>54</v>
      </c>
      <c r="J1721">
        <f>orders[[#This Row],[Ship Date]]-orders[[#This Row],[Order Date]]</f>
        <v>4</v>
      </c>
      <c r="K1721">
        <f>WEEKNUM(orders[[#This Row],[Order Date]])</f>
        <v>10</v>
      </c>
      <c r="L1721" t="str" cm="1">
        <f t="array" ref="L1721">_xlfn.IFS(orders[[#This Row],[Customer Gender]]="M","Male", orders[[#This Row],[Customer Gender]]="F","Female", orders[[#This Row],[Customer Gender]]="O","Other", TRUE,"Unknown")</f>
        <v>Female</v>
      </c>
      <c r="M1721">
        <v>2</v>
      </c>
      <c r="N1721">
        <v>65.400000000000006</v>
      </c>
      <c r="O1721">
        <v>130.80000000000001</v>
      </c>
    </row>
    <row r="1722" spans="1:15" x14ac:dyDescent="0.3">
      <c r="A1722" t="s">
        <v>1820</v>
      </c>
      <c r="B1722" t="s">
        <v>68</v>
      </c>
      <c r="C1722" s="7">
        <v>45721</v>
      </c>
      <c r="D1722" s="7">
        <v>45724</v>
      </c>
      <c r="E1722" t="s">
        <v>26</v>
      </c>
      <c r="F1722" t="s">
        <v>69</v>
      </c>
      <c r="G1722">
        <v>4</v>
      </c>
      <c r="H1722" t="s">
        <v>18</v>
      </c>
      <c r="I1722" t="s">
        <v>54</v>
      </c>
      <c r="J1722">
        <f>orders[[#This Row],[Ship Date]]-orders[[#This Row],[Order Date]]</f>
        <v>3</v>
      </c>
      <c r="K1722">
        <f>WEEKNUM(orders[[#This Row],[Order Date]])</f>
        <v>10</v>
      </c>
      <c r="L1722" t="str" cm="1">
        <f t="array" ref="L1722">_xlfn.IFS(orders[[#This Row],[Customer Gender]]="M","Male", orders[[#This Row],[Customer Gender]]="F","Female", orders[[#This Row],[Customer Gender]]="O","Other", TRUE,"Unknown")</f>
        <v>Female</v>
      </c>
      <c r="M1722">
        <v>5</v>
      </c>
      <c r="N1722">
        <v>66.3</v>
      </c>
      <c r="O1722" s="5">
        <v>331.5</v>
      </c>
    </row>
    <row r="1723" spans="1:15" x14ac:dyDescent="0.3">
      <c r="A1723" t="s">
        <v>1821</v>
      </c>
      <c r="B1723" t="s">
        <v>38</v>
      </c>
      <c r="C1723" s="7">
        <v>45721</v>
      </c>
      <c r="D1723" s="7">
        <v>45721</v>
      </c>
      <c r="E1723" t="s">
        <v>22</v>
      </c>
      <c r="F1723" t="s">
        <v>50</v>
      </c>
      <c r="G1723">
        <v>4</v>
      </c>
      <c r="H1723" t="s">
        <v>18</v>
      </c>
      <c r="I1723" t="s">
        <v>61</v>
      </c>
      <c r="J1723">
        <f>orders[[#This Row],[Ship Date]]-orders[[#This Row],[Order Date]]</f>
        <v>0</v>
      </c>
      <c r="K1723">
        <f>WEEKNUM(orders[[#This Row],[Order Date]])</f>
        <v>10</v>
      </c>
      <c r="L1723" t="str" cm="1">
        <f t="array" ref="L1723">_xlfn.IFS(orders[[#This Row],[Customer Gender]]="M","Male", orders[[#This Row],[Customer Gender]]="F","Female", orders[[#This Row],[Customer Gender]]="O","Other", TRUE,"Unknown")</f>
        <v>Male</v>
      </c>
      <c r="M1723">
        <v>3</v>
      </c>
      <c r="N1723">
        <v>97.5</v>
      </c>
      <c r="O1723">
        <v>292.5</v>
      </c>
    </row>
    <row r="1724" spans="1:15" x14ac:dyDescent="0.3">
      <c r="A1724" t="s">
        <v>1822</v>
      </c>
      <c r="B1724" t="s">
        <v>21</v>
      </c>
      <c r="C1724" s="7">
        <v>45721</v>
      </c>
      <c r="D1724" s="7">
        <v>45724</v>
      </c>
      <c r="E1724" t="s">
        <v>26</v>
      </c>
      <c r="F1724" t="s">
        <v>34</v>
      </c>
      <c r="G1724">
        <v>5</v>
      </c>
      <c r="H1724" t="s">
        <v>18</v>
      </c>
      <c r="I1724" t="s">
        <v>61</v>
      </c>
      <c r="J1724">
        <f>orders[[#This Row],[Ship Date]]-orders[[#This Row],[Order Date]]</f>
        <v>3</v>
      </c>
      <c r="K1724">
        <f>WEEKNUM(orders[[#This Row],[Order Date]])</f>
        <v>10</v>
      </c>
      <c r="L1724" t="str" cm="1">
        <f t="array" ref="L1724">_xlfn.IFS(orders[[#This Row],[Customer Gender]]="M","Male", orders[[#This Row],[Customer Gender]]="F","Female", orders[[#This Row],[Customer Gender]]="O","Other", TRUE,"Unknown")</f>
        <v>Female</v>
      </c>
      <c r="M1724">
        <v>2</v>
      </c>
      <c r="N1724">
        <v>44</v>
      </c>
      <c r="O1724" s="5">
        <v>88</v>
      </c>
    </row>
    <row r="1725" spans="1:15" x14ac:dyDescent="0.3">
      <c r="A1725" t="s">
        <v>1823</v>
      </c>
      <c r="B1725" t="s">
        <v>16</v>
      </c>
      <c r="C1725" s="7">
        <v>45721</v>
      </c>
      <c r="D1725" s="7">
        <v>45722</v>
      </c>
      <c r="E1725" t="s">
        <v>22</v>
      </c>
      <c r="F1725" t="s">
        <v>17</v>
      </c>
      <c r="G1725">
        <v>4</v>
      </c>
      <c r="H1725" t="s">
        <v>18</v>
      </c>
      <c r="I1725" t="s">
        <v>61</v>
      </c>
      <c r="J1725">
        <f>orders[[#This Row],[Ship Date]]-orders[[#This Row],[Order Date]]</f>
        <v>1</v>
      </c>
      <c r="K1725">
        <f>WEEKNUM(orders[[#This Row],[Order Date]])</f>
        <v>10</v>
      </c>
      <c r="L1725" t="str" cm="1">
        <f t="array" ref="L1725">_xlfn.IFS(orders[[#This Row],[Customer Gender]]="M","Male", orders[[#This Row],[Customer Gender]]="F","Female", orders[[#This Row],[Customer Gender]]="O","Other", TRUE,"Unknown")</f>
        <v>Male</v>
      </c>
      <c r="M1725">
        <v>1</v>
      </c>
      <c r="N1725">
        <v>21.9</v>
      </c>
      <c r="O1725">
        <v>21.9</v>
      </c>
    </row>
    <row r="1726" spans="1:15" x14ac:dyDescent="0.3">
      <c r="A1726" t="s">
        <v>1824</v>
      </c>
      <c r="B1726" t="s">
        <v>31</v>
      </c>
      <c r="C1726" s="7">
        <v>45721</v>
      </c>
      <c r="D1726" s="7">
        <v>45723</v>
      </c>
      <c r="E1726" t="s">
        <v>26</v>
      </c>
      <c r="F1726" t="s">
        <v>34</v>
      </c>
      <c r="G1726">
        <v>5</v>
      </c>
      <c r="H1726" t="s">
        <v>18</v>
      </c>
      <c r="I1726" t="s">
        <v>71</v>
      </c>
      <c r="J1726">
        <f>orders[[#This Row],[Ship Date]]-orders[[#This Row],[Order Date]]</f>
        <v>2</v>
      </c>
      <c r="K1726">
        <f>WEEKNUM(orders[[#This Row],[Order Date]])</f>
        <v>10</v>
      </c>
      <c r="L1726" t="str" cm="1">
        <f t="array" ref="L1726">_xlfn.IFS(orders[[#This Row],[Customer Gender]]="M","Male", orders[[#This Row],[Customer Gender]]="F","Female", orders[[#This Row],[Customer Gender]]="O","Other", TRUE,"Unknown")</f>
        <v>Female</v>
      </c>
      <c r="M1726">
        <v>7</v>
      </c>
      <c r="N1726">
        <v>21.5</v>
      </c>
      <c r="O1726" s="5">
        <v>150.5</v>
      </c>
    </row>
    <row r="1727" spans="1:15" x14ac:dyDescent="0.3">
      <c r="A1727" t="s">
        <v>1825</v>
      </c>
      <c r="B1727" t="s">
        <v>68</v>
      </c>
      <c r="C1727" s="7">
        <v>45721</v>
      </c>
      <c r="D1727" s="7">
        <v>45722</v>
      </c>
      <c r="E1727" t="s">
        <v>88</v>
      </c>
      <c r="F1727" t="s">
        <v>17</v>
      </c>
      <c r="G1727">
        <v>5</v>
      </c>
      <c r="H1727" t="s">
        <v>18</v>
      </c>
      <c r="I1727" t="s">
        <v>73</v>
      </c>
      <c r="J1727">
        <f>orders[[#This Row],[Ship Date]]-orders[[#This Row],[Order Date]]</f>
        <v>1</v>
      </c>
      <c r="K1727">
        <f>WEEKNUM(orders[[#This Row],[Order Date]])</f>
        <v>10</v>
      </c>
      <c r="L1727" t="str" cm="1">
        <f t="array" ref="L1727">_xlfn.IFS(orders[[#This Row],[Customer Gender]]="M","Male", orders[[#This Row],[Customer Gender]]="F","Female", orders[[#This Row],[Customer Gender]]="O","Other", TRUE,"Unknown")</f>
        <v>Other</v>
      </c>
      <c r="M1727">
        <v>6</v>
      </c>
      <c r="N1727">
        <v>133</v>
      </c>
      <c r="O1727">
        <v>798</v>
      </c>
    </row>
    <row r="1728" spans="1:15" x14ac:dyDescent="0.3">
      <c r="A1728" t="s">
        <v>1826</v>
      </c>
      <c r="B1728" t="s">
        <v>43</v>
      </c>
      <c r="C1728" s="7">
        <v>45721</v>
      </c>
      <c r="D1728" s="7">
        <v>45725</v>
      </c>
      <c r="E1728" t="s">
        <v>22</v>
      </c>
      <c r="F1728" t="s">
        <v>17</v>
      </c>
      <c r="G1728">
        <v>5</v>
      </c>
      <c r="H1728" t="s">
        <v>18</v>
      </c>
      <c r="I1728" t="s">
        <v>73</v>
      </c>
      <c r="J1728">
        <f>orders[[#This Row],[Ship Date]]-orders[[#This Row],[Order Date]]</f>
        <v>4</v>
      </c>
      <c r="K1728">
        <f>WEEKNUM(orders[[#This Row],[Order Date]])</f>
        <v>10</v>
      </c>
      <c r="L1728" t="str" cm="1">
        <f t="array" ref="L1728">_xlfn.IFS(orders[[#This Row],[Customer Gender]]="M","Male", orders[[#This Row],[Customer Gender]]="F","Female", orders[[#This Row],[Customer Gender]]="O","Other", TRUE,"Unknown")</f>
        <v>Male</v>
      </c>
      <c r="M1728">
        <v>2</v>
      </c>
      <c r="N1728">
        <v>47.7</v>
      </c>
      <c r="O1728" s="5">
        <v>95.4</v>
      </c>
    </row>
    <row r="1729" spans="1:15" x14ac:dyDescent="0.3">
      <c r="A1729" t="s">
        <v>1827</v>
      </c>
      <c r="B1729" t="s">
        <v>127</v>
      </c>
      <c r="C1729" s="7">
        <v>45721</v>
      </c>
      <c r="D1729" s="7">
        <v>45722</v>
      </c>
      <c r="E1729" t="s">
        <v>26</v>
      </c>
      <c r="F1729" t="s">
        <v>17</v>
      </c>
      <c r="G1729">
        <v>4</v>
      </c>
      <c r="H1729" t="s">
        <v>18</v>
      </c>
      <c r="I1729" t="s">
        <v>76</v>
      </c>
      <c r="J1729">
        <f>orders[[#This Row],[Ship Date]]-orders[[#This Row],[Order Date]]</f>
        <v>1</v>
      </c>
      <c r="K1729">
        <f>WEEKNUM(orders[[#This Row],[Order Date]])</f>
        <v>10</v>
      </c>
      <c r="L1729" t="str" cm="1">
        <f t="array" ref="L1729">_xlfn.IFS(orders[[#This Row],[Customer Gender]]="M","Male", orders[[#This Row],[Customer Gender]]="F","Female", orders[[#This Row],[Customer Gender]]="O","Other", TRUE,"Unknown")</f>
        <v>Female</v>
      </c>
      <c r="M1729">
        <v>3</v>
      </c>
      <c r="N1729">
        <v>58.1</v>
      </c>
      <c r="O1729">
        <v>174.3</v>
      </c>
    </row>
    <row r="1730" spans="1:15" x14ac:dyDescent="0.3">
      <c r="A1730" t="s">
        <v>1828</v>
      </c>
      <c r="B1730" t="s">
        <v>68</v>
      </c>
      <c r="C1730" s="7">
        <v>45721</v>
      </c>
      <c r="D1730" s="7">
        <v>45722</v>
      </c>
      <c r="E1730" t="s">
        <v>2517</v>
      </c>
      <c r="F1730" t="s">
        <v>17</v>
      </c>
      <c r="G1730">
        <v>4</v>
      </c>
      <c r="H1730" t="s">
        <v>18</v>
      </c>
      <c r="I1730" t="s">
        <v>76</v>
      </c>
      <c r="J1730">
        <f>orders[[#This Row],[Ship Date]]-orders[[#This Row],[Order Date]]</f>
        <v>1</v>
      </c>
      <c r="K1730">
        <f>WEEKNUM(orders[[#This Row],[Order Date]])</f>
        <v>10</v>
      </c>
      <c r="L1730" t="str" cm="1">
        <f t="array" ref="L1730">_xlfn.IFS(orders[[#This Row],[Customer Gender]]="M","Male", orders[[#This Row],[Customer Gender]]="F","Female", orders[[#This Row],[Customer Gender]]="O","Other", TRUE,"Unknown")</f>
        <v>Unknown</v>
      </c>
      <c r="M1730">
        <v>4</v>
      </c>
      <c r="N1730">
        <v>66.599999999999994</v>
      </c>
      <c r="O1730" s="5">
        <v>266.39999999999998</v>
      </c>
    </row>
    <row r="1731" spans="1:15" x14ac:dyDescent="0.3">
      <c r="A1731" t="s">
        <v>1829</v>
      </c>
      <c r="B1731" t="s">
        <v>45</v>
      </c>
      <c r="C1731" s="7">
        <v>45721</v>
      </c>
      <c r="D1731" s="7">
        <v>45724</v>
      </c>
      <c r="E1731" t="s">
        <v>22</v>
      </c>
      <c r="F1731" t="s">
        <v>39</v>
      </c>
      <c r="G1731">
        <v>3</v>
      </c>
      <c r="H1731" t="s">
        <v>18</v>
      </c>
      <c r="I1731" t="s">
        <v>109</v>
      </c>
      <c r="J1731">
        <f>orders[[#This Row],[Ship Date]]-orders[[#This Row],[Order Date]]</f>
        <v>3</v>
      </c>
      <c r="K1731">
        <f>WEEKNUM(orders[[#This Row],[Order Date]])</f>
        <v>10</v>
      </c>
      <c r="L1731" t="str" cm="1">
        <f t="array" ref="L1731">_xlfn.IFS(orders[[#This Row],[Customer Gender]]="M","Male", orders[[#This Row],[Customer Gender]]="F","Female", orders[[#This Row],[Customer Gender]]="O","Other", TRUE,"Unknown")</f>
        <v>Male</v>
      </c>
      <c r="M1731">
        <v>1</v>
      </c>
      <c r="N1731">
        <v>24.1</v>
      </c>
      <c r="O1731">
        <v>24.1</v>
      </c>
    </row>
    <row r="1732" spans="1:15" x14ac:dyDescent="0.3">
      <c r="A1732" t="s">
        <v>1830</v>
      </c>
      <c r="B1732" t="s">
        <v>53</v>
      </c>
      <c r="C1732" s="7">
        <v>45721</v>
      </c>
      <c r="D1732" s="7">
        <v>45726</v>
      </c>
      <c r="E1732" t="s">
        <v>26</v>
      </c>
      <c r="F1732" t="s">
        <v>17</v>
      </c>
      <c r="G1732">
        <v>4</v>
      </c>
      <c r="H1732" t="s">
        <v>18</v>
      </c>
      <c r="I1732" t="s">
        <v>81</v>
      </c>
      <c r="J1732">
        <f>orders[[#This Row],[Ship Date]]-orders[[#This Row],[Order Date]]</f>
        <v>5</v>
      </c>
      <c r="K1732">
        <f>WEEKNUM(orders[[#This Row],[Order Date]])</f>
        <v>10</v>
      </c>
      <c r="L1732" t="str" cm="1">
        <f t="array" ref="L1732">_xlfn.IFS(orders[[#This Row],[Customer Gender]]="M","Male", orders[[#This Row],[Customer Gender]]="F","Female", orders[[#This Row],[Customer Gender]]="O","Other", TRUE,"Unknown")</f>
        <v>Female</v>
      </c>
      <c r="M1732">
        <v>5</v>
      </c>
      <c r="N1732">
        <v>51.5</v>
      </c>
      <c r="O1732" s="5">
        <v>257.5</v>
      </c>
    </row>
    <row r="1733" spans="1:15" x14ac:dyDescent="0.3">
      <c r="A1733" t="s">
        <v>1831</v>
      </c>
      <c r="B1733" t="s">
        <v>16</v>
      </c>
      <c r="C1733" s="7">
        <v>45721</v>
      </c>
      <c r="D1733" s="7">
        <v>45725</v>
      </c>
      <c r="E1733" t="s">
        <v>26</v>
      </c>
      <c r="F1733" t="s">
        <v>50</v>
      </c>
      <c r="G1733">
        <v>2</v>
      </c>
      <c r="H1733" t="s">
        <v>18</v>
      </c>
      <c r="I1733" t="s">
        <v>114</v>
      </c>
      <c r="J1733">
        <f>orders[[#This Row],[Ship Date]]-orders[[#This Row],[Order Date]]</f>
        <v>4</v>
      </c>
      <c r="K1733">
        <f>WEEKNUM(orders[[#This Row],[Order Date]])</f>
        <v>10</v>
      </c>
      <c r="L1733" t="str" cm="1">
        <f t="array" ref="L1733">_xlfn.IFS(orders[[#This Row],[Customer Gender]]="M","Male", orders[[#This Row],[Customer Gender]]="F","Female", orders[[#This Row],[Customer Gender]]="O","Other", TRUE,"Unknown")</f>
        <v>Female</v>
      </c>
      <c r="M1733">
        <v>11</v>
      </c>
      <c r="N1733">
        <v>25.8</v>
      </c>
      <c r="O1733">
        <v>283.8</v>
      </c>
    </row>
    <row r="1734" spans="1:15" x14ac:dyDescent="0.3">
      <c r="A1734" t="s">
        <v>1832</v>
      </c>
      <c r="B1734" t="s">
        <v>45</v>
      </c>
      <c r="C1734" s="7">
        <v>45721</v>
      </c>
      <c r="D1734" s="7">
        <v>45721</v>
      </c>
      <c r="E1734" t="s">
        <v>26</v>
      </c>
      <c r="F1734" t="s">
        <v>17</v>
      </c>
      <c r="G1734">
        <v>3</v>
      </c>
      <c r="H1734" t="s">
        <v>18</v>
      </c>
      <c r="I1734" t="s">
        <v>114</v>
      </c>
      <c r="J1734">
        <f>orders[[#This Row],[Ship Date]]-orders[[#This Row],[Order Date]]</f>
        <v>0</v>
      </c>
      <c r="K1734">
        <f>WEEKNUM(orders[[#This Row],[Order Date]])</f>
        <v>10</v>
      </c>
      <c r="L1734" t="str" cm="1">
        <f t="array" ref="L1734">_xlfn.IFS(orders[[#This Row],[Customer Gender]]="M","Male", orders[[#This Row],[Customer Gender]]="F","Female", orders[[#This Row],[Customer Gender]]="O","Other", TRUE,"Unknown")</f>
        <v>Female</v>
      </c>
      <c r="M1734">
        <v>4</v>
      </c>
      <c r="N1734">
        <v>47.7</v>
      </c>
      <c r="O1734" s="5">
        <v>190.8</v>
      </c>
    </row>
    <row r="1735" spans="1:15" x14ac:dyDescent="0.3">
      <c r="A1735" t="s">
        <v>1833</v>
      </c>
      <c r="B1735" t="s">
        <v>41</v>
      </c>
      <c r="C1735" s="7">
        <v>45721</v>
      </c>
      <c r="D1735" s="7">
        <v>45725</v>
      </c>
      <c r="E1735" t="s">
        <v>22</v>
      </c>
      <c r="F1735" t="s">
        <v>34</v>
      </c>
      <c r="G1735">
        <v>4</v>
      </c>
      <c r="H1735" t="s">
        <v>18</v>
      </c>
      <c r="I1735" t="s">
        <v>114</v>
      </c>
      <c r="J1735">
        <f>orders[[#This Row],[Ship Date]]-orders[[#This Row],[Order Date]]</f>
        <v>4</v>
      </c>
      <c r="K1735">
        <f>WEEKNUM(orders[[#This Row],[Order Date]])</f>
        <v>10</v>
      </c>
      <c r="L1735" t="str" cm="1">
        <f t="array" ref="L1735">_xlfn.IFS(orders[[#This Row],[Customer Gender]]="M","Male", orders[[#This Row],[Customer Gender]]="F","Female", orders[[#This Row],[Customer Gender]]="O","Other", TRUE,"Unknown")</f>
        <v>Male</v>
      </c>
      <c r="M1735">
        <v>5</v>
      </c>
      <c r="N1735">
        <v>73.599999999999994</v>
      </c>
      <c r="O1735">
        <v>368</v>
      </c>
    </row>
    <row r="1736" spans="1:15" x14ac:dyDescent="0.3">
      <c r="A1736" t="s">
        <v>1834</v>
      </c>
      <c r="B1736" t="s">
        <v>36</v>
      </c>
      <c r="C1736" s="7">
        <v>45721</v>
      </c>
      <c r="D1736" s="7">
        <v>45722</v>
      </c>
      <c r="E1736" t="s">
        <v>22</v>
      </c>
      <c r="F1736" t="s">
        <v>34</v>
      </c>
      <c r="G1736">
        <v>5</v>
      </c>
      <c r="H1736" t="s">
        <v>18</v>
      </c>
      <c r="I1736" t="s">
        <v>114</v>
      </c>
      <c r="J1736">
        <f>orders[[#This Row],[Ship Date]]-orders[[#This Row],[Order Date]]</f>
        <v>1</v>
      </c>
      <c r="K1736">
        <f>WEEKNUM(orders[[#This Row],[Order Date]])</f>
        <v>10</v>
      </c>
      <c r="L1736" t="str" cm="1">
        <f t="array" ref="L1736">_xlfn.IFS(orders[[#This Row],[Customer Gender]]="M","Male", orders[[#This Row],[Customer Gender]]="F","Female", orders[[#This Row],[Customer Gender]]="O","Other", TRUE,"Unknown")</f>
        <v>Male</v>
      </c>
      <c r="M1736">
        <v>7</v>
      </c>
      <c r="N1736">
        <v>91.2</v>
      </c>
      <c r="O1736" s="5">
        <v>638.4</v>
      </c>
    </row>
    <row r="1737" spans="1:15" x14ac:dyDescent="0.3">
      <c r="A1737" t="s">
        <v>1835</v>
      </c>
      <c r="B1737" t="s">
        <v>21</v>
      </c>
      <c r="C1737" s="7">
        <v>45721</v>
      </c>
      <c r="D1737" s="7">
        <v>45721</v>
      </c>
      <c r="E1737" t="s">
        <v>22</v>
      </c>
      <c r="F1737" t="s">
        <v>39</v>
      </c>
      <c r="G1737">
        <v>5</v>
      </c>
      <c r="H1737" t="s">
        <v>18</v>
      </c>
      <c r="I1737" t="s">
        <v>23</v>
      </c>
      <c r="J1737">
        <f>orders[[#This Row],[Ship Date]]-orders[[#This Row],[Order Date]]</f>
        <v>0</v>
      </c>
      <c r="K1737">
        <f>WEEKNUM(orders[[#This Row],[Order Date]])</f>
        <v>10</v>
      </c>
      <c r="L1737" t="str" cm="1">
        <f t="array" ref="L1737">_xlfn.IFS(orders[[#This Row],[Customer Gender]]="M","Male", orders[[#This Row],[Customer Gender]]="F","Female", orders[[#This Row],[Customer Gender]]="O","Other", TRUE,"Unknown")</f>
        <v>Male</v>
      </c>
      <c r="M1737">
        <v>8</v>
      </c>
      <c r="N1737">
        <v>36.200000000000003</v>
      </c>
      <c r="O1737">
        <v>289.60000000000002</v>
      </c>
    </row>
    <row r="1738" spans="1:15" x14ac:dyDescent="0.3">
      <c r="A1738" t="s">
        <v>1836</v>
      </c>
      <c r="B1738" t="s">
        <v>45</v>
      </c>
      <c r="C1738" s="7">
        <v>45721</v>
      </c>
      <c r="D1738" s="7">
        <v>45725</v>
      </c>
      <c r="E1738" t="s">
        <v>26</v>
      </c>
      <c r="F1738" t="s">
        <v>39</v>
      </c>
      <c r="G1738">
        <v>4</v>
      </c>
      <c r="H1738" t="s">
        <v>18</v>
      </c>
      <c r="I1738" t="s">
        <v>27</v>
      </c>
      <c r="J1738">
        <f>orders[[#This Row],[Ship Date]]-orders[[#This Row],[Order Date]]</f>
        <v>4</v>
      </c>
      <c r="K1738">
        <f>WEEKNUM(orders[[#This Row],[Order Date]])</f>
        <v>10</v>
      </c>
      <c r="L1738" t="str" cm="1">
        <f t="array" ref="L1738">_xlfn.IFS(orders[[#This Row],[Customer Gender]]="M","Male", orders[[#This Row],[Customer Gender]]="F","Female", orders[[#This Row],[Customer Gender]]="O","Other", TRUE,"Unknown")</f>
        <v>Female</v>
      </c>
      <c r="M1738">
        <v>8</v>
      </c>
      <c r="N1738">
        <v>98</v>
      </c>
      <c r="O1738" s="5">
        <v>784</v>
      </c>
    </row>
    <row r="1739" spans="1:15" x14ac:dyDescent="0.3">
      <c r="A1739" t="s">
        <v>1837</v>
      </c>
      <c r="B1739" t="s">
        <v>21</v>
      </c>
      <c r="C1739" s="7">
        <v>45721</v>
      </c>
      <c r="D1739" s="7">
        <v>45722</v>
      </c>
      <c r="E1739" t="s">
        <v>26</v>
      </c>
      <c r="F1739" t="s">
        <v>39</v>
      </c>
      <c r="G1739">
        <v>4</v>
      </c>
      <c r="H1739" t="s">
        <v>18</v>
      </c>
      <c r="I1739" t="s">
        <v>146</v>
      </c>
      <c r="J1739">
        <f>orders[[#This Row],[Ship Date]]-orders[[#This Row],[Order Date]]</f>
        <v>1</v>
      </c>
      <c r="K1739">
        <f>WEEKNUM(orders[[#This Row],[Order Date]])</f>
        <v>10</v>
      </c>
      <c r="L1739" t="str" cm="1">
        <f t="array" ref="L1739">_xlfn.IFS(orders[[#This Row],[Customer Gender]]="M","Male", orders[[#This Row],[Customer Gender]]="F","Female", orders[[#This Row],[Customer Gender]]="O","Other", TRUE,"Unknown")</f>
        <v>Female</v>
      </c>
      <c r="M1739">
        <v>8</v>
      </c>
      <c r="N1739">
        <v>43.6</v>
      </c>
      <c r="O1739">
        <v>348.8</v>
      </c>
    </row>
    <row r="1740" spans="1:15" x14ac:dyDescent="0.3">
      <c r="A1740" t="s">
        <v>1838</v>
      </c>
      <c r="B1740" t="s">
        <v>43</v>
      </c>
      <c r="C1740" s="7">
        <v>45721</v>
      </c>
      <c r="D1740" s="7">
        <v>45721</v>
      </c>
      <c r="E1740" t="s">
        <v>88</v>
      </c>
      <c r="F1740" t="s">
        <v>17</v>
      </c>
      <c r="G1740">
        <v>4</v>
      </c>
      <c r="H1740" t="s">
        <v>18</v>
      </c>
      <c r="I1740" t="s">
        <v>948</v>
      </c>
      <c r="J1740">
        <f>orders[[#This Row],[Ship Date]]-orders[[#This Row],[Order Date]]</f>
        <v>0</v>
      </c>
      <c r="K1740">
        <f>WEEKNUM(orders[[#This Row],[Order Date]])</f>
        <v>10</v>
      </c>
      <c r="L1740" t="str" cm="1">
        <f t="array" ref="L1740">_xlfn.IFS(orders[[#This Row],[Customer Gender]]="M","Male", orders[[#This Row],[Customer Gender]]="F","Female", orders[[#This Row],[Customer Gender]]="O","Other", TRUE,"Unknown")</f>
        <v>Other</v>
      </c>
      <c r="M1740">
        <v>10</v>
      </c>
      <c r="N1740">
        <v>37.799999999999997</v>
      </c>
      <c r="O1740" s="5">
        <v>378</v>
      </c>
    </row>
    <row r="1741" spans="1:15" x14ac:dyDescent="0.3">
      <c r="A1741" t="s">
        <v>1839</v>
      </c>
      <c r="B1741" t="s">
        <v>134</v>
      </c>
      <c r="C1741" s="7">
        <v>45721</v>
      </c>
      <c r="D1741" s="7">
        <v>45724</v>
      </c>
      <c r="E1741" t="s">
        <v>26</v>
      </c>
      <c r="F1741" t="s">
        <v>39</v>
      </c>
      <c r="G1741">
        <v>3</v>
      </c>
      <c r="H1741" t="s">
        <v>18</v>
      </c>
      <c r="I1741" t="s">
        <v>32</v>
      </c>
      <c r="J1741">
        <f>orders[[#This Row],[Ship Date]]-orders[[#This Row],[Order Date]]</f>
        <v>3</v>
      </c>
      <c r="K1741">
        <f>WEEKNUM(orders[[#This Row],[Order Date]])</f>
        <v>10</v>
      </c>
      <c r="L1741" t="str" cm="1">
        <f t="array" ref="L1741">_xlfn.IFS(orders[[#This Row],[Customer Gender]]="M","Male", orders[[#This Row],[Customer Gender]]="F","Female", orders[[#This Row],[Customer Gender]]="O","Other", TRUE,"Unknown")</f>
        <v>Female</v>
      </c>
      <c r="M1741">
        <v>5</v>
      </c>
      <c r="N1741">
        <v>63.7</v>
      </c>
      <c r="O1741">
        <v>318.5</v>
      </c>
    </row>
    <row r="1742" spans="1:15" x14ac:dyDescent="0.3">
      <c r="A1742" t="s">
        <v>1840</v>
      </c>
      <c r="B1742" t="s">
        <v>36</v>
      </c>
      <c r="C1742" s="7">
        <v>45721</v>
      </c>
      <c r="D1742" s="7">
        <v>45726</v>
      </c>
      <c r="E1742" t="s">
        <v>22</v>
      </c>
      <c r="F1742" t="s">
        <v>50</v>
      </c>
      <c r="G1742">
        <v>5</v>
      </c>
      <c r="H1742" t="s">
        <v>18</v>
      </c>
      <c r="I1742" t="s">
        <v>32</v>
      </c>
      <c r="J1742">
        <f>orders[[#This Row],[Ship Date]]-orders[[#This Row],[Order Date]]</f>
        <v>5</v>
      </c>
      <c r="K1742">
        <f>WEEKNUM(orders[[#This Row],[Order Date]])</f>
        <v>10</v>
      </c>
      <c r="L1742" t="str" cm="1">
        <f t="array" ref="L1742">_xlfn.IFS(orders[[#This Row],[Customer Gender]]="M","Male", orders[[#This Row],[Customer Gender]]="F","Female", orders[[#This Row],[Customer Gender]]="O","Other", TRUE,"Unknown")</f>
        <v>Male</v>
      </c>
      <c r="M1742">
        <v>9</v>
      </c>
      <c r="N1742">
        <v>62.9</v>
      </c>
      <c r="O1742" s="5">
        <v>566.1</v>
      </c>
    </row>
    <row r="1743" spans="1:15" x14ac:dyDescent="0.3">
      <c r="A1743" t="s">
        <v>1841</v>
      </c>
      <c r="B1743" t="s">
        <v>38</v>
      </c>
      <c r="C1743" s="7">
        <v>45721</v>
      </c>
      <c r="D1743" s="7">
        <v>45724</v>
      </c>
      <c r="E1743" t="s">
        <v>26</v>
      </c>
      <c r="F1743" t="s">
        <v>39</v>
      </c>
      <c r="G1743">
        <v>5</v>
      </c>
      <c r="H1743" t="s">
        <v>18</v>
      </c>
      <c r="I1743" t="s">
        <v>32</v>
      </c>
      <c r="J1743">
        <f>orders[[#This Row],[Ship Date]]-orders[[#This Row],[Order Date]]</f>
        <v>3</v>
      </c>
      <c r="K1743">
        <f>WEEKNUM(orders[[#This Row],[Order Date]])</f>
        <v>10</v>
      </c>
      <c r="L1743" t="str" cm="1">
        <f t="array" ref="L1743">_xlfn.IFS(orders[[#This Row],[Customer Gender]]="M","Male", orders[[#This Row],[Customer Gender]]="F","Female", orders[[#This Row],[Customer Gender]]="O","Other", TRUE,"Unknown")</f>
        <v>Female</v>
      </c>
      <c r="M1743">
        <v>7</v>
      </c>
      <c r="N1743">
        <v>61.7</v>
      </c>
      <c r="O1743">
        <v>431.90000000000003</v>
      </c>
    </row>
    <row r="1744" spans="1:15" x14ac:dyDescent="0.3">
      <c r="A1744" t="s">
        <v>1842</v>
      </c>
      <c r="B1744" t="s">
        <v>145</v>
      </c>
      <c r="C1744" s="7">
        <v>45721</v>
      </c>
      <c r="D1744" s="7">
        <v>45722</v>
      </c>
      <c r="E1744" t="s">
        <v>22</v>
      </c>
      <c r="F1744" t="s">
        <v>17</v>
      </c>
      <c r="G1744">
        <v>5</v>
      </c>
      <c r="H1744" t="s">
        <v>18</v>
      </c>
      <c r="I1744" t="s">
        <v>32</v>
      </c>
      <c r="J1744">
        <f>orders[[#This Row],[Ship Date]]-orders[[#This Row],[Order Date]]</f>
        <v>1</v>
      </c>
      <c r="K1744">
        <f>WEEKNUM(orders[[#This Row],[Order Date]])</f>
        <v>10</v>
      </c>
      <c r="L1744" t="str" cm="1">
        <f t="array" ref="L1744">_xlfn.IFS(orders[[#This Row],[Customer Gender]]="M","Male", orders[[#This Row],[Customer Gender]]="F","Female", orders[[#This Row],[Customer Gender]]="O","Other", TRUE,"Unknown")</f>
        <v>Male</v>
      </c>
      <c r="M1744">
        <v>14</v>
      </c>
      <c r="N1744">
        <v>36.5</v>
      </c>
      <c r="O1744" s="5">
        <v>511</v>
      </c>
    </row>
    <row r="1745" spans="1:15" x14ac:dyDescent="0.3">
      <c r="A1745" t="s">
        <v>1843</v>
      </c>
      <c r="B1745" t="s">
        <v>66</v>
      </c>
      <c r="C1745" s="7">
        <v>45721</v>
      </c>
      <c r="D1745" s="7">
        <v>45724</v>
      </c>
      <c r="E1745" t="s">
        <v>88</v>
      </c>
      <c r="F1745" t="s">
        <v>17</v>
      </c>
      <c r="G1745">
        <v>2</v>
      </c>
      <c r="H1745" t="s">
        <v>18</v>
      </c>
      <c r="I1745" t="s">
        <v>32</v>
      </c>
      <c r="J1745">
        <f>orders[[#This Row],[Ship Date]]-orders[[#This Row],[Order Date]]</f>
        <v>3</v>
      </c>
      <c r="K1745">
        <f>WEEKNUM(orders[[#This Row],[Order Date]])</f>
        <v>10</v>
      </c>
      <c r="L1745" t="str" cm="1">
        <f t="array" ref="L1745">_xlfn.IFS(orders[[#This Row],[Customer Gender]]="M","Male", orders[[#This Row],[Customer Gender]]="F","Female", orders[[#This Row],[Customer Gender]]="O","Other", TRUE,"Unknown")</f>
        <v>Other</v>
      </c>
      <c r="M1745">
        <v>3</v>
      </c>
      <c r="N1745">
        <v>98.6</v>
      </c>
      <c r="O1745">
        <v>295.79999999999995</v>
      </c>
    </row>
    <row r="1746" spans="1:15" x14ac:dyDescent="0.3">
      <c r="A1746" t="s">
        <v>1844</v>
      </c>
      <c r="B1746" t="s">
        <v>43</v>
      </c>
      <c r="C1746" s="7">
        <v>45721</v>
      </c>
      <c r="D1746" s="7">
        <v>45731</v>
      </c>
      <c r="E1746" t="s">
        <v>22</v>
      </c>
      <c r="F1746" t="s">
        <v>17</v>
      </c>
      <c r="G1746">
        <v>4</v>
      </c>
      <c r="H1746" t="s">
        <v>18</v>
      </c>
      <c r="I1746" t="s">
        <v>32</v>
      </c>
      <c r="J1746">
        <f>orders[[#This Row],[Ship Date]]-orders[[#This Row],[Order Date]]</f>
        <v>10</v>
      </c>
      <c r="K1746">
        <f>WEEKNUM(orders[[#This Row],[Order Date]])</f>
        <v>10</v>
      </c>
      <c r="L1746" t="str" cm="1">
        <f t="array" ref="L1746">_xlfn.IFS(orders[[#This Row],[Customer Gender]]="M","Male", orders[[#This Row],[Customer Gender]]="F","Female", orders[[#This Row],[Customer Gender]]="O","Other", TRUE,"Unknown")</f>
        <v>Male</v>
      </c>
      <c r="M1746">
        <v>2</v>
      </c>
      <c r="N1746">
        <v>19.2</v>
      </c>
      <c r="O1746" s="5">
        <v>38.4</v>
      </c>
    </row>
    <row r="1747" spans="1:15" x14ac:dyDescent="0.3">
      <c r="A1747" t="s">
        <v>1845</v>
      </c>
      <c r="B1747" t="s">
        <v>29</v>
      </c>
      <c r="C1747" s="7">
        <v>45721</v>
      </c>
      <c r="D1747" s="7">
        <v>45725</v>
      </c>
      <c r="E1747" t="s">
        <v>26</v>
      </c>
      <c r="F1747" t="s">
        <v>17</v>
      </c>
      <c r="G1747">
        <v>5</v>
      </c>
      <c r="H1747" t="s">
        <v>18</v>
      </c>
      <c r="I1747" t="s">
        <v>32</v>
      </c>
      <c r="J1747">
        <f>orders[[#This Row],[Ship Date]]-orders[[#This Row],[Order Date]]</f>
        <v>4</v>
      </c>
      <c r="K1747">
        <f>WEEKNUM(orders[[#This Row],[Order Date]])</f>
        <v>10</v>
      </c>
      <c r="L1747" t="str" cm="1">
        <f t="array" ref="L1747">_xlfn.IFS(orders[[#This Row],[Customer Gender]]="M","Male", orders[[#This Row],[Customer Gender]]="F","Female", orders[[#This Row],[Customer Gender]]="O","Other", TRUE,"Unknown")</f>
        <v>Female</v>
      </c>
      <c r="M1747">
        <v>6</v>
      </c>
      <c r="N1747">
        <v>55.6</v>
      </c>
      <c r="O1747">
        <v>333.6</v>
      </c>
    </row>
    <row r="1748" spans="1:15" x14ac:dyDescent="0.3">
      <c r="A1748" t="s">
        <v>1846</v>
      </c>
      <c r="B1748" t="s">
        <v>36</v>
      </c>
      <c r="C1748" s="7">
        <v>45721</v>
      </c>
      <c r="D1748" s="7">
        <v>45722</v>
      </c>
      <c r="E1748" t="s">
        <v>26</v>
      </c>
      <c r="F1748" t="s">
        <v>34</v>
      </c>
      <c r="G1748">
        <v>4</v>
      </c>
      <c r="H1748" t="s">
        <v>18</v>
      </c>
      <c r="I1748" t="s">
        <v>32</v>
      </c>
      <c r="J1748">
        <f>orders[[#This Row],[Ship Date]]-orders[[#This Row],[Order Date]]</f>
        <v>1</v>
      </c>
      <c r="K1748">
        <f>WEEKNUM(orders[[#This Row],[Order Date]])</f>
        <v>10</v>
      </c>
      <c r="L1748" t="str" cm="1">
        <f t="array" ref="L1748">_xlfn.IFS(orders[[#This Row],[Customer Gender]]="M","Male", orders[[#This Row],[Customer Gender]]="F","Female", orders[[#This Row],[Customer Gender]]="O","Other", TRUE,"Unknown")</f>
        <v>Female</v>
      </c>
      <c r="M1748">
        <v>6</v>
      </c>
      <c r="N1748">
        <v>56.4</v>
      </c>
      <c r="O1748" s="5">
        <v>338.4</v>
      </c>
    </row>
    <row r="1749" spans="1:15" x14ac:dyDescent="0.3">
      <c r="A1749" t="s">
        <v>1847</v>
      </c>
      <c r="B1749" t="s">
        <v>31</v>
      </c>
      <c r="C1749" s="7">
        <v>45721</v>
      </c>
      <c r="D1749" s="7">
        <v>45725</v>
      </c>
      <c r="E1749" t="s">
        <v>26</v>
      </c>
      <c r="F1749" t="s">
        <v>69</v>
      </c>
      <c r="G1749">
        <v>4</v>
      </c>
      <c r="H1749" t="s">
        <v>18</v>
      </c>
      <c r="I1749" t="s">
        <v>32</v>
      </c>
      <c r="J1749">
        <f>orders[[#This Row],[Ship Date]]-orders[[#This Row],[Order Date]]</f>
        <v>4</v>
      </c>
      <c r="K1749">
        <f>WEEKNUM(orders[[#This Row],[Order Date]])</f>
        <v>10</v>
      </c>
      <c r="L1749" t="str" cm="1">
        <f t="array" ref="L1749">_xlfn.IFS(orders[[#This Row],[Customer Gender]]="M","Male", orders[[#This Row],[Customer Gender]]="F","Female", orders[[#This Row],[Customer Gender]]="O","Other", TRUE,"Unknown")</f>
        <v>Female</v>
      </c>
      <c r="M1749">
        <v>8</v>
      </c>
      <c r="N1749">
        <v>43.1</v>
      </c>
      <c r="O1749">
        <v>344.8</v>
      </c>
    </row>
    <row r="1750" spans="1:15" x14ac:dyDescent="0.3">
      <c r="A1750" t="s">
        <v>1848</v>
      </c>
      <c r="B1750" t="s">
        <v>21</v>
      </c>
      <c r="C1750" s="7">
        <v>45721</v>
      </c>
      <c r="D1750" s="7">
        <v>45723</v>
      </c>
      <c r="E1750" t="s">
        <v>22</v>
      </c>
      <c r="F1750" t="s">
        <v>17</v>
      </c>
      <c r="G1750">
        <v>4</v>
      </c>
      <c r="H1750" t="s">
        <v>18</v>
      </c>
      <c r="I1750" t="s">
        <v>54</v>
      </c>
      <c r="J1750">
        <f>orders[[#This Row],[Ship Date]]-orders[[#This Row],[Order Date]]</f>
        <v>2</v>
      </c>
      <c r="K1750">
        <f>WEEKNUM(orders[[#This Row],[Order Date]])</f>
        <v>10</v>
      </c>
      <c r="L1750" t="str" cm="1">
        <f t="array" ref="L1750">_xlfn.IFS(orders[[#This Row],[Customer Gender]]="M","Male", orders[[#This Row],[Customer Gender]]="F","Female", orders[[#This Row],[Customer Gender]]="O","Other", TRUE,"Unknown")</f>
        <v>Male</v>
      </c>
      <c r="M1750">
        <v>2</v>
      </c>
      <c r="N1750">
        <v>77.3</v>
      </c>
      <c r="O1750" s="5">
        <v>154.6</v>
      </c>
    </row>
    <row r="1751" spans="1:15" x14ac:dyDescent="0.3">
      <c r="A1751" t="s">
        <v>1849</v>
      </c>
      <c r="B1751" t="s">
        <v>45</v>
      </c>
      <c r="C1751" s="7">
        <v>45721</v>
      </c>
      <c r="D1751" s="7">
        <v>45722</v>
      </c>
      <c r="E1751" t="s">
        <v>22</v>
      </c>
      <c r="F1751" t="s">
        <v>17</v>
      </c>
      <c r="G1751">
        <v>4</v>
      </c>
      <c r="H1751" t="s">
        <v>18</v>
      </c>
      <c r="I1751" t="s">
        <v>58</v>
      </c>
      <c r="J1751">
        <f>orders[[#This Row],[Ship Date]]-orders[[#This Row],[Order Date]]</f>
        <v>1</v>
      </c>
      <c r="K1751">
        <f>WEEKNUM(orders[[#This Row],[Order Date]])</f>
        <v>10</v>
      </c>
      <c r="L1751" t="str" cm="1">
        <f t="array" ref="L1751">_xlfn.IFS(orders[[#This Row],[Customer Gender]]="M","Male", orders[[#This Row],[Customer Gender]]="F","Female", orders[[#This Row],[Customer Gender]]="O","Other", TRUE,"Unknown")</f>
        <v>Male</v>
      </c>
      <c r="M1751">
        <v>8</v>
      </c>
      <c r="N1751">
        <v>38.299999999999997</v>
      </c>
      <c r="O1751">
        <v>306.39999999999998</v>
      </c>
    </row>
    <row r="1752" spans="1:15" x14ac:dyDescent="0.3">
      <c r="A1752" t="s">
        <v>1850</v>
      </c>
      <c r="B1752" t="s">
        <v>16</v>
      </c>
      <c r="C1752" s="7">
        <v>45721</v>
      </c>
      <c r="D1752" s="7">
        <v>45724</v>
      </c>
      <c r="E1752" t="s">
        <v>22</v>
      </c>
      <c r="F1752" t="s">
        <v>39</v>
      </c>
      <c r="G1752">
        <v>3</v>
      </c>
      <c r="H1752" t="s">
        <v>18</v>
      </c>
      <c r="I1752" t="s">
        <v>61</v>
      </c>
      <c r="J1752">
        <f>orders[[#This Row],[Ship Date]]-orders[[#This Row],[Order Date]]</f>
        <v>3</v>
      </c>
      <c r="K1752">
        <f>WEEKNUM(orders[[#This Row],[Order Date]])</f>
        <v>10</v>
      </c>
      <c r="L1752" t="str" cm="1">
        <f t="array" ref="L1752">_xlfn.IFS(orders[[#This Row],[Customer Gender]]="M","Male", orders[[#This Row],[Customer Gender]]="F","Female", orders[[#This Row],[Customer Gender]]="O","Other", TRUE,"Unknown")</f>
        <v>Male</v>
      </c>
      <c r="M1752">
        <v>7</v>
      </c>
      <c r="N1752">
        <v>16.8</v>
      </c>
      <c r="O1752" s="5">
        <v>117.60000000000001</v>
      </c>
    </row>
    <row r="1753" spans="1:15" x14ac:dyDescent="0.3">
      <c r="A1753" t="s">
        <v>1851</v>
      </c>
      <c r="B1753" t="s">
        <v>25</v>
      </c>
      <c r="C1753" s="7">
        <v>45721</v>
      </c>
      <c r="D1753" s="7">
        <v>45722</v>
      </c>
      <c r="E1753" t="s">
        <v>26</v>
      </c>
      <c r="F1753" t="s">
        <v>17</v>
      </c>
      <c r="G1753">
        <v>5</v>
      </c>
      <c r="H1753" t="s">
        <v>18</v>
      </c>
      <c r="I1753" t="s">
        <v>61</v>
      </c>
      <c r="J1753">
        <f>orders[[#This Row],[Ship Date]]-orders[[#This Row],[Order Date]]</f>
        <v>1</v>
      </c>
      <c r="K1753">
        <f>WEEKNUM(orders[[#This Row],[Order Date]])</f>
        <v>10</v>
      </c>
      <c r="L1753" t="str" cm="1">
        <f t="array" ref="L1753">_xlfn.IFS(orders[[#This Row],[Customer Gender]]="M","Male", orders[[#This Row],[Customer Gender]]="F","Female", orders[[#This Row],[Customer Gender]]="O","Other", TRUE,"Unknown")</f>
        <v>Female</v>
      </c>
      <c r="M1753">
        <v>3</v>
      </c>
      <c r="N1753">
        <v>63.2</v>
      </c>
      <c r="O1753">
        <v>189.60000000000002</v>
      </c>
    </row>
    <row r="1754" spans="1:15" x14ac:dyDescent="0.3">
      <c r="A1754" t="s">
        <v>1852</v>
      </c>
      <c r="B1754" t="s">
        <v>80</v>
      </c>
      <c r="C1754" s="7">
        <v>45721</v>
      </c>
      <c r="D1754" s="7">
        <v>45722</v>
      </c>
      <c r="E1754" t="s">
        <v>22</v>
      </c>
      <c r="F1754" t="s">
        <v>17</v>
      </c>
      <c r="G1754">
        <v>4</v>
      </c>
      <c r="H1754" t="s">
        <v>18</v>
      </c>
      <c r="I1754" t="s">
        <v>61</v>
      </c>
      <c r="J1754">
        <f>orders[[#This Row],[Ship Date]]-orders[[#This Row],[Order Date]]</f>
        <v>1</v>
      </c>
      <c r="K1754">
        <f>WEEKNUM(orders[[#This Row],[Order Date]])</f>
        <v>10</v>
      </c>
      <c r="L1754" t="str" cm="1">
        <f t="array" ref="L1754">_xlfn.IFS(orders[[#This Row],[Customer Gender]]="M","Male", orders[[#This Row],[Customer Gender]]="F","Female", orders[[#This Row],[Customer Gender]]="O","Other", TRUE,"Unknown")</f>
        <v>Male</v>
      </c>
      <c r="M1754">
        <v>23</v>
      </c>
      <c r="N1754">
        <v>39.700000000000003</v>
      </c>
      <c r="O1754" s="5">
        <v>913.1</v>
      </c>
    </row>
    <row r="1755" spans="1:15" x14ac:dyDescent="0.3">
      <c r="A1755" t="s">
        <v>1853</v>
      </c>
      <c r="B1755" t="s">
        <v>53</v>
      </c>
      <c r="C1755" s="7">
        <v>45721</v>
      </c>
      <c r="D1755" s="7">
        <v>45722</v>
      </c>
      <c r="E1755" t="s">
        <v>26</v>
      </c>
      <c r="F1755" t="s">
        <v>34</v>
      </c>
      <c r="G1755">
        <v>5</v>
      </c>
      <c r="H1755" t="s">
        <v>18</v>
      </c>
      <c r="I1755" t="s">
        <v>61</v>
      </c>
      <c r="J1755">
        <f>orders[[#This Row],[Ship Date]]-orders[[#This Row],[Order Date]]</f>
        <v>1</v>
      </c>
      <c r="K1755">
        <f>WEEKNUM(orders[[#This Row],[Order Date]])</f>
        <v>10</v>
      </c>
      <c r="L1755" t="str" cm="1">
        <f t="array" ref="L1755">_xlfn.IFS(orders[[#This Row],[Customer Gender]]="M","Male", orders[[#This Row],[Customer Gender]]="F","Female", orders[[#This Row],[Customer Gender]]="O","Other", TRUE,"Unknown")</f>
        <v>Female</v>
      </c>
      <c r="M1755">
        <v>3</v>
      </c>
      <c r="N1755">
        <v>45.8</v>
      </c>
      <c r="O1755">
        <v>137.39999999999998</v>
      </c>
    </row>
    <row r="1756" spans="1:15" x14ac:dyDescent="0.3">
      <c r="A1756" t="s">
        <v>1854</v>
      </c>
      <c r="B1756" t="s">
        <v>16</v>
      </c>
      <c r="C1756" s="7">
        <v>45721</v>
      </c>
      <c r="D1756" s="7">
        <v>45724</v>
      </c>
      <c r="E1756" t="s">
        <v>22</v>
      </c>
      <c r="F1756" t="s">
        <v>17</v>
      </c>
      <c r="G1756">
        <v>4</v>
      </c>
      <c r="H1756" t="s">
        <v>18</v>
      </c>
      <c r="I1756" t="s">
        <v>61</v>
      </c>
      <c r="J1756">
        <f>orders[[#This Row],[Ship Date]]-orders[[#This Row],[Order Date]]</f>
        <v>3</v>
      </c>
      <c r="K1756">
        <f>WEEKNUM(orders[[#This Row],[Order Date]])</f>
        <v>10</v>
      </c>
      <c r="L1756" t="str" cm="1">
        <f t="array" ref="L1756">_xlfn.IFS(orders[[#This Row],[Customer Gender]]="M","Male", orders[[#This Row],[Customer Gender]]="F","Female", orders[[#This Row],[Customer Gender]]="O","Other", TRUE,"Unknown")</f>
        <v>Male</v>
      </c>
      <c r="M1756">
        <v>6</v>
      </c>
      <c r="N1756">
        <v>12.4</v>
      </c>
      <c r="O1756" s="5">
        <v>74.400000000000006</v>
      </c>
    </row>
    <row r="1757" spans="1:15" x14ac:dyDescent="0.3">
      <c r="A1757" t="s">
        <v>1855</v>
      </c>
      <c r="B1757" t="s">
        <v>80</v>
      </c>
      <c r="C1757" s="7">
        <v>45722</v>
      </c>
      <c r="D1757" s="7">
        <v>45722</v>
      </c>
      <c r="E1757" t="s">
        <v>26</v>
      </c>
      <c r="F1757" t="s">
        <v>69</v>
      </c>
      <c r="G1757">
        <v>4</v>
      </c>
      <c r="H1757" t="s">
        <v>18</v>
      </c>
      <c r="I1757" t="s">
        <v>102</v>
      </c>
      <c r="J1757">
        <f>orders[[#This Row],[Ship Date]]-orders[[#This Row],[Order Date]]</f>
        <v>0</v>
      </c>
      <c r="K1757">
        <f>WEEKNUM(orders[[#This Row],[Order Date]])</f>
        <v>10</v>
      </c>
      <c r="L1757" t="str" cm="1">
        <f t="array" ref="L1757">_xlfn.IFS(orders[[#This Row],[Customer Gender]]="M","Male", orders[[#This Row],[Customer Gender]]="F","Female", orders[[#This Row],[Customer Gender]]="O","Other", TRUE,"Unknown")</f>
        <v>Female</v>
      </c>
      <c r="M1757">
        <v>3</v>
      </c>
      <c r="N1757">
        <v>50.8</v>
      </c>
      <c r="O1757">
        <v>152.39999999999998</v>
      </c>
    </row>
    <row r="1758" spans="1:15" x14ac:dyDescent="0.3">
      <c r="A1758" t="s">
        <v>1856</v>
      </c>
      <c r="B1758" t="s">
        <v>45</v>
      </c>
      <c r="C1758" s="7">
        <v>45722</v>
      </c>
      <c r="D1758" s="7">
        <v>45726</v>
      </c>
      <c r="E1758" t="s">
        <v>88</v>
      </c>
      <c r="F1758" t="s">
        <v>39</v>
      </c>
      <c r="G1758">
        <v>5</v>
      </c>
      <c r="H1758" t="s">
        <v>18</v>
      </c>
      <c r="I1758" t="s">
        <v>102</v>
      </c>
      <c r="J1758">
        <f>orders[[#This Row],[Ship Date]]-orders[[#This Row],[Order Date]]</f>
        <v>4</v>
      </c>
      <c r="K1758">
        <f>WEEKNUM(orders[[#This Row],[Order Date]])</f>
        <v>10</v>
      </c>
      <c r="L1758" t="str" cm="1">
        <f t="array" ref="L1758">_xlfn.IFS(orders[[#This Row],[Customer Gender]]="M","Male", orders[[#This Row],[Customer Gender]]="F","Female", orders[[#This Row],[Customer Gender]]="O","Other", TRUE,"Unknown")</f>
        <v>Other</v>
      </c>
      <c r="M1758">
        <v>1</v>
      </c>
      <c r="N1758">
        <v>76</v>
      </c>
      <c r="O1758" s="5">
        <v>76</v>
      </c>
    </row>
    <row r="1759" spans="1:15" x14ac:dyDescent="0.3">
      <c r="A1759" t="s">
        <v>1857</v>
      </c>
      <c r="B1759" t="s">
        <v>21</v>
      </c>
      <c r="C1759" s="7">
        <v>45722</v>
      </c>
      <c r="D1759" s="7">
        <v>45723</v>
      </c>
      <c r="E1759" t="s">
        <v>22</v>
      </c>
      <c r="F1759" t="s">
        <v>34</v>
      </c>
      <c r="G1759">
        <v>5</v>
      </c>
      <c r="H1759" t="s">
        <v>18</v>
      </c>
      <c r="I1759" t="s">
        <v>200</v>
      </c>
      <c r="J1759">
        <f>orders[[#This Row],[Ship Date]]-orders[[#This Row],[Order Date]]</f>
        <v>1</v>
      </c>
      <c r="K1759">
        <f>WEEKNUM(orders[[#This Row],[Order Date]])</f>
        <v>10</v>
      </c>
      <c r="L1759" t="str" cm="1">
        <f t="array" ref="L1759">_xlfn.IFS(orders[[#This Row],[Customer Gender]]="M","Male", orders[[#This Row],[Customer Gender]]="F","Female", orders[[#This Row],[Customer Gender]]="O","Other", TRUE,"Unknown")</f>
        <v>Male</v>
      </c>
      <c r="M1759">
        <v>2</v>
      </c>
      <c r="N1759">
        <v>51.9</v>
      </c>
      <c r="O1759">
        <v>103.8</v>
      </c>
    </row>
    <row r="1760" spans="1:15" x14ac:dyDescent="0.3">
      <c r="A1760" t="s">
        <v>1858</v>
      </c>
      <c r="B1760" t="s">
        <v>25</v>
      </c>
      <c r="C1760" s="7">
        <v>45722</v>
      </c>
      <c r="D1760" s="7">
        <v>45729</v>
      </c>
      <c r="E1760" t="s">
        <v>22</v>
      </c>
      <c r="F1760" t="s">
        <v>17</v>
      </c>
      <c r="G1760">
        <v>1</v>
      </c>
      <c r="H1760" t="s">
        <v>18</v>
      </c>
      <c r="I1760" t="s">
        <v>76</v>
      </c>
      <c r="J1760">
        <f>orders[[#This Row],[Ship Date]]-orders[[#This Row],[Order Date]]</f>
        <v>7</v>
      </c>
      <c r="K1760">
        <f>WEEKNUM(orders[[#This Row],[Order Date]])</f>
        <v>10</v>
      </c>
      <c r="L1760" t="str" cm="1">
        <f t="array" ref="L1760">_xlfn.IFS(orders[[#This Row],[Customer Gender]]="M","Male", orders[[#This Row],[Customer Gender]]="F","Female", orders[[#This Row],[Customer Gender]]="O","Other", TRUE,"Unknown")</f>
        <v>Male</v>
      </c>
      <c r="M1760">
        <v>2</v>
      </c>
      <c r="N1760">
        <v>93.4</v>
      </c>
      <c r="O1760" s="5">
        <v>186.8</v>
      </c>
    </row>
    <row r="1761" spans="1:15" x14ac:dyDescent="0.3">
      <c r="A1761" t="s">
        <v>1859</v>
      </c>
      <c r="B1761" t="s">
        <v>41</v>
      </c>
      <c r="C1761" s="7">
        <v>45722</v>
      </c>
      <c r="D1761" s="7">
        <v>45725</v>
      </c>
      <c r="E1761" t="s">
        <v>26</v>
      </c>
      <c r="F1761" t="s">
        <v>34</v>
      </c>
      <c r="G1761">
        <v>4</v>
      </c>
      <c r="H1761" t="s">
        <v>18</v>
      </c>
      <c r="I1761" t="s">
        <v>76</v>
      </c>
      <c r="J1761">
        <f>orders[[#This Row],[Ship Date]]-orders[[#This Row],[Order Date]]</f>
        <v>3</v>
      </c>
      <c r="K1761">
        <f>WEEKNUM(orders[[#This Row],[Order Date]])</f>
        <v>10</v>
      </c>
      <c r="L1761" t="str" cm="1">
        <f t="array" ref="L1761">_xlfn.IFS(orders[[#This Row],[Customer Gender]]="M","Male", orders[[#This Row],[Customer Gender]]="F","Female", orders[[#This Row],[Customer Gender]]="O","Other", TRUE,"Unknown")</f>
        <v>Female</v>
      </c>
      <c r="M1761">
        <v>6</v>
      </c>
      <c r="N1761">
        <v>30.8</v>
      </c>
      <c r="O1761">
        <v>184.8</v>
      </c>
    </row>
    <row r="1762" spans="1:15" x14ac:dyDescent="0.3">
      <c r="A1762" t="s">
        <v>1860</v>
      </c>
      <c r="B1762" t="s">
        <v>25</v>
      </c>
      <c r="C1762" s="7">
        <v>45722</v>
      </c>
      <c r="D1762" s="7">
        <v>45725</v>
      </c>
      <c r="E1762" t="s">
        <v>22</v>
      </c>
      <c r="F1762" t="s">
        <v>39</v>
      </c>
      <c r="G1762">
        <v>4</v>
      </c>
      <c r="H1762" t="s">
        <v>18</v>
      </c>
      <c r="I1762" t="s">
        <v>76</v>
      </c>
      <c r="J1762">
        <f>orders[[#This Row],[Ship Date]]-orders[[#This Row],[Order Date]]</f>
        <v>3</v>
      </c>
      <c r="K1762">
        <f>WEEKNUM(orders[[#This Row],[Order Date]])</f>
        <v>10</v>
      </c>
      <c r="L1762" t="str" cm="1">
        <f t="array" ref="L1762">_xlfn.IFS(orders[[#This Row],[Customer Gender]]="M","Male", orders[[#This Row],[Customer Gender]]="F","Female", orders[[#This Row],[Customer Gender]]="O","Other", TRUE,"Unknown")</f>
        <v>Male</v>
      </c>
      <c r="M1762">
        <v>1</v>
      </c>
      <c r="N1762">
        <v>143.19999999999999</v>
      </c>
      <c r="O1762" s="5">
        <v>143.19999999999999</v>
      </c>
    </row>
    <row r="1763" spans="1:15" x14ac:dyDescent="0.3">
      <c r="A1763" t="s">
        <v>1861</v>
      </c>
      <c r="B1763" t="s">
        <v>38</v>
      </c>
      <c r="C1763" s="7">
        <v>45722</v>
      </c>
      <c r="D1763" s="7">
        <v>45724</v>
      </c>
      <c r="E1763" t="s">
        <v>22</v>
      </c>
      <c r="F1763" t="s">
        <v>39</v>
      </c>
      <c r="G1763">
        <v>5</v>
      </c>
      <c r="H1763" t="s">
        <v>18</v>
      </c>
      <c r="I1763" t="s">
        <v>107</v>
      </c>
      <c r="J1763">
        <f>orders[[#This Row],[Ship Date]]-orders[[#This Row],[Order Date]]</f>
        <v>2</v>
      </c>
      <c r="K1763">
        <f>WEEKNUM(orders[[#This Row],[Order Date]])</f>
        <v>10</v>
      </c>
      <c r="L1763" t="str" cm="1">
        <f t="array" ref="L1763">_xlfn.IFS(orders[[#This Row],[Customer Gender]]="M","Male", orders[[#This Row],[Customer Gender]]="F","Female", orders[[#This Row],[Customer Gender]]="O","Other", TRUE,"Unknown")</f>
        <v>Male</v>
      </c>
      <c r="M1763">
        <v>11</v>
      </c>
      <c r="N1763">
        <v>40.4</v>
      </c>
      <c r="O1763">
        <v>444.4</v>
      </c>
    </row>
    <row r="1764" spans="1:15" x14ac:dyDescent="0.3">
      <c r="A1764" t="s">
        <v>1862</v>
      </c>
      <c r="B1764" t="s">
        <v>25</v>
      </c>
      <c r="C1764" s="7">
        <v>45722</v>
      </c>
      <c r="D1764" s="7">
        <v>45724</v>
      </c>
      <c r="E1764" t="s">
        <v>22</v>
      </c>
      <c r="F1764" t="s">
        <v>34</v>
      </c>
      <c r="G1764">
        <v>3</v>
      </c>
      <c r="H1764" t="s">
        <v>18</v>
      </c>
      <c r="I1764" t="s">
        <v>107</v>
      </c>
      <c r="J1764">
        <f>orders[[#This Row],[Ship Date]]-orders[[#This Row],[Order Date]]</f>
        <v>2</v>
      </c>
      <c r="K1764">
        <f>WEEKNUM(orders[[#This Row],[Order Date]])</f>
        <v>10</v>
      </c>
      <c r="L1764" t="str" cm="1">
        <f t="array" ref="L1764">_xlfn.IFS(orders[[#This Row],[Customer Gender]]="M","Male", orders[[#This Row],[Customer Gender]]="F","Female", orders[[#This Row],[Customer Gender]]="O","Other", TRUE,"Unknown")</f>
        <v>Male</v>
      </c>
      <c r="M1764">
        <v>19</v>
      </c>
      <c r="N1764">
        <v>131.5</v>
      </c>
      <c r="O1764" s="5">
        <v>2498.5</v>
      </c>
    </row>
    <row r="1765" spans="1:15" x14ac:dyDescent="0.3">
      <c r="A1765" t="s">
        <v>1863</v>
      </c>
      <c r="B1765" t="s">
        <v>145</v>
      </c>
      <c r="C1765" s="7">
        <v>45722</v>
      </c>
      <c r="D1765" s="7">
        <v>45723</v>
      </c>
      <c r="E1765" t="s">
        <v>22</v>
      </c>
      <c r="F1765" t="s">
        <v>39</v>
      </c>
      <c r="G1765">
        <v>4</v>
      </c>
      <c r="H1765" t="s">
        <v>18</v>
      </c>
      <c r="I1765" t="s">
        <v>114</v>
      </c>
      <c r="J1765">
        <f>orders[[#This Row],[Ship Date]]-orders[[#This Row],[Order Date]]</f>
        <v>1</v>
      </c>
      <c r="K1765">
        <f>WEEKNUM(orders[[#This Row],[Order Date]])</f>
        <v>10</v>
      </c>
      <c r="L1765" t="str" cm="1">
        <f t="array" ref="L1765">_xlfn.IFS(orders[[#This Row],[Customer Gender]]="M","Male", orders[[#This Row],[Customer Gender]]="F","Female", orders[[#This Row],[Customer Gender]]="O","Other", TRUE,"Unknown")</f>
        <v>Male</v>
      </c>
      <c r="M1765">
        <v>7</v>
      </c>
      <c r="N1765">
        <v>61.6</v>
      </c>
      <c r="O1765">
        <v>431.2</v>
      </c>
    </row>
    <row r="1766" spans="1:15" x14ac:dyDescent="0.3">
      <c r="A1766" t="s">
        <v>1864</v>
      </c>
      <c r="B1766" t="s">
        <v>45</v>
      </c>
      <c r="C1766" s="7">
        <v>45722</v>
      </c>
      <c r="D1766" s="7">
        <v>45724</v>
      </c>
      <c r="E1766" t="s">
        <v>22</v>
      </c>
      <c r="F1766" t="s">
        <v>39</v>
      </c>
      <c r="G1766">
        <v>4</v>
      </c>
      <c r="H1766" t="s">
        <v>18</v>
      </c>
      <c r="I1766" t="s">
        <v>23</v>
      </c>
      <c r="J1766">
        <f>orders[[#This Row],[Ship Date]]-orders[[#This Row],[Order Date]]</f>
        <v>2</v>
      </c>
      <c r="K1766">
        <f>WEEKNUM(orders[[#This Row],[Order Date]])</f>
        <v>10</v>
      </c>
      <c r="L1766" t="str" cm="1">
        <f t="array" ref="L1766">_xlfn.IFS(orders[[#This Row],[Customer Gender]]="M","Male", orders[[#This Row],[Customer Gender]]="F","Female", orders[[#This Row],[Customer Gender]]="O","Other", TRUE,"Unknown")</f>
        <v>Male</v>
      </c>
      <c r="M1766">
        <v>5</v>
      </c>
      <c r="N1766">
        <v>32.700000000000003</v>
      </c>
      <c r="O1766" s="5">
        <v>163.5</v>
      </c>
    </row>
    <row r="1767" spans="1:15" x14ac:dyDescent="0.3">
      <c r="A1767" t="s">
        <v>1865</v>
      </c>
      <c r="B1767" t="s">
        <v>16</v>
      </c>
      <c r="C1767" s="7">
        <v>45722</v>
      </c>
      <c r="D1767" s="7">
        <v>45723</v>
      </c>
      <c r="E1767" t="s">
        <v>22</v>
      </c>
      <c r="F1767" t="s">
        <v>17</v>
      </c>
      <c r="G1767">
        <v>5</v>
      </c>
      <c r="H1767" t="s">
        <v>18</v>
      </c>
      <c r="I1767" t="s">
        <v>32</v>
      </c>
      <c r="J1767">
        <f>orders[[#This Row],[Ship Date]]-orders[[#This Row],[Order Date]]</f>
        <v>1</v>
      </c>
      <c r="K1767">
        <f>WEEKNUM(orders[[#This Row],[Order Date]])</f>
        <v>10</v>
      </c>
      <c r="L1767" t="str" cm="1">
        <f t="array" ref="L1767">_xlfn.IFS(orders[[#This Row],[Customer Gender]]="M","Male", orders[[#This Row],[Customer Gender]]="F","Female", orders[[#This Row],[Customer Gender]]="O","Other", TRUE,"Unknown")</f>
        <v>Male</v>
      </c>
      <c r="M1767">
        <v>10</v>
      </c>
      <c r="N1767">
        <v>13.7</v>
      </c>
      <c r="O1767">
        <v>137</v>
      </c>
    </row>
    <row r="1768" spans="1:15" x14ac:dyDescent="0.3">
      <c r="A1768" t="s">
        <v>1866</v>
      </c>
      <c r="B1768" t="s">
        <v>16</v>
      </c>
      <c r="C1768" s="7">
        <v>45722</v>
      </c>
      <c r="D1768" s="7">
        <v>45723</v>
      </c>
      <c r="E1768" t="s">
        <v>22</v>
      </c>
      <c r="F1768" t="s">
        <v>69</v>
      </c>
      <c r="G1768">
        <v>3</v>
      </c>
      <c r="H1768" t="s">
        <v>18</v>
      </c>
      <c r="I1768" t="s">
        <v>32</v>
      </c>
      <c r="J1768">
        <f>orders[[#This Row],[Ship Date]]-orders[[#This Row],[Order Date]]</f>
        <v>1</v>
      </c>
      <c r="K1768">
        <f>WEEKNUM(orders[[#This Row],[Order Date]])</f>
        <v>10</v>
      </c>
      <c r="L1768" t="str" cm="1">
        <f t="array" ref="L1768">_xlfn.IFS(orders[[#This Row],[Customer Gender]]="M","Male", orders[[#This Row],[Customer Gender]]="F","Female", orders[[#This Row],[Customer Gender]]="O","Other", TRUE,"Unknown")</f>
        <v>Male</v>
      </c>
      <c r="M1768">
        <v>4</v>
      </c>
      <c r="N1768">
        <v>32.1</v>
      </c>
      <c r="O1768" s="5">
        <v>128.4</v>
      </c>
    </row>
    <row r="1769" spans="1:15" x14ac:dyDescent="0.3">
      <c r="A1769" t="s">
        <v>1867</v>
      </c>
      <c r="B1769" t="s">
        <v>80</v>
      </c>
      <c r="C1769" s="7">
        <v>45722</v>
      </c>
      <c r="D1769" s="7">
        <v>45723</v>
      </c>
      <c r="E1769" t="s">
        <v>22</v>
      </c>
      <c r="F1769" t="s">
        <v>34</v>
      </c>
      <c r="G1769">
        <v>4</v>
      </c>
      <c r="H1769" t="s">
        <v>18</v>
      </c>
      <c r="I1769" t="s">
        <v>185</v>
      </c>
      <c r="J1769">
        <f>orders[[#This Row],[Ship Date]]-orders[[#This Row],[Order Date]]</f>
        <v>1</v>
      </c>
      <c r="K1769">
        <f>WEEKNUM(orders[[#This Row],[Order Date]])</f>
        <v>10</v>
      </c>
      <c r="L1769" t="str" cm="1">
        <f t="array" ref="L1769">_xlfn.IFS(orders[[#This Row],[Customer Gender]]="M","Male", orders[[#This Row],[Customer Gender]]="F","Female", orders[[#This Row],[Customer Gender]]="O","Other", TRUE,"Unknown")</f>
        <v>Male</v>
      </c>
      <c r="M1769">
        <v>8</v>
      </c>
      <c r="N1769">
        <v>12</v>
      </c>
      <c r="O1769">
        <v>96</v>
      </c>
    </row>
    <row r="1770" spans="1:15" x14ac:dyDescent="0.3">
      <c r="A1770" t="s">
        <v>1868</v>
      </c>
      <c r="B1770" t="s">
        <v>68</v>
      </c>
      <c r="C1770" s="7">
        <v>45722</v>
      </c>
      <c r="D1770" s="7">
        <v>45724</v>
      </c>
      <c r="E1770" t="s">
        <v>26</v>
      </c>
      <c r="F1770" t="s">
        <v>39</v>
      </c>
      <c r="G1770">
        <v>5</v>
      </c>
      <c r="H1770" t="s">
        <v>18</v>
      </c>
      <c r="I1770" t="s">
        <v>54</v>
      </c>
      <c r="J1770">
        <f>orders[[#This Row],[Ship Date]]-orders[[#This Row],[Order Date]]</f>
        <v>2</v>
      </c>
      <c r="K1770">
        <f>WEEKNUM(orders[[#This Row],[Order Date]])</f>
        <v>10</v>
      </c>
      <c r="L1770" t="str" cm="1">
        <f t="array" ref="L1770">_xlfn.IFS(orders[[#This Row],[Customer Gender]]="M","Male", orders[[#This Row],[Customer Gender]]="F","Female", orders[[#This Row],[Customer Gender]]="O","Other", TRUE,"Unknown")</f>
        <v>Female</v>
      </c>
      <c r="M1770">
        <v>1</v>
      </c>
      <c r="N1770">
        <v>64.3</v>
      </c>
      <c r="O1770" s="5">
        <v>64.3</v>
      </c>
    </row>
    <row r="1771" spans="1:15" x14ac:dyDescent="0.3">
      <c r="A1771" t="s">
        <v>1869</v>
      </c>
      <c r="B1771" t="s">
        <v>21</v>
      </c>
      <c r="C1771" s="7">
        <v>45722</v>
      </c>
      <c r="D1771" s="7">
        <v>45724</v>
      </c>
      <c r="E1771" t="s">
        <v>26</v>
      </c>
      <c r="F1771" t="s">
        <v>34</v>
      </c>
      <c r="G1771">
        <v>5</v>
      </c>
      <c r="H1771" t="s">
        <v>18</v>
      </c>
      <c r="I1771" t="s">
        <v>54</v>
      </c>
      <c r="J1771">
        <f>orders[[#This Row],[Ship Date]]-orders[[#This Row],[Order Date]]</f>
        <v>2</v>
      </c>
      <c r="K1771">
        <f>WEEKNUM(orders[[#This Row],[Order Date]])</f>
        <v>10</v>
      </c>
      <c r="L1771" t="str" cm="1">
        <f t="array" ref="L1771">_xlfn.IFS(orders[[#This Row],[Customer Gender]]="M","Male", orders[[#This Row],[Customer Gender]]="F","Female", orders[[#This Row],[Customer Gender]]="O","Other", TRUE,"Unknown")</f>
        <v>Female</v>
      </c>
      <c r="M1771">
        <v>3</v>
      </c>
      <c r="N1771">
        <v>58.2</v>
      </c>
      <c r="O1771">
        <v>174.60000000000002</v>
      </c>
    </row>
    <row r="1772" spans="1:15" x14ac:dyDescent="0.3">
      <c r="A1772" t="s">
        <v>1870</v>
      </c>
      <c r="B1772" t="s">
        <v>38</v>
      </c>
      <c r="C1772" s="7">
        <v>45722</v>
      </c>
      <c r="D1772" s="7">
        <v>45722</v>
      </c>
      <c r="E1772" t="s">
        <v>22</v>
      </c>
      <c r="F1772" t="s">
        <v>34</v>
      </c>
      <c r="G1772">
        <v>5</v>
      </c>
      <c r="H1772" t="s">
        <v>18</v>
      </c>
      <c r="I1772" t="s">
        <v>54</v>
      </c>
      <c r="J1772">
        <f>orders[[#This Row],[Ship Date]]-orders[[#This Row],[Order Date]]</f>
        <v>0</v>
      </c>
      <c r="K1772">
        <f>WEEKNUM(orders[[#This Row],[Order Date]])</f>
        <v>10</v>
      </c>
      <c r="L1772" t="str" cm="1">
        <f t="array" ref="L1772">_xlfn.IFS(orders[[#This Row],[Customer Gender]]="M","Male", orders[[#This Row],[Customer Gender]]="F","Female", orders[[#This Row],[Customer Gender]]="O","Other", TRUE,"Unknown")</f>
        <v>Male</v>
      </c>
      <c r="M1772">
        <v>4</v>
      </c>
      <c r="N1772">
        <v>59.2</v>
      </c>
      <c r="O1772" s="5">
        <v>236.8</v>
      </c>
    </row>
    <row r="1773" spans="1:15" x14ac:dyDescent="0.3">
      <c r="A1773" t="s">
        <v>1871</v>
      </c>
      <c r="B1773" t="s">
        <v>53</v>
      </c>
      <c r="C1773" s="7">
        <v>45722</v>
      </c>
      <c r="D1773" s="7">
        <v>45729</v>
      </c>
      <c r="E1773" t="s">
        <v>22</v>
      </c>
      <c r="F1773" t="s">
        <v>17</v>
      </c>
      <c r="G1773">
        <v>5</v>
      </c>
      <c r="H1773" t="s">
        <v>18</v>
      </c>
      <c r="I1773" t="s">
        <v>61</v>
      </c>
      <c r="J1773">
        <f>orders[[#This Row],[Ship Date]]-orders[[#This Row],[Order Date]]</f>
        <v>7</v>
      </c>
      <c r="K1773">
        <f>WEEKNUM(orders[[#This Row],[Order Date]])</f>
        <v>10</v>
      </c>
      <c r="L1773" t="str" cm="1">
        <f t="array" ref="L1773">_xlfn.IFS(orders[[#This Row],[Customer Gender]]="M","Male", orders[[#This Row],[Customer Gender]]="F","Female", orders[[#This Row],[Customer Gender]]="O","Other", TRUE,"Unknown")</f>
        <v>Male</v>
      </c>
      <c r="M1773">
        <v>11</v>
      </c>
      <c r="N1773">
        <v>35.6</v>
      </c>
      <c r="O1773">
        <v>391.6</v>
      </c>
    </row>
    <row r="1774" spans="1:15" x14ac:dyDescent="0.3">
      <c r="A1774" t="s">
        <v>1872</v>
      </c>
      <c r="B1774" t="s">
        <v>127</v>
      </c>
      <c r="C1774" s="7">
        <v>45722</v>
      </c>
      <c r="D1774" s="7">
        <v>45726</v>
      </c>
      <c r="E1774" t="s">
        <v>26</v>
      </c>
      <c r="F1774" t="s">
        <v>39</v>
      </c>
      <c r="G1774">
        <v>3</v>
      </c>
      <c r="H1774" t="s">
        <v>18</v>
      </c>
      <c r="I1774" t="s">
        <v>61</v>
      </c>
      <c r="J1774">
        <f>orders[[#This Row],[Ship Date]]-orders[[#This Row],[Order Date]]</f>
        <v>4</v>
      </c>
      <c r="K1774">
        <f>WEEKNUM(orders[[#This Row],[Order Date]])</f>
        <v>10</v>
      </c>
      <c r="L1774" t="str" cm="1">
        <f t="array" ref="L1774">_xlfn.IFS(orders[[#This Row],[Customer Gender]]="M","Male", orders[[#This Row],[Customer Gender]]="F","Female", orders[[#This Row],[Customer Gender]]="O","Other", TRUE,"Unknown")</f>
        <v>Female</v>
      </c>
      <c r="M1774">
        <v>8</v>
      </c>
      <c r="N1774">
        <v>37</v>
      </c>
      <c r="O1774" s="5">
        <v>296</v>
      </c>
    </row>
    <row r="1775" spans="1:15" x14ac:dyDescent="0.3">
      <c r="A1775" t="s">
        <v>1873</v>
      </c>
      <c r="B1775" t="s">
        <v>21</v>
      </c>
      <c r="C1775" s="7">
        <v>45722</v>
      </c>
      <c r="D1775" s="7">
        <v>45724</v>
      </c>
      <c r="E1775" t="s">
        <v>26</v>
      </c>
      <c r="F1775" t="s">
        <v>17</v>
      </c>
      <c r="G1775">
        <v>4</v>
      </c>
      <c r="H1775" t="s">
        <v>18</v>
      </c>
      <c r="I1775" t="s">
        <v>61</v>
      </c>
      <c r="J1775">
        <f>orders[[#This Row],[Ship Date]]-orders[[#This Row],[Order Date]]</f>
        <v>2</v>
      </c>
      <c r="K1775">
        <f>WEEKNUM(orders[[#This Row],[Order Date]])</f>
        <v>10</v>
      </c>
      <c r="L1775" t="str" cm="1">
        <f t="array" ref="L1775">_xlfn.IFS(orders[[#This Row],[Customer Gender]]="M","Male", orders[[#This Row],[Customer Gender]]="F","Female", orders[[#This Row],[Customer Gender]]="O","Other", TRUE,"Unknown")</f>
        <v>Female</v>
      </c>
      <c r="M1775">
        <v>13</v>
      </c>
      <c r="N1775">
        <v>80.8</v>
      </c>
      <c r="O1775">
        <v>1050.3999999999999</v>
      </c>
    </row>
    <row r="1776" spans="1:15" x14ac:dyDescent="0.3">
      <c r="A1776" t="s">
        <v>1874</v>
      </c>
      <c r="B1776" t="s">
        <v>43</v>
      </c>
      <c r="C1776" s="7">
        <v>45722</v>
      </c>
      <c r="D1776" s="7">
        <v>45723</v>
      </c>
      <c r="E1776" t="s">
        <v>22</v>
      </c>
      <c r="F1776" t="s">
        <v>17</v>
      </c>
      <c r="G1776">
        <v>3</v>
      </c>
      <c r="H1776" t="s">
        <v>18</v>
      </c>
      <c r="I1776" t="s">
        <v>61</v>
      </c>
      <c r="J1776">
        <f>orders[[#This Row],[Ship Date]]-orders[[#This Row],[Order Date]]</f>
        <v>1</v>
      </c>
      <c r="K1776">
        <f>WEEKNUM(orders[[#This Row],[Order Date]])</f>
        <v>10</v>
      </c>
      <c r="L1776" t="str" cm="1">
        <f t="array" ref="L1776">_xlfn.IFS(orders[[#This Row],[Customer Gender]]="M","Male", orders[[#This Row],[Customer Gender]]="F","Female", orders[[#This Row],[Customer Gender]]="O","Other", TRUE,"Unknown")</f>
        <v>Male</v>
      </c>
      <c r="M1776">
        <v>2</v>
      </c>
      <c r="N1776">
        <v>63.2</v>
      </c>
      <c r="O1776" s="5">
        <v>126.4</v>
      </c>
    </row>
    <row r="1777" spans="1:15" x14ac:dyDescent="0.3">
      <c r="A1777" t="s">
        <v>1875</v>
      </c>
      <c r="B1777" t="s">
        <v>29</v>
      </c>
      <c r="C1777" s="7">
        <v>45722</v>
      </c>
      <c r="D1777" s="7">
        <v>45724</v>
      </c>
      <c r="E1777" t="s">
        <v>22</v>
      </c>
      <c r="F1777" t="s">
        <v>17</v>
      </c>
      <c r="G1777">
        <v>3</v>
      </c>
      <c r="H1777" t="s">
        <v>18</v>
      </c>
      <c r="I1777" t="s">
        <v>102</v>
      </c>
      <c r="J1777">
        <f>orders[[#This Row],[Ship Date]]-orders[[#This Row],[Order Date]]</f>
        <v>2</v>
      </c>
      <c r="K1777">
        <f>WEEKNUM(orders[[#This Row],[Order Date]])</f>
        <v>10</v>
      </c>
      <c r="L1777" t="str" cm="1">
        <f t="array" ref="L1777">_xlfn.IFS(orders[[#This Row],[Customer Gender]]="M","Male", orders[[#This Row],[Customer Gender]]="F","Female", orders[[#This Row],[Customer Gender]]="O","Other", TRUE,"Unknown")</f>
        <v>Male</v>
      </c>
      <c r="M1777">
        <v>2</v>
      </c>
      <c r="N1777">
        <v>40.799999999999997</v>
      </c>
      <c r="O1777">
        <v>81.599999999999994</v>
      </c>
    </row>
    <row r="1778" spans="1:15" x14ac:dyDescent="0.3">
      <c r="A1778" t="s">
        <v>1876</v>
      </c>
      <c r="B1778" t="s">
        <v>75</v>
      </c>
      <c r="C1778" s="7">
        <v>45722</v>
      </c>
      <c r="D1778" s="7">
        <v>45724</v>
      </c>
      <c r="E1778" t="s">
        <v>22</v>
      </c>
      <c r="F1778" t="s">
        <v>69</v>
      </c>
      <c r="G1778">
        <v>4</v>
      </c>
      <c r="H1778" t="s">
        <v>18</v>
      </c>
      <c r="I1778" t="s">
        <v>107</v>
      </c>
      <c r="J1778">
        <f>orders[[#This Row],[Ship Date]]-orders[[#This Row],[Order Date]]</f>
        <v>2</v>
      </c>
      <c r="K1778">
        <f>WEEKNUM(orders[[#This Row],[Order Date]])</f>
        <v>10</v>
      </c>
      <c r="L1778" t="str" cm="1">
        <f t="array" ref="L1778">_xlfn.IFS(orders[[#This Row],[Customer Gender]]="M","Male", orders[[#This Row],[Customer Gender]]="F","Female", orders[[#This Row],[Customer Gender]]="O","Other", TRUE,"Unknown")</f>
        <v>Male</v>
      </c>
      <c r="M1778">
        <v>6</v>
      </c>
      <c r="N1778">
        <v>25.7</v>
      </c>
      <c r="O1778" s="5">
        <v>154.19999999999999</v>
      </c>
    </row>
    <row r="1779" spans="1:15" x14ac:dyDescent="0.3">
      <c r="A1779" t="s">
        <v>1877</v>
      </c>
      <c r="B1779" t="s">
        <v>127</v>
      </c>
      <c r="C1779" s="7">
        <v>45722</v>
      </c>
      <c r="D1779" s="7">
        <v>45725</v>
      </c>
      <c r="E1779" t="s">
        <v>22</v>
      </c>
      <c r="F1779" t="s">
        <v>17</v>
      </c>
      <c r="G1779">
        <v>4</v>
      </c>
      <c r="H1779" t="s">
        <v>18</v>
      </c>
      <c r="I1779" t="s">
        <v>112</v>
      </c>
      <c r="J1779">
        <f>orders[[#This Row],[Ship Date]]-orders[[#This Row],[Order Date]]</f>
        <v>3</v>
      </c>
      <c r="K1779">
        <f>WEEKNUM(orders[[#This Row],[Order Date]])</f>
        <v>10</v>
      </c>
      <c r="L1779" t="str" cm="1">
        <f t="array" ref="L1779">_xlfn.IFS(orders[[#This Row],[Customer Gender]]="M","Male", orders[[#This Row],[Customer Gender]]="F","Female", orders[[#This Row],[Customer Gender]]="O","Other", TRUE,"Unknown")</f>
        <v>Male</v>
      </c>
      <c r="M1779">
        <v>2</v>
      </c>
      <c r="N1779">
        <v>49.9</v>
      </c>
      <c r="O1779">
        <v>99.8</v>
      </c>
    </row>
    <row r="1780" spans="1:15" x14ac:dyDescent="0.3">
      <c r="A1780" t="s">
        <v>1878</v>
      </c>
      <c r="B1780" t="s">
        <v>43</v>
      </c>
      <c r="C1780" s="7">
        <v>45722</v>
      </c>
      <c r="D1780" s="7">
        <v>45724</v>
      </c>
      <c r="E1780" t="s">
        <v>26</v>
      </c>
      <c r="F1780" t="s">
        <v>50</v>
      </c>
      <c r="G1780">
        <v>4</v>
      </c>
      <c r="H1780" t="s">
        <v>18</v>
      </c>
      <c r="I1780" t="s">
        <v>114</v>
      </c>
      <c r="J1780">
        <f>orders[[#This Row],[Ship Date]]-orders[[#This Row],[Order Date]]</f>
        <v>2</v>
      </c>
      <c r="K1780">
        <f>WEEKNUM(orders[[#This Row],[Order Date]])</f>
        <v>10</v>
      </c>
      <c r="L1780" t="str" cm="1">
        <f t="array" ref="L1780">_xlfn.IFS(orders[[#This Row],[Customer Gender]]="M","Male", orders[[#This Row],[Customer Gender]]="F","Female", orders[[#This Row],[Customer Gender]]="O","Other", TRUE,"Unknown")</f>
        <v>Female</v>
      </c>
      <c r="M1780">
        <v>2</v>
      </c>
      <c r="N1780">
        <v>20.2</v>
      </c>
      <c r="O1780" s="5">
        <v>40.4</v>
      </c>
    </row>
    <row r="1781" spans="1:15" x14ac:dyDescent="0.3">
      <c r="A1781" t="s">
        <v>1879</v>
      </c>
      <c r="B1781" t="s">
        <v>38</v>
      </c>
      <c r="C1781" s="7">
        <v>45722</v>
      </c>
      <c r="D1781" s="7">
        <v>45727</v>
      </c>
      <c r="E1781" t="s">
        <v>26</v>
      </c>
      <c r="F1781" t="s">
        <v>17</v>
      </c>
      <c r="G1781">
        <v>5</v>
      </c>
      <c r="H1781" t="s">
        <v>18</v>
      </c>
      <c r="I1781" t="s">
        <v>114</v>
      </c>
      <c r="J1781">
        <f>orders[[#This Row],[Ship Date]]-orders[[#This Row],[Order Date]]</f>
        <v>5</v>
      </c>
      <c r="K1781">
        <f>WEEKNUM(orders[[#This Row],[Order Date]])</f>
        <v>10</v>
      </c>
      <c r="L1781" t="str" cm="1">
        <f t="array" ref="L1781">_xlfn.IFS(orders[[#This Row],[Customer Gender]]="M","Male", orders[[#This Row],[Customer Gender]]="F","Female", orders[[#This Row],[Customer Gender]]="O","Other", TRUE,"Unknown")</f>
        <v>Female</v>
      </c>
      <c r="M1781">
        <v>3</v>
      </c>
      <c r="N1781">
        <v>48.4</v>
      </c>
      <c r="O1781">
        <v>145.19999999999999</v>
      </c>
    </row>
    <row r="1782" spans="1:15" x14ac:dyDescent="0.3">
      <c r="A1782" t="s">
        <v>1880</v>
      </c>
      <c r="B1782" t="s">
        <v>38</v>
      </c>
      <c r="C1782" s="7">
        <v>45722</v>
      </c>
      <c r="D1782" s="7">
        <v>45723</v>
      </c>
      <c r="E1782" t="s">
        <v>26</v>
      </c>
      <c r="F1782" t="s">
        <v>34</v>
      </c>
      <c r="G1782">
        <v>5</v>
      </c>
      <c r="H1782" t="s">
        <v>18</v>
      </c>
      <c r="I1782" t="s">
        <v>114</v>
      </c>
      <c r="J1782">
        <f>orders[[#This Row],[Ship Date]]-orders[[#This Row],[Order Date]]</f>
        <v>1</v>
      </c>
      <c r="K1782">
        <f>WEEKNUM(orders[[#This Row],[Order Date]])</f>
        <v>10</v>
      </c>
      <c r="L1782" t="str" cm="1">
        <f t="array" ref="L1782">_xlfn.IFS(orders[[#This Row],[Customer Gender]]="M","Male", orders[[#This Row],[Customer Gender]]="F","Female", orders[[#This Row],[Customer Gender]]="O","Other", TRUE,"Unknown")</f>
        <v>Female</v>
      </c>
      <c r="M1782">
        <v>2</v>
      </c>
      <c r="N1782">
        <v>81</v>
      </c>
      <c r="O1782" s="5">
        <v>162</v>
      </c>
    </row>
    <row r="1783" spans="1:15" x14ac:dyDescent="0.3">
      <c r="A1783" t="s">
        <v>1881</v>
      </c>
      <c r="B1783" t="s">
        <v>43</v>
      </c>
      <c r="C1783" s="7">
        <v>45722</v>
      </c>
      <c r="D1783" s="7">
        <v>45725</v>
      </c>
      <c r="E1783" t="s">
        <v>26</v>
      </c>
      <c r="F1783" t="s">
        <v>17</v>
      </c>
      <c r="G1783">
        <v>3</v>
      </c>
      <c r="H1783" t="s">
        <v>18</v>
      </c>
      <c r="I1783" t="s">
        <v>146</v>
      </c>
      <c r="J1783">
        <f>orders[[#This Row],[Ship Date]]-orders[[#This Row],[Order Date]]</f>
        <v>3</v>
      </c>
      <c r="K1783">
        <f>WEEKNUM(orders[[#This Row],[Order Date]])</f>
        <v>10</v>
      </c>
      <c r="L1783" t="str" cm="1">
        <f t="array" ref="L1783">_xlfn.IFS(orders[[#This Row],[Customer Gender]]="M","Male", orders[[#This Row],[Customer Gender]]="F","Female", orders[[#This Row],[Customer Gender]]="O","Other", TRUE,"Unknown")</f>
        <v>Female</v>
      </c>
      <c r="M1783">
        <v>6</v>
      </c>
      <c r="N1783">
        <v>19.899999999999999</v>
      </c>
      <c r="O1783">
        <v>119.39999999999999</v>
      </c>
    </row>
    <row r="1784" spans="1:15" x14ac:dyDescent="0.3">
      <c r="A1784" t="s">
        <v>1882</v>
      </c>
      <c r="B1784" t="s">
        <v>31</v>
      </c>
      <c r="C1784" s="7">
        <v>45722</v>
      </c>
      <c r="D1784" s="7">
        <v>45732</v>
      </c>
      <c r="E1784" t="s">
        <v>22</v>
      </c>
      <c r="F1784" t="s">
        <v>17</v>
      </c>
      <c r="G1784">
        <v>4</v>
      </c>
      <c r="H1784" t="s">
        <v>18</v>
      </c>
      <c r="I1784" t="s">
        <v>146</v>
      </c>
      <c r="J1784">
        <f>orders[[#This Row],[Ship Date]]-orders[[#This Row],[Order Date]]</f>
        <v>10</v>
      </c>
      <c r="K1784">
        <f>WEEKNUM(orders[[#This Row],[Order Date]])</f>
        <v>10</v>
      </c>
      <c r="L1784" t="str" cm="1">
        <f t="array" ref="L1784">_xlfn.IFS(orders[[#This Row],[Customer Gender]]="M","Male", orders[[#This Row],[Customer Gender]]="F","Female", orders[[#This Row],[Customer Gender]]="O","Other", TRUE,"Unknown")</f>
        <v>Male</v>
      </c>
      <c r="M1784">
        <v>4</v>
      </c>
      <c r="N1784">
        <v>32.200000000000003</v>
      </c>
      <c r="O1784" s="5">
        <v>128.80000000000001</v>
      </c>
    </row>
    <row r="1785" spans="1:15" x14ac:dyDescent="0.3">
      <c r="A1785" t="s">
        <v>1883</v>
      </c>
      <c r="B1785" t="s">
        <v>36</v>
      </c>
      <c r="C1785" s="7">
        <v>45722</v>
      </c>
      <c r="D1785" s="7">
        <v>45723</v>
      </c>
      <c r="E1785" t="s">
        <v>26</v>
      </c>
      <c r="F1785" t="s">
        <v>17</v>
      </c>
      <c r="G1785">
        <v>3</v>
      </c>
      <c r="H1785" t="s">
        <v>18</v>
      </c>
      <c r="I1785" t="s">
        <v>32</v>
      </c>
      <c r="J1785">
        <f>orders[[#This Row],[Ship Date]]-orders[[#This Row],[Order Date]]</f>
        <v>1</v>
      </c>
      <c r="K1785">
        <f>WEEKNUM(orders[[#This Row],[Order Date]])</f>
        <v>10</v>
      </c>
      <c r="L1785" t="str" cm="1">
        <f t="array" ref="L1785">_xlfn.IFS(orders[[#This Row],[Customer Gender]]="M","Male", orders[[#This Row],[Customer Gender]]="F","Female", orders[[#This Row],[Customer Gender]]="O","Other", TRUE,"Unknown")</f>
        <v>Female</v>
      </c>
      <c r="M1785">
        <v>3</v>
      </c>
      <c r="N1785">
        <v>76.8</v>
      </c>
      <c r="O1785">
        <v>230.39999999999998</v>
      </c>
    </row>
    <row r="1786" spans="1:15" x14ac:dyDescent="0.3">
      <c r="A1786" t="s">
        <v>1884</v>
      </c>
      <c r="B1786" t="s">
        <v>38</v>
      </c>
      <c r="C1786" s="7">
        <v>45722</v>
      </c>
      <c r="D1786" s="7">
        <v>45724</v>
      </c>
      <c r="E1786" t="s">
        <v>26</v>
      </c>
      <c r="F1786" t="s">
        <v>17</v>
      </c>
      <c r="G1786">
        <v>4</v>
      </c>
      <c r="H1786" t="s">
        <v>18</v>
      </c>
      <c r="I1786" t="s">
        <v>32</v>
      </c>
      <c r="J1786">
        <f>orders[[#This Row],[Ship Date]]-orders[[#This Row],[Order Date]]</f>
        <v>2</v>
      </c>
      <c r="K1786">
        <f>WEEKNUM(orders[[#This Row],[Order Date]])</f>
        <v>10</v>
      </c>
      <c r="L1786" t="str" cm="1">
        <f t="array" ref="L1786">_xlfn.IFS(orders[[#This Row],[Customer Gender]]="M","Male", orders[[#This Row],[Customer Gender]]="F","Female", orders[[#This Row],[Customer Gender]]="O","Other", TRUE,"Unknown")</f>
        <v>Female</v>
      </c>
      <c r="M1786">
        <v>2</v>
      </c>
      <c r="N1786">
        <v>41.9</v>
      </c>
      <c r="O1786" s="5">
        <v>83.8</v>
      </c>
    </row>
    <row r="1787" spans="1:15" x14ac:dyDescent="0.3">
      <c r="A1787" t="s">
        <v>1885</v>
      </c>
      <c r="B1787" t="s">
        <v>16</v>
      </c>
      <c r="C1787" s="7">
        <v>45722</v>
      </c>
      <c r="D1787" s="7">
        <v>45724</v>
      </c>
      <c r="E1787" t="s">
        <v>26</v>
      </c>
      <c r="F1787" t="s">
        <v>34</v>
      </c>
      <c r="G1787">
        <v>5</v>
      </c>
      <c r="H1787" t="s">
        <v>18</v>
      </c>
      <c r="I1787" t="s">
        <v>32</v>
      </c>
      <c r="J1787">
        <f>orders[[#This Row],[Ship Date]]-orders[[#This Row],[Order Date]]</f>
        <v>2</v>
      </c>
      <c r="K1787">
        <f>WEEKNUM(orders[[#This Row],[Order Date]])</f>
        <v>10</v>
      </c>
      <c r="L1787" t="str" cm="1">
        <f t="array" ref="L1787">_xlfn.IFS(orders[[#This Row],[Customer Gender]]="M","Male", orders[[#This Row],[Customer Gender]]="F","Female", orders[[#This Row],[Customer Gender]]="O","Other", TRUE,"Unknown")</f>
        <v>Female</v>
      </c>
      <c r="M1787">
        <v>7</v>
      </c>
      <c r="N1787">
        <v>34</v>
      </c>
      <c r="O1787">
        <v>238</v>
      </c>
    </row>
    <row r="1788" spans="1:15" x14ac:dyDescent="0.3">
      <c r="A1788" t="s">
        <v>1886</v>
      </c>
      <c r="B1788" t="s">
        <v>41</v>
      </c>
      <c r="C1788" s="7">
        <v>45722</v>
      </c>
      <c r="D1788" s="7">
        <v>45722</v>
      </c>
      <c r="E1788" t="s">
        <v>26</v>
      </c>
      <c r="F1788" t="s">
        <v>69</v>
      </c>
      <c r="G1788">
        <v>5</v>
      </c>
      <c r="H1788" t="s">
        <v>18</v>
      </c>
      <c r="I1788" t="s">
        <v>32</v>
      </c>
      <c r="J1788">
        <f>orders[[#This Row],[Ship Date]]-orders[[#This Row],[Order Date]]</f>
        <v>0</v>
      </c>
      <c r="K1788">
        <f>WEEKNUM(orders[[#This Row],[Order Date]])</f>
        <v>10</v>
      </c>
      <c r="L1788" t="str" cm="1">
        <f t="array" ref="L1788">_xlfn.IFS(orders[[#This Row],[Customer Gender]]="M","Male", orders[[#This Row],[Customer Gender]]="F","Female", orders[[#This Row],[Customer Gender]]="O","Other", TRUE,"Unknown")</f>
        <v>Female</v>
      </c>
      <c r="M1788">
        <v>7</v>
      </c>
      <c r="N1788">
        <v>61.3</v>
      </c>
      <c r="O1788" s="5">
        <v>429.09999999999997</v>
      </c>
    </row>
    <row r="1789" spans="1:15" x14ac:dyDescent="0.3">
      <c r="A1789" t="s">
        <v>1887</v>
      </c>
      <c r="B1789" t="s">
        <v>45</v>
      </c>
      <c r="C1789" s="7">
        <v>45723</v>
      </c>
      <c r="D1789" s="7">
        <v>45724</v>
      </c>
      <c r="E1789" t="s">
        <v>22</v>
      </c>
      <c r="F1789" t="s">
        <v>17</v>
      </c>
      <c r="G1789">
        <v>3</v>
      </c>
      <c r="H1789" t="s">
        <v>18</v>
      </c>
      <c r="I1789" t="s">
        <v>32</v>
      </c>
      <c r="J1789">
        <f>orders[[#This Row],[Ship Date]]-orders[[#This Row],[Order Date]]</f>
        <v>1</v>
      </c>
      <c r="K1789">
        <f>WEEKNUM(orders[[#This Row],[Order Date]])</f>
        <v>10</v>
      </c>
      <c r="L1789" t="str" cm="1">
        <f t="array" ref="L1789">_xlfn.IFS(orders[[#This Row],[Customer Gender]]="M","Male", orders[[#This Row],[Customer Gender]]="F","Female", orders[[#This Row],[Customer Gender]]="O","Other", TRUE,"Unknown")</f>
        <v>Male</v>
      </c>
      <c r="M1789">
        <v>1</v>
      </c>
      <c r="N1789">
        <v>54.7</v>
      </c>
      <c r="O1789">
        <v>54.7</v>
      </c>
    </row>
    <row r="1790" spans="1:15" x14ac:dyDescent="0.3">
      <c r="A1790" t="s">
        <v>1888</v>
      </c>
      <c r="B1790" t="s">
        <v>38</v>
      </c>
      <c r="C1790" s="7">
        <v>45723</v>
      </c>
      <c r="D1790" s="7">
        <v>45727</v>
      </c>
      <c r="E1790" t="s">
        <v>26</v>
      </c>
      <c r="F1790" t="s">
        <v>17</v>
      </c>
      <c r="G1790">
        <v>4</v>
      </c>
      <c r="H1790" t="s">
        <v>18</v>
      </c>
      <c r="I1790" t="s">
        <v>32</v>
      </c>
      <c r="J1790">
        <f>orders[[#This Row],[Ship Date]]-orders[[#This Row],[Order Date]]</f>
        <v>4</v>
      </c>
      <c r="K1790">
        <f>WEEKNUM(orders[[#This Row],[Order Date]])</f>
        <v>10</v>
      </c>
      <c r="L1790" t="str" cm="1">
        <f t="array" ref="L1790">_xlfn.IFS(orders[[#This Row],[Customer Gender]]="M","Male", orders[[#This Row],[Customer Gender]]="F","Female", orders[[#This Row],[Customer Gender]]="O","Other", TRUE,"Unknown")</f>
        <v>Female</v>
      </c>
      <c r="M1790">
        <v>10</v>
      </c>
      <c r="N1790">
        <v>84.7</v>
      </c>
      <c r="O1790" s="5">
        <v>847</v>
      </c>
    </row>
    <row r="1791" spans="1:15" x14ac:dyDescent="0.3">
      <c r="A1791" t="s">
        <v>1889</v>
      </c>
      <c r="B1791" t="s">
        <v>21</v>
      </c>
      <c r="C1791" s="7">
        <v>45723</v>
      </c>
      <c r="D1791" s="7">
        <v>45727</v>
      </c>
      <c r="E1791" t="s">
        <v>26</v>
      </c>
      <c r="F1791" t="s">
        <v>50</v>
      </c>
      <c r="G1791">
        <v>4</v>
      </c>
      <c r="H1791" t="s">
        <v>18</v>
      </c>
      <c r="I1791" t="s">
        <v>32</v>
      </c>
      <c r="J1791">
        <f>orders[[#This Row],[Ship Date]]-orders[[#This Row],[Order Date]]</f>
        <v>4</v>
      </c>
      <c r="K1791">
        <f>WEEKNUM(orders[[#This Row],[Order Date]])</f>
        <v>10</v>
      </c>
      <c r="L1791" t="str" cm="1">
        <f t="array" ref="L1791">_xlfn.IFS(orders[[#This Row],[Customer Gender]]="M","Male", orders[[#This Row],[Customer Gender]]="F","Female", orders[[#This Row],[Customer Gender]]="O","Other", TRUE,"Unknown")</f>
        <v>Female</v>
      </c>
      <c r="M1791">
        <v>3</v>
      </c>
      <c r="N1791">
        <v>93.4</v>
      </c>
      <c r="O1791">
        <v>280.20000000000005</v>
      </c>
    </row>
    <row r="1792" spans="1:15" x14ac:dyDescent="0.3">
      <c r="A1792" t="s">
        <v>1890</v>
      </c>
      <c r="B1792" t="s">
        <v>43</v>
      </c>
      <c r="C1792" s="7">
        <v>45723</v>
      </c>
      <c r="D1792" s="7">
        <v>45726</v>
      </c>
      <c r="E1792" t="s">
        <v>22</v>
      </c>
      <c r="F1792" t="s">
        <v>17</v>
      </c>
      <c r="G1792">
        <v>3</v>
      </c>
      <c r="H1792" t="s">
        <v>18</v>
      </c>
      <c r="I1792" t="s">
        <v>32</v>
      </c>
      <c r="J1792">
        <f>orders[[#This Row],[Ship Date]]-orders[[#This Row],[Order Date]]</f>
        <v>3</v>
      </c>
      <c r="K1792">
        <f>WEEKNUM(orders[[#This Row],[Order Date]])</f>
        <v>10</v>
      </c>
      <c r="L1792" t="str" cm="1">
        <f t="array" ref="L1792">_xlfn.IFS(orders[[#This Row],[Customer Gender]]="M","Male", orders[[#This Row],[Customer Gender]]="F","Female", orders[[#This Row],[Customer Gender]]="O","Other", TRUE,"Unknown")</f>
        <v>Male</v>
      </c>
      <c r="M1792">
        <v>5</v>
      </c>
      <c r="N1792">
        <v>27</v>
      </c>
      <c r="O1792" s="5">
        <v>135</v>
      </c>
    </row>
    <row r="1793" spans="1:15" x14ac:dyDescent="0.3">
      <c r="A1793" t="s">
        <v>1891</v>
      </c>
      <c r="B1793" t="s">
        <v>16</v>
      </c>
      <c r="C1793" s="7">
        <v>45723</v>
      </c>
      <c r="D1793" s="7">
        <v>45724</v>
      </c>
      <c r="E1793" t="s">
        <v>22</v>
      </c>
      <c r="F1793" t="s">
        <v>39</v>
      </c>
      <c r="G1793">
        <v>4</v>
      </c>
      <c r="H1793" t="s">
        <v>18</v>
      </c>
      <c r="I1793" t="s">
        <v>32</v>
      </c>
      <c r="J1793">
        <f>orders[[#This Row],[Ship Date]]-orders[[#This Row],[Order Date]]</f>
        <v>1</v>
      </c>
      <c r="K1793">
        <f>WEEKNUM(orders[[#This Row],[Order Date]])</f>
        <v>10</v>
      </c>
      <c r="L1793" t="str" cm="1">
        <f t="array" ref="L1793">_xlfn.IFS(orders[[#This Row],[Customer Gender]]="M","Male", orders[[#This Row],[Customer Gender]]="F","Female", orders[[#This Row],[Customer Gender]]="O","Other", TRUE,"Unknown")</f>
        <v>Male</v>
      </c>
      <c r="M1793">
        <v>4</v>
      </c>
      <c r="N1793">
        <v>10.9</v>
      </c>
      <c r="O1793">
        <v>43.6</v>
      </c>
    </row>
    <row r="1794" spans="1:15" x14ac:dyDescent="0.3">
      <c r="A1794" t="s">
        <v>1892</v>
      </c>
      <c r="B1794" t="s">
        <v>127</v>
      </c>
      <c r="C1794" s="7">
        <v>45723</v>
      </c>
      <c r="D1794" s="7">
        <v>45728</v>
      </c>
      <c r="E1794" t="s">
        <v>26</v>
      </c>
      <c r="F1794" t="s">
        <v>69</v>
      </c>
      <c r="G1794">
        <v>4</v>
      </c>
      <c r="H1794" t="s">
        <v>18</v>
      </c>
      <c r="I1794" t="s">
        <v>32</v>
      </c>
      <c r="J1794">
        <f>orders[[#This Row],[Ship Date]]-orders[[#This Row],[Order Date]]</f>
        <v>5</v>
      </c>
      <c r="K1794">
        <f>WEEKNUM(orders[[#This Row],[Order Date]])</f>
        <v>10</v>
      </c>
      <c r="L1794" t="str" cm="1">
        <f t="array" ref="L1794">_xlfn.IFS(orders[[#This Row],[Customer Gender]]="M","Male", orders[[#This Row],[Customer Gender]]="F","Female", orders[[#This Row],[Customer Gender]]="O","Other", TRUE,"Unknown")</f>
        <v>Female</v>
      </c>
      <c r="M1794">
        <v>3</v>
      </c>
      <c r="N1794">
        <v>48</v>
      </c>
      <c r="O1794" s="5">
        <v>144</v>
      </c>
    </row>
    <row r="1795" spans="1:15" x14ac:dyDescent="0.3">
      <c r="A1795" t="s">
        <v>1893</v>
      </c>
      <c r="B1795" t="s">
        <v>36</v>
      </c>
      <c r="C1795" s="7">
        <v>45723</v>
      </c>
      <c r="D1795" s="7">
        <v>45724</v>
      </c>
      <c r="E1795" t="s">
        <v>22</v>
      </c>
      <c r="F1795" t="s">
        <v>17</v>
      </c>
      <c r="G1795">
        <v>5</v>
      </c>
      <c r="H1795" t="s">
        <v>18</v>
      </c>
      <c r="I1795" t="s">
        <v>157</v>
      </c>
      <c r="J1795">
        <f>orders[[#This Row],[Ship Date]]-orders[[#This Row],[Order Date]]</f>
        <v>1</v>
      </c>
      <c r="K1795">
        <f>WEEKNUM(orders[[#This Row],[Order Date]])</f>
        <v>10</v>
      </c>
      <c r="L1795" t="str" cm="1">
        <f t="array" ref="L1795">_xlfn.IFS(orders[[#This Row],[Customer Gender]]="M","Male", orders[[#This Row],[Customer Gender]]="F","Female", orders[[#This Row],[Customer Gender]]="O","Other", TRUE,"Unknown")</f>
        <v>Male</v>
      </c>
      <c r="M1795">
        <v>2</v>
      </c>
      <c r="N1795">
        <v>67.900000000000006</v>
      </c>
      <c r="O1795">
        <v>135.80000000000001</v>
      </c>
    </row>
    <row r="1796" spans="1:15" x14ac:dyDescent="0.3">
      <c r="A1796" t="s">
        <v>1894</v>
      </c>
      <c r="B1796" t="s">
        <v>31</v>
      </c>
      <c r="C1796" s="7">
        <v>45723</v>
      </c>
      <c r="D1796" s="7">
        <v>45724</v>
      </c>
      <c r="E1796" t="s">
        <v>22</v>
      </c>
      <c r="F1796" t="s">
        <v>34</v>
      </c>
      <c r="G1796">
        <v>4</v>
      </c>
      <c r="H1796" t="s">
        <v>18</v>
      </c>
      <c r="I1796" t="s">
        <v>54</v>
      </c>
      <c r="J1796">
        <f>orders[[#This Row],[Ship Date]]-orders[[#This Row],[Order Date]]</f>
        <v>1</v>
      </c>
      <c r="K1796">
        <f>WEEKNUM(orders[[#This Row],[Order Date]])</f>
        <v>10</v>
      </c>
      <c r="L1796" t="str" cm="1">
        <f t="array" ref="L1796">_xlfn.IFS(orders[[#This Row],[Customer Gender]]="M","Male", orders[[#This Row],[Customer Gender]]="F","Female", orders[[#This Row],[Customer Gender]]="O","Other", TRUE,"Unknown")</f>
        <v>Male</v>
      </c>
      <c r="M1796">
        <v>3</v>
      </c>
      <c r="N1796">
        <v>36</v>
      </c>
      <c r="O1796" s="5">
        <v>108</v>
      </c>
    </row>
    <row r="1797" spans="1:15" x14ac:dyDescent="0.3">
      <c r="A1797" t="s">
        <v>1895</v>
      </c>
      <c r="B1797" t="s">
        <v>25</v>
      </c>
      <c r="C1797" s="7">
        <v>45723</v>
      </c>
      <c r="D1797" s="7">
        <v>45724</v>
      </c>
      <c r="E1797" t="s">
        <v>22</v>
      </c>
      <c r="F1797" t="s">
        <v>69</v>
      </c>
      <c r="G1797">
        <v>5</v>
      </c>
      <c r="H1797" t="s">
        <v>18</v>
      </c>
      <c r="I1797" t="s">
        <v>54</v>
      </c>
      <c r="J1797">
        <f>orders[[#This Row],[Ship Date]]-orders[[#This Row],[Order Date]]</f>
        <v>1</v>
      </c>
      <c r="K1797">
        <f>WEEKNUM(orders[[#This Row],[Order Date]])</f>
        <v>10</v>
      </c>
      <c r="L1797" t="str" cm="1">
        <f t="array" ref="L1797">_xlfn.IFS(orders[[#This Row],[Customer Gender]]="M","Male", orders[[#This Row],[Customer Gender]]="F","Female", orders[[#This Row],[Customer Gender]]="O","Other", TRUE,"Unknown")</f>
        <v>Male</v>
      </c>
      <c r="M1797">
        <v>1</v>
      </c>
      <c r="N1797">
        <v>128.80000000000001</v>
      </c>
      <c r="O1797">
        <v>128.80000000000001</v>
      </c>
    </row>
    <row r="1798" spans="1:15" x14ac:dyDescent="0.3">
      <c r="A1798" t="s">
        <v>1896</v>
      </c>
      <c r="B1798" t="s">
        <v>145</v>
      </c>
      <c r="C1798" s="7">
        <v>45723</v>
      </c>
      <c r="D1798" s="7">
        <v>45724</v>
      </c>
      <c r="E1798" t="s">
        <v>26</v>
      </c>
      <c r="F1798" t="s">
        <v>50</v>
      </c>
      <c r="G1798">
        <v>4</v>
      </c>
      <c r="H1798" t="s">
        <v>18</v>
      </c>
      <c r="I1798" t="s">
        <v>61</v>
      </c>
      <c r="J1798">
        <f>orders[[#This Row],[Ship Date]]-orders[[#This Row],[Order Date]]</f>
        <v>1</v>
      </c>
      <c r="K1798">
        <f>WEEKNUM(orders[[#This Row],[Order Date]])</f>
        <v>10</v>
      </c>
      <c r="L1798" t="str" cm="1">
        <f t="array" ref="L1798">_xlfn.IFS(orders[[#This Row],[Customer Gender]]="M","Male", orders[[#This Row],[Customer Gender]]="F","Female", orders[[#This Row],[Customer Gender]]="O","Other", TRUE,"Unknown")</f>
        <v>Female</v>
      </c>
      <c r="M1798">
        <v>7</v>
      </c>
      <c r="N1798">
        <v>33.299999999999997</v>
      </c>
      <c r="O1798" s="5">
        <v>233.09999999999997</v>
      </c>
    </row>
    <row r="1799" spans="1:15" x14ac:dyDescent="0.3">
      <c r="A1799" t="s">
        <v>1897</v>
      </c>
      <c r="B1799" t="s">
        <v>53</v>
      </c>
      <c r="C1799" s="7">
        <v>45723</v>
      </c>
      <c r="D1799" s="7">
        <v>45725</v>
      </c>
      <c r="E1799" t="s">
        <v>22</v>
      </c>
      <c r="F1799" t="s">
        <v>34</v>
      </c>
      <c r="G1799">
        <v>5</v>
      </c>
      <c r="H1799" t="s">
        <v>18</v>
      </c>
      <c r="I1799" t="s">
        <v>61</v>
      </c>
      <c r="J1799">
        <f>orders[[#This Row],[Ship Date]]-orders[[#This Row],[Order Date]]</f>
        <v>2</v>
      </c>
      <c r="K1799">
        <f>WEEKNUM(orders[[#This Row],[Order Date]])</f>
        <v>10</v>
      </c>
      <c r="L1799" t="str" cm="1">
        <f t="array" ref="L1799">_xlfn.IFS(orders[[#This Row],[Customer Gender]]="M","Male", orders[[#This Row],[Customer Gender]]="F","Female", orders[[#This Row],[Customer Gender]]="O","Other", TRUE,"Unknown")</f>
        <v>Male</v>
      </c>
      <c r="M1799">
        <v>3</v>
      </c>
      <c r="N1799">
        <v>37.799999999999997</v>
      </c>
      <c r="O1799">
        <v>113.39999999999999</v>
      </c>
    </row>
    <row r="1800" spans="1:15" x14ac:dyDescent="0.3">
      <c r="A1800" t="s">
        <v>1898</v>
      </c>
      <c r="B1800" t="s">
        <v>36</v>
      </c>
      <c r="C1800" s="7">
        <v>45723</v>
      </c>
      <c r="D1800" s="7">
        <v>45728</v>
      </c>
      <c r="E1800" t="s">
        <v>26</v>
      </c>
      <c r="F1800" t="s">
        <v>17</v>
      </c>
      <c r="G1800">
        <v>4</v>
      </c>
      <c r="H1800" t="s">
        <v>18</v>
      </c>
      <c r="I1800" t="s">
        <v>61</v>
      </c>
      <c r="J1800">
        <f>orders[[#This Row],[Ship Date]]-orders[[#This Row],[Order Date]]</f>
        <v>5</v>
      </c>
      <c r="K1800">
        <f>WEEKNUM(orders[[#This Row],[Order Date]])</f>
        <v>10</v>
      </c>
      <c r="L1800" t="str" cm="1">
        <f t="array" ref="L1800">_xlfn.IFS(orders[[#This Row],[Customer Gender]]="M","Male", orders[[#This Row],[Customer Gender]]="F","Female", orders[[#This Row],[Customer Gender]]="O","Other", TRUE,"Unknown")</f>
        <v>Female</v>
      </c>
      <c r="M1800">
        <v>3</v>
      </c>
      <c r="N1800">
        <v>26</v>
      </c>
      <c r="O1800" s="5">
        <v>78</v>
      </c>
    </row>
    <row r="1801" spans="1:15" x14ac:dyDescent="0.3">
      <c r="A1801" t="s">
        <v>1899</v>
      </c>
      <c r="B1801" t="s">
        <v>43</v>
      </c>
      <c r="C1801" s="7">
        <v>45723</v>
      </c>
      <c r="D1801" s="7">
        <v>45724</v>
      </c>
      <c r="E1801" t="s">
        <v>26</v>
      </c>
      <c r="F1801" t="s">
        <v>50</v>
      </c>
      <c r="G1801">
        <v>2</v>
      </c>
      <c r="H1801" t="s">
        <v>18</v>
      </c>
      <c r="I1801" t="s">
        <v>61</v>
      </c>
      <c r="J1801">
        <f>orders[[#This Row],[Ship Date]]-orders[[#This Row],[Order Date]]</f>
        <v>1</v>
      </c>
      <c r="K1801">
        <f>WEEKNUM(orders[[#This Row],[Order Date]])</f>
        <v>10</v>
      </c>
      <c r="L1801" t="str" cm="1">
        <f t="array" ref="L1801">_xlfn.IFS(orders[[#This Row],[Customer Gender]]="M","Male", orders[[#This Row],[Customer Gender]]="F","Female", orders[[#This Row],[Customer Gender]]="O","Other", TRUE,"Unknown")</f>
        <v>Female</v>
      </c>
      <c r="M1801">
        <v>19</v>
      </c>
      <c r="N1801">
        <v>28.3</v>
      </c>
      <c r="O1801">
        <v>537.70000000000005</v>
      </c>
    </row>
    <row r="1802" spans="1:15" x14ac:dyDescent="0.3">
      <c r="A1802" t="s">
        <v>1900</v>
      </c>
      <c r="B1802" t="s">
        <v>43</v>
      </c>
      <c r="C1802" s="7">
        <v>45723</v>
      </c>
      <c r="D1802" s="7">
        <v>45723</v>
      </c>
      <c r="E1802" t="s">
        <v>26</v>
      </c>
      <c r="F1802" t="s">
        <v>17</v>
      </c>
      <c r="G1802">
        <v>4</v>
      </c>
      <c r="H1802" t="s">
        <v>18</v>
      </c>
      <c r="I1802" t="s">
        <v>61</v>
      </c>
      <c r="J1802">
        <f>orders[[#This Row],[Ship Date]]-orders[[#This Row],[Order Date]]</f>
        <v>0</v>
      </c>
      <c r="K1802">
        <f>WEEKNUM(orders[[#This Row],[Order Date]])</f>
        <v>10</v>
      </c>
      <c r="L1802" t="str" cm="1">
        <f t="array" ref="L1802">_xlfn.IFS(orders[[#This Row],[Customer Gender]]="M","Male", orders[[#This Row],[Customer Gender]]="F","Female", orders[[#This Row],[Customer Gender]]="O","Other", TRUE,"Unknown")</f>
        <v>Female</v>
      </c>
      <c r="M1802">
        <v>4</v>
      </c>
      <c r="N1802">
        <v>31.3</v>
      </c>
      <c r="O1802" s="5">
        <v>125.2</v>
      </c>
    </row>
    <row r="1803" spans="1:15" x14ac:dyDescent="0.3">
      <c r="A1803" t="s">
        <v>1901</v>
      </c>
      <c r="B1803" t="s">
        <v>41</v>
      </c>
      <c r="C1803" s="7">
        <v>45723</v>
      </c>
      <c r="D1803" s="7">
        <v>45724</v>
      </c>
      <c r="E1803" t="s">
        <v>26</v>
      </c>
      <c r="F1803" t="s">
        <v>50</v>
      </c>
      <c r="G1803">
        <v>5</v>
      </c>
      <c r="H1803" t="s">
        <v>18</v>
      </c>
      <c r="I1803" t="s">
        <v>61</v>
      </c>
      <c r="J1803">
        <f>orders[[#This Row],[Ship Date]]-orders[[#This Row],[Order Date]]</f>
        <v>1</v>
      </c>
      <c r="K1803">
        <f>WEEKNUM(orders[[#This Row],[Order Date]])</f>
        <v>10</v>
      </c>
      <c r="L1803" t="str" cm="1">
        <f t="array" ref="L1803">_xlfn.IFS(orders[[#This Row],[Customer Gender]]="M","Male", orders[[#This Row],[Customer Gender]]="F","Female", orders[[#This Row],[Customer Gender]]="O","Other", TRUE,"Unknown")</f>
        <v>Female</v>
      </c>
      <c r="M1803">
        <v>3</v>
      </c>
      <c r="N1803">
        <v>69.5</v>
      </c>
      <c r="O1803">
        <v>208.5</v>
      </c>
    </row>
    <row r="1804" spans="1:15" x14ac:dyDescent="0.3">
      <c r="A1804" t="s">
        <v>1902</v>
      </c>
      <c r="B1804" t="s">
        <v>16</v>
      </c>
      <c r="C1804" s="7">
        <v>45723</v>
      </c>
      <c r="D1804" s="7">
        <v>45724</v>
      </c>
      <c r="E1804" t="s">
        <v>26</v>
      </c>
      <c r="F1804" t="s">
        <v>50</v>
      </c>
      <c r="G1804">
        <v>3</v>
      </c>
      <c r="H1804" t="s">
        <v>18</v>
      </c>
      <c r="I1804" t="s">
        <v>61</v>
      </c>
      <c r="J1804">
        <f>orders[[#This Row],[Ship Date]]-orders[[#This Row],[Order Date]]</f>
        <v>1</v>
      </c>
      <c r="K1804">
        <f>WEEKNUM(orders[[#This Row],[Order Date]])</f>
        <v>10</v>
      </c>
      <c r="L1804" t="str" cm="1">
        <f t="array" ref="L1804">_xlfn.IFS(orders[[#This Row],[Customer Gender]]="M","Male", orders[[#This Row],[Customer Gender]]="F","Female", orders[[#This Row],[Customer Gender]]="O","Other", TRUE,"Unknown")</f>
        <v>Female</v>
      </c>
      <c r="M1804">
        <v>2</v>
      </c>
      <c r="N1804">
        <v>16.7</v>
      </c>
      <c r="O1804" s="5">
        <v>33.4</v>
      </c>
    </row>
    <row r="1805" spans="1:15" x14ac:dyDescent="0.3">
      <c r="A1805" t="s">
        <v>1903</v>
      </c>
      <c r="B1805" t="s">
        <v>45</v>
      </c>
      <c r="C1805" s="7">
        <v>45723</v>
      </c>
      <c r="D1805" s="7">
        <v>45724</v>
      </c>
      <c r="E1805" t="s">
        <v>22</v>
      </c>
      <c r="F1805" t="s">
        <v>39</v>
      </c>
      <c r="G1805">
        <v>5</v>
      </c>
      <c r="H1805" t="s">
        <v>18</v>
      </c>
      <c r="I1805" t="s">
        <v>71</v>
      </c>
      <c r="J1805">
        <f>orders[[#This Row],[Ship Date]]-orders[[#This Row],[Order Date]]</f>
        <v>1</v>
      </c>
      <c r="K1805">
        <f>WEEKNUM(orders[[#This Row],[Order Date]])</f>
        <v>10</v>
      </c>
      <c r="L1805" t="str" cm="1">
        <f t="array" ref="L1805">_xlfn.IFS(orders[[#This Row],[Customer Gender]]="M","Male", orders[[#This Row],[Customer Gender]]="F","Female", orders[[#This Row],[Customer Gender]]="O","Other", TRUE,"Unknown")</f>
        <v>Male</v>
      </c>
      <c r="M1805">
        <v>2</v>
      </c>
      <c r="N1805">
        <v>62.6</v>
      </c>
      <c r="O1805">
        <v>125.2</v>
      </c>
    </row>
    <row r="1806" spans="1:15" x14ac:dyDescent="0.3">
      <c r="A1806" t="s">
        <v>1904</v>
      </c>
      <c r="B1806" t="s">
        <v>41</v>
      </c>
      <c r="C1806" s="7">
        <v>45723</v>
      </c>
      <c r="D1806" s="7">
        <v>45729</v>
      </c>
      <c r="E1806" t="s">
        <v>22</v>
      </c>
      <c r="F1806" t="s">
        <v>69</v>
      </c>
      <c r="G1806">
        <v>2</v>
      </c>
      <c r="H1806" t="s">
        <v>18</v>
      </c>
      <c r="I1806" t="s">
        <v>71</v>
      </c>
      <c r="J1806">
        <f>orders[[#This Row],[Ship Date]]-orders[[#This Row],[Order Date]]</f>
        <v>6</v>
      </c>
      <c r="K1806">
        <f>WEEKNUM(orders[[#This Row],[Order Date]])</f>
        <v>10</v>
      </c>
      <c r="L1806" t="str" cm="1">
        <f t="array" ref="L1806">_xlfn.IFS(orders[[#This Row],[Customer Gender]]="M","Male", orders[[#This Row],[Customer Gender]]="F","Female", orders[[#This Row],[Customer Gender]]="O","Other", TRUE,"Unknown")</f>
        <v>Male</v>
      </c>
      <c r="M1806">
        <v>1</v>
      </c>
      <c r="N1806">
        <v>81.2</v>
      </c>
      <c r="O1806" s="5">
        <v>81.2</v>
      </c>
    </row>
    <row r="1807" spans="1:15" x14ac:dyDescent="0.3">
      <c r="A1807" t="s">
        <v>1905</v>
      </c>
      <c r="B1807" t="s">
        <v>16</v>
      </c>
      <c r="C1807" s="7">
        <v>45723</v>
      </c>
      <c r="D1807" s="7">
        <v>45724</v>
      </c>
      <c r="E1807" t="s">
        <v>26</v>
      </c>
      <c r="F1807" t="s">
        <v>17</v>
      </c>
      <c r="G1807">
        <v>5</v>
      </c>
      <c r="H1807" t="s">
        <v>18</v>
      </c>
      <c r="I1807" t="s">
        <v>71</v>
      </c>
      <c r="J1807">
        <f>orders[[#This Row],[Ship Date]]-orders[[#This Row],[Order Date]]</f>
        <v>1</v>
      </c>
      <c r="K1807">
        <f>WEEKNUM(orders[[#This Row],[Order Date]])</f>
        <v>10</v>
      </c>
      <c r="L1807" t="str" cm="1">
        <f t="array" ref="L1807">_xlfn.IFS(orders[[#This Row],[Customer Gender]]="M","Male", orders[[#This Row],[Customer Gender]]="F","Female", orders[[#This Row],[Customer Gender]]="O","Other", TRUE,"Unknown")</f>
        <v>Female</v>
      </c>
      <c r="M1807">
        <v>10</v>
      </c>
      <c r="N1807">
        <v>12.7</v>
      </c>
      <c r="O1807">
        <v>127</v>
      </c>
    </row>
    <row r="1808" spans="1:15" x14ac:dyDescent="0.3">
      <c r="A1808" t="s">
        <v>1906</v>
      </c>
      <c r="B1808" t="s">
        <v>41</v>
      </c>
      <c r="C1808" s="7">
        <v>45724</v>
      </c>
      <c r="D1808" s="7">
        <v>45728</v>
      </c>
      <c r="E1808" t="s">
        <v>22</v>
      </c>
      <c r="F1808" t="s">
        <v>34</v>
      </c>
      <c r="G1808">
        <v>4</v>
      </c>
      <c r="H1808" t="s">
        <v>18</v>
      </c>
      <c r="I1808" t="s">
        <v>76</v>
      </c>
      <c r="J1808">
        <f>orders[[#This Row],[Ship Date]]-orders[[#This Row],[Order Date]]</f>
        <v>4</v>
      </c>
      <c r="K1808">
        <f>WEEKNUM(orders[[#This Row],[Order Date]])</f>
        <v>10</v>
      </c>
      <c r="L1808" t="str" cm="1">
        <f t="array" ref="L1808">_xlfn.IFS(orders[[#This Row],[Customer Gender]]="M","Male", orders[[#This Row],[Customer Gender]]="F","Female", orders[[#This Row],[Customer Gender]]="O","Other", TRUE,"Unknown")</f>
        <v>Male</v>
      </c>
      <c r="M1808">
        <v>4</v>
      </c>
      <c r="N1808">
        <v>77.7</v>
      </c>
      <c r="O1808" s="5">
        <v>310.8</v>
      </c>
    </row>
    <row r="1809" spans="1:15" x14ac:dyDescent="0.3">
      <c r="A1809" t="s">
        <v>1907</v>
      </c>
      <c r="B1809" t="s">
        <v>36</v>
      </c>
      <c r="C1809" s="7">
        <v>45724</v>
      </c>
      <c r="D1809" s="7">
        <v>45725</v>
      </c>
      <c r="E1809" t="s">
        <v>26</v>
      </c>
      <c r="F1809" t="s">
        <v>17</v>
      </c>
      <c r="G1809">
        <v>5</v>
      </c>
      <c r="H1809" t="s">
        <v>18</v>
      </c>
      <c r="I1809" t="s">
        <v>107</v>
      </c>
      <c r="J1809">
        <f>orders[[#This Row],[Ship Date]]-orders[[#This Row],[Order Date]]</f>
        <v>1</v>
      </c>
      <c r="K1809">
        <f>WEEKNUM(orders[[#This Row],[Order Date]])</f>
        <v>10</v>
      </c>
      <c r="L1809" t="str" cm="1">
        <f t="array" ref="L1809">_xlfn.IFS(orders[[#This Row],[Customer Gender]]="M","Male", orders[[#This Row],[Customer Gender]]="F","Female", orders[[#This Row],[Customer Gender]]="O","Other", TRUE,"Unknown")</f>
        <v>Female</v>
      </c>
      <c r="M1809">
        <v>2</v>
      </c>
      <c r="N1809">
        <v>37.299999999999997</v>
      </c>
      <c r="O1809">
        <v>74.599999999999994</v>
      </c>
    </row>
    <row r="1810" spans="1:15" x14ac:dyDescent="0.3">
      <c r="A1810" t="s">
        <v>1908</v>
      </c>
      <c r="B1810" t="s">
        <v>53</v>
      </c>
      <c r="C1810" s="7">
        <v>45724</v>
      </c>
      <c r="D1810" s="7">
        <v>45726</v>
      </c>
      <c r="E1810" t="s">
        <v>26</v>
      </c>
      <c r="F1810" t="s">
        <v>34</v>
      </c>
      <c r="G1810">
        <v>3</v>
      </c>
      <c r="H1810" t="s">
        <v>18</v>
      </c>
      <c r="I1810" t="s">
        <v>109</v>
      </c>
      <c r="J1810">
        <f>orders[[#This Row],[Ship Date]]-orders[[#This Row],[Order Date]]</f>
        <v>2</v>
      </c>
      <c r="K1810">
        <f>WEEKNUM(orders[[#This Row],[Order Date]])</f>
        <v>10</v>
      </c>
      <c r="L1810" t="str" cm="1">
        <f t="array" ref="L1810">_xlfn.IFS(orders[[#This Row],[Customer Gender]]="M","Male", orders[[#This Row],[Customer Gender]]="F","Female", orders[[#This Row],[Customer Gender]]="O","Other", TRUE,"Unknown")</f>
        <v>Female</v>
      </c>
      <c r="M1810">
        <v>4</v>
      </c>
      <c r="N1810">
        <v>35.6</v>
      </c>
      <c r="O1810" s="5">
        <v>142.4</v>
      </c>
    </row>
    <row r="1811" spans="1:15" x14ac:dyDescent="0.3">
      <c r="A1811" t="s">
        <v>1909</v>
      </c>
      <c r="B1811" t="s">
        <v>25</v>
      </c>
      <c r="C1811" s="7">
        <v>45724</v>
      </c>
      <c r="D1811" s="7">
        <v>45728</v>
      </c>
      <c r="E1811" t="s">
        <v>26</v>
      </c>
      <c r="F1811" t="s">
        <v>39</v>
      </c>
      <c r="G1811">
        <v>5</v>
      </c>
      <c r="H1811" t="s">
        <v>18</v>
      </c>
      <c r="I1811" t="s">
        <v>1910</v>
      </c>
      <c r="J1811">
        <f>orders[[#This Row],[Ship Date]]-orders[[#This Row],[Order Date]]</f>
        <v>4</v>
      </c>
      <c r="K1811">
        <f>WEEKNUM(orders[[#This Row],[Order Date]])</f>
        <v>10</v>
      </c>
      <c r="L1811" t="str" cm="1">
        <f t="array" ref="L1811">_xlfn.IFS(orders[[#This Row],[Customer Gender]]="M","Male", orders[[#This Row],[Customer Gender]]="F","Female", orders[[#This Row],[Customer Gender]]="O","Other", TRUE,"Unknown")</f>
        <v>Female</v>
      </c>
      <c r="M1811">
        <v>3</v>
      </c>
      <c r="N1811">
        <v>95</v>
      </c>
      <c r="O1811">
        <v>285</v>
      </c>
    </row>
    <row r="1812" spans="1:15" x14ac:dyDescent="0.3">
      <c r="A1812" t="s">
        <v>1911</v>
      </c>
      <c r="B1812" t="s">
        <v>25</v>
      </c>
      <c r="C1812" s="7">
        <v>45724</v>
      </c>
      <c r="D1812" s="7">
        <v>45728</v>
      </c>
      <c r="E1812" t="s">
        <v>88</v>
      </c>
      <c r="F1812" t="s">
        <v>39</v>
      </c>
      <c r="G1812">
        <v>5</v>
      </c>
      <c r="H1812" t="s">
        <v>18</v>
      </c>
      <c r="I1812" t="s">
        <v>114</v>
      </c>
      <c r="J1812">
        <f>orders[[#This Row],[Ship Date]]-orders[[#This Row],[Order Date]]</f>
        <v>4</v>
      </c>
      <c r="K1812">
        <f>WEEKNUM(orders[[#This Row],[Order Date]])</f>
        <v>10</v>
      </c>
      <c r="L1812" t="str" cm="1">
        <f t="array" ref="L1812">_xlfn.IFS(orders[[#This Row],[Customer Gender]]="M","Male", orders[[#This Row],[Customer Gender]]="F","Female", orders[[#This Row],[Customer Gender]]="O","Other", TRUE,"Unknown")</f>
        <v>Other</v>
      </c>
      <c r="M1812">
        <v>4</v>
      </c>
      <c r="N1812">
        <v>172.1</v>
      </c>
      <c r="O1812" s="5">
        <v>688.4</v>
      </c>
    </row>
    <row r="1813" spans="1:15" x14ac:dyDescent="0.3">
      <c r="A1813" t="s">
        <v>1912</v>
      </c>
      <c r="B1813" t="s">
        <v>25</v>
      </c>
      <c r="C1813" s="7">
        <v>45724</v>
      </c>
      <c r="D1813" s="7">
        <v>45727</v>
      </c>
      <c r="E1813" t="s">
        <v>26</v>
      </c>
      <c r="F1813" t="s">
        <v>34</v>
      </c>
      <c r="G1813">
        <v>4</v>
      </c>
      <c r="H1813" t="s">
        <v>18</v>
      </c>
      <c r="I1813" t="s">
        <v>114</v>
      </c>
      <c r="J1813">
        <f>orders[[#This Row],[Ship Date]]-orders[[#This Row],[Order Date]]</f>
        <v>3</v>
      </c>
      <c r="K1813">
        <f>WEEKNUM(orders[[#This Row],[Order Date]])</f>
        <v>10</v>
      </c>
      <c r="L1813" t="str" cm="1">
        <f t="array" ref="L1813">_xlfn.IFS(orders[[#This Row],[Customer Gender]]="M","Male", orders[[#This Row],[Customer Gender]]="F","Female", orders[[#This Row],[Customer Gender]]="O","Other", TRUE,"Unknown")</f>
        <v>Female</v>
      </c>
      <c r="M1813">
        <v>2</v>
      </c>
      <c r="N1813">
        <v>233</v>
      </c>
      <c r="O1813">
        <v>466</v>
      </c>
    </row>
    <row r="1814" spans="1:15" x14ac:dyDescent="0.3">
      <c r="A1814" t="s">
        <v>1913</v>
      </c>
      <c r="B1814" t="s">
        <v>16</v>
      </c>
      <c r="C1814" s="7">
        <v>45724</v>
      </c>
      <c r="D1814" s="7">
        <v>45725</v>
      </c>
      <c r="E1814" t="s">
        <v>26</v>
      </c>
      <c r="F1814" t="s">
        <v>39</v>
      </c>
      <c r="G1814">
        <v>5</v>
      </c>
      <c r="H1814" t="s">
        <v>18</v>
      </c>
      <c r="I1814" t="s">
        <v>114</v>
      </c>
      <c r="J1814">
        <f>orders[[#This Row],[Ship Date]]-orders[[#This Row],[Order Date]]</f>
        <v>1</v>
      </c>
      <c r="K1814">
        <f>WEEKNUM(orders[[#This Row],[Order Date]])</f>
        <v>10</v>
      </c>
      <c r="L1814" t="str" cm="1">
        <f t="array" ref="L1814">_xlfn.IFS(orders[[#This Row],[Customer Gender]]="M","Male", orders[[#This Row],[Customer Gender]]="F","Female", orders[[#This Row],[Customer Gender]]="O","Other", TRUE,"Unknown")</f>
        <v>Female</v>
      </c>
      <c r="M1814">
        <v>1</v>
      </c>
      <c r="N1814">
        <v>43.5</v>
      </c>
      <c r="O1814" s="5">
        <v>43.5</v>
      </c>
    </row>
    <row r="1815" spans="1:15" x14ac:dyDescent="0.3">
      <c r="A1815" t="s">
        <v>1914</v>
      </c>
      <c r="B1815" t="s">
        <v>45</v>
      </c>
      <c r="C1815" s="7">
        <v>45724</v>
      </c>
      <c r="D1815" s="7">
        <v>45727</v>
      </c>
      <c r="E1815" t="s">
        <v>22</v>
      </c>
      <c r="F1815" t="s">
        <v>69</v>
      </c>
      <c r="G1815">
        <v>5</v>
      </c>
      <c r="H1815" t="s">
        <v>18</v>
      </c>
      <c r="I1815" t="s">
        <v>23</v>
      </c>
      <c r="J1815">
        <f>orders[[#This Row],[Ship Date]]-orders[[#This Row],[Order Date]]</f>
        <v>3</v>
      </c>
      <c r="K1815">
        <f>WEEKNUM(orders[[#This Row],[Order Date]])</f>
        <v>10</v>
      </c>
      <c r="L1815" t="str" cm="1">
        <f t="array" ref="L1815">_xlfn.IFS(orders[[#This Row],[Customer Gender]]="M","Male", orders[[#This Row],[Customer Gender]]="F","Female", orders[[#This Row],[Customer Gender]]="O","Other", TRUE,"Unknown")</f>
        <v>Male</v>
      </c>
      <c r="M1815">
        <v>2</v>
      </c>
      <c r="N1815">
        <v>47.8</v>
      </c>
      <c r="O1815">
        <v>95.6</v>
      </c>
    </row>
    <row r="1816" spans="1:15" x14ac:dyDescent="0.3">
      <c r="A1816" t="s">
        <v>1915</v>
      </c>
      <c r="B1816" t="s">
        <v>68</v>
      </c>
      <c r="C1816" s="7">
        <v>45724</v>
      </c>
      <c r="D1816" s="7">
        <v>45726</v>
      </c>
      <c r="E1816" t="s">
        <v>26</v>
      </c>
      <c r="F1816" t="s">
        <v>17</v>
      </c>
      <c r="G1816">
        <v>1</v>
      </c>
      <c r="H1816" t="s">
        <v>18</v>
      </c>
      <c r="I1816" t="s">
        <v>330</v>
      </c>
      <c r="J1816">
        <f>orders[[#This Row],[Ship Date]]-orders[[#This Row],[Order Date]]</f>
        <v>2</v>
      </c>
      <c r="K1816">
        <f>WEEKNUM(orders[[#This Row],[Order Date]])</f>
        <v>10</v>
      </c>
      <c r="L1816" t="str" cm="1">
        <f t="array" ref="L1816">_xlfn.IFS(orders[[#This Row],[Customer Gender]]="M","Male", orders[[#This Row],[Customer Gender]]="F","Female", orders[[#This Row],[Customer Gender]]="O","Other", TRUE,"Unknown")</f>
        <v>Female</v>
      </c>
      <c r="M1816">
        <v>2</v>
      </c>
      <c r="N1816">
        <v>65.8</v>
      </c>
      <c r="O1816" s="5">
        <v>131.6</v>
      </c>
    </row>
    <row r="1817" spans="1:15" x14ac:dyDescent="0.3">
      <c r="A1817" t="s">
        <v>1916</v>
      </c>
      <c r="B1817" t="s">
        <v>122</v>
      </c>
      <c r="C1817" s="7">
        <v>45724</v>
      </c>
      <c r="D1817" s="7">
        <v>45724</v>
      </c>
      <c r="E1817" t="s">
        <v>22</v>
      </c>
      <c r="F1817" t="s">
        <v>17</v>
      </c>
      <c r="G1817">
        <v>4</v>
      </c>
      <c r="H1817" t="s">
        <v>18</v>
      </c>
      <c r="I1817" t="s">
        <v>146</v>
      </c>
      <c r="J1817">
        <f>orders[[#This Row],[Ship Date]]-orders[[#This Row],[Order Date]]</f>
        <v>0</v>
      </c>
      <c r="K1817">
        <f>WEEKNUM(orders[[#This Row],[Order Date]])</f>
        <v>10</v>
      </c>
      <c r="L1817" t="str" cm="1">
        <f t="array" ref="L1817">_xlfn.IFS(orders[[#This Row],[Customer Gender]]="M","Male", orders[[#This Row],[Customer Gender]]="F","Female", orders[[#This Row],[Customer Gender]]="O","Other", TRUE,"Unknown")</f>
        <v>Male</v>
      </c>
      <c r="M1817">
        <v>11</v>
      </c>
      <c r="N1817">
        <v>38.700000000000003</v>
      </c>
      <c r="O1817">
        <v>425.70000000000005</v>
      </c>
    </row>
    <row r="1818" spans="1:15" x14ac:dyDescent="0.3">
      <c r="A1818" t="s">
        <v>1917</v>
      </c>
      <c r="B1818" t="s">
        <v>29</v>
      </c>
      <c r="C1818" s="7">
        <v>45724</v>
      </c>
      <c r="D1818" s="7">
        <v>45726</v>
      </c>
      <c r="E1818" t="s">
        <v>88</v>
      </c>
      <c r="F1818" t="s">
        <v>17</v>
      </c>
      <c r="G1818">
        <v>3</v>
      </c>
      <c r="H1818" t="s">
        <v>18</v>
      </c>
      <c r="I1818" t="s">
        <v>146</v>
      </c>
      <c r="J1818">
        <f>orders[[#This Row],[Ship Date]]-orders[[#This Row],[Order Date]]</f>
        <v>2</v>
      </c>
      <c r="K1818">
        <f>WEEKNUM(orders[[#This Row],[Order Date]])</f>
        <v>10</v>
      </c>
      <c r="L1818" t="str" cm="1">
        <f t="array" ref="L1818">_xlfn.IFS(orders[[#This Row],[Customer Gender]]="M","Male", orders[[#This Row],[Customer Gender]]="F","Female", orders[[#This Row],[Customer Gender]]="O","Other", TRUE,"Unknown")</f>
        <v>Other</v>
      </c>
      <c r="M1818">
        <v>4</v>
      </c>
      <c r="N1818">
        <v>55.7</v>
      </c>
      <c r="O1818" s="5">
        <v>222.8</v>
      </c>
    </row>
    <row r="1819" spans="1:15" x14ac:dyDescent="0.3">
      <c r="A1819" t="s">
        <v>1918</v>
      </c>
      <c r="B1819" t="s">
        <v>41</v>
      </c>
      <c r="C1819" s="7">
        <v>45724</v>
      </c>
      <c r="D1819" s="7">
        <v>45724</v>
      </c>
      <c r="E1819" t="s">
        <v>26</v>
      </c>
      <c r="F1819" t="s">
        <v>34</v>
      </c>
      <c r="G1819">
        <v>4</v>
      </c>
      <c r="H1819" t="s">
        <v>18</v>
      </c>
      <c r="I1819" t="s">
        <v>32</v>
      </c>
      <c r="J1819">
        <f>orders[[#This Row],[Ship Date]]-orders[[#This Row],[Order Date]]</f>
        <v>0</v>
      </c>
      <c r="K1819">
        <f>WEEKNUM(orders[[#This Row],[Order Date]])</f>
        <v>10</v>
      </c>
      <c r="L1819" t="str" cm="1">
        <f t="array" ref="L1819">_xlfn.IFS(orders[[#This Row],[Customer Gender]]="M","Male", orders[[#This Row],[Customer Gender]]="F","Female", orders[[#This Row],[Customer Gender]]="O","Other", TRUE,"Unknown")</f>
        <v>Female</v>
      </c>
      <c r="M1819">
        <v>2</v>
      </c>
      <c r="N1819">
        <v>102.4</v>
      </c>
      <c r="O1819">
        <v>204.8</v>
      </c>
    </row>
    <row r="1820" spans="1:15" x14ac:dyDescent="0.3">
      <c r="A1820" t="s">
        <v>1919</v>
      </c>
      <c r="B1820" t="s">
        <v>21</v>
      </c>
      <c r="C1820" s="7">
        <v>45724</v>
      </c>
      <c r="D1820" s="7">
        <v>45728</v>
      </c>
      <c r="E1820" t="s">
        <v>2517</v>
      </c>
      <c r="F1820" t="s">
        <v>39</v>
      </c>
      <c r="G1820">
        <v>4</v>
      </c>
      <c r="H1820" t="s">
        <v>18</v>
      </c>
      <c r="I1820" t="s">
        <v>32</v>
      </c>
      <c r="J1820">
        <f>orders[[#This Row],[Ship Date]]-orders[[#This Row],[Order Date]]</f>
        <v>4</v>
      </c>
      <c r="K1820">
        <f>WEEKNUM(orders[[#This Row],[Order Date]])</f>
        <v>10</v>
      </c>
      <c r="L1820" t="str" cm="1">
        <f t="array" ref="L1820">_xlfn.IFS(orders[[#This Row],[Customer Gender]]="M","Male", orders[[#This Row],[Customer Gender]]="F","Female", orders[[#This Row],[Customer Gender]]="O","Other", TRUE,"Unknown")</f>
        <v>Unknown</v>
      </c>
      <c r="M1820">
        <v>1</v>
      </c>
      <c r="N1820">
        <v>92</v>
      </c>
      <c r="O1820" s="5">
        <v>92</v>
      </c>
    </row>
    <row r="1821" spans="1:15" x14ac:dyDescent="0.3">
      <c r="A1821" t="s">
        <v>1920</v>
      </c>
      <c r="B1821" t="s">
        <v>38</v>
      </c>
      <c r="C1821" s="7">
        <v>45724</v>
      </c>
      <c r="D1821" s="7">
        <v>45726</v>
      </c>
      <c r="E1821" t="s">
        <v>26</v>
      </c>
      <c r="F1821" t="s">
        <v>34</v>
      </c>
      <c r="G1821">
        <v>4</v>
      </c>
      <c r="H1821" t="s">
        <v>18</v>
      </c>
      <c r="I1821" t="s">
        <v>32</v>
      </c>
      <c r="J1821">
        <f>orders[[#This Row],[Ship Date]]-orders[[#This Row],[Order Date]]</f>
        <v>2</v>
      </c>
      <c r="K1821">
        <f>WEEKNUM(orders[[#This Row],[Order Date]])</f>
        <v>10</v>
      </c>
      <c r="L1821" t="str" cm="1">
        <f t="array" ref="L1821">_xlfn.IFS(orders[[#This Row],[Customer Gender]]="M","Male", orders[[#This Row],[Customer Gender]]="F","Female", orders[[#This Row],[Customer Gender]]="O","Other", TRUE,"Unknown")</f>
        <v>Female</v>
      </c>
      <c r="M1821">
        <v>4</v>
      </c>
      <c r="N1821">
        <v>75.900000000000006</v>
      </c>
      <c r="O1821">
        <v>303.60000000000002</v>
      </c>
    </row>
    <row r="1822" spans="1:15" x14ac:dyDescent="0.3">
      <c r="A1822" t="s">
        <v>1921</v>
      </c>
      <c r="B1822" t="s">
        <v>21</v>
      </c>
      <c r="C1822" s="7">
        <v>45724</v>
      </c>
      <c r="D1822" s="7">
        <v>45725</v>
      </c>
      <c r="E1822" t="s">
        <v>26</v>
      </c>
      <c r="F1822" t="s">
        <v>34</v>
      </c>
      <c r="G1822">
        <v>4</v>
      </c>
      <c r="H1822" t="s">
        <v>18</v>
      </c>
      <c r="I1822" t="s">
        <v>32</v>
      </c>
      <c r="J1822">
        <f>orders[[#This Row],[Ship Date]]-orders[[#This Row],[Order Date]]</f>
        <v>1</v>
      </c>
      <c r="K1822">
        <f>WEEKNUM(orders[[#This Row],[Order Date]])</f>
        <v>10</v>
      </c>
      <c r="L1822" t="str" cm="1">
        <f t="array" ref="L1822">_xlfn.IFS(orders[[#This Row],[Customer Gender]]="M","Male", orders[[#This Row],[Customer Gender]]="F","Female", orders[[#This Row],[Customer Gender]]="O","Other", TRUE,"Unknown")</f>
        <v>Female</v>
      </c>
      <c r="M1822">
        <v>4</v>
      </c>
      <c r="N1822">
        <v>36.200000000000003</v>
      </c>
      <c r="O1822" s="5">
        <v>144.80000000000001</v>
      </c>
    </row>
    <row r="1823" spans="1:15" x14ac:dyDescent="0.3">
      <c r="A1823" t="s">
        <v>1922</v>
      </c>
      <c r="B1823" t="s">
        <v>38</v>
      </c>
      <c r="C1823" s="7">
        <v>45724</v>
      </c>
      <c r="D1823" s="7">
        <v>45726</v>
      </c>
      <c r="E1823" t="s">
        <v>2517</v>
      </c>
      <c r="F1823" t="s">
        <v>50</v>
      </c>
      <c r="G1823">
        <v>4</v>
      </c>
      <c r="H1823" t="s">
        <v>18</v>
      </c>
      <c r="I1823" t="s">
        <v>32</v>
      </c>
      <c r="J1823">
        <f>orders[[#This Row],[Ship Date]]-orders[[#This Row],[Order Date]]</f>
        <v>2</v>
      </c>
      <c r="K1823">
        <f>WEEKNUM(orders[[#This Row],[Order Date]])</f>
        <v>10</v>
      </c>
      <c r="L1823" t="str" cm="1">
        <f t="array" ref="L1823">_xlfn.IFS(orders[[#This Row],[Customer Gender]]="M","Male", orders[[#This Row],[Customer Gender]]="F","Female", orders[[#This Row],[Customer Gender]]="O","Other", TRUE,"Unknown")</f>
        <v>Unknown</v>
      </c>
      <c r="M1823">
        <v>87</v>
      </c>
      <c r="N1823">
        <v>83.5</v>
      </c>
      <c r="O1823">
        <v>7264.5</v>
      </c>
    </row>
    <row r="1824" spans="1:15" x14ac:dyDescent="0.3">
      <c r="A1824" t="s">
        <v>1923</v>
      </c>
      <c r="B1824" t="s">
        <v>170</v>
      </c>
      <c r="C1824" s="7">
        <v>45724</v>
      </c>
      <c r="D1824" s="7">
        <v>45724</v>
      </c>
      <c r="E1824" t="s">
        <v>22</v>
      </c>
      <c r="F1824" t="s">
        <v>39</v>
      </c>
      <c r="G1824">
        <v>4</v>
      </c>
      <c r="H1824" t="s">
        <v>18</v>
      </c>
      <c r="I1824" t="s">
        <v>32</v>
      </c>
      <c r="J1824">
        <f>orders[[#This Row],[Ship Date]]-orders[[#This Row],[Order Date]]</f>
        <v>0</v>
      </c>
      <c r="K1824">
        <f>WEEKNUM(orders[[#This Row],[Order Date]])</f>
        <v>10</v>
      </c>
      <c r="L1824" t="str" cm="1">
        <f t="array" ref="L1824">_xlfn.IFS(orders[[#This Row],[Customer Gender]]="M","Male", orders[[#This Row],[Customer Gender]]="F","Female", orders[[#This Row],[Customer Gender]]="O","Other", TRUE,"Unknown")</f>
        <v>Male</v>
      </c>
      <c r="M1824">
        <v>12</v>
      </c>
      <c r="N1824">
        <v>52.4</v>
      </c>
      <c r="O1824" s="5">
        <v>628.79999999999995</v>
      </c>
    </row>
    <row r="1825" spans="1:15" x14ac:dyDescent="0.3">
      <c r="A1825" t="s">
        <v>1924</v>
      </c>
      <c r="B1825" t="s">
        <v>68</v>
      </c>
      <c r="C1825" s="7">
        <v>45724</v>
      </c>
      <c r="D1825" s="7">
        <v>45725</v>
      </c>
      <c r="E1825" t="s">
        <v>88</v>
      </c>
      <c r="F1825" t="s">
        <v>69</v>
      </c>
      <c r="G1825">
        <v>4</v>
      </c>
      <c r="H1825" t="s">
        <v>18</v>
      </c>
      <c r="I1825" t="s">
        <v>32</v>
      </c>
      <c r="J1825">
        <f>orders[[#This Row],[Ship Date]]-orders[[#This Row],[Order Date]]</f>
        <v>1</v>
      </c>
      <c r="K1825">
        <f>WEEKNUM(orders[[#This Row],[Order Date]])</f>
        <v>10</v>
      </c>
      <c r="L1825" t="str" cm="1">
        <f t="array" ref="L1825">_xlfn.IFS(orders[[#This Row],[Customer Gender]]="M","Male", orders[[#This Row],[Customer Gender]]="F","Female", orders[[#This Row],[Customer Gender]]="O","Other", TRUE,"Unknown")</f>
        <v>Other</v>
      </c>
      <c r="M1825">
        <v>3</v>
      </c>
      <c r="N1825">
        <v>69.5</v>
      </c>
      <c r="O1825">
        <v>208.5</v>
      </c>
    </row>
    <row r="1826" spans="1:15" x14ac:dyDescent="0.3">
      <c r="A1826" t="s">
        <v>1925</v>
      </c>
      <c r="B1826" t="s">
        <v>16</v>
      </c>
      <c r="C1826" s="7">
        <v>45724</v>
      </c>
      <c r="D1826" s="7">
        <v>45726</v>
      </c>
      <c r="E1826" t="s">
        <v>22</v>
      </c>
      <c r="F1826" t="s">
        <v>17</v>
      </c>
      <c r="G1826">
        <v>4</v>
      </c>
      <c r="H1826" t="s">
        <v>18</v>
      </c>
      <c r="I1826" t="s">
        <v>32</v>
      </c>
      <c r="J1826">
        <f>orders[[#This Row],[Ship Date]]-orders[[#This Row],[Order Date]]</f>
        <v>2</v>
      </c>
      <c r="K1826">
        <f>WEEKNUM(orders[[#This Row],[Order Date]])</f>
        <v>10</v>
      </c>
      <c r="L1826" t="str" cm="1">
        <f t="array" ref="L1826">_xlfn.IFS(orders[[#This Row],[Customer Gender]]="M","Male", orders[[#This Row],[Customer Gender]]="F","Female", orders[[#This Row],[Customer Gender]]="O","Other", TRUE,"Unknown")</f>
        <v>Male</v>
      </c>
      <c r="M1826">
        <v>1</v>
      </c>
      <c r="N1826">
        <v>15.5</v>
      </c>
      <c r="O1826" s="5">
        <v>15.5</v>
      </c>
    </row>
    <row r="1827" spans="1:15" x14ac:dyDescent="0.3">
      <c r="A1827" t="s">
        <v>1926</v>
      </c>
      <c r="B1827" t="s">
        <v>31</v>
      </c>
      <c r="C1827" s="7">
        <v>45724</v>
      </c>
      <c r="D1827" s="7">
        <v>45725</v>
      </c>
      <c r="E1827" t="s">
        <v>26</v>
      </c>
      <c r="F1827" t="s">
        <v>39</v>
      </c>
      <c r="G1827">
        <v>5</v>
      </c>
      <c r="H1827" t="s">
        <v>18</v>
      </c>
      <c r="I1827" t="s">
        <v>32</v>
      </c>
      <c r="J1827">
        <f>orders[[#This Row],[Ship Date]]-orders[[#This Row],[Order Date]]</f>
        <v>1</v>
      </c>
      <c r="K1827">
        <f>WEEKNUM(orders[[#This Row],[Order Date]])</f>
        <v>10</v>
      </c>
      <c r="L1827" t="str" cm="1">
        <f t="array" ref="L1827">_xlfn.IFS(orders[[#This Row],[Customer Gender]]="M","Male", orders[[#This Row],[Customer Gender]]="F","Female", orders[[#This Row],[Customer Gender]]="O","Other", TRUE,"Unknown")</f>
        <v>Female</v>
      </c>
      <c r="M1827">
        <v>4</v>
      </c>
      <c r="N1827">
        <v>35.200000000000003</v>
      </c>
      <c r="O1827">
        <v>140.80000000000001</v>
      </c>
    </row>
    <row r="1828" spans="1:15" x14ac:dyDescent="0.3">
      <c r="A1828" t="s">
        <v>1927</v>
      </c>
      <c r="B1828" t="s">
        <v>43</v>
      </c>
      <c r="C1828" s="7">
        <v>45724</v>
      </c>
      <c r="D1828" s="7">
        <v>45725</v>
      </c>
      <c r="E1828" t="s">
        <v>2517</v>
      </c>
      <c r="F1828" t="s">
        <v>17</v>
      </c>
      <c r="G1828">
        <v>3</v>
      </c>
      <c r="H1828" t="s">
        <v>18</v>
      </c>
      <c r="I1828" t="s">
        <v>32</v>
      </c>
      <c r="J1828">
        <f>orders[[#This Row],[Ship Date]]-orders[[#This Row],[Order Date]]</f>
        <v>1</v>
      </c>
      <c r="K1828">
        <f>WEEKNUM(orders[[#This Row],[Order Date]])</f>
        <v>10</v>
      </c>
      <c r="L1828" t="str" cm="1">
        <f t="array" ref="L1828">_xlfn.IFS(orders[[#This Row],[Customer Gender]]="M","Male", orders[[#This Row],[Customer Gender]]="F","Female", orders[[#This Row],[Customer Gender]]="O","Other", TRUE,"Unknown")</f>
        <v>Unknown</v>
      </c>
      <c r="M1828">
        <v>6</v>
      </c>
      <c r="N1828">
        <v>34.6</v>
      </c>
      <c r="O1828" s="5">
        <v>207.60000000000002</v>
      </c>
    </row>
    <row r="1829" spans="1:15" x14ac:dyDescent="0.3">
      <c r="A1829" t="s">
        <v>1928</v>
      </c>
      <c r="B1829" t="s">
        <v>31</v>
      </c>
      <c r="C1829" s="7">
        <v>45725</v>
      </c>
      <c r="D1829" s="7">
        <v>45726</v>
      </c>
      <c r="E1829" t="s">
        <v>22</v>
      </c>
      <c r="F1829" t="s">
        <v>39</v>
      </c>
      <c r="G1829">
        <v>3</v>
      </c>
      <c r="H1829" t="s">
        <v>18</v>
      </c>
      <c r="I1829" t="s">
        <v>32</v>
      </c>
      <c r="J1829">
        <f>orders[[#This Row],[Ship Date]]-orders[[#This Row],[Order Date]]</f>
        <v>1</v>
      </c>
      <c r="K1829">
        <f>WEEKNUM(orders[[#This Row],[Order Date]])</f>
        <v>11</v>
      </c>
      <c r="L1829" t="str" cm="1">
        <f t="array" ref="L1829">_xlfn.IFS(orders[[#This Row],[Customer Gender]]="M","Male", orders[[#This Row],[Customer Gender]]="F","Female", orders[[#This Row],[Customer Gender]]="O","Other", TRUE,"Unknown")</f>
        <v>Male</v>
      </c>
      <c r="M1829">
        <v>1</v>
      </c>
      <c r="N1829">
        <v>21.3</v>
      </c>
      <c r="O1829">
        <v>21.3</v>
      </c>
    </row>
    <row r="1830" spans="1:15" x14ac:dyDescent="0.3">
      <c r="A1830" t="s">
        <v>1929</v>
      </c>
      <c r="B1830" t="s">
        <v>38</v>
      </c>
      <c r="C1830" s="7">
        <v>45725</v>
      </c>
      <c r="D1830" s="7">
        <v>45731</v>
      </c>
      <c r="E1830" t="s">
        <v>26</v>
      </c>
      <c r="F1830" t="s">
        <v>17</v>
      </c>
      <c r="G1830">
        <v>4</v>
      </c>
      <c r="H1830" t="s">
        <v>18</v>
      </c>
      <c r="I1830" t="s">
        <v>363</v>
      </c>
      <c r="J1830">
        <f>orders[[#This Row],[Ship Date]]-orders[[#This Row],[Order Date]]</f>
        <v>6</v>
      </c>
      <c r="K1830">
        <f>WEEKNUM(orders[[#This Row],[Order Date]])</f>
        <v>11</v>
      </c>
      <c r="L1830" t="str" cm="1">
        <f t="array" ref="L1830">_xlfn.IFS(orders[[#This Row],[Customer Gender]]="M","Male", orders[[#This Row],[Customer Gender]]="F","Female", orders[[#This Row],[Customer Gender]]="O","Other", TRUE,"Unknown")</f>
        <v>Female</v>
      </c>
      <c r="M1830">
        <v>2</v>
      </c>
      <c r="N1830">
        <v>136.5</v>
      </c>
      <c r="O1830" s="5">
        <v>273</v>
      </c>
    </row>
    <row r="1831" spans="1:15" x14ac:dyDescent="0.3">
      <c r="A1831" t="s">
        <v>1930</v>
      </c>
      <c r="B1831" t="s">
        <v>45</v>
      </c>
      <c r="C1831" s="7">
        <v>45725</v>
      </c>
      <c r="D1831" s="7">
        <v>45726</v>
      </c>
      <c r="E1831" t="s">
        <v>22</v>
      </c>
      <c r="F1831" t="s">
        <v>39</v>
      </c>
      <c r="G1831">
        <v>5</v>
      </c>
      <c r="H1831" t="s">
        <v>18</v>
      </c>
      <c r="I1831" t="s">
        <v>187</v>
      </c>
      <c r="J1831">
        <f>orders[[#This Row],[Ship Date]]-orders[[#This Row],[Order Date]]</f>
        <v>1</v>
      </c>
      <c r="K1831">
        <f>WEEKNUM(orders[[#This Row],[Order Date]])</f>
        <v>11</v>
      </c>
      <c r="L1831" t="str" cm="1">
        <f t="array" ref="L1831">_xlfn.IFS(orders[[#This Row],[Customer Gender]]="M","Male", orders[[#This Row],[Customer Gender]]="F","Female", orders[[#This Row],[Customer Gender]]="O","Other", TRUE,"Unknown")</f>
        <v>Male</v>
      </c>
      <c r="M1831">
        <v>7</v>
      </c>
      <c r="N1831">
        <v>30.7</v>
      </c>
      <c r="O1831">
        <v>214.9</v>
      </c>
    </row>
    <row r="1832" spans="1:15" x14ac:dyDescent="0.3">
      <c r="A1832" t="s">
        <v>1931</v>
      </c>
      <c r="B1832" t="s">
        <v>21</v>
      </c>
      <c r="C1832" s="7">
        <v>45725</v>
      </c>
      <c r="D1832" s="7">
        <v>45726</v>
      </c>
      <c r="E1832" t="s">
        <v>26</v>
      </c>
      <c r="F1832" t="s">
        <v>39</v>
      </c>
      <c r="G1832">
        <v>5</v>
      </c>
      <c r="H1832" t="s">
        <v>18</v>
      </c>
      <c r="I1832" t="s">
        <v>157</v>
      </c>
      <c r="J1832">
        <f>orders[[#This Row],[Ship Date]]-orders[[#This Row],[Order Date]]</f>
        <v>1</v>
      </c>
      <c r="K1832">
        <f>WEEKNUM(orders[[#This Row],[Order Date]])</f>
        <v>11</v>
      </c>
      <c r="L1832" t="str" cm="1">
        <f t="array" ref="L1832">_xlfn.IFS(orders[[#This Row],[Customer Gender]]="M","Male", orders[[#This Row],[Customer Gender]]="F","Female", orders[[#This Row],[Customer Gender]]="O","Other", TRUE,"Unknown")</f>
        <v>Female</v>
      </c>
      <c r="M1832">
        <v>2</v>
      </c>
      <c r="N1832">
        <v>61.6</v>
      </c>
      <c r="O1832" s="5">
        <v>123.2</v>
      </c>
    </row>
    <row r="1833" spans="1:15" x14ac:dyDescent="0.3">
      <c r="A1833" t="s">
        <v>1932</v>
      </c>
      <c r="B1833" t="s">
        <v>38</v>
      </c>
      <c r="C1833" s="7">
        <v>45725</v>
      </c>
      <c r="D1833" s="7">
        <v>45727</v>
      </c>
      <c r="E1833" t="s">
        <v>2517</v>
      </c>
      <c r="F1833" t="s">
        <v>69</v>
      </c>
      <c r="G1833">
        <v>4</v>
      </c>
      <c r="H1833" t="s">
        <v>18</v>
      </c>
      <c r="I1833" t="s">
        <v>58</v>
      </c>
      <c r="J1833">
        <f>orders[[#This Row],[Ship Date]]-orders[[#This Row],[Order Date]]</f>
        <v>2</v>
      </c>
      <c r="K1833">
        <f>WEEKNUM(orders[[#This Row],[Order Date]])</f>
        <v>11</v>
      </c>
      <c r="L1833" t="str" cm="1">
        <f t="array" ref="L1833">_xlfn.IFS(orders[[#This Row],[Customer Gender]]="M","Male", orders[[#This Row],[Customer Gender]]="F","Female", orders[[#This Row],[Customer Gender]]="O","Other", TRUE,"Unknown")</f>
        <v>Unknown</v>
      </c>
      <c r="M1833">
        <v>4</v>
      </c>
      <c r="N1833">
        <v>54.3</v>
      </c>
      <c r="O1833">
        <v>217.2</v>
      </c>
    </row>
    <row r="1834" spans="1:15" x14ac:dyDescent="0.3">
      <c r="A1834" t="s">
        <v>1933</v>
      </c>
      <c r="B1834" t="s">
        <v>21</v>
      </c>
      <c r="C1834" s="7">
        <v>45725</v>
      </c>
      <c r="D1834" s="7">
        <v>45737</v>
      </c>
      <c r="E1834" t="s">
        <v>26</v>
      </c>
      <c r="F1834" t="s">
        <v>17</v>
      </c>
      <c r="G1834">
        <v>5</v>
      </c>
      <c r="H1834" t="s">
        <v>18</v>
      </c>
      <c r="I1834" t="s">
        <v>61</v>
      </c>
      <c r="J1834">
        <f>orders[[#This Row],[Ship Date]]-orders[[#This Row],[Order Date]]</f>
        <v>12</v>
      </c>
      <c r="K1834">
        <f>WEEKNUM(orders[[#This Row],[Order Date]])</f>
        <v>11</v>
      </c>
      <c r="L1834" t="str" cm="1">
        <f t="array" ref="L1834">_xlfn.IFS(orders[[#This Row],[Customer Gender]]="M","Male", orders[[#This Row],[Customer Gender]]="F","Female", orders[[#This Row],[Customer Gender]]="O","Other", TRUE,"Unknown")</f>
        <v>Female</v>
      </c>
      <c r="M1834">
        <v>2</v>
      </c>
      <c r="N1834">
        <v>44.1</v>
      </c>
      <c r="O1834" s="5">
        <v>88.2</v>
      </c>
    </row>
    <row r="1835" spans="1:15" x14ac:dyDescent="0.3">
      <c r="A1835" t="s">
        <v>1934</v>
      </c>
      <c r="B1835" t="s">
        <v>43</v>
      </c>
      <c r="C1835" s="7">
        <v>45725</v>
      </c>
      <c r="D1835" s="7">
        <v>45731</v>
      </c>
      <c r="E1835" t="s">
        <v>22</v>
      </c>
      <c r="F1835" t="s">
        <v>50</v>
      </c>
      <c r="G1835">
        <v>4</v>
      </c>
      <c r="H1835" t="s">
        <v>18</v>
      </c>
      <c r="I1835" t="s">
        <v>61</v>
      </c>
      <c r="J1835">
        <f>orders[[#This Row],[Ship Date]]-orders[[#This Row],[Order Date]]</f>
        <v>6</v>
      </c>
      <c r="K1835">
        <f>WEEKNUM(orders[[#This Row],[Order Date]])</f>
        <v>11</v>
      </c>
      <c r="L1835" t="str" cm="1">
        <f t="array" ref="L1835">_xlfn.IFS(orders[[#This Row],[Customer Gender]]="M","Male", orders[[#This Row],[Customer Gender]]="F","Female", orders[[#This Row],[Customer Gender]]="O","Other", TRUE,"Unknown")</f>
        <v>Male</v>
      </c>
      <c r="M1835">
        <v>4</v>
      </c>
      <c r="N1835">
        <v>43.5</v>
      </c>
      <c r="O1835">
        <v>174</v>
      </c>
    </row>
    <row r="1836" spans="1:15" x14ac:dyDescent="0.3">
      <c r="A1836" t="s">
        <v>1935</v>
      </c>
      <c r="B1836" t="s">
        <v>43</v>
      </c>
      <c r="C1836" s="7">
        <v>45725</v>
      </c>
      <c r="D1836" s="7">
        <v>45729</v>
      </c>
      <c r="E1836" t="s">
        <v>22</v>
      </c>
      <c r="F1836" t="s">
        <v>50</v>
      </c>
      <c r="G1836">
        <v>3</v>
      </c>
      <c r="H1836" t="s">
        <v>18</v>
      </c>
      <c r="I1836" t="s">
        <v>61</v>
      </c>
      <c r="J1836">
        <f>orders[[#This Row],[Ship Date]]-orders[[#This Row],[Order Date]]</f>
        <v>4</v>
      </c>
      <c r="K1836">
        <f>WEEKNUM(orders[[#This Row],[Order Date]])</f>
        <v>11</v>
      </c>
      <c r="L1836" t="str" cm="1">
        <f t="array" ref="L1836">_xlfn.IFS(orders[[#This Row],[Customer Gender]]="M","Male", orders[[#This Row],[Customer Gender]]="F","Female", orders[[#This Row],[Customer Gender]]="O","Other", TRUE,"Unknown")</f>
        <v>Male</v>
      </c>
      <c r="M1836">
        <v>3</v>
      </c>
      <c r="N1836">
        <v>48.2</v>
      </c>
      <c r="O1836" s="5">
        <v>144.60000000000002</v>
      </c>
    </row>
    <row r="1837" spans="1:15" x14ac:dyDescent="0.3">
      <c r="A1837" t="s">
        <v>1936</v>
      </c>
      <c r="B1837" t="s">
        <v>170</v>
      </c>
      <c r="C1837" s="7">
        <v>45725</v>
      </c>
      <c r="D1837" s="7">
        <v>45726</v>
      </c>
      <c r="E1837" t="s">
        <v>26</v>
      </c>
      <c r="F1837" t="s">
        <v>39</v>
      </c>
      <c r="G1837">
        <v>5</v>
      </c>
      <c r="H1837" t="s">
        <v>18</v>
      </c>
      <c r="I1837" t="s">
        <v>61</v>
      </c>
      <c r="J1837">
        <f>orders[[#This Row],[Ship Date]]-orders[[#This Row],[Order Date]]</f>
        <v>1</v>
      </c>
      <c r="K1837">
        <f>WEEKNUM(orders[[#This Row],[Order Date]])</f>
        <v>11</v>
      </c>
      <c r="L1837" t="str" cm="1">
        <f t="array" ref="L1837">_xlfn.IFS(orders[[#This Row],[Customer Gender]]="M","Male", orders[[#This Row],[Customer Gender]]="F","Female", orders[[#This Row],[Customer Gender]]="O","Other", TRUE,"Unknown")</f>
        <v>Female</v>
      </c>
      <c r="M1837">
        <v>1</v>
      </c>
      <c r="N1837">
        <v>13.7</v>
      </c>
      <c r="O1837">
        <v>13.7</v>
      </c>
    </row>
    <row r="1838" spans="1:15" x14ac:dyDescent="0.3">
      <c r="A1838" t="s">
        <v>1937</v>
      </c>
      <c r="B1838" t="s">
        <v>25</v>
      </c>
      <c r="C1838" s="7">
        <v>45725</v>
      </c>
      <c r="D1838" s="7">
        <v>45726</v>
      </c>
      <c r="E1838" t="s">
        <v>26</v>
      </c>
      <c r="F1838" t="s">
        <v>17</v>
      </c>
      <c r="G1838">
        <v>3</v>
      </c>
      <c r="H1838" t="s">
        <v>18</v>
      </c>
      <c r="I1838" t="s">
        <v>61</v>
      </c>
      <c r="J1838">
        <f>orders[[#This Row],[Ship Date]]-orders[[#This Row],[Order Date]]</f>
        <v>1</v>
      </c>
      <c r="K1838">
        <f>WEEKNUM(orders[[#This Row],[Order Date]])</f>
        <v>11</v>
      </c>
      <c r="L1838" t="str" cm="1">
        <f t="array" ref="L1838">_xlfn.IFS(orders[[#This Row],[Customer Gender]]="M","Male", orders[[#This Row],[Customer Gender]]="F","Female", orders[[#This Row],[Customer Gender]]="O","Other", TRUE,"Unknown")</f>
        <v>Female</v>
      </c>
      <c r="M1838">
        <v>2</v>
      </c>
      <c r="N1838">
        <v>110.5</v>
      </c>
      <c r="O1838" s="5">
        <v>221</v>
      </c>
    </row>
    <row r="1839" spans="1:15" x14ac:dyDescent="0.3">
      <c r="A1839" t="s">
        <v>1938</v>
      </c>
      <c r="B1839" t="s">
        <v>43</v>
      </c>
      <c r="C1839" s="7">
        <v>45725</v>
      </c>
      <c r="D1839" s="7">
        <v>45730</v>
      </c>
      <c r="E1839" t="s">
        <v>26</v>
      </c>
      <c r="F1839" t="s">
        <v>34</v>
      </c>
      <c r="G1839">
        <v>3</v>
      </c>
      <c r="H1839" t="s">
        <v>18</v>
      </c>
      <c r="I1839" t="s">
        <v>61</v>
      </c>
      <c r="J1839">
        <f>orders[[#This Row],[Ship Date]]-orders[[#This Row],[Order Date]]</f>
        <v>5</v>
      </c>
      <c r="K1839">
        <f>WEEKNUM(orders[[#This Row],[Order Date]])</f>
        <v>11</v>
      </c>
      <c r="L1839" t="str" cm="1">
        <f t="array" ref="L1839">_xlfn.IFS(orders[[#This Row],[Customer Gender]]="M","Male", orders[[#This Row],[Customer Gender]]="F","Female", orders[[#This Row],[Customer Gender]]="O","Other", TRUE,"Unknown")</f>
        <v>Female</v>
      </c>
      <c r="M1839">
        <v>3</v>
      </c>
      <c r="N1839">
        <v>26</v>
      </c>
      <c r="O1839">
        <v>78</v>
      </c>
    </row>
    <row r="1840" spans="1:15" x14ac:dyDescent="0.3">
      <c r="A1840" t="s">
        <v>1939</v>
      </c>
      <c r="B1840" t="s">
        <v>25</v>
      </c>
      <c r="C1840" s="7">
        <v>45725</v>
      </c>
      <c r="D1840" s="7">
        <v>45731</v>
      </c>
      <c r="E1840" t="s">
        <v>22</v>
      </c>
      <c r="F1840" t="s">
        <v>50</v>
      </c>
      <c r="G1840">
        <v>3</v>
      </c>
      <c r="H1840" t="s">
        <v>18</v>
      </c>
      <c r="I1840" t="s">
        <v>61</v>
      </c>
      <c r="J1840">
        <f>orders[[#This Row],[Ship Date]]-orders[[#This Row],[Order Date]]</f>
        <v>6</v>
      </c>
      <c r="K1840">
        <f>WEEKNUM(orders[[#This Row],[Order Date]])</f>
        <v>11</v>
      </c>
      <c r="L1840" t="str" cm="1">
        <f t="array" ref="L1840">_xlfn.IFS(orders[[#This Row],[Customer Gender]]="M","Male", orders[[#This Row],[Customer Gender]]="F","Female", orders[[#This Row],[Customer Gender]]="O","Other", TRUE,"Unknown")</f>
        <v>Male</v>
      </c>
      <c r="M1840">
        <v>10</v>
      </c>
      <c r="N1840">
        <v>140.69999999999999</v>
      </c>
      <c r="O1840" s="5">
        <v>1407</v>
      </c>
    </row>
    <row r="1841" spans="1:15" x14ac:dyDescent="0.3">
      <c r="A1841" t="s">
        <v>1940</v>
      </c>
      <c r="B1841" t="s">
        <v>134</v>
      </c>
      <c r="C1841" s="7">
        <v>45725</v>
      </c>
      <c r="D1841" s="7">
        <v>45733</v>
      </c>
      <c r="E1841" t="s">
        <v>26</v>
      </c>
      <c r="F1841" t="s">
        <v>17</v>
      </c>
      <c r="G1841">
        <v>2</v>
      </c>
      <c r="H1841" t="s">
        <v>18</v>
      </c>
      <c r="I1841" t="s">
        <v>61</v>
      </c>
      <c r="J1841">
        <f>orders[[#This Row],[Ship Date]]-orders[[#This Row],[Order Date]]</f>
        <v>8</v>
      </c>
      <c r="K1841">
        <f>WEEKNUM(orders[[#This Row],[Order Date]])</f>
        <v>11</v>
      </c>
      <c r="L1841" t="str" cm="1">
        <f t="array" ref="L1841">_xlfn.IFS(orders[[#This Row],[Customer Gender]]="M","Male", orders[[#This Row],[Customer Gender]]="F","Female", orders[[#This Row],[Customer Gender]]="O","Other", TRUE,"Unknown")</f>
        <v>Female</v>
      </c>
      <c r="M1841">
        <v>2</v>
      </c>
      <c r="N1841">
        <v>41.7</v>
      </c>
      <c r="O1841">
        <v>83.4</v>
      </c>
    </row>
    <row r="1842" spans="1:15" x14ac:dyDescent="0.3">
      <c r="A1842" t="s">
        <v>1941</v>
      </c>
      <c r="B1842" t="s">
        <v>25</v>
      </c>
      <c r="C1842" s="7">
        <v>45725</v>
      </c>
      <c r="D1842" s="7">
        <v>45726</v>
      </c>
      <c r="E1842" t="s">
        <v>22</v>
      </c>
      <c r="F1842" t="s">
        <v>17</v>
      </c>
      <c r="G1842">
        <v>5</v>
      </c>
      <c r="H1842" t="s">
        <v>18</v>
      </c>
      <c r="I1842" t="s">
        <v>102</v>
      </c>
      <c r="J1842">
        <f>orders[[#This Row],[Ship Date]]-orders[[#This Row],[Order Date]]</f>
        <v>1</v>
      </c>
      <c r="K1842">
        <f>WEEKNUM(orders[[#This Row],[Order Date]])</f>
        <v>11</v>
      </c>
      <c r="L1842" t="str" cm="1">
        <f t="array" ref="L1842">_xlfn.IFS(orders[[#This Row],[Customer Gender]]="M","Male", orders[[#This Row],[Customer Gender]]="F","Female", orders[[#This Row],[Customer Gender]]="O","Other", TRUE,"Unknown")</f>
        <v>Male</v>
      </c>
      <c r="M1842">
        <v>2</v>
      </c>
      <c r="N1842">
        <v>135.1</v>
      </c>
      <c r="O1842" s="5">
        <v>270.2</v>
      </c>
    </row>
    <row r="1843" spans="1:15" x14ac:dyDescent="0.3">
      <c r="A1843" t="s">
        <v>1942</v>
      </c>
      <c r="B1843" t="s">
        <v>68</v>
      </c>
      <c r="C1843" s="7">
        <v>45725</v>
      </c>
      <c r="D1843" s="7">
        <v>45726</v>
      </c>
      <c r="E1843" t="s">
        <v>26</v>
      </c>
      <c r="F1843" t="s">
        <v>69</v>
      </c>
      <c r="G1843">
        <v>2</v>
      </c>
      <c r="H1843" t="s">
        <v>18</v>
      </c>
      <c r="I1843" t="s">
        <v>200</v>
      </c>
      <c r="J1843">
        <f>orders[[#This Row],[Ship Date]]-orders[[#This Row],[Order Date]]</f>
        <v>1</v>
      </c>
      <c r="K1843">
        <f>WEEKNUM(orders[[#This Row],[Order Date]])</f>
        <v>11</v>
      </c>
      <c r="L1843" t="str" cm="1">
        <f t="array" ref="L1843">_xlfn.IFS(orders[[#This Row],[Customer Gender]]="M","Male", orders[[#This Row],[Customer Gender]]="F","Female", orders[[#This Row],[Customer Gender]]="O","Other", TRUE,"Unknown")</f>
        <v>Female</v>
      </c>
      <c r="M1843">
        <v>22</v>
      </c>
      <c r="N1843">
        <v>95.5</v>
      </c>
      <c r="O1843">
        <v>2101</v>
      </c>
    </row>
    <row r="1844" spans="1:15" x14ac:dyDescent="0.3">
      <c r="A1844" t="s">
        <v>1943</v>
      </c>
      <c r="B1844" t="s">
        <v>122</v>
      </c>
      <c r="C1844" s="7">
        <v>45725</v>
      </c>
      <c r="D1844" s="7">
        <v>45728</v>
      </c>
      <c r="E1844" t="s">
        <v>2517</v>
      </c>
      <c r="F1844" t="s">
        <v>39</v>
      </c>
      <c r="G1844">
        <v>5</v>
      </c>
      <c r="H1844" t="s">
        <v>18</v>
      </c>
      <c r="I1844" t="s">
        <v>76</v>
      </c>
      <c r="J1844">
        <f>orders[[#This Row],[Ship Date]]-orders[[#This Row],[Order Date]]</f>
        <v>3</v>
      </c>
      <c r="K1844">
        <f>WEEKNUM(orders[[#This Row],[Order Date]])</f>
        <v>11</v>
      </c>
      <c r="L1844" t="str" cm="1">
        <f t="array" ref="L1844">_xlfn.IFS(orders[[#This Row],[Customer Gender]]="M","Male", orders[[#This Row],[Customer Gender]]="F","Female", orders[[#This Row],[Customer Gender]]="O","Other", TRUE,"Unknown")</f>
        <v>Unknown</v>
      </c>
      <c r="M1844">
        <v>1</v>
      </c>
      <c r="N1844">
        <v>25.5</v>
      </c>
      <c r="O1844" s="5">
        <v>25.5</v>
      </c>
    </row>
    <row r="1845" spans="1:15" x14ac:dyDescent="0.3">
      <c r="A1845" t="s">
        <v>1944</v>
      </c>
      <c r="B1845" t="s">
        <v>21</v>
      </c>
      <c r="C1845" s="7">
        <v>45725</v>
      </c>
      <c r="D1845" s="7">
        <v>45729</v>
      </c>
      <c r="E1845" t="s">
        <v>26</v>
      </c>
      <c r="F1845" t="s">
        <v>17</v>
      </c>
      <c r="G1845">
        <v>4</v>
      </c>
      <c r="H1845" t="s">
        <v>18</v>
      </c>
      <c r="I1845" t="s">
        <v>76</v>
      </c>
      <c r="J1845">
        <f>orders[[#This Row],[Ship Date]]-orders[[#This Row],[Order Date]]</f>
        <v>4</v>
      </c>
      <c r="K1845">
        <f>WEEKNUM(orders[[#This Row],[Order Date]])</f>
        <v>11</v>
      </c>
      <c r="L1845" t="str" cm="1">
        <f t="array" ref="L1845">_xlfn.IFS(orders[[#This Row],[Customer Gender]]="M","Male", orders[[#This Row],[Customer Gender]]="F","Female", orders[[#This Row],[Customer Gender]]="O","Other", TRUE,"Unknown")</f>
        <v>Female</v>
      </c>
      <c r="M1845">
        <v>1</v>
      </c>
      <c r="N1845">
        <v>42.6</v>
      </c>
      <c r="O1845">
        <v>42.6</v>
      </c>
    </row>
    <row r="1846" spans="1:15" x14ac:dyDescent="0.3">
      <c r="A1846" t="s">
        <v>1945</v>
      </c>
      <c r="B1846" t="s">
        <v>43</v>
      </c>
      <c r="C1846" s="7">
        <v>45725</v>
      </c>
      <c r="D1846" s="7">
        <v>45726</v>
      </c>
      <c r="E1846" t="s">
        <v>22</v>
      </c>
      <c r="F1846" t="s">
        <v>34</v>
      </c>
      <c r="G1846">
        <v>3</v>
      </c>
      <c r="H1846" t="s">
        <v>18</v>
      </c>
      <c r="I1846" t="s">
        <v>76</v>
      </c>
      <c r="J1846">
        <f>orders[[#This Row],[Ship Date]]-orders[[#This Row],[Order Date]]</f>
        <v>1</v>
      </c>
      <c r="K1846">
        <f>WEEKNUM(orders[[#This Row],[Order Date]])</f>
        <v>11</v>
      </c>
      <c r="L1846" t="str" cm="1">
        <f t="array" ref="L1846">_xlfn.IFS(orders[[#This Row],[Customer Gender]]="M","Male", orders[[#This Row],[Customer Gender]]="F","Female", orders[[#This Row],[Customer Gender]]="O","Other", TRUE,"Unknown")</f>
        <v>Male</v>
      </c>
      <c r="M1846">
        <v>15</v>
      </c>
      <c r="N1846">
        <v>32.4</v>
      </c>
      <c r="O1846" s="5">
        <v>486</v>
      </c>
    </row>
    <row r="1847" spans="1:15" x14ac:dyDescent="0.3">
      <c r="A1847" t="s">
        <v>1946</v>
      </c>
      <c r="B1847" t="s">
        <v>31</v>
      </c>
      <c r="C1847" s="7">
        <v>45725</v>
      </c>
      <c r="D1847" s="7">
        <v>45726</v>
      </c>
      <c r="E1847" t="s">
        <v>88</v>
      </c>
      <c r="F1847" t="s">
        <v>39</v>
      </c>
      <c r="G1847">
        <v>4</v>
      </c>
      <c r="H1847" t="s">
        <v>18</v>
      </c>
      <c r="I1847" t="s">
        <v>76</v>
      </c>
      <c r="J1847">
        <f>orders[[#This Row],[Ship Date]]-orders[[#This Row],[Order Date]]</f>
        <v>1</v>
      </c>
      <c r="K1847">
        <f>WEEKNUM(orders[[#This Row],[Order Date]])</f>
        <v>11</v>
      </c>
      <c r="L1847" t="str" cm="1">
        <f t="array" ref="L1847">_xlfn.IFS(orders[[#This Row],[Customer Gender]]="M","Male", orders[[#This Row],[Customer Gender]]="F","Female", orders[[#This Row],[Customer Gender]]="O","Other", TRUE,"Unknown")</f>
        <v>Other</v>
      </c>
      <c r="M1847">
        <v>4</v>
      </c>
      <c r="N1847">
        <v>20.2</v>
      </c>
      <c r="O1847">
        <v>80.8</v>
      </c>
    </row>
    <row r="1848" spans="1:15" x14ac:dyDescent="0.3">
      <c r="A1848" t="s">
        <v>1947</v>
      </c>
      <c r="B1848" t="s">
        <v>127</v>
      </c>
      <c r="C1848" s="7">
        <v>45725</v>
      </c>
      <c r="D1848" s="7">
        <v>45730</v>
      </c>
      <c r="E1848" t="s">
        <v>26</v>
      </c>
      <c r="F1848" t="s">
        <v>69</v>
      </c>
      <c r="G1848">
        <v>4</v>
      </c>
      <c r="H1848" t="s">
        <v>18</v>
      </c>
      <c r="I1848" t="s">
        <v>107</v>
      </c>
      <c r="J1848">
        <f>orders[[#This Row],[Ship Date]]-orders[[#This Row],[Order Date]]</f>
        <v>5</v>
      </c>
      <c r="K1848">
        <f>WEEKNUM(orders[[#This Row],[Order Date]])</f>
        <v>11</v>
      </c>
      <c r="L1848" t="str" cm="1">
        <f t="array" ref="L1848">_xlfn.IFS(orders[[#This Row],[Customer Gender]]="M","Male", orders[[#This Row],[Customer Gender]]="F","Female", orders[[#This Row],[Customer Gender]]="O","Other", TRUE,"Unknown")</f>
        <v>Female</v>
      </c>
      <c r="M1848">
        <v>3</v>
      </c>
      <c r="N1848">
        <v>52.5</v>
      </c>
      <c r="O1848" s="5">
        <v>157.5</v>
      </c>
    </row>
    <row r="1849" spans="1:15" x14ac:dyDescent="0.3">
      <c r="A1849" t="s">
        <v>1948</v>
      </c>
      <c r="B1849" t="s">
        <v>25</v>
      </c>
      <c r="C1849" s="7">
        <v>45725</v>
      </c>
      <c r="D1849" s="7">
        <v>45727</v>
      </c>
      <c r="E1849" t="s">
        <v>26</v>
      </c>
      <c r="F1849" t="s">
        <v>39</v>
      </c>
      <c r="G1849">
        <v>4</v>
      </c>
      <c r="H1849" t="s">
        <v>18</v>
      </c>
      <c r="I1849" t="s">
        <v>109</v>
      </c>
      <c r="J1849">
        <f>orders[[#This Row],[Ship Date]]-orders[[#This Row],[Order Date]]</f>
        <v>2</v>
      </c>
      <c r="K1849">
        <f>WEEKNUM(orders[[#This Row],[Order Date]])</f>
        <v>11</v>
      </c>
      <c r="L1849" t="str" cm="1">
        <f t="array" ref="L1849">_xlfn.IFS(orders[[#This Row],[Customer Gender]]="M","Male", orders[[#This Row],[Customer Gender]]="F","Female", orders[[#This Row],[Customer Gender]]="O","Other", TRUE,"Unknown")</f>
        <v>Female</v>
      </c>
      <c r="M1849">
        <v>5</v>
      </c>
      <c r="N1849">
        <v>59.9</v>
      </c>
      <c r="O1849">
        <v>299.5</v>
      </c>
    </row>
    <row r="1850" spans="1:15" x14ac:dyDescent="0.3">
      <c r="A1850" t="s">
        <v>1949</v>
      </c>
      <c r="B1850" t="s">
        <v>31</v>
      </c>
      <c r="C1850" s="7">
        <v>45725</v>
      </c>
      <c r="D1850" s="7">
        <v>45726</v>
      </c>
      <c r="E1850" t="s">
        <v>26</v>
      </c>
      <c r="F1850" t="s">
        <v>34</v>
      </c>
      <c r="G1850">
        <v>1</v>
      </c>
      <c r="H1850" t="s">
        <v>18</v>
      </c>
      <c r="I1850" t="s">
        <v>112</v>
      </c>
      <c r="J1850">
        <f>orders[[#This Row],[Ship Date]]-orders[[#This Row],[Order Date]]</f>
        <v>1</v>
      </c>
      <c r="K1850">
        <f>WEEKNUM(orders[[#This Row],[Order Date]])</f>
        <v>11</v>
      </c>
      <c r="L1850" t="str" cm="1">
        <f t="array" ref="L1850">_xlfn.IFS(orders[[#This Row],[Customer Gender]]="M","Male", orders[[#This Row],[Customer Gender]]="F","Female", orders[[#This Row],[Customer Gender]]="O","Other", TRUE,"Unknown")</f>
        <v>Female</v>
      </c>
      <c r="M1850">
        <v>2</v>
      </c>
      <c r="N1850">
        <v>53.2</v>
      </c>
      <c r="O1850" s="5">
        <v>106.4</v>
      </c>
    </row>
    <row r="1851" spans="1:15" x14ac:dyDescent="0.3">
      <c r="A1851" t="s">
        <v>1950</v>
      </c>
      <c r="B1851" t="s">
        <v>25</v>
      </c>
      <c r="C1851" s="7">
        <v>45725</v>
      </c>
      <c r="D1851" s="7">
        <v>45731</v>
      </c>
      <c r="E1851" t="s">
        <v>22</v>
      </c>
      <c r="F1851" t="s">
        <v>34</v>
      </c>
      <c r="G1851">
        <v>5</v>
      </c>
      <c r="H1851" t="s">
        <v>18</v>
      </c>
      <c r="I1851" t="s">
        <v>112</v>
      </c>
      <c r="J1851">
        <f>orders[[#This Row],[Ship Date]]-orders[[#This Row],[Order Date]]</f>
        <v>6</v>
      </c>
      <c r="K1851">
        <f>WEEKNUM(orders[[#This Row],[Order Date]])</f>
        <v>11</v>
      </c>
      <c r="L1851" t="str" cm="1">
        <f t="array" ref="L1851">_xlfn.IFS(orders[[#This Row],[Customer Gender]]="M","Male", orders[[#This Row],[Customer Gender]]="F","Female", orders[[#This Row],[Customer Gender]]="O","Other", TRUE,"Unknown")</f>
        <v>Male</v>
      </c>
      <c r="M1851">
        <v>2</v>
      </c>
      <c r="N1851">
        <v>60</v>
      </c>
      <c r="O1851">
        <v>120</v>
      </c>
    </row>
    <row r="1852" spans="1:15" x14ac:dyDescent="0.3">
      <c r="A1852" t="s">
        <v>1951</v>
      </c>
      <c r="B1852" t="s">
        <v>43</v>
      </c>
      <c r="C1852" s="7">
        <v>45725</v>
      </c>
      <c r="D1852" s="7">
        <v>45726</v>
      </c>
      <c r="E1852" t="s">
        <v>26</v>
      </c>
      <c r="F1852" t="s">
        <v>69</v>
      </c>
      <c r="G1852">
        <v>4</v>
      </c>
      <c r="H1852" t="s">
        <v>18</v>
      </c>
      <c r="I1852" t="s">
        <v>81</v>
      </c>
      <c r="J1852">
        <f>orders[[#This Row],[Ship Date]]-orders[[#This Row],[Order Date]]</f>
        <v>1</v>
      </c>
      <c r="K1852">
        <f>WEEKNUM(orders[[#This Row],[Order Date]])</f>
        <v>11</v>
      </c>
      <c r="L1852" t="str" cm="1">
        <f t="array" ref="L1852">_xlfn.IFS(orders[[#This Row],[Customer Gender]]="M","Male", orders[[#This Row],[Customer Gender]]="F","Female", orders[[#This Row],[Customer Gender]]="O","Other", TRUE,"Unknown")</f>
        <v>Female</v>
      </c>
      <c r="M1852">
        <v>3</v>
      </c>
      <c r="N1852">
        <v>29.3</v>
      </c>
      <c r="O1852" s="5">
        <v>87.9</v>
      </c>
    </row>
    <row r="1853" spans="1:15" x14ac:dyDescent="0.3">
      <c r="A1853" t="s">
        <v>1952</v>
      </c>
      <c r="B1853" t="s">
        <v>68</v>
      </c>
      <c r="C1853" s="7">
        <v>45725</v>
      </c>
      <c r="D1853" s="7">
        <v>45726</v>
      </c>
      <c r="E1853" t="s">
        <v>26</v>
      </c>
      <c r="F1853" t="s">
        <v>17</v>
      </c>
      <c r="G1853">
        <v>5</v>
      </c>
      <c r="H1853" t="s">
        <v>18</v>
      </c>
      <c r="I1853" t="s">
        <v>114</v>
      </c>
      <c r="J1853">
        <f>orders[[#This Row],[Ship Date]]-orders[[#This Row],[Order Date]]</f>
        <v>1</v>
      </c>
      <c r="K1853">
        <f>WEEKNUM(orders[[#This Row],[Order Date]])</f>
        <v>11</v>
      </c>
      <c r="L1853" t="str" cm="1">
        <f t="array" ref="L1853">_xlfn.IFS(orders[[#This Row],[Customer Gender]]="M","Male", orders[[#This Row],[Customer Gender]]="F","Female", orders[[#This Row],[Customer Gender]]="O","Other", TRUE,"Unknown")</f>
        <v>Female</v>
      </c>
      <c r="M1853">
        <v>2</v>
      </c>
      <c r="N1853">
        <v>55.4</v>
      </c>
      <c r="O1853">
        <v>110.8</v>
      </c>
    </row>
    <row r="1854" spans="1:15" x14ac:dyDescent="0.3">
      <c r="A1854" t="s">
        <v>1953</v>
      </c>
      <c r="B1854" t="s">
        <v>16</v>
      </c>
      <c r="C1854" s="7">
        <v>45725</v>
      </c>
      <c r="D1854" s="7">
        <v>45727</v>
      </c>
      <c r="E1854" t="s">
        <v>26</v>
      </c>
      <c r="F1854" t="s">
        <v>34</v>
      </c>
      <c r="G1854">
        <v>5</v>
      </c>
      <c r="H1854" t="s">
        <v>18</v>
      </c>
      <c r="I1854" t="s">
        <v>114</v>
      </c>
      <c r="J1854">
        <f>orders[[#This Row],[Ship Date]]-orders[[#This Row],[Order Date]]</f>
        <v>2</v>
      </c>
      <c r="K1854">
        <f>WEEKNUM(orders[[#This Row],[Order Date]])</f>
        <v>11</v>
      </c>
      <c r="L1854" t="str" cm="1">
        <f t="array" ref="L1854">_xlfn.IFS(orders[[#This Row],[Customer Gender]]="M","Male", orders[[#This Row],[Customer Gender]]="F","Female", orders[[#This Row],[Customer Gender]]="O","Other", TRUE,"Unknown")</f>
        <v>Female</v>
      </c>
      <c r="M1854">
        <v>5</v>
      </c>
      <c r="N1854">
        <v>20.100000000000001</v>
      </c>
      <c r="O1854" s="5">
        <v>100.5</v>
      </c>
    </row>
    <row r="1855" spans="1:15" x14ac:dyDescent="0.3">
      <c r="A1855" t="s">
        <v>1954</v>
      </c>
      <c r="B1855" t="s">
        <v>80</v>
      </c>
      <c r="C1855" s="7">
        <v>45725</v>
      </c>
      <c r="D1855" s="7">
        <v>45728</v>
      </c>
      <c r="E1855" t="s">
        <v>22</v>
      </c>
      <c r="F1855" t="s">
        <v>39</v>
      </c>
      <c r="G1855">
        <v>4</v>
      </c>
      <c r="H1855" t="s">
        <v>18</v>
      </c>
      <c r="I1855" t="s">
        <v>23</v>
      </c>
      <c r="J1855">
        <f>orders[[#This Row],[Ship Date]]-orders[[#This Row],[Order Date]]</f>
        <v>3</v>
      </c>
      <c r="K1855">
        <f>WEEKNUM(orders[[#This Row],[Order Date]])</f>
        <v>11</v>
      </c>
      <c r="L1855" t="str" cm="1">
        <f t="array" ref="L1855">_xlfn.IFS(orders[[#This Row],[Customer Gender]]="M","Male", orders[[#This Row],[Customer Gender]]="F","Female", orders[[#This Row],[Customer Gender]]="O","Other", TRUE,"Unknown")</f>
        <v>Male</v>
      </c>
      <c r="M1855">
        <v>5</v>
      </c>
      <c r="N1855">
        <v>24</v>
      </c>
      <c r="O1855">
        <v>120</v>
      </c>
    </row>
    <row r="1856" spans="1:15" x14ac:dyDescent="0.3">
      <c r="A1856" t="s">
        <v>1955</v>
      </c>
      <c r="B1856" t="s">
        <v>43</v>
      </c>
      <c r="C1856" s="7">
        <v>45726</v>
      </c>
      <c r="D1856" s="7">
        <v>45728</v>
      </c>
      <c r="E1856" t="s">
        <v>26</v>
      </c>
      <c r="F1856" t="s">
        <v>17</v>
      </c>
      <c r="G1856">
        <v>4</v>
      </c>
      <c r="H1856" t="s">
        <v>18</v>
      </c>
      <c r="I1856" t="s">
        <v>23</v>
      </c>
      <c r="J1856">
        <f>orders[[#This Row],[Ship Date]]-orders[[#This Row],[Order Date]]</f>
        <v>2</v>
      </c>
      <c r="K1856">
        <f>WEEKNUM(orders[[#This Row],[Order Date]])</f>
        <v>11</v>
      </c>
      <c r="L1856" t="str" cm="1">
        <f t="array" ref="L1856">_xlfn.IFS(orders[[#This Row],[Customer Gender]]="M","Male", orders[[#This Row],[Customer Gender]]="F","Female", orders[[#This Row],[Customer Gender]]="O","Other", TRUE,"Unknown")</f>
        <v>Female</v>
      </c>
      <c r="M1856">
        <v>2</v>
      </c>
      <c r="N1856">
        <v>30.6</v>
      </c>
      <c r="O1856" s="5">
        <v>61.2</v>
      </c>
    </row>
    <row r="1857" spans="1:15" x14ac:dyDescent="0.3">
      <c r="A1857" t="s">
        <v>1956</v>
      </c>
      <c r="B1857" t="s">
        <v>53</v>
      </c>
      <c r="C1857" s="7">
        <v>45726</v>
      </c>
      <c r="D1857" s="7">
        <v>45727</v>
      </c>
      <c r="E1857" t="s">
        <v>22</v>
      </c>
      <c r="F1857" t="s">
        <v>34</v>
      </c>
      <c r="G1857">
        <v>3</v>
      </c>
      <c r="H1857" t="s">
        <v>18</v>
      </c>
      <c r="I1857" t="s">
        <v>207</v>
      </c>
      <c r="J1857">
        <f>orders[[#This Row],[Ship Date]]-orders[[#This Row],[Order Date]]</f>
        <v>1</v>
      </c>
      <c r="K1857">
        <f>WEEKNUM(orders[[#This Row],[Order Date]])</f>
        <v>11</v>
      </c>
      <c r="L1857" t="str" cm="1">
        <f t="array" ref="L1857">_xlfn.IFS(orders[[#This Row],[Customer Gender]]="M","Male", orders[[#This Row],[Customer Gender]]="F","Female", orders[[#This Row],[Customer Gender]]="O","Other", TRUE,"Unknown")</f>
        <v>Male</v>
      </c>
      <c r="M1857">
        <v>5</v>
      </c>
      <c r="N1857">
        <v>33</v>
      </c>
      <c r="O1857">
        <v>165</v>
      </c>
    </row>
    <row r="1858" spans="1:15" x14ac:dyDescent="0.3">
      <c r="A1858" t="s">
        <v>1957</v>
      </c>
      <c r="B1858" t="s">
        <v>134</v>
      </c>
      <c r="C1858" s="7">
        <v>45726</v>
      </c>
      <c r="D1858" s="7">
        <v>45732</v>
      </c>
      <c r="E1858" t="s">
        <v>26</v>
      </c>
      <c r="F1858" t="s">
        <v>39</v>
      </c>
      <c r="G1858">
        <v>4</v>
      </c>
      <c r="H1858" t="s">
        <v>18</v>
      </c>
      <c r="I1858" t="s">
        <v>586</v>
      </c>
      <c r="J1858">
        <f>orders[[#This Row],[Ship Date]]-orders[[#This Row],[Order Date]]</f>
        <v>6</v>
      </c>
      <c r="K1858">
        <f>WEEKNUM(orders[[#This Row],[Order Date]])</f>
        <v>11</v>
      </c>
      <c r="L1858" t="str" cm="1">
        <f t="array" ref="L1858">_xlfn.IFS(orders[[#This Row],[Customer Gender]]="M","Male", orders[[#This Row],[Customer Gender]]="F","Female", orders[[#This Row],[Customer Gender]]="O","Other", TRUE,"Unknown")</f>
        <v>Female</v>
      </c>
      <c r="M1858">
        <v>9</v>
      </c>
      <c r="N1858">
        <v>42.1</v>
      </c>
      <c r="O1858" s="5">
        <v>378.90000000000003</v>
      </c>
    </row>
    <row r="1859" spans="1:15" x14ac:dyDescent="0.3">
      <c r="A1859" t="s">
        <v>1958</v>
      </c>
      <c r="B1859" t="s">
        <v>38</v>
      </c>
      <c r="C1859" s="7">
        <v>45726</v>
      </c>
      <c r="D1859" s="7">
        <v>45731</v>
      </c>
      <c r="E1859" t="s">
        <v>26</v>
      </c>
      <c r="F1859" t="s">
        <v>34</v>
      </c>
      <c r="G1859">
        <v>5</v>
      </c>
      <c r="H1859" t="s">
        <v>18</v>
      </c>
      <c r="I1859" t="s">
        <v>948</v>
      </c>
      <c r="J1859">
        <f>orders[[#This Row],[Ship Date]]-orders[[#This Row],[Order Date]]</f>
        <v>5</v>
      </c>
      <c r="K1859">
        <f>WEEKNUM(orders[[#This Row],[Order Date]])</f>
        <v>11</v>
      </c>
      <c r="L1859" t="str" cm="1">
        <f t="array" ref="L1859">_xlfn.IFS(orders[[#This Row],[Customer Gender]]="M","Male", orders[[#This Row],[Customer Gender]]="F","Female", orders[[#This Row],[Customer Gender]]="O","Other", TRUE,"Unknown")</f>
        <v>Female</v>
      </c>
      <c r="M1859">
        <v>7</v>
      </c>
      <c r="N1859">
        <v>77.7</v>
      </c>
      <c r="O1859">
        <v>543.9</v>
      </c>
    </row>
    <row r="1860" spans="1:15" x14ac:dyDescent="0.3">
      <c r="A1860" t="s">
        <v>1959</v>
      </c>
      <c r="B1860" t="s">
        <v>134</v>
      </c>
      <c r="C1860" s="7">
        <v>45726</v>
      </c>
      <c r="D1860" s="7">
        <v>45729</v>
      </c>
      <c r="E1860" t="s">
        <v>26</v>
      </c>
      <c r="F1860" t="s">
        <v>39</v>
      </c>
      <c r="G1860">
        <v>4</v>
      </c>
      <c r="H1860" t="s">
        <v>18</v>
      </c>
      <c r="I1860" t="s">
        <v>32</v>
      </c>
      <c r="J1860">
        <f>orders[[#This Row],[Ship Date]]-orders[[#This Row],[Order Date]]</f>
        <v>3</v>
      </c>
      <c r="K1860">
        <f>WEEKNUM(orders[[#This Row],[Order Date]])</f>
        <v>11</v>
      </c>
      <c r="L1860" t="str" cm="1">
        <f t="array" ref="L1860">_xlfn.IFS(orders[[#This Row],[Customer Gender]]="M","Male", orders[[#This Row],[Customer Gender]]="F","Female", orders[[#This Row],[Customer Gender]]="O","Other", TRUE,"Unknown")</f>
        <v>Female</v>
      </c>
      <c r="M1860">
        <v>6</v>
      </c>
      <c r="N1860">
        <v>22.7</v>
      </c>
      <c r="O1860" s="5">
        <v>136.19999999999999</v>
      </c>
    </row>
    <row r="1861" spans="1:15" x14ac:dyDescent="0.3">
      <c r="A1861" t="s">
        <v>1960</v>
      </c>
      <c r="B1861" t="s">
        <v>25</v>
      </c>
      <c r="C1861" s="7">
        <v>45726</v>
      </c>
      <c r="D1861" s="7">
        <v>45726</v>
      </c>
      <c r="E1861" t="s">
        <v>22</v>
      </c>
      <c r="F1861" t="s">
        <v>39</v>
      </c>
      <c r="G1861">
        <v>5</v>
      </c>
      <c r="H1861" t="s">
        <v>18</v>
      </c>
      <c r="I1861" t="s">
        <v>32</v>
      </c>
      <c r="J1861">
        <f>orders[[#This Row],[Ship Date]]-orders[[#This Row],[Order Date]]</f>
        <v>0</v>
      </c>
      <c r="K1861">
        <f>WEEKNUM(orders[[#This Row],[Order Date]])</f>
        <v>11</v>
      </c>
      <c r="L1861" t="str" cm="1">
        <f t="array" ref="L1861">_xlfn.IFS(orders[[#This Row],[Customer Gender]]="M","Male", orders[[#This Row],[Customer Gender]]="F","Female", orders[[#This Row],[Customer Gender]]="O","Other", TRUE,"Unknown")</f>
        <v>Male</v>
      </c>
      <c r="M1861">
        <v>2</v>
      </c>
      <c r="N1861">
        <v>133</v>
      </c>
      <c r="O1861">
        <v>266</v>
      </c>
    </row>
    <row r="1862" spans="1:15" x14ac:dyDescent="0.3">
      <c r="A1862" t="s">
        <v>1961</v>
      </c>
      <c r="B1862" t="s">
        <v>16</v>
      </c>
      <c r="C1862" s="7">
        <v>45726</v>
      </c>
      <c r="D1862" s="7">
        <v>45727</v>
      </c>
      <c r="E1862" t="s">
        <v>22</v>
      </c>
      <c r="F1862" t="s">
        <v>34</v>
      </c>
      <c r="G1862">
        <v>5</v>
      </c>
      <c r="H1862" t="s">
        <v>18</v>
      </c>
      <c r="I1862" t="s">
        <v>32</v>
      </c>
      <c r="J1862">
        <f>orders[[#This Row],[Ship Date]]-orders[[#This Row],[Order Date]]</f>
        <v>1</v>
      </c>
      <c r="K1862">
        <f>WEEKNUM(orders[[#This Row],[Order Date]])</f>
        <v>11</v>
      </c>
      <c r="L1862" t="str" cm="1">
        <f t="array" ref="L1862">_xlfn.IFS(orders[[#This Row],[Customer Gender]]="M","Male", orders[[#This Row],[Customer Gender]]="F","Female", orders[[#This Row],[Customer Gender]]="O","Other", TRUE,"Unknown")</f>
        <v>Male</v>
      </c>
      <c r="M1862">
        <v>2</v>
      </c>
      <c r="N1862">
        <v>23.3</v>
      </c>
      <c r="O1862" s="5">
        <v>46.6</v>
      </c>
    </row>
    <row r="1863" spans="1:15" x14ac:dyDescent="0.3">
      <c r="A1863" t="s">
        <v>1962</v>
      </c>
      <c r="B1863" t="s">
        <v>43</v>
      </c>
      <c r="C1863" s="7">
        <v>45726</v>
      </c>
      <c r="D1863" s="7">
        <v>45728</v>
      </c>
      <c r="E1863" t="s">
        <v>88</v>
      </c>
      <c r="F1863" t="s">
        <v>17</v>
      </c>
      <c r="G1863">
        <v>5</v>
      </c>
      <c r="H1863" t="s">
        <v>18</v>
      </c>
      <c r="I1863" t="s">
        <v>32</v>
      </c>
      <c r="J1863">
        <f>orders[[#This Row],[Ship Date]]-orders[[#This Row],[Order Date]]</f>
        <v>2</v>
      </c>
      <c r="K1863">
        <f>WEEKNUM(orders[[#This Row],[Order Date]])</f>
        <v>11</v>
      </c>
      <c r="L1863" t="str" cm="1">
        <f t="array" ref="L1863">_xlfn.IFS(orders[[#This Row],[Customer Gender]]="M","Male", orders[[#This Row],[Customer Gender]]="F","Female", orders[[#This Row],[Customer Gender]]="O","Other", TRUE,"Unknown")</f>
        <v>Other</v>
      </c>
      <c r="M1863">
        <v>3</v>
      </c>
      <c r="N1863">
        <v>20.7</v>
      </c>
      <c r="O1863">
        <v>62.099999999999994</v>
      </c>
    </row>
    <row r="1864" spans="1:15" x14ac:dyDescent="0.3">
      <c r="A1864" t="s">
        <v>1963</v>
      </c>
      <c r="B1864" t="s">
        <v>68</v>
      </c>
      <c r="C1864" s="7">
        <v>45726</v>
      </c>
      <c r="D1864" s="7">
        <v>45727</v>
      </c>
      <c r="E1864" t="s">
        <v>22</v>
      </c>
      <c r="F1864" t="s">
        <v>34</v>
      </c>
      <c r="G1864">
        <v>5</v>
      </c>
      <c r="H1864" t="s">
        <v>18</v>
      </c>
      <c r="I1864" t="s">
        <v>32</v>
      </c>
      <c r="J1864">
        <f>orders[[#This Row],[Ship Date]]-orders[[#This Row],[Order Date]]</f>
        <v>1</v>
      </c>
      <c r="K1864">
        <f>WEEKNUM(orders[[#This Row],[Order Date]])</f>
        <v>11</v>
      </c>
      <c r="L1864" t="str" cm="1">
        <f t="array" ref="L1864">_xlfn.IFS(orders[[#This Row],[Customer Gender]]="M","Male", orders[[#This Row],[Customer Gender]]="F","Female", orders[[#This Row],[Customer Gender]]="O","Other", TRUE,"Unknown")</f>
        <v>Male</v>
      </c>
      <c r="M1864">
        <v>2</v>
      </c>
      <c r="N1864">
        <v>47</v>
      </c>
      <c r="O1864" s="5">
        <v>94</v>
      </c>
    </row>
    <row r="1865" spans="1:15" x14ac:dyDescent="0.3">
      <c r="A1865" t="s">
        <v>1964</v>
      </c>
      <c r="B1865" t="s">
        <v>68</v>
      </c>
      <c r="C1865" s="7">
        <v>45726</v>
      </c>
      <c r="D1865" s="7">
        <v>45728</v>
      </c>
      <c r="E1865" t="s">
        <v>26</v>
      </c>
      <c r="F1865" t="s">
        <v>39</v>
      </c>
      <c r="G1865">
        <v>2</v>
      </c>
      <c r="H1865" t="s">
        <v>18</v>
      </c>
      <c r="I1865" t="s">
        <v>32</v>
      </c>
      <c r="J1865">
        <f>orders[[#This Row],[Ship Date]]-orders[[#This Row],[Order Date]]</f>
        <v>2</v>
      </c>
      <c r="K1865">
        <f>WEEKNUM(orders[[#This Row],[Order Date]])</f>
        <v>11</v>
      </c>
      <c r="L1865" t="str" cm="1">
        <f t="array" ref="L1865">_xlfn.IFS(orders[[#This Row],[Customer Gender]]="M","Male", orders[[#This Row],[Customer Gender]]="F","Female", orders[[#This Row],[Customer Gender]]="O","Other", TRUE,"Unknown")</f>
        <v>Female</v>
      </c>
      <c r="M1865">
        <v>3</v>
      </c>
      <c r="N1865">
        <v>38.200000000000003</v>
      </c>
      <c r="O1865">
        <v>114.60000000000001</v>
      </c>
    </row>
    <row r="1866" spans="1:15" x14ac:dyDescent="0.3">
      <c r="A1866" t="s">
        <v>1965</v>
      </c>
      <c r="B1866" t="s">
        <v>45</v>
      </c>
      <c r="C1866" s="7">
        <v>45726</v>
      </c>
      <c r="D1866" s="7">
        <v>45728</v>
      </c>
      <c r="E1866" t="s">
        <v>26</v>
      </c>
      <c r="F1866" t="s">
        <v>17</v>
      </c>
      <c r="G1866">
        <v>4</v>
      </c>
      <c r="H1866" t="s">
        <v>18</v>
      </c>
      <c r="I1866" t="s">
        <v>32</v>
      </c>
      <c r="J1866">
        <f>orders[[#This Row],[Ship Date]]-orders[[#This Row],[Order Date]]</f>
        <v>2</v>
      </c>
      <c r="K1866">
        <f>WEEKNUM(orders[[#This Row],[Order Date]])</f>
        <v>11</v>
      </c>
      <c r="L1866" t="str" cm="1">
        <f t="array" ref="L1866">_xlfn.IFS(orders[[#This Row],[Customer Gender]]="M","Male", orders[[#This Row],[Customer Gender]]="F","Female", orders[[#This Row],[Customer Gender]]="O","Other", TRUE,"Unknown")</f>
        <v>Female</v>
      </c>
      <c r="M1866">
        <v>1</v>
      </c>
      <c r="N1866">
        <v>39.1</v>
      </c>
      <c r="O1866" s="5">
        <v>39.1</v>
      </c>
    </row>
    <row r="1867" spans="1:15" x14ac:dyDescent="0.3">
      <c r="A1867" t="s">
        <v>1966</v>
      </c>
      <c r="B1867" t="s">
        <v>41</v>
      </c>
      <c r="C1867" s="7">
        <v>45726</v>
      </c>
      <c r="D1867" s="7">
        <v>45728</v>
      </c>
      <c r="E1867" t="s">
        <v>22</v>
      </c>
      <c r="F1867" t="s">
        <v>17</v>
      </c>
      <c r="G1867">
        <v>5</v>
      </c>
      <c r="H1867" t="s">
        <v>18</v>
      </c>
      <c r="I1867" t="s">
        <v>32</v>
      </c>
      <c r="J1867">
        <f>orders[[#This Row],[Ship Date]]-orders[[#This Row],[Order Date]]</f>
        <v>2</v>
      </c>
      <c r="K1867">
        <f>WEEKNUM(orders[[#This Row],[Order Date]])</f>
        <v>11</v>
      </c>
      <c r="L1867" t="str" cm="1">
        <f t="array" ref="L1867">_xlfn.IFS(orders[[#This Row],[Customer Gender]]="M","Male", orders[[#This Row],[Customer Gender]]="F","Female", orders[[#This Row],[Customer Gender]]="O","Other", TRUE,"Unknown")</f>
        <v>Male</v>
      </c>
      <c r="M1867">
        <v>25</v>
      </c>
      <c r="N1867">
        <v>55.6</v>
      </c>
      <c r="O1867">
        <v>1390</v>
      </c>
    </row>
    <row r="1868" spans="1:15" x14ac:dyDescent="0.3">
      <c r="A1868" t="s">
        <v>1967</v>
      </c>
      <c r="B1868" t="s">
        <v>122</v>
      </c>
      <c r="C1868" s="7">
        <v>45726</v>
      </c>
      <c r="D1868" s="7">
        <v>45726</v>
      </c>
      <c r="E1868" t="s">
        <v>88</v>
      </c>
      <c r="F1868" t="s">
        <v>34</v>
      </c>
      <c r="G1868">
        <v>5</v>
      </c>
      <c r="H1868" t="s">
        <v>18</v>
      </c>
      <c r="I1868" t="s">
        <v>32</v>
      </c>
      <c r="J1868">
        <f>orders[[#This Row],[Ship Date]]-orders[[#This Row],[Order Date]]</f>
        <v>0</v>
      </c>
      <c r="K1868">
        <f>WEEKNUM(orders[[#This Row],[Order Date]])</f>
        <v>11</v>
      </c>
      <c r="L1868" t="str" cm="1">
        <f t="array" ref="L1868">_xlfn.IFS(orders[[#This Row],[Customer Gender]]="M","Male", orders[[#This Row],[Customer Gender]]="F","Female", orders[[#This Row],[Customer Gender]]="O","Other", TRUE,"Unknown")</f>
        <v>Other</v>
      </c>
      <c r="M1868">
        <v>1</v>
      </c>
      <c r="N1868">
        <v>43.1</v>
      </c>
      <c r="O1868" s="5">
        <v>43.1</v>
      </c>
    </row>
    <row r="1869" spans="1:15" x14ac:dyDescent="0.3">
      <c r="A1869" t="s">
        <v>1968</v>
      </c>
      <c r="B1869" t="s">
        <v>38</v>
      </c>
      <c r="C1869" s="7">
        <v>45726</v>
      </c>
      <c r="D1869" s="7">
        <v>45727</v>
      </c>
      <c r="E1869" t="s">
        <v>26</v>
      </c>
      <c r="F1869" t="s">
        <v>69</v>
      </c>
      <c r="G1869">
        <v>5</v>
      </c>
      <c r="H1869" t="s">
        <v>18</v>
      </c>
      <c r="I1869" t="s">
        <v>32</v>
      </c>
      <c r="J1869">
        <f>orders[[#This Row],[Ship Date]]-orders[[#This Row],[Order Date]]</f>
        <v>1</v>
      </c>
      <c r="K1869">
        <f>WEEKNUM(orders[[#This Row],[Order Date]])</f>
        <v>11</v>
      </c>
      <c r="L1869" t="str" cm="1">
        <f t="array" ref="L1869">_xlfn.IFS(orders[[#This Row],[Customer Gender]]="M","Male", orders[[#This Row],[Customer Gender]]="F","Female", orders[[#This Row],[Customer Gender]]="O","Other", TRUE,"Unknown")</f>
        <v>Female</v>
      </c>
      <c r="M1869">
        <v>4</v>
      </c>
      <c r="N1869">
        <v>48.1</v>
      </c>
      <c r="O1869">
        <v>192.4</v>
      </c>
    </row>
    <row r="1870" spans="1:15" x14ac:dyDescent="0.3">
      <c r="A1870" t="s">
        <v>1969</v>
      </c>
      <c r="B1870" t="s">
        <v>31</v>
      </c>
      <c r="C1870" s="7">
        <v>45726</v>
      </c>
      <c r="D1870" s="7">
        <v>45727</v>
      </c>
      <c r="E1870" t="s">
        <v>88</v>
      </c>
      <c r="F1870" t="s">
        <v>17</v>
      </c>
      <c r="G1870">
        <v>4</v>
      </c>
      <c r="H1870" t="s">
        <v>18</v>
      </c>
      <c r="I1870" t="s">
        <v>32</v>
      </c>
      <c r="J1870">
        <f>orders[[#This Row],[Ship Date]]-orders[[#This Row],[Order Date]]</f>
        <v>1</v>
      </c>
      <c r="K1870">
        <f>WEEKNUM(orders[[#This Row],[Order Date]])</f>
        <v>11</v>
      </c>
      <c r="L1870" t="str" cm="1">
        <f t="array" ref="L1870">_xlfn.IFS(orders[[#This Row],[Customer Gender]]="M","Male", orders[[#This Row],[Customer Gender]]="F","Female", orders[[#This Row],[Customer Gender]]="O","Other", TRUE,"Unknown")</f>
        <v>Other</v>
      </c>
      <c r="M1870">
        <v>1</v>
      </c>
      <c r="N1870">
        <v>42</v>
      </c>
      <c r="O1870" s="5">
        <v>42</v>
      </c>
    </row>
    <row r="1871" spans="1:15" x14ac:dyDescent="0.3">
      <c r="A1871" t="s">
        <v>1970</v>
      </c>
      <c r="B1871" t="s">
        <v>43</v>
      </c>
      <c r="C1871" s="7">
        <v>45726</v>
      </c>
      <c r="D1871" s="7">
        <v>45726</v>
      </c>
      <c r="E1871" t="s">
        <v>26</v>
      </c>
      <c r="F1871" t="s">
        <v>39</v>
      </c>
      <c r="G1871">
        <v>4</v>
      </c>
      <c r="H1871" t="s">
        <v>18</v>
      </c>
      <c r="I1871" t="s">
        <v>32</v>
      </c>
      <c r="J1871">
        <f>orders[[#This Row],[Ship Date]]-orders[[#This Row],[Order Date]]</f>
        <v>0</v>
      </c>
      <c r="K1871">
        <f>WEEKNUM(orders[[#This Row],[Order Date]])</f>
        <v>11</v>
      </c>
      <c r="L1871" t="str" cm="1">
        <f t="array" ref="L1871">_xlfn.IFS(orders[[#This Row],[Customer Gender]]="M","Male", orders[[#This Row],[Customer Gender]]="F","Female", orders[[#This Row],[Customer Gender]]="O","Other", TRUE,"Unknown")</f>
        <v>Female</v>
      </c>
      <c r="M1871">
        <v>5</v>
      </c>
      <c r="N1871">
        <v>18.3</v>
      </c>
      <c r="O1871">
        <v>91.5</v>
      </c>
    </row>
    <row r="1872" spans="1:15" x14ac:dyDescent="0.3">
      <c r="A1872" t="s">
        <v>1971</v>
      </c>
      <c r="B1872" t="s">
        <v>53</v>
      </c>
      <c r="C1872" s="7">
        <v>45726</v>
      </c>
      <c r="D1872" s="7">
        <v>45729</v>
      </c>
      <c r="E1872" t="s">
        <v>26</v>
      </c>
      <c r="F1872" t="s">
        <v>17</v>
      </c>
      <c r="G1872">
        <v>5</v>
      </c>
      <c r="H1872" t="s">
        <v>18</v>
      </c>
      <c r="I1872" t="s">
        <v>32</v>
      </c>
      <c r="J1872">
        <f>orders[[#This Row],[Ship Date]]-orders[[#This Row],[Order Date]]</f>
        <v>3</v>
      </c>
      <c r="K1872">
        <f>WEEKNUM(orders[[#This Row],[Order Date]])</f>
        <v>11</v>
      </c>
      <c r="L1872" t="str" cm="1">
        <f t="array" ref="L1872">_xlfn.IFS(orders[[#This Row],[Customer Gender]]="M","Male", orders[[#This Row],[Customer Gender]]="F","Female", orders[[#This Row],[Customer Gender]]="O","Other", TRUE,"Unknown")</f>
        <v>Female</v>
      </c>
      <c r="M1872">
        <v>4</v>
      </c>
      <c r="N1872">
        <v>45.3</v>
      </c>
      <c r="O1872" s="5">
        <v>181.2</v>
      </c>
    </row>
    <row r="1873" spans="1:15" x14ac:dyDescent="0.3">
      <c r="A1873" t="s">
        <v>1972</v>
      </c>
      <c r="B1873" t="s">
        <v>16</v>
      </c>
      <c r="C1873" s="7">
        <v>45726</v>
      </c>
      <c r="D1873" s="7">
        <v>45728</v>
      </c>
      <c r="E1873" t="s">
        <v>22</v>
      </c>
      <c r="F1873" t="s">
        <v>17</v>
      </c>
      <c r="G1873">
        <v>5</v>
      </c>
      <c r="H1873" t="s">
        <v>18</v>
      </c>
      <c r="I1873" t="s">
        <v>363</v>
      </c>
      <c r="J1873">
        <f>orders[[#This Row],[Ship Date]]-orders[[#This Row],[Order Date]]</f>
        <v>2</v>
      </c>
      <c r="K1873">
        <f>WEEKNUM(orders[[#This Row],[Order Date]])</f>
        <v>11</v>
      </c>
      <c r="L1873" t="str" cm="1">
        <f t="array" ref="L1873">_xlfn.IFS(orders[[#This Row],[Customer Gender]]="M","Male", orders[[#This Row],[Customer Gender]]="F","Female", orders[[#This Row],[Customer Gender]]="O","Other", TRUE,"Unknown")</f>
        <v>Male</v>
      </c>
      <c r="M1873">
        <v>2</v>
      </c>
      <c r="N1873">
        <v>27.6</v>
      </c>
      <c r="O1873">
        <v>55.2</v>
      </c>
    </row>
    <row r="1874" spans="1:15" x14ac:dyDescent="0.3">
      <c r="A1874" t="s">
        <v>1973</v>
      </c>
      <c r="B1874" t="s">
        <v>31</v>
      </c>
      <c r="C1874" s="7">
        <v>45726</v>
      </c>
      <c r="D1874" s="7">
        <v>45727</v>
      </c>
      <c r="E1874" t="s">
        <v>26</v>
      </c>
      <c r="F1874" t="s">
        <v>39</v>
      </c>
      <c r="G1874">
        <v>4</v>
      </c>
      <c r="H1874" t="s">
        <v>18</v>
      </c>
      <c r="I1874" t="s">
        <v>187</v>
      </c>
      <c r="J1874">
        <f>orders[[#This Row],[Ship Date]]-orders[[#This Row],[Order Date]]</f>
        <v>1</v>
      </c>
      <c r="K1874">
        <f>WEEKNUM(orders[[#This Row],[Order Date]])</f>
        <v>11</v>
      </c>
      <c r="L1874" t="str" cm="1">
        <f t="array" ref="L1874">_xlfn.IFS(orders[[#This Row],[Customer Gender]]="M","Male", orders[[#This Row],[Customer Gender]]="F","Female", orders[[#This Row],[Customer Gender]]="O","Other", TRUE,"Unknown")</f>
        <v>Female</v>
      </c>
      <c r="M1874">
        <v>5</v>
      </c>
      <c r="N1874">
        <v>26.9</v>
      </c>
      <c r="O1874" s="5">
        <v>134.5</v>
      </c>
    </row>
    <row r="1875" spans="1:15" x14ac:dyDescent="0.3">
      <c r="A1875" t="s">
        <v>1974</v>
      </c>
      <c r="B1875" t="s">
        <v>25</v>
      </c>
      <c r="C1875" s="7">
        <v>45726</v>
      </c>
      <c r="D1875" s="7">
        <v>45728</v>
      </c>
      <c r="E1875" t="s">
        <v>88</v>
      </c>
      <c r="F1875" t="s">
        <v>39</v>
      </c>
      <c r="G1875">
        <v>4</v>
      </c>
      <c r="H1875" t="s">
        <v>18</v>
      </c>
      <c r="I1875" t="s">
        <v>51</v>
      </c>
      <c r="J1875">
        <f>orders[[#This Row],[Ship Date]]-orders[[#This Row],[Order Date]]</f>
        <v>2</v>
      </c>
      <c r="K1875">
        <f>WEEKNUM(orders[[#This Row],[Order Date]])</f>
        <v>11</v>
      </c>
      <c r="L1875" t="str" cm="1">
        <f t="array" ref="L1875">_xlfn.IFS(orders[[#This Row],[Customer Gender]]="M","Male", orders[[#This Row],[Customer Gender]]="F","Female", orders[[#This Row],[Customer Gender]]="O","Other", TRUE,"Unknown")</f>
        <v>Other</v>
      </c>
      <c r="M1875">
        <v>9</v>
      </c>
      <c r="N1875">
        <v>82.4</v>
      </c>
      <c r="O1875">
        <v>741.6</v>
      </c>
    </row>
    <row r="1876" spans="1:15" x14ac:dyDescent="0.3">
      <c r="A1876" t="s">
        <v>1975</v>
      </c>
      <c r="B1876" t="s">
        <v>38</v>
      </c>
      <c r="C1876" s="7">
        <v>45726</v>
      </c>
      <c r="D1876" s="7">
        <v>45728</v>
      </c>
      <c r="E1876" t="s">
        <v>26</v>
      </c>
      <c r="F1876" t="s">
        <v>34</v>
      </c>
      <c r="G1876">
        <v>4</v>
      </c>
      <c r="H1876" t="s">
        <v>18</v>
      </c>
      <c r="I1876" t="s">
        <v>51</v>
      </c>
      <c r="J1876">
        <f>orders[[#This Row],[Ship Date]]-orders[[#This Row],[Order Date]]</f>
        <v>2</v>
      </c>
      <c r="K1876">
        <f>WEEKNUM(orders[[#This Row],[Order Date]])</f>
        <v>11</v>
      </c>
      <c r="L1876" t="str" cm="1">
        <f t="array" ref="L1876">_xlfn.IFS(orders[[#This Row],[Customer Gender]]="M","Male", orders[[#This Row],[Customer Gender]]="F","Female", orders[[#This Row],[Customer Gender]]="O","Other", TRUE,"Unknown")</f>
        <v>Female</v>
      </c>
      <c r="M1876">
        <v>1</v>
      </c>
      <c r="N1876">
        <v>103.7</v>
      </c>
      <c r="O1876" s="5">
        <v>103.7</v>
      </c>
    </row>
    <row r="1877" spans="1:15" x14ac:dyDescent="0.3">
      <c r="A1877" t="s">
        <v>1976</v>
      </c>
      <c r="B1877" t="s">
        <v>25</v>
      </c>
      <c r="C1877" s="7">
        <v>45726</v>
      </c>
      <c r="D1877" s="7">
        <v>45731</v>
      </c>
      <c r="E1877" t="s">
        <v>26</v>
      </c>
      <c r="F1877" t="s">
        <v>34</v>
      </c>
      <c r="G1877">
        <v>5</v>
      </c>
      <c r="H1877" t="s">
        <v>18</v>
      </c>
      <c r="I1877" t="s">
        <v>54</v>
      </c>
      <c r="J1877">
        <f>orders[[#This Row],[Ship Date]]-orders[[#This Row],[Order Date]]</f>
        <v>5</v>
      </c>
      <c r="K1877">
        <f>WEEKNUM(orders[[#This Row],[Order Date]])</f>
        <v>11</v>
      </c>
      <c r="L1877" t="str" cm="1">
        <f t="array" ref="L1877">_xlfn.IFS(orders[[#This Row],[Customer Gender]]="M","Male", orders[[#This Row],[Customer Gender]]="F","Female", orders[[#This Row],[Customer Gender]]="O","Other", TRUE,"Unknown")</f>
        <v>Female</v>
      </c>
      <c r="M1877">
        <v>2</v>
      </c>
      <c r="N1877">
        <v>58.8</v>
      </c>
      <c r="O1877">
        <v>117.6</v>
      </c>
    </row>
    <row r="1878" spans="1:15" x14ac:dyDescent="0.3">
      <c r="A1878" t="s">
        <v>1977</v>
      </c>
      <c r="B1878" t="s">
        <v>75</v>
      </c>
      <c r="C1878" s="7">
        <v>45726</v>
      </c>
      <c r="D1878" s="7">
        <v>45727</v>
      </c>
      <c r="E1878" t="s">
        <v>26</v>
      </c>
      <c r="F1878" t="s">
        <v>34</v>
      </c>
      <c r="G1878">
        <v>3</v>
      </c>
      <c r="H1878" t="s">
        <v>18</v>
      </c>
      <c r="I1878" t="s">
        <v>54</v>
      </c>
      <c r="J1878">
        <f>orders[[#This Row],[Ship Date]]-orders[[#This Row],[Order Date]]</f>
        <v>1</v>
      </c>
      <c r="K1878">
        <f>WEEKNUM(orders[[#This Row],[Order Date]])</f>
        <v>11</v>
      </c>
      <c r="L1878" t="str" cm="1">
        <f t="array" ref="L1878">_xlfn.IFS(orders[[#This Row],[Customer Gender]]="M","Male", orders[[#This Row],[Customer Gender]]="F","Female", orders[[#This Row],[Customer Gender]]="O","Other", TRUE,"Unknown")</f>
        <v>Female</v>
      </c>
      <c r="M1878">
        <v>1</v>
      </c>
      <c r="N1878">
        <v>31.5</v>
      </c>
      <c r="O1878" s="5">
        <v>31.5</v>
      </c>
    </row>
    <row r="1879" spans="1:15" x14ac:dyDescent="0.3">
      <c r="A1879" t="s">
        <v>1978</v>
      </c>
      <c r="B1879" t="s">
        <v>41</v>
      </c>
      <c r="C1879" s="7">
        <v>45726</v>
      </c>
      <c r="D1879" s="7">
        <v>45728</v>
      </c>
      <c r="E1879" t="s">
        <v>26</v>
      </c>
      <c r="F1879" t="s">
        <v>17</v>
      </c>
      <c r="G1879">
        <v>4</v>
      </c>
      <c r="H1879" t="s">
        <v>18</v>
      </c>
      <c r="I1879" t="s">
        <v>61</v>
      </c>
      <c r="J1879">
        <f>orders[[#This Row],[Ship Date]]-orders[[#This Row],[Order Date]]</f>
        <v>2</v>
      </c>
      <c r="K1879">
        <f>WEEKNUM(orders[[#This Row],[Order Date]])</f>
        <v>11</v>
      </c>
      <c r="L1879" t="str" cm="1">
        <f t="array" ref="L1879">_xlfn.IFS(orders[[#This Row],[Customer Gender]]="M","Male", orders[[#This Row],[Customer Gender]]="F","Female", orders[[#This Row],[Customer Gender]]="O","Other", TRUE,"Unknown")</f>
        <v>Female</v>
      </c>
      <c r="M1879">
        <v>5</v>
      </c>
      <c r="N1879">
        <v>36.799999999999997</v>
      </c>
      <c r="O1879">
        <v>184</v>
      </c>
    </row>
    <row r="1880" spans="1:15" x14ac:dyDescent="0.3">
      <c r="A1880" t="s">
        <v>1979</v>
      </c>
      <c r="B1880" t="s">
        <v>29</v>
      </c>
      <c r="C1880" s="7">
        <v>45726</v>
      </c>
      <c r="D1880" s="7">
        <v>45727</v>
      </c>
      <c r="E1880" t="s">
        <v>26</v>
      </c>
      <c r="F1880" t="s">
        <v>17</v>
      </c>
      <c r="G1880">
        <v>4</v>
      </c>
      <c r="H1880" t="s">
        <v>18</v>
      </c>
      <c r="I1880" t="s">
        <v>61</v>
      </c>
      <c r="J1880">
        <f>orders[[#This Row],[Ship Date]]-orders[[#This Row],[Order Date]]</f>
        <v>1</v>
      </c>
      <c r="K1880">
        <f>WEEKNUM(orders[[#This Row],[Order Date]])</f>
        <v>11</v>
      </c>
      <c r="L1880" t="str" cm="1">
        <f t="array" ref="L1880">_xlfn.IFS(orders[[#This Row],[Customer Gender]]="M","Male", orders[[#This Row],[Customer Gender]]="F","Female", orders[[#This Row],[Customer Gender]]="O","Other", TRUE,"Unknown")</f>
        <v>Female</v>
      </c>
      <c r="M1880">
        <v>1</v>
      </c>
      <c r="N1880">
        <v>84.4</v>
      </c>
      <c r="O1880" s="5">
        <v>84.4</v>
      </c>
    </row>
    <row r="1881" spans="1:15" x14ac:dyDescent="0.3">
      <c r="A1881" t="s">
        <v>1980</v>
      </c>
      <c r="B1881" t="s">
        <v>80</v>
      </c>
      <c r="C1881" s="7">
        <v>45726</v>
      </c>
      <c r="D1881" s="7">
        <v>45727</v>
      </c>
      <c r="E1881" t="s">
        <v>22</v>
      </c>
      <c r="F1881" t="s">
        <v>17</v>
      </c>
      <c r="G1881">
        <v>3</v>
      </c>
      <c r="H1881" t="s">
        <v>18</v>
      </c>
      <c r="I1881" t="s">
        <v>61</v>
      </c>
      <c r="J1881">
        <f>orders[[#This Row],[Ship Date]]-orders[[#This Row],[Order Date]]</f>
        <v>1</v>
      </c>
      <c r="K1881">
        <f>WEEKNUM(orders[[#This Row],[Order Date]])</f>
        <v>11</v>
      </c>
      <c r="L1881" t="str" cm="1">
        <f t="array" ref="L1881">_xlfn.IFS(orders[[#This Row],[Customer Gender]]="M","Male", orders[[#This Row],[Customer Gender]]="F","Female", orders[[#This Row],[Customer Gender]]="O","Other", TRUE,"Unknown")</f>
        <v>Male</v>
      </c>
      <c r="M1881">
        <v>1</v>
      </c>
      <c r="N1881">
        <v>44.7</v>
      </c>
      <c r="O1881">
        <v>44.7</v>
      </c>
    </row>
    <row r="1882" spans="1:15" x14ac:dyDescent="0.3">
      <c r="A1882" t="s">
        <v>1981</v>
      </c>
      <c r="B1882" t="s">
        <v>45</v>
      </c>
      <c r="C1882" s="7">
        <v>45726</v>
      </c>
      <c r="D1882" s="7">
        <v>45727</v>
      </c>
      <c r="E1882" t="s">
        <v>26</v>
      </c>
      <c r="F1882" t="s">
        <v>34</v>
      </c>
      <c r="G1882">
        <v>5</v>
      </c>
      <c r="H1882" t="s">
        <v>18</v>
      </c>
      <c r="I1882" t="s">
        <v>61</v>
      </c>
      <c r="J1882">
        <f>orders[[#This Row],[Ship Date]]-orders[[#This Row],[Order Date]]</f>
        <v>1</v>
      </c>
      <c r="K1882">
        <f>WEEKNUM(orders[[#This Row],[Order Date]])</f>
        <v>11</v>
      </c>
      <c r="L1882" t="str" cm="1">
        <f t="array" ref="L1882">_xlfn.IFS(orders[[#This Row],[Customer Gender]]="M","Male", orders[[#This Row],[Customer Gender]]="F","Female", orders[[#This Row],[Customer Gender]]="O","Other", TRUE,"Unknown")</f>
        <v>Female</v>
      </c>
      <c r="M1882">
        <v>8</v>
      </c>
      <c r="N1882">
        <v>39.4</v>
      </c>
      <c r="O1882" s="5">
        <v>315.2</v>
      </c>
    </row>
    <row r="1883" spans="1:15" x14ac:dyDescent="0.3">
      <c r="A1883" t="s">
        <v>1982</v>
      </c>
      <c r="B1883" t="s">
        <v>66</v>
      </c>
      <c r="C1883" s="7">
        <v>45726</v>
      </c>
      <c r="D1883" s="7">
        <v>45728</v>
      </c>
      <c r="E1883" t="s">
        <v>26</v>
      </c>
      <c r="F1883" t="s">
        <v>17</v>
      </c>
      <c r="G1883">
        <v>5</v>
      </c>
      <c r="H1883" t="s">
        <v>18</v>
      </c>
      <c r="I1883" t="s">
        <v>61</v>
      </c>
      <c r="J1883">
        <f>orders[[#This Row],[Ship Date]]-orders[[#This Row],[Order Date]]</f>
        <v>2</v>
      </c>
      <c r="K1883">
        <f>WEEKNUM(orders[[#This Row],[Order Date]])</f>
        <v>11</v>
      </c>
      <c r="L1883" t="str" cm="1">
        <f t="array" ref="L1883">_xlfn.IFS(orders[[#This Row],[Customer Gender]]="M","Male", orders[[#This Row],[Customer Gender]]="F","Female", orders[[#This Row],[Customer Gender]]="O","Other", TRUE,"Unknown")</f>
        <v>Female</v>
      </c>
      <c r="M1883">
        <v>4</v>
      </c>
      <c r="N1883">
        <v>34.9</v>
      </c>
      <c r="O1883">
        <v>139.6</v>
      </c>
    </row>
    <row r="1884" spans="1:15" x14ac:dyDescent="0.3">
      <c r="A1884" t="s">
        <v>1983</v>
      </c>
      <c r="B1884" t="s">
        <v>21</v>
      </c>
      <c r="C1884" s="7">
        <v>45726</v>
      </c>
      <c r="D1884" s="7">
        <v>45728</v>
      </c>
      <c r="E1884" t="s">
        <v>22</v>
      </c>
      <c r="F1884" t="s">
        <v>69</v>
      </c>
      <c r="G1884">
        <v>5</v>
      </c>
      <c r="H1884" t="s">
        <v>18</v>
      </c>
      <c r="I1884" t="s">
        <v>61</v>
      </c>
      <c r="J1884">
        <f>orders[[#This Row],[Ship Date]]-orders[[#This Row],[Order Date]]</f>
        <v>2</v>
      </c>
      <c r="K1884">
        <f>WEEKNUM(orders[[#This Row],[Order Date]])</f>
        <v>11</v>
      </c>
      <c r="L1884" t="str" cm="1">
        <f t="array" ref="L1884">_xlfn.IFS(orders[[#This Row],[Customer Gender]]="M","Male", orders[[#This Row],[Customer Gender]]="F","Female", orders[[#This Row],[Customer Gender]]="O","Other", TRUE,"Unknown")</f>
        <v>Male</v>
      </c>
      <c r="M1884">
        <v>3</v>
      </c>
      <c r="N1884">
        <v>62.3</v>
      </c>
      <c r="O1884" s="5">
        <v>186.89999999999998</v>
      </c>
    </row>
    <row r="1885" spans="1:15" x14ac:dyDescent="0.3">
      <c r="A1885" t="s">
        <v>1984</v>
      </c>
      <c r="B1885" t="s">
        <v>43</v>
      </c>
      <c r="C1885" s="7">
        <v>45726</v>
      </c>
      <c r="D1885" s="7">
        <v>45729</v>
      </c>
      <c r="E1885" t="s">
        <v>22</v>
      </c>
      <c r="F1885" t="s">
        <v>50</v>
      </c>
      <c r="G1885">
        <v>4</v>
      </c>
      <c r="H1885" t="s">
        <v>18</v>
      </c>
      <c r="I1885" t="s">
        <v>61</v>
      </c>
      <c r="J1885">
        <f>orders[[#This Row],[Ship Date]]-orders[[#This Row],[Order Date]]</f>
        <v>3</v>
      </c>
      <c r="K1885">
        <f>WEEKNUM(orders[[#This Row],[Order Date]])</f>
        <v>11</v>
      </c>
      <c r="L1885" t="str" cm="1">
        <f t="array" ref="L1885">_xlfn.IFS(orders[[#This Row],[Customer Gender]]="M","Male", orders[[#This Row],[Customer Gender]]="F","Female", orders[[#This Row],[Customer Gender]]="O","Other", TRUE,"Unknown")</f>
        <v>Male</v>
      </c>
      <c r="M1885">
        <v>4</v>
      </c>
      <c r="N1885">
        <v>21.1</v>
      </c>
      <c r="O1885">
        <v>84.4</v>
      </c>
    </row>
    <row r="1886" spans="1:15" x14ac:dyDescent="0.3">
      <c r="A1886" t="s">
        <v>1985</v>
      </c>
      <c r="B1886" t="s">
        <v>43</v>
      </c>
      <c r="C1886" s="7">
        <v>45726</v>
      </c>
      <c r="D1886" s="7">
        <v>45740</v>
      </c>
      <c r="E1886" t="s">
        <v>2517</v>
      </c>
      <c r="F1886" t="s">
        <v>17</v>
      </c>
      <c r="G1886">
        <v>2</v>
      </c>
      <c r="H1886" t="s">
        <v>18</v>
      </c>
      <c r="I1886" t="s">
        <v>61</v>
      </c>
      <c r="J1886">
        <f>orders[[#This Row],[Ship Date]]-orders[[#This Row],[Order Date]]</f>
        <v>14</v>
      </c>
      <c r="K1886">
        <f>WEEKNUM(orders[[#This Row],[Order Date]])</f>
        <v>11</v>
      </c>
      <c r="L1886" t="str" cm="1">
        <f t="array" ref="L1886">_xlfn.IFS(orders[[#This Row],[Customer Gender]]="M","Male", orders[[#This Row],[Customer Gender]]="F","Female", orders[[#This Row],[Customer Gender]]="O","Other", TRUE,"Unknown")</f>
        <v>Unknown</v>
      </c>
      <c r="M1886">
        <v>3</v>
      </c>
      <c r="N1886">
        <v>33.200000000000003</v>
      </c>
      <c r="O1886" s="5">
        <v>99.600000000000009</v>
      </c>
    </row>
    <row r="1887" spans="1:15" x14ac:dyDescent="0.3">
      <c r="A1887" t="s">
        <v>1986</v>
      </c>
      <c r="B1887" t="s">
        <v>21</v>
      </c>
      <c r="C1887" s="7">
        <v>45726</v>
      </c>
      <c r="D1887" s="7">
        <v>45727</v>
      </c>
      <c r="E1887" t="s">
        <v>22</v>
      </c>
      <c r="F1887" t="s">
        <v>69</v>
      </c>
      <c r="G1887">
        <v>4</v>
      </c>
      <c r="H1887" t="s">
        <v>18</v>
      </c>
      <c r="I1887" t="s">
        <v>61</v>
      </c>
      <c r="J1887">
        <f>orders[[#This Row],[Ship Date]]-orders[[#This Row],[Order Date]]</f>
        <v>1</v>
      </c>
      <c r="K1887">
        <f>WEEKNUM(orders[[#This Row],[Order Date]])</f>
        <v>11</v>
      </c>
      <c r="L1887" t="str" cm="1">
        <f t="array" ref="L1887">_xlfn.IFS(orders[[#This Row],[Customer Gender]]="M","Male", orders[[#This Row],[Customer Gender]]="F","Female", orders[[#This Row],[Customer Gender]]="O","Other", TRUE,"Unknown")</f>
        <v>Male</v>
      </c>
      <c r="M1887">
        <v>4</v>
      </c>
      <c r="N1887">
        <v>74.5</v>
      </c>
      <c r="O1887">
        <v>298</v>
      </c>
    </row>
    <row r="1888" spans="1:15" x14ac:dyDescent="0.3">
      <c r="A1888" t="s">
        <v>1987</v>
      </c>
      <c r="B1888" t="s">
        <v>53</v>
      </c>
      <c r="C1888" s="7">
        <v>45726</v>
      </c>
      <c r="D1888" s="7">
        <v>45729</v>
      </c>
      <c r="E1888" t="s">
        <v>26</v>
      </c>
      <c r="F1888" t="s">
        <v>17</v>
      </c>
      <c r="G1888">
        <v>5</v>
      </c>
      <c r="H1888" t="s">
        <v>18</v>
      </c>
      <c r="I1888" t="s">
        <v>61</v>
      </c>
      <c r="J1888">
        <f>orders[[#This Row],[Ship Date]]-orders[[#This Row],[Order Date]]</f>
        <v>3</v>
      </c>
      <c r="K1888">
        <f>WEEKNUM(orders[[#This Row],[Order Date]])</f>
        <v>11</v>
      </c>
      <c r="L1888" t="str" cm="1">
        <f t="array" ref="L1888">_xlfn.IFS(orders[[#This Row],[Customer Gender]]="M","Male", orders[[#This Row],[Customer Gender]]="F","Female", orders[[#This Row],[Customer Gender]]="O","Other", TRUE,"Unknown")</f>
        <v>Female</v>
      </c>
      <c r="M1888">
        <v>12</v>
      </c>
      <c r="N1888">
        <v>68.599999999999994</v>
      </c>
      <c r="O1888" s="5">
        <v>823.19999999999993</v>
      </c>
    </row>
    <row r="1889" spans="1:15" x14ac:dyDescent="0.3">
      <c r="A1889" t="s">
        <v>1988</v>
      </c>
      <c r="B1889" t="s">
        <v>36</v>
      </c>
      <c r="C1889" s="7">
        <v>45726</v>
      </c>
      <c r="D1889" s="7">
        <v>45728</v>
      </c>
      <c r="E1889" t="s">
        <v>26</v>
      </c>
      <c r="F1889" t="s">
        <v>17</v>
      </c>
      <c r="G1889">
        <v>3</v>
      </c>
      <c r="H1889" t="s">
        <v>18</v>
      </c>
      <c r="I1889" t="s">
        <v>71</v>
      </c>
      <c r="J1889">
        <f>orders[[#This Row],[Ship Date]]-orders[[#This Row],[Order Date]]</f>
        <v>2</v>
      </c>
      <c r="K1889">
        <f>WEEKNUM(orders[[#This Row],[Order Date]])</f>
        <v>11</v>
      </c>
      <c r="L1889" t="str" cm="1">
        <f t="array" ref="L1889">_xlfn.IFS(orders[[#This Row],[Customer Gender]]="M","Male", orders[[#This Row],[Customer Gender]]="F","Female", orders[[#This Row],[Customer Gender]]="O","Other", TRUE,"Unknown")</f>
        <v>Female</v>
      </c>
      <c r="M1889">
        <v>14</v>
      </c>
      <c r="N1889">
        <v>36.4</v>
      </c>
      <c r="O1889">
        <v>509.59999999999997</v>
      </c>
    </row>
    <row r="1890" spans="1:15" x14ac:dyDescent="0.3">
      <c r="A1890" t="s">
        <v>1989</v>
      </c>
      <c r="B1890" t="s">
        <v>127</v>
      </c>
      <c r="C1890" s="7">
        <v>45727</v>
      </c>
      <c r="D1890" s="7">
        <v>45730</v>
      </c>
      <c r="E1890" t="s">
        <v>26</v>
      </c>
      <c r="F1890" t="s">
        <v>69</v>
      </c>
      <c r="G1890">
        <v>3</v>
      </c>
      <c r="H1890" t="s">
        <v>18</v>
      </c>
      <c r="I1890" t="s">
        <v>71</v>
      </c>
      <c r="J1890">
        <f>orders[[#This Row],[Ship Date]]-orders[[#This Row],[Order Date]]</f>
        <v>3</v>
      </c>
      <c r="K1890">
        <f>WEEKNUM(orders[[#This Row],[Order Date]])</f>
        <v>11</v>
      </c>
      <c r="L1890" t="str" cm="1">
        <f t="array" ref="L1890">_xlfn.IFS(orders[[#This Row],[Customer Gender]]="M","Male", orders[[#This Row],[Customer Gender]]="F","Female", orders[[#This Row],[Customer Gender]]="O","Other", TRUE,"Unknown")</f>
        <v>Female</v>
      </c>
      <c r="M1890">
        <v>5</v>
      </c>
      <c r="N1890">
        <v>67.599999999999994</v>
      </c>
      <c r="O1890" s="5">
        <v>338</v>
      </c>
    </row>
    <row r="1891" spans="1:15" x14ac:dyDescent="0.3">
      <c r="A1891" t="s">
        <v>1990</v>
      </c>
      <c r="B1891" t="s">
        <v>122</v>
      </c>
      <c r="C1891" s="7">
        <v>45727</v>
      </c>
      <c r="D1891" s="7">
        <v>45728</v>
      </c>
      <c r="E1891" t="s">
        <v>22</v>
      </c>
      <c r="F1891" t="s">
        <v>39</v>
      </c>
      <c r="G1891">
        <v>4</v>
      </c>
      <c r="H1891" t="s">
        <v>18</v>
      </c>
      <c r="I1891" t="s">
        <v>71</v>
      </c>
      <c r="J1891">
        <f>orders[[#This Row],[Ship Date]]-orders[[#This Row],[Order Date]]</f>
        <v>1</v>
      </c>
      <c r="K1891">
        <f>WEEKNUM(orders[[#This Row],[Order Date]])</f>
        <v>11</v>
      </c>
      <c r="L1891" t="str" cm="1">
        <f t="array" ref="L1891">_xlfn.IFS(orders[[#This Row],[Customer Gender]]="M","Male", orders[[#This Row],[Customer Gender]]="F","Female", orders[[#This Row],[Customer Gender]]="O","Other", TRUE,"Unknown")</f>
        <v>Male</v>
      </c>
      <c r="M1891">
        <v>1</v>
      </c>
      <c r="N1891">
        <v>46.3</v>
      </c>
      <c r="O1891">
        <v>46.3</v>
      </c>
    </row>
    <row r="1892" spans="1:15" x14ac:dyDescent="0.3">
      <c r="A1892" t="s">
        <v>1991</v>
      </c>
      <c r="B1892" t="s">
        <v>21</v>
      </c>
      <c r="C1892" s="7">
        <v>45727</v>
      </c>
      <c r="D1892" s="7">
        <v>45729</v>
      </c>
      <c r="E1892" t="s">
        <v>26</v>
      </c>
      <c r="F1892" t="s">
        <v>34</v>
      </c>
      <c r="G1892">
        <v>5</v>
      </c>
      <c r="H1892" t="s">
        <v>18</v>
      </c>
      <c r="I1892" t="s">
        <v>76</v>
      </c>
      <c r="J1892">
        <f>orders[[#This Row],[Ship Date]]-orders[[#This Row],[Order Date]]</f>
        <v>2</v>
      </c>
      <c r="K1892">
        <f>WEEKNUM(orders[[#This Row],[Order Date]])</f>
        <v>11</v>
      </c>
      <c r="L1892" t="str" cm="1">
        <f t="array" ref="L1892">_xlfn.IFS(orders[[#This Row],[Customer Gender]]="M","Male", orders[[#This Row],[Customer Gender]]="F","Female", orders[[#This Row],[Customer Gender]]="O","Other", TRUE,"Unknown")</f>
        <v>Female</v>
      </c>
      <c r="M1892">
        <v>3</v>
      </c>
      <c r="N1892">
        <v>124.2</v>
      </c>
      <c r="O1892" s="5">
        <v>372.6</v>
      </c>
    </row>
    <row r="1893" spans="1:15" x14ac:dyDescent="0.3">
      <c r="A1893" t="s">
        <v>1992</v>
      </c>
      <c r="B1893" t="s">
        <v>53</v>
      </c>
      <c r="C1893" s="7">
        <v>45727</v>
      </c>
      <c r="D1893" s="7">
        <v>45733</v>
      </c>
      <c r="E1893" t="s">
        <v>22</v>
      </c>
      <c r="F1893" t="s">
        <v>17</v>
      </c>
      <c r="G1893">
        <v>4</v>
      </c>
      <c r="H1893" t="s">
        <v>18</v>
      </c>
      <c r="I1893" t="s">
        <v>76</v>
      </c>
      <c r="J1893">
        <f>orders[[#This Row],[Ship Date]]-orders[[#This Row],[Order Date]]</f>
        <v>6</v>
      </c>
      <c r="K1893">
        <f>WEEKNUM(orders[[#This Row],[Order Date]])</f>
        <v>11</v>
      </c>
      <c r="L1893" t="str" cm="1">
        <f t="array" ref="L1893">_xlfn.IFS(orders[[#This Row],[Customer Gender]]="M","Male", orders[[#This Row],[Customer Gender]]="F","Female", orders[[#This Row],[Customer Gender]]="O","Other", TRUE,"Unknown")</f>
        <v>Male</v>
      </c>
      <c r="M1893">
        <v>2</v>
      </c>
      <c r="N1893">
        <v>37</v>
      </c>
      <c r="O1893">
        <v>74</v>
      </c>
    </row>
    <row r="1894" spans="1:15" x14ac:dyDescent="0.3">
      <c r="A1894" t="s">
        <v>1993</v>
      </c>
      <c r="B1894" t="s">
        <v>36</v>
      </c>
      <c r="C1894" s="7">
        <v>45727</v>
      </c>
      <c r="D1894" s="7">
        <v>45728</v>
      </c>
      <c r="E1894" t="s">
        <v>22</v>
      </c>
      <c r="F1894" t="s">
        <v>39</v>
      </c>
      <c r="G1894">
        <v>4</v>
      </c>
      <c r="H1894" t="s">
        <v>18</v>
      </c>
      <c r="I1894" t="s">
        <v>291</v>
      </c>
      <c r="J1894">
        <f>orders[[#This Row],[Ship Date]]-orders[[#This Row],[Order Date]]</f>
        <v>1</v>
      </c>
      <c r="K1894">
        <f>WEEKNUM(orders[[#This Row],[Order Date]])</f>
        <v>11</v>
      </c>
      <c r="L1894" t="str" cm="1">
        <f t="array" ref="L1894">_xlfn.IFS(orders[[#This Row],[Customer Gender]]="M","Male", orders[[#This Row],[Customer Gender]]="F","Female", orders[[#This Row],[Customer Gender]]="O","Other", TRUE,"Unknown")</f>
        <v>Male</v>
      </c>
      <c r="M1894">
        <v>1</v>
      </c>
      <c r="N1894">
        <v>41.8</v>
      </c>
      <c r="O1894" s="5">
        <v>41.8</v>
      </c>
    </row>
    <row r="1895" spans="1:15" x14ac:dyDescent="0.3">
      <c r="A1895" t="s">
        <v>1994</v>
      </c>
      <c r="B1895" t="s">
        <v>45</v>
      </c>
      <c r="C1895" s="7">
        <v>45727</v>
      </c>
      <c r="D1895" s="7">
        <v>45729</v>
      </c>
      <c r="E1895" t="s">
        <v>22</v>
      </c>
      <c r="F1895" t="s">
        <v>39</v>
      </c>
      <c r="G1895">
        <v>3</v>
      </c>
      <c r="H1895" t="s">
        <v>18</v>
      </c>
      <c r="I1895" t="s">
        <v>112</v>
      </c>
      <c r="J1895">
        <f>orders[[#This Row],[Ship Date]]-orders[[#This Row],[Order Date]]</f>
        <v>2</v>
      </c>
      <c r="K1895">
        <f>WEEKNUM(orders[[#This Row],[Order Date]])</f>
        <v>11</v>
      </c>
      <c r="L1895" t="str" cm="1">
        <f t="array" ref="L1895">_xlfn.IFS(orders[[#This Row],[Customer Gender]]="M","Male", orders[[#This Row],[Customer Gender]]="F","Female", orders[[#This Row],[Customer Gender]]="O","Other", TRUE,"Unknown")</f>
        <v>Male</v>
      </c>
      <c r="M1895">
        <v>2</v>
      </c>
      <c r="N1895">
        <v>57.2</v>
      </c>
      <c r="O1895">
        <v>114.4</v>
      </c>
    </row>
    <row r="1896" spans="1:15" x14ac:dyDescent="0.3">
      <c r="A1896" t="s">
        <v>1995</v>
      </c>
      <c r="B1896" t="s">
        <v>38</v>
      </c>
      <c r="C1896" s="7">
        <v>45727</v>
      </c>
      <c r="D1896" s="7">
        <v>45729</v>
      </c>
      <c r="E1896" t="s">
        <v>26</v>
      </c>
      <c r="F1896" t="s">
        <v>17</v>
      </c>
      <c r="G1896">
        <v>2</v>
      </c>
      <c r="H1896" t="s">
        <v>18</v>
      </c>
      <c r="I1896" t="s">
        <v>112</v>
      </c>
      <c r="J1896">
        <f>orders[[#This Row],[Ship Date]]-orders[[#This Row],[Order Date]]</f>
        <v>2</v>
      </c>
      <c r="K1896">
        <f>WEEKNUM(orders[[#This Row],[Order Date]])</f>
        <v>11</v>
      </c>
      <c r="L1896" t="str" cm="1">
        <f t="array" ref="L1896">_xlfn.IFS(orders[[#This Row],[Customer Gender]]="M","Male", orders[[#This Row],[Customer Gender]]="F","Female", orders[[#This Row],[Customer Gender]]="O","Other", TRUE,"Unknown")</f>
        <v>Female</v>
      </c>
      <c r="M1896">
        <v>2</v>
      </c>
      <c r="N1896">
        <v>47.1</v>
      </c>
      <c r="O1896" s="5">
        <v>94.2</v>
      </c>
    </row>
    <row r="1897" spans="1:15" x14ac:dyDescent="0.3">
      <c r="A1897" t="s">
        <v>1996</v>
      </c>
      <c r="B1897" t="s">
        <v>36</v>
      </c>
      <c r="C1897" s="7">
        <v>45727</v>
      </c>
      <c r="D1897" s="7">
        <v>45728</v>
      </c>
      <c r="E1897" t="s">
        <v>22</v>
      </c>
      <c r="F1897" t="s">
        <v>39</v>
      </c>
      <c r="G1897">
        <v>3</v>
      </c>
      <c r="H1897" t="s">
        <v>18</v>
      </c>
      <c r="I1897" t="s">
        <v>996</v>
      </c>
      <c r="J1897">
        <f>orders[[#This Row],[Ship Date]]-orders[[#This Row],[Order Date]]</f>
        <v>1</v>
      </c>
      <c r="K1897">
        <f>WEEKNUM(orders[[#This Row],[Order Date]])</f>
        <v>11</v>
      </c>
      <c r="L1897" t="str" cm="1">
        <f t="array" ref="L1897">_xlfn.IFS(orders[[#This Row],[Customer Gender]]="M","Male", orders[[#This Row],[Customer Gender]]="F","Female", orders[[#This Row],[Customer Gender]]="O","Other", TRUE,"Unknown")</f>
        <v>Male</v>
      </c>
      <c r="M1897">
        <v>3</v>
      </c>
      <c r="N1897">
        <v>86.4</v>
      </c>
      <c r="O1897">
        <v>259.20000000000005</v>
      </c>
    </row>
    <row r="1898" spans="1:15" x14ac:dyDescent="0.3">
      <c r="A1898" t="s">
        <v>1997</v>
      </c>
      <c r="B1898" t="s">
        <v>38</v>
      </c>
      <c r="C1898" s="7">
        <v>45727</v>
      </c>
      <c r="D1898" s="7">
        <v>45730</v>
      </c>
      <c r="E1898" t="s">
        <v>22</v>
      </c>
      <c r="F1898" t="s">
        <v>17</v>
      </c>
      <c r="G1898">
        <v>4</v>
      </c>
      <c r="H1898" t="s">
        <v>18</v>
      </c>
      <c r="I1898" t="s">
        <v>81</v>
      </c>
      <c r="J1898">
        <f>orders[[#This Row],[Ship Date]]-orders[[#This Row],[Order Date]]</f>
        <v>3</v>
      </c>
      <c r="K1898">
        <f>WEEKNUM(orders[[#This Row],[Order Date]])</f>
        <v>11</v>
      </c>
      <c r="L1898" t="str" cm="1">
        <f t="array" ref="L1898">_xlfn.IFS(orders[[#This Row],[Customer Gender]]="M","Male", orders[[#This Row],[Customer Gender]]="F","Female", orders[[#This Row],[Customer Gender]]="O","Other", TRUE,"Unknown")</f>
        <v>Male</v>
      </c>
      <c r="M1898">
        <v>5</v>
      </c>
      <c r="N1898">
        <v>105</v>
      </c>
      <c r="O1898" s="5">
        <v>525</v>
      </c>
    </row>
    <row r="1899" spans="1:15" x14ac:dyDescent="0.3">
      <c r="A1899" t="s">
        <v>1998</v>
      </c>
      <c r="B1899" t="s">
        <v>145</v>
      </c>
      <c r="C1899" s="7">
        <v>45727</v>
      </c>
      <c r="D1899" s="7">
        <v>45730</v>
      </c>
      <c r="E1899" t="s">
        <v>22</v>
      </c>
      <c r="F1899" t="s">
        <v>69</v>
      </c>
      <c r="G1899">
        <v>4</v>
      </c>
      <c r="H1899" t="s">
        <v>18</v>
      </c>
      <c r="I1899" t="s">
        <v>114</v>
      </c>
      <c r="J1899">
        <f>orders[[#This Row],[Ship Date]]-orders[[#This Row],[Order Date]]</f>
        <v>3</v>
      </c>
      <c r="K1899">
        <f>WEEKNUM(orders[[#This Row],[Order Date]])</f>
        <v>11</v>
      </c>
      <c r="L1899" t="str" cm="1">
        <f t="array" ref="L1899">_xlfn.IFS(orders[[#This Row],[Customer Gender]]="M","Male", orders[[#This Row],[Customer Gender]]="F","Female", orders[[#This Row],[Customer Gender]]="O","Other", TRUE,"Unknown")</f>
        <v>Male</v>
      </c>
      <c r="M1899">
        <v>1</v>
      </c>
      <c r="N1899">
        <v>33</v>
      </c>
      <c r="O1899">
        <v>33</v>
      </c>
    </row>
    <row r="1900" spans="1:15" x14ac:dyDescent="0.3">
      <c r="A1900" t="s">
        <v>1999</v>
      </c>
      <c r="B1900" t="s">
        <v>38</v>
      </c>
      <c r="C1900" s="7">
        <v>45727</v>
      </c>
      <c r="D1900" s="7">
        <v>45740</v>
      </c>
      <c r="E1900" t="s">
        <v>26</v>
      </c>
      <c r="F1900" t="s">
        <v>39</v>
      </c>
      <c r="G1900">
        <v>4</v>
      </c>
      <c r="H1900" t="s">
        <v>18</v>
      </c>
      <c r="I1900" t="s">
        <v>23</v>
      </c>
      <c r="J1900">
        <f>orders[[#This Row],[Ship Date]]-orders[[#This Row],[Order Date]]</f>
        <v>13</v>
      </c>
      <c r="K1900">
        <f>WEEKNUM(orders[[#This Row],[Order Date]])</f>
        <v>11</v>
      </c>
      <c r="L1900" t="str" cm="1">
        <f t="array" ref="L1900">_xlfn.IFS(orders[[#This Row],[Customer Gender]]="M","Male", orders[[#This Row],[Customer Gender]]="F","Female", orders[[#This Row],[Customer Gender]]="O","Other", TRUE,"Unknown")</f>
        <v>Female</v>
      </c>
      <c r="M1900">
        <v>5</v>
      </c>
      <c r="N1900">
        <v>106.6</v>
      </c>
      <c r="O1900" s="5">
        <v>533</v>
      </c>
    </row>
    <row r="1901" spans="1:15" x14ac:dyDescent="0.3">
      <c r="A1901" t="s">
        <v>2000</v>
      </c>
      <c r="B1901" t="s">
        <v>53</v>
      </c>
      <c r="C1901" s="7">
        <v>45727</v>
      </c>
      <c r="D1901" s="7">
        <v>45728</v>
      </c>
      <c r="E1901" t="s">
        <v>26</v>
      </c>
      <c r="F1901" t="s">
        <v>39</v>
      </c>
      <c r="G1901">
        <v>4</v>
      </c>
      <c r="H1901" t="s">
        <v>18</v>
      </c>
      <c r="I1901" t="s">
        <v>23</v>
      </c>
      <c r="J1901">
        <f>orders[[#This Row],[Ship Date]]-orders[[#This Row],[Order Date]]</f>
        <v>1</v>
      </c>
      <c r="K1901">
        <f>WEEKNUM(orders[[#This Row],[Order Date]])</f>
        <v>11</v>
      </c>
      <c r="L1901" t="str" cm="1">
        <f t="array" ref="L1901">_xlfn.IFS(orders[[#This Row],[Customer Gender]]="M","Male", orders[[#This Row],[Customer Gender]]="F","Female", orders[[#This Row],[Customer Gender]]="O","Other", TRUE,"Unknown")</f>
        <v>Female</v>
      </c>
      <c r="M1901">
        <v>32</v>
      </c>
      <c r="N1901">
        <v>26.8</v>
      </c>
      <c r="O1901">
        <v>857.6</v>
      </c>
    </row>
    <row r="1902" spans="1:15" x14ac:dyDescent="0.3">
      <c r="A1902" t="s">
        <v>2001</v>
      </c>
      <c r="B1902" t="s">
        <v>134</v>
      </c>
      <c r="C1902" s="7">
        <v>45727</v>
      </c>
      <c r="D1902" s="7">
        <v>45727</v>
      </c>
      <c r="E1902" t="s">
        <v>26</v>
      </c>
      <c r="F1902" t="s">
        <v>34</v>
      </c>
      <c r="G1902">
        <v>5</v>
      </c>
      <c r="H1902" t="s">
        <v>18</v>
      </c>
      <c r="I1902" t="s">
        <v>32</v>
      </c>
      <c r="J1902">
        <f>orders[[#This Row],[Ship Date]]-orders[[#This Row],[Order Date]]</f>
        <v>0</v>
      </c>
      <c r="K1902">
        <f>WEEKNUM(orders[[#This Row],[Order Date]])</f>
        <v>11</v>
      </c>
      <c r="L1902" t="str" cm="1">
        <f t="array" ref="L1902">_xlfn.IFS(orders[[#This Row],[Customer Gender]]="M","Male", orders[[#This Row],[Customer Gender]]="F","Female", orders[[#This Row],[Customer Gender]]="O","Other", TRUE,"Unknown")</f>
        <v>Female</v>
      </c>
      <c r="M1902">
        <v>5</v>
      </c>
      <c r="N1902">
        <v>25.8</v>
      </c>
      <c r="O1902" s="5">
        <v>129</v>
      </c>
    </row>
    <row r="1903" spans="1:15" x14ac:dyDescent="0.3">
      <c r="A1903" t="s">
        <v>2002</v>
      </c>
      <c r="B1903" t="s">
        <v>25</v>
      </c>
      <c r="C1903" s="7">
        <v>45727</v>
      </c>
      <c r="D1903" s="7">
        <v>45728</v>
      </c>
      <c r="E1903" t="s">
        <v>26</v>
      </c>
      <c r="F1903" t="s">
        <v>34</v>
      </c>
      <c r="G1903">
        <v>3</v>
      </c>
      <c r="H1903" t="s">
        <v>18</v>
      </c>
      <c r="I1903" t="s">
        <v>32</v>
      </c>
      <c r="J1903">
        <f>orders[[#This Row],[Ship Date]]-orders[[#This Row],[Order Date]]</f>
        <v>1</v>
      </c>
      <c r="K1903">
        <f>WEEKNUM(orders[[#This Row],[Order Date]])</f>
        <v>11</v>
      </c>
      <c r="L1903" t="str" cm="1">
        <f t="array" ref="L1903">_xlfn.IFS(orders[[#This Row],[Customer Gender]]="M","Male", orders[[#This Row],[Customer Gender]]="F","Female", orders[[#This Row],[Customer Gender]]="O","Other", TRUE,"Unknown")</f>
        <v>Female</v>
      </c>
      <c r="M1903">
        <v>3</v>
      </c>
      <c r="N1903">
        <v>217</v>
      </c>
      <c r="O1903">
        <v>651</v>
      </c>
    </row>
    <row r="1904" spans="1:15" x14ac:dyDescent="0.3">
      <c r="A1904" t="s">
        <v>2003</v>
      </c>
      <c r="B1904" t="s">
        <v>25</v>
      </c>
      <c r="C1904" s="7">
        <v>45727</v>
      </c>
      <c r="D1904" s="7">
        <v>45728</v>
      </c>
      <c r="E1904" t="s">
        <v>22</v>
      </c>
      <c r="F1904" t="s">
        <v>39</v>
      </c>
      <c r="G1904">
        <v>2</v>
      </c>
      <c r="H1904" t="s">
        <v>18</v>
      </c>
      <c r="I1904" t="s">
        <v>32</v>
      </c>
      <c r="J1904">
        <f>orders[[#This Row],[Ship Date]]-orders[[#This Row],[Order Date]]</f>
        <v>1</v>
      </c>
      <c r="K1904">
        <f>WEEKNUM(orders[[#This Row],[Order Date]])</f>
        <v>11</v>
      </c>
      <c r="L1904" t="str" cm="1">
        <f t="array" ref="L1904">_xlfn.IFS(orders[[#This Row],[Customer Gender]]="M","Male", orders[[#This Row],[Customer Gender]]="F","Female", orders[[#This Row],[Customer Gender]]="O","Other", TRUE,"Unknown")</f>
        <v>Male</v>
      </c>
      <c r="M1904">
        <v>2</v>
      </c>
      <c r="N1904">
        <v>97.3</v>
      </c>
      <c r="O1904" s="5">
        <v>194.6</v>
      </c>
    </row>
    <row r="1905" spans="1:15" x14ac:dyDescent="0.3">
      <c r="A1905" t="s">
        <v>2004</v>
      </c>
      <c r="B1905" t="s">
        <v>21</v>
      </c>
      <c r="C1905" s="7">
        <v>45727</v>
      </c>
      <c r="D1905" s="7">
        <v>45728</v>
      </c>
      <c r="E1905" t="s">
        <v>26</v>
      </c>
      <c r="F1905" t="s">
        <v>17</v>
      </c>
      <c r="G1905">
        <v>4</v>
      </c>
      <c r="H1905" t="s">
        <v>18</v>
      </c>
      <c r="I1905" t="s">
        <v>32</v>
      </c>
      <c r="J1905">
        <f>orders[[#This Row],[Ship Date]]-orders[[#This Row],[Order Date]]</f>
        <v>1</v>
      </c>
      <c r="K1905">
        <f>WEEKNUM(orders[[#This Row],[Order Date]])</f>
        <v>11</v>
      </c>
      <c r="L1905" t="str" cm="1">
        <f t="array" ref="L1905">_xlfn.IFS(orders[[#This Row],[Customer Gender]]="M","Male", orders[[#This Row],[Customer Gender]]="F","Female", orders[[#This Row],[Customer Gender]]="O","Other", TRUE,"Unknown")</f>
        <v>Female</v>
      </c>
      <c r="M1905">
        <v>1</v>
      </c>
      <c r="N1905">
        <v>49.8</v>
      </c>
      <c r="O1905">
        <v>49.8</v>
      </c>
    </row>
    <row r="1906" spans="1:15" x14ac:dyDescent="0.3">
      <c r="A1906" t="s">
        <v>2005</v>
      </c>
      <c r="B1906" t="s">
        <v>68</v>
      </c>
      <c r="C1906" s="7">
        <v>45727</v>
      </c>
      <c r="D1906" s="7">
        <v>45728</v>
      </c>
      <c r="E1906" t="s">
        <v>26</v>
      </c>
      <c r="F1906" t="s">
        <v>17</v>
      </c>
      <c r="G1906">
        <v>4</v>
      </c>
      <c r="H1906" t="s">
        <v>18</v>
      </c>
      <c r="I1906" t="s">
        <v>32</v>
      </c>
      <c r="J1906">
        <f>orders[[#This Row],[Ship Date]]-orders[[#This Row],[Order Date]]</f>
        <v>1</v>
      </c>
      <c r="K1906">
        <f>WEEKNUM(orders[[#This Row],[Order Date]])</f>
        <v>11</v>
      </c>
      <c r="L1906" t="str" cm="1">
        <f t="array" ref="L1906">_xlfn.IFS(orders[[#This Row],[Customer Gender]]="M","Male", orders[[#This Row],[Customer Gender]]="F","Female", orders[[#This Row],[Customer Gender]]="O","Other", TRUE,"Unknown")</f>
        <v>Female</v>
      </c>
      <c r="M1906">
        <v>5</v>
      </c>
      <c r="N1906">
        <v>32.6</v>
      </c>
      <c r="O1906" s="5">
        <v>163</v>
      </c>
    </row>
    <row r="1907" spans="1:15" x14ac:dyDescent="0.3">
      <c r="A1907" t="s">
        <v>2006</v>
      </c>
      <c r="B1907" t="s">
        <v>45</v>
      </c>
      <c r="C1907" s="7">
        <v>45727</v>
      </c>
      <c r="D1907" s="7">
        <v>45730</v>
      </c>
      <c r="E1907" t="s">
        <v>22</v>
      </c>
      <c r="F1907" t="s">
        <v>34</v>
      </c>
      <c r="G1907">
        <v>5</v>
      </c>
      <c r="H1907" t="s">
        <v>18</v>
      </c>
      <c r="I1907" t="s">
        <v>32</v>
      </c>
      <c r="J1907">
        <f>orders[[#This Row],[Ship Date]]-orders[[#This Row],[Order Date]]</f>
        <v>3</v>
      </c>
      <c r="K1907">
        <f>WEEKNUM(orders[[#This Row],[Order Date]])</f>
        <v>11</v>
      </c>
      <c r="L1907" t="str" cm="1">
        <f t="array" ref="L1907">_xlfn.IFS(orders[[#This Row],[Customer Gender]]="M","Male", orders[[#This Row],[Customer Gender]]="F","Female", orders[[#This Row],[Customer Gender]]="O","Other", TRUE,"Unknown")</f>
        <v>Male</v>
      </c>
      <c r="M1907">
        <v>2</v>
      </c>
      <c r="N1907">
        <v>40.1</v>
      </c>
      <c r="O1907">
        <v>80.2</v>
      </c>
    </row>
    <row r="1908" spans="1:15" x14ac:dyDescent="0.3">
      <c r="A1908" t="s">
        <v>2007</v>
      </c>
      <c r="B1908" t="s">
        <v>53</v>
      </c>
      <c r="C1908" s="7">
        <v>45727</v>
      </c>
      <c r="D1908" s="7">
        <v>45729</v>
      </c>
      <c r="E1908" t="s">
        <v>22</v>
      </c>
      <c r="F1908" t="s">
        <v>34</v>
      </c>
      <c r="G1908">
        <v>4</v>
      </c>
      <c r="H1908" t="s">
        <v>18</v>
      </c>
      <c r="I1908" t="s">
        <v>32</v>
      </c>
      <c r="J1908">
        <f>orders[[#This Row],[Ship Date]]-orders[[#This Row],[Order Date]]</f>
        <v>2</v>
      </c>
      <c r="K1908">
        <f>WEEKNUM(orders[[#This Row],[Order Date]])</f>
        <v>11</v>
      </c>
      <c r="L1908" t="str" cm="1">
        <f t="array" ref="L1908">_xlfn.IFS(orders[[#This Row],[Customer Gender]]="M","Male", orders[[#This Row],[Customer Gender]]="F","Female", orders[[#This Row],[Customer Gender]]="O","Other", TRUE,"Unknown")</f>
        <v>Male</v>
      </c>
      <c r="M1908">
        <v>2</v>
      </c>
      <c r="N1908">
        <v>49.4</v>
      </c>
      <c r="O1908" s="5">
        <v>98.8</v>
      </c>
    </row>
    <row r="1909" spans="1:15" x14ac:dyDescent="0.3">
      <c r="A1909" t="s">
        <v>2008</v>
      </c>
      <c r="B1909" t="s">
        <v>25</v>
      </c>
      <c r="C1909" s="7">
        <v>45727</v>
      </c>
      <c r="D1909" s="7">
        <v>45728</v>
      </c>
      <c r="E1909" t="s">
        <v>26</v>
      </c>
      <c r="F1909" t="s">
        <v>17</v>
      </c>
      <c r="G1909">
        <v>5</v>
      </c>
      <c r="H1909" t="s">
        <v>18</v>
      </c>
      <c r="I1909" t="s">
        <v>32</v>
      </c>
      <c r="J1909">
        <f>orders[[#This Row],[Ship Date]]-orders[[#This Row],[Order Date]]</f>
        <v>1</v>
      </c>
      <c r="K1909">
        <f>WEEKNUM(orders[[#This Row],[Order Date]])</f>
        <v>11</v>
      </c>
      <c r="L1909" t="str" cm="1">
        <f t="array" ref="L1909">_xlfn.IFS(orders[[#This Row],[Customer Gender]]="M","Male", orders[[#This Row],[Customer Gender]]="F","Female", orders[[#This Row],[Customer Gender]]="O","Other", TRUE,"Unknown")</f>
        <v>Female</v>
      </c>
      <c r="M1909">
        <v>1</v>
      </c>
      <c r="N1909">
        <v>67.3</v>
      </c>
      <c r="O1909">
        <v>67.3</v>
      </c>
    </row>
    <row r="1910" spans="1:15" x14ac:dyDescent="0.3">
      <c r="A1910" t="s">
        <v>2009</v>
      </c>
      <c r="B1910" t="s">
        <v>145</v>
      </c>
      <c r="C1910" s="7">
        <v>45727</v>
      </c>
      <c r="D1910" s="7">
        <v>45730</v>
      </c>
      <c r="E1910" t="s">
        <v>2517</v>
      </c>
      <c r="F1910" t="s">
        <v>34</v>
      </c>
      <c r="G1910">
        <v>4</v>
      </c>
      <c r="H1910" t="s">
        <v>18</v>
      </c>
      <c r="I1910" t="s">
        <v>32</v>
      </c>
      <c r="J1910">
        <f>orders[[#This Row],[Ship Date]]-orders[[#This Row],[Order Date]]</f>
        <v>3</v>
      </c>
      <c r="K1910">
        <f>WEEKNUM(orders[[#This Row],[Order Date]])</f>
        <v>11</v>
      </c>
      <c r="L1910" t="str" cm="1">
        <f t="array" ref="L1910">_xlfn.IFS(orders[[#This Row],[Customer Gender]]="M","Male", orders[[#This Row],[Customer Gender]]="F","Female", orders[[#This Row],[Customer Gender]]="O","Other", TRUE,"Unknown")</f>
        <v>Unknown</v>
      </c>
      <c r="M1910">
        <v>4</v>
      </c>
      <c r="N1910">
        <v>44.5</v>
      </c>
      <c r="O1910" s="5">
        <v>178</v>
      </c>
    </row>
    <row r="1911" spans="1:15" x14ac:dyDescent="0.3">
      <c r="A1911" t="s">
        <v>2010</v>
      </c>
      <c r="B1911" t="s">
        <v>38</v>
      </c>
      <c r="C1911" s="7">
        <v>45727</v>
      </c>
      <c r="D1911" s="7">
        <v>45728</v>
      </c>
      <c r="E1911" t="s">
        <v>26</v>
      </c>
      <c r="F1911" t="s">
        <v>69</v>
      </c>
      <c r="G1911">
        <v>4</v>
      </c>
      <c r="H1911" t="s">
        <v>18</v>
      </c>
      <c r="I1911" t="s">
        <v>32</v>
      </c>
      <c r="J1911">
        <f>orders[[#This Row],[Ship Date]]-orders[[#This Row],[Order Date]]</f>
        <v>1</v>
      </c>
      <c r="K1911">
        <f>WEEKNUM(orders[[#This Row],[Order Date]])</f>
        <v>11</v>
      </c>
      <c r="L1911" t="str" cm="1">
        <f t="array" ref="L1911">_xlfn.IFS(orders[[#This Row],[Customer Gender]]="M","Male", orders[[#This Row],[Customer Gender]]="F","Female", orders[[#This Row],[Customer Gender]]="O","Other", TRUE,"Unknown")</f>
        <v>Female</v>
      </c>
      <c r="M1911">
        <v>11</v>
      </c>
      <c r="N1911">
        <v>111.1</v>
      </c>
      <c r="O1911">
        <v>1222.0999999999999</v>
      </c>
    </row>
    <row r="1912" spans="1:15" x14ac:dyDescent="0.3">
      <c r="A1912" t="s">
        <v>2011</v>
      </c>
      <c r="B1912" t="s">
        <v>43</v>
      </c>
      <c r="C1912" s="7">
        <v>45727</v>
      </c>
      <c r="D1912" s="7">
        <v>45728</v>
      </c>
      <c r="E1912" t="s">
        <v>26</v>
      </c>
      <c r="F1912" t="s">
        <v>69</v>
      </c>
      <c r="G1912">
        <v>2</v>
      </c>
      <c r="H1912" t="s">
        <v>18</v>
      </c>
      <c r="I1912" t="s">
        <v>32</v>
      </c>
      <c r="J1912">
        <f>orders[[#This Row],[Ship Date]]-orders[[#This Row],[Order Date]]</f>
        <v>1</v>
      </c>
      <c r="K1912">
        <f>WEEKNUM(orders[[#This Row],[Order Date]])</f>
        <v>11</v>
      </c>
      <c r="L1912" t="str" cm="1">
        <f t="array" ref="L1912">_xlfn.IFS(orders[[#This Row],[Customer Gender]]="M","Male", orders[[#This Row],[Customer Gender]]="F","Female", orders[[#This Row],[Customer Gender]]="O","Other", TRUE,"Unknown")</f>
        <v>Female</v>
      </c>
      <c r="M1912">
        <v>3</v>
      </c>
      <c r="N1912">
        <v>19.7</v>
      </c>
      <c r="O1912" s="5">
        <v>59.099999999999994</v>
      </c>
    </row>
    <row r="1913" spans="1:15" x14ac:dyDescent="0.3">
      <c r="A1913" t="s">
        <v>2012</v>
      </c>
      <c r="B1913" t="s">
        <v>21</v>
      </c>
      <c r="C1913" s="7">
        <v>45727</v>
      </c>
      <c r="D1913" s="7">
        <v>45728</v>
      </c>
      <c r="E1913" t="s">
        <v>88</v>
      </c>
      <c r="F1913" t="s">
        <v>34</v>
      </c>
      <c r="G1913">
        <v>4</v>
      </c>
      <c r="H1913" t="s">
        <v>18</v>
      </c>
      <c r="I1913" t="s">
        <v>32</v>
      </c>
      <c r="J1913">
        <f>orders[[#This Row],[Ship Date]]-orders[[#This Row],[Order Date]]</f>
        <v>1</v>
      </c>
      <c r="K1913">
        <f>WEEKNUM(orders[[#This Row],[Order Date]])</f>
        <v>11</v>
      </c>
      <c r="L1913" t="str" cm="1">
        <f t="array" ref="L1913">_xlfn.IFS(orders[[#This Row],[Customer Gender]]="M","Male", orders[[#This Row],[Customer Gender]]="F","Female", orders[[#This Row],[Customer Gender]]="O","Other", TRUE,"Unknown")</f>
        <v>Other</v>
      </c>
      <c r="M1913">
        <v>1</v>
      </c>
      <c r="N1913">
        <v>40.299999999999997</v>
      </c>
      <c r="O1913">
        <v>40.299999999999997</v>
      </c>
    </row>
    <row r="1914" spans="1:15" x14ac:dyDescent="0.3">
      <c r="A1914" t="s">
        <v>2013</v>
      </c>
      <c r="B1914" t="s">
        <v>38</v>
      </c>
      <c r="C1914" s="7">
        <v>45727</v>
      </c>
      <c r="D1914" s="7">
        <v>45732</v>
      </c>
      <c r="E1914" t="s">
        <v>22</v>
      </c>
      <c r="F1914" t="s">
        <v>17</v>
      </c>
      <c r="G1914">
        <v>5</v>
      </c>
      <c r="H1914" t="s">
        <v>18</v>
      </c>
      <c r="I1914" t="s">
        <v>54</v>
      </c>
      <c r="J1914">
        <f>orders[[#This Row],[Ship Date]]-orders[[#This Row],[Order Date]]</f>
        <v>5</v>
      </c>
      <c r="K1914">
        <f>WEEKNUM(orders[[#This Row],[Order Date]])</f>
        <v>11</v>
      </c>
      <c r="L1914" t="str" cm="1">
        <f t="array" ref="L1914">_xlfn.IFS(orders[[#This Row],[Customer Gender]]="M","Male", orders[[#This Row],[Customer Gender]]="F","Female", orders[[#This Row],[Customer Gender]]="O","Other", TRUE,"Unknown")</f>
        <v>Male</v>
      </c>
      <c r="M1914">
        <v>2</v>
      </c>
      <c r="N1914">
        <v>108.8</v>
      </c>
      <c r="O1914" s="5">
        <v>217.6</v>
      </c>
    </row>
    <row r="1915" spans="1:15" x14ac:dyDescent="0.3">
      <c r="A1915" t="s">
        <v>2014</v>
      </c>
      <c r="B1915" t="s">
        <v>43</v>
      </c>
      <c r="C1915" s="7">
        <v>45727</v>
      </c>
      <c r="D1915" s="7">
        <v>45732</v>
      </c>
      <c r="E1915" t="s">
        <v>26</v>
      </c>
      <c r="F1915" t="s">
        <v>69</v>
      </c>
      <c r="G1915">
        <v>4</v>
      </c>
      <c r="H1915" t="s">
        <v>18</v>
      </c>
      <c r="I1915" t="s">
        <v>58</v>
      </c>
      <c r="J1915">
        <f>orders[[#This Row],[Ship Date]]-orders[[#This Row],[Order Date]]</f>
        <v>5</v>
      </c>
      <c r="K1915">
        <f>WEEKNUM(orders[[#This Row],[Order Date]])</f>
        <v>11</v>
      </c>
      <c r="L1915" t="str" cm="1">
        <f t="array" ref="L1915">_xlfn.IFS(orders[[#This Row],[Customer Gender]]="M","Male", orders[[#This Row],[Customer Gender]]="F","Female", orders[[#This Row],[Customer Gender]]="O","Other", TRUE,"Unknown")</f>
        <v>Female</v>
      </c>
      <c r="M1915">
        <v>3</v>
      </c>
      <c r="N1915">
        <v>48.2</v>
      </c>
      <c r="O1915">
        <v>144.60000000000002</v>
      </c>
    </row>
    <row r="1916" spans="1:15" x14ac:dyDescent="0.3">
      <c r="A1916" t="s">
        <v>2015</v>
      </c>
      <c r="B1916" t="s">
        <v>25</v>
      </c>
      <c r="C1916" s="7">
        <v>45727</v>
      </c>
      <c r="D1916" s="7">
        <v>45729</v>
      </c>
      <c r="E1916" t="s">
        <v>26</v>
      </c>
      <c r="F1916" t="s">
        <v>17</v>
      </c>
      <c r="G1916">
        <v>3</v>
      </c>
      <c r="H1916" t="s">
        <v>18</v>
      </c>
      <c r="I1916" t="s">
        <v>58</v>
      </c>
      <c r="J1916">
        <f>orders[[#This Row],[Ship Date]]-orders[[#This Row],[Order Date]]</f>
        <v>2</v>
      </c>
      <c r="K1916">
        <f>WEEKNUM(orders[[#This Row],[Order Date]])</f>
        <v>11</v>
      </c>
      <c r="L1916" t="str" cm="1">
        <f t="array" ref="L1916">_xlfn.IFS(orders[[#This Row],[Customer Gender]]="M","Male", orders[[#This Row],[Customer Gender]]="F","Female", orders[[#This Row],[Customer Gender]]="O","Other", TRUE,"Unknown")</f>
        <v>Female</v>
      </c>
      <c r="M1916">
        <v>3</v>
      </c>
      <c r="N1916">
        <v>104.7</v>
      </c>
      <c r="O1916" s="5">
        <v>314.10000000000002</v>
      </c>
    </row>
    <row r="1917" spans="1:15" x14ac:dyDescent="0.3">
      <c r="A1917" t="s">
        <v>2016</v>
      </c>
      <c r="B1917" t="s">
        <v>21</v>
      </c>
      <c r="C1917" s="7">
        <v>45727</v>
      </c>
      <c r="D1917" s="7">
        <v>45727</v>
      </c>
      <c r="E1917" t="s">
        <v>26</v>
      </c>
      <c r="F1917" t="s">
        <v>34</v>
      </c>
      <c r="G1917">
        <v>4</v>
      </c>
      <c r="H1917" t="s">
        <v>18</v>
      </c>
      <c r="I1917" t="s">
        <v>61</v>
      </c>
      <c r="J1917">
        <f>orders[[#This Row],[Ship Date]]-orders[[#This Row],[Order Date]]</f>
        <v>0</v>
      </c>
      <c r="K1917">
        <f>WEEKNUM(orders[[#This Row],[Order Date]])</f>
        <v>11</v>
      </c>
      <c r="L1917" t="str" cm="1">
        <f t="array" ref="L1917">_xlfn.IFS(orders[[#This Row],[Customer Gender]]="M","Male", orders[[#This Row],[Customer Gender]]="F","Female", orders[[#This Row],[Customer Gender]]="O","Other", TRUE,"Unknown")</f>
        <v>Female</v>
      </c>
      <c r="M1917">
        <v>2</v>
      </c>
      <c r="N1917">
        <v>80.599999999999994</v>
      </c>
      <c r="O1917">
        <v>161.19999999999999</v>
      </c>
    </row>
    <row r="1918" spans="1:15" x14ac:dyDescent="0.3">
      <c r="A1918" t="s">
        <v>2017</v>
      </c>
      <c r="B1918" t="s">
        <v>38</v>
      </c>
      <c r="C1918" s="7">
        <v>45727</v>
      </c>
      <c r="D1918" s="7">
        <v>45729</v>
      </c>
      <c r="E1918" t="s">
        <v>88</v>
      </c>
      <c r="F1918" t="s">
        <v>34</v>
      </c>
      <c r="G1918">
        <v>4</v>
      </c>
      <c r="H1918" t="s">
        <v>18</v>
      </c>
      <c r="I1918" t="s">
        <v>61</v>
      </c>
      <c r="J1918">
        <f>orders[[#This Row],[Ship Date]]-orders[[#This Row],[Order Date]]</f>
        <v>2</v>
      </c>
      <c r="K1918">
        <f>WEEKNUM(orders[[#This Row],[Order Date]])</f>
        <v>11</v>
      </c>
      <c r="L1918" t="str" cm="1">
        <f t="array" ref="L1918">_xlfn.IFS(orders[[#This Row],[Customer Gender]]="M","Male", orders[[#This Row],[Customer Gender]]="F","Female", orders[[#This Row],[Customer Gender]]="O","Other", TRUE,"Unknown")</f>
        <v>Other</v>
      </c>
      <c r="M1918">
        <v>1</v>
      </c>
      <c r="N1918">
        <v>65.5</v>
      </c>
      <c r="O1918" s="5">
        <v>65.5</v>
      </c>
    </row>
    <row r="1919" spans="1:15" x14ac:dyDescent="0.3">
      <c r="A1919" t="s">
        <v>2018</v>
      </c>
      <c r="B1919" t="s">
        <v>45</v>
      </c>
      <c r="C1919" s="7">
        <v>45727</v>
      </c>
      <c r="D1919" s="7">
        <v>45729</v>
      </c>
      <c r="E1919" t="s">
        <v>26</v>
      </c>
      <c r="F1919" t="s">
        <v>69</v>
      </c>
      <c r="G1919">
        <v>5</v>
      </c>
      <c r="H1919" t="s">
        <v>18</v>
      </c>
      <c r="I1919" t="s">
        <v>61</v>
      </c>
      <c r="J1919">
        <f>orders[[#This Row],[Ship Date]]-orders[[#This Row],[Order Date]]</f>
        <v>2</v>
      </c>
      <c r="K1919">
        <f>WEEKNUM(orders[[#This Row],[Order Date]])</f>
        <v>11</v>
      </c>
      <c r="L1919" t="str" cm="1">
        <f t="array" ref="L1919">_xlfn.IFS(orders[[#This Row],[Customer Gender]]="M","Male", orders[[#This Row],[Customer Gender]]="F","Female", orders[[#This Row],[Customer Gender]]="O","Other", TRUE,"Unknown")</f>
        <v>Female</v>
      </c>
      <c r="M1919">
        <v>3</v>
      </c>
      <c r="N1919">
        <v>61.4</v>
      </c>
      <c r="O1919">
        <v>184.2</v>
      </c>
    </row>
    <row r="1920" spans="1:15" x14ac:dyDescent="0.3">
      <c r="A1920" t="s">
        <v>2019</v>
      </c>
      <c r="B1920" t="s">
        <v>16</v>
      </c>
      <c r="C1920" s="7">
        <v>45728</v>
      </c>
      <c r="D1920" s="7">
        <v>45731</v>
      </c>
      <c r="E1920" t="s">
        <v>26</v>
      </c>
      <c r="F1920" t="s">
        <v>17</v>
      </c>
      <c r="G1920">
        <v>3</v>
      </c>
      <c r="H1920" t="s">
        <v>18</v>
      </c>
      <c r="I1920" t="s">
        <v>61</v>
      </c>
      <c r="J1920">
        <f>orders[[#This Row],[Ship Date]]-orders[[#This Row],[Order Date]]</f>
        <v>3</v>
      </c>
      <c r="K1920">
        <f>WEEKNUM(orders[[#This Row],[Order Date]])</f>
        <v>11</v>
      </c>
      <c r="L1920" t="str" cm="1">
        <f t="array" ref="L1920">_xlfn.IFS(orders[[#This Row],[Customer Gender]]="M","Male", orders[[#This Row],[Customer Gender]]="F","Female", orders[[#This Row],[Customer Gender]]="O","Other", TRUE,"Unknown")</f>
        <v>Female</v>
      </c>
      <c r="M1920">
        <v>1</v>
      </c>
      <c r="N1920">
        <v>12.5</v>
      </c>
      <c r="O1920" s="5">
        <v>12.5</v>
      </c>
    </row>
    <row r="1921" spans="1:15" x14ac:dyDescent="0.3">
      <c r="A1921" t="s">
        <v>2020</v>
      </c>
      <c r="B1921" t="s">
        <v>31</v>
      </c>
      <c r="C1921" s="7">
        <v>45728</v>
      </c>
      <c r="D1921" s="7">
        <v>45729</v>
      </c>
      <c r="E1921" t="s">
        <v>22</v>
      </c>
      <c r="F1921" t="s">
        <v>39</v>
      </c>
      <c r="G1921">
        <v>3</v>
      </c>
      <c r="H1921" t="s">
        <v>18</v>
      </c>
      <c r="I1921" t="s">
        <v>102</v>
      </c>
      <c r="J1921">
        <f>orders[[#This Row],[Ship Date]]-orders[[#This Row],[Order Date]]</f>
        <v>1</v>
      </c>
      <c r="K1921">
        <f>WEEKNUM(orders[[#This Row],[Order Date]])</f>
        <v>11</v>
      </c>
      <c r="L1921" t="str" cm="1">
        <f t="array" ref="L1921">_xlfn.IFS(orders[[#This Row],[Customer Gender]]="M","Male", orders[[#This Row],[Customer Gender]]="F","Female", orders[[#This Row],[Customer Gender]]="O","Other", TRUE,"Unknown")</f>
        <v>Male</v>
      </c>
      <c r="M1921">
        <v>4</v>
      </c>
      <c r="N1921">
        <v>35.1</v>
      </c>
      <c r="O1921">
        <v>140.4</v>
      </c>
    </row>
    <row r="1922" spans="1:15" x14ac:dyDescent="0.3">
      <c r="A1922" t="s">
        <v>2021</v>
      </c>
      <c r="B1922" t="s">
        <v>36</v>
      </c>
      <c r="C1922" s="7">
        <v>45728</v>
      </c>
      <c r="D1922" s="7">
        <v>45729</v>
      </c>
      <c r="E1922" t="s">
        <v>22</v>
      </c>
      <c r="F1922" t="s">
        <v>17</v>
      </c>
      <c r="G1922">
        <v>3</v>
      </c>
      <c r="H1922" t="s">
        <v>18</v>
      </c>
      <c r="I1922" t="s">
        <v>200</v>
      </c>
      <c r="J1922">
        <f>orders[[#This Row],[Ship Date]]-orders[[#This Row],[Order Date]]</f>
        <v>1</v>
      </c>
      <c r="K1922">
        <f>WEEKNUM(orders[[#This Row],[Order Date]])</f>
        <v>11</v>
      </c>
      <c r="L1922" t="str" cm="1">
        <f t="array" ref="L1922">_xlfn.IFS(orders[[#This Row],[Customer Gender]]="M","Male", orders[[#This Row],[Customer Gender]]="F","Female", orders[[#This Row],[Customer Gender]]="O","Other", TRUE,"Unknown")</f>
        <v>Male</v>
      </c>
      <c r="M1922">
        <v>2</v>
      </c>
      <c r="N1922">
        <v>55.7</v>
      </c>
      <c r="O1922" s="5">
        <v>111.4</v>
      </c>
    </row>
    <row r="1923" spans="1:15" x14ac:dyDescent="0.3">
      <c r="A1923" t="s">
        <v>2022</v>
      </c>
      <c r="B1923" t="s">
        <v>41</v>
      </c>
      <c r="C1923" s="7">
        <v>45728</v>
      </c>
      <c r="D1923" s="7">
        <v>45730</v>
      </c>
      <c r="E1923" t="s">
        <v>22</v>
      </c>
      <c r="F1923" t="s">
        <v>69</v>
      </c>
      <c r="G1923">
        <v>3</v>
      </c>
      <c r="H1923" t="s">
        <v>18</v>
      </c>
      <c r="I1923" t="s">
        <v>71</v>
      </c>
      <c r="J1923">
        <f>orders[[#This Row],[Ship Date]]-orders[[#This Row],[Order Date]]</f>
        <v>2</v>
      </c>
      <c r="K1923">
        <f>WEEKNUM(orders[[#This Row],[Order Date]])</f>
        <v>11</v>
      </c>
      <c r="L1923" t="str" cm="1">
        <f t="array" ref="L1923">_xlfn.IFS(orders[[#This Row],[Customer Gender]]="M","Male", orders[[#This Row],[Customer Gender]]="F","Female", orders[[#This Row],[Customer Gender]]="O","Other", TRUE,"Unknown")</f>
        <v>Male</v>
      </c>
      <c r="M1923">
        <v>2</v>
      </c>
      <c r="N1923">
        <v>57.7</v>
      </c>
      <c r="O1923">
        <v>115.4</v>
      </c>
    </row>
    <row r="1924" spans="1:15" x14ac:dyDescent="0.3">
      <c r="A1924" t="s">
        <v>2023</v>
      </c>
      <c r="B1924" t="s">
        <v>25</v>
      </c>
      <c r="C1924" s="7">
        <v>45728</v>
      </c>
      <c r="D1924" s="7">
        <v>45729</v>
      </c>
      <c r="E1924" t="s">
        <v>22</v>
      </c>
      <c r="F1924" t="s">
        <v>50</v>
      </c>
      <c r="G1924">
        <v>5</v>
      </c>
      <c r="H1924" t="s">
        <v>18</v>
      </c>
      <c r="I1924" t="s">
        <v>71</v>
      </c>
      <c r="J1924">
        <f>orders[[#This Row],[Ship Date]]-orders[[#This Row],[Order Date]]</f>
        <v>1</v>
      </c>
      <c r="K1924">
        <f>WEEKNUM(orders[[#This Row],[Order Date]])</f>
        <v>11</v>
      </c>
      <c r="L1924" t="str" cm="1">
        <f t="array" ref="L1924">_xlfn.IFS(orders[[#This Row],[Customer Gender]]="M","Male", orders[[#This Row],[Customer Gender]]="F","Female", orders[[#This Row],[Customer Gender]]="O","Other", TRUE,"Unknown")</f>
        <v>Male</v>
      </c>
      <c r="M1924">
        <v>6</v>
      </c>
      <c r="N1924">
        <v>85.7</v>
      </c>
      <c r="O1924" s="5">
        <v>514.20000000000005</v>
      </c>
    </row>
    <row r="1925" spans="1:15" x14ac:dyDescent="0.3">
      <c r="A1925" t="s">
        <v>2024</v>
      </c>
      <c r="B1925" t="s">
        <v>25</v>
      </c>
      <c r="C1925" s="7">
        <v>45728</v>
      </c>
      <c r="D1925" s="7">
        <v>45730</v>
      </c>
      <c r="E1925" t="s">
        <v>26</v>
      </c>
      <c r="F1925" t="s">
        <v>34</v>
      </c>
      <c r="G1925">
        <v>4</v>
      </c>
      <c r="H1925" t="s">
        <v>18</v>
      </c>
      <c r="I1925" t="s">
        <v>76</v>
      </c>
      <c r="J1925">
        <f>orders[[#This Row],[Ship Date]]-orders[[#This Row],[Order Date]]</f>
        <v>2</v>
      </c>
      <c r="K1925">
        <f>WEEKNUM(orders[[#This Row],[Order Date]])</f>
        <v>11</v>
      </c>
      <c r="L1925" t="str" cm="1">
        <f t="array" ref="L1925">_xlfn.IFS(orders[[#This Row],[Customer Gender]]="M","Male", orders[[#This Row],[Customer Gender]]="F","Female", orders[[#This Row],[Customer Gender]]="O","Other", TRUE,"Unknown")</f>
        <v>Female</v>
      </c>
      <c r="M1925">
        <v>3</v>
      </c>
      <c r="N1925">
        <v>86.9</v>
      </c>
      <c r="O1925">
        <v>260.70000000000005</v>
      </c>
    </row>
    <row r="1926" spans="1:15" x14ac:dyDescent="0.3">
      <c r="A1926" t="s">
        <v>2025</v>
      </c>
      <c r="B1926" t="s">
        <v>145</v>
      </c>
      <c r="C1926" s="7">
        <v>45728</v>
      </c>
      <c r="D1926" s="7">
        <v>45731</v>
      </c>
      <c r="E1926" t="s">
        <v>26</v>
      </c>
      <c r="F1926" t="s">
        <v>69</v>
      </c>
      <c r="G1926">
        <v>4</v>
      </c>
      <c r="H1926" t="s">
        <v>18</v>
      </c>
      <c r="I1926" t="s">
        <v>76</v>
      </c>
      <c r="J1926">
        <f>orders[[#This Row],[Ship Date]]-orders[[#This Row],[Order Date]]</f>
        <v>3</v>
      </c>
      <c r="K1926">
        <f>WEEKNUM(orders[[#This Row],[Order Date]])</f>
        <v>11</v>
      </c>
      <c r="L1926" t="str" cm="1">
        <f t="array" ref="L1926">_xlfn.IFS(orders[[#This Row],[Customer Gender]]="M","Male", orders[[#This Row],[Customer Gender]]="F","Female", orders[[#This Row],[Customer Gender]]="O","Other", TRUE,"Unknown")</f>
        <v>Female</v>
      </c>
      <c r="M1926">
        <v>2</v>
      </c>
      <c r="N1926">
        <v>46.4</v>
      </c>
      <c r="O1926" s="5">
        <v>92.8</v>
      </c>
    </row>
    <row r="1927" spans="1:15" x14ac:dyDescent="0.3">
      <c r="A1927" t="s">
        <v>2026</v>
      </c>
      <c r="B1927" t="s">
        <v>36</v>
      </c>
      <c r="C1927" s="7">
        <v>45728</v>
      </c>
      <c r="D1927" s="7">
        <v>45728</v>
      </c>
      <c r="E1927" t="s">
        <v>26</v>
      </c>
      <c r="F1927" t="s">
        <v>39</v>
      </c>
      <c r="G1927">
        <v>5</v>
      </c>
      <c r="H1927" t="s">
        <v>18</v>
      </c>
      <c r="I1927" t="s">
        <v>107</v>
      </c>
      <c r="J1927">
        <f>orders[[#This Row],[Ship Date]]-orders[[#This Row],[Order Date]]</f>
        <v>0</v>
      </c>
      <c r="K1927">
        <f>WEEKNUM(orders[[#This Row],[Order Date]])</f>
        <v>11</v>
      </c>
      <c r="L1927" t="str" cm="1">
        <f t="array" ref="L1927">_xlfn.IFS(orders[[#This Row],[Customer Gender]]="M","Male", orders[[#This Row],[Customer Gender]]="F","Female", orders[[#This Row],[Customer Gender]]="O","Other", TRUE,"Unknown")</f>
        <v>Female</v>
      </c>
      <c r="M1927">
        <v>3</v>
      </c>
      <c r="N1927">
        <v>25.4</v>
      </c>
      <c r="O1927">
        <v>76.199999999999989</v>
      </c>
    </row>
    <row r="1928" spans="1:15" x14ac:dyDescent="0.3">
      <c r="A1928" t="s">
        <v>2027</v>
      </c>
      <c r="B1928" t="s">
        <v>53</v>
      </c>
      <c r="C1928" s="7">
        <v>45728</v>
      </c>
      <c r="D1928" s="7">
        <v>45728</v>
      </c>
      <c r="E1928" t="s">
        <v>2517</v>
      </c>
      <c r="F1928" t="s">
        <v>39</v>
      </c>
      <c r="G1928">
        <v>5</v>
      </c>
      <c r="H1928" t="s">
        <v>18</v>
      </c>
      <c r="I1928" t="s">
        <v>109</v>
      </c>
      <c r="J1928">
        <f>orders[[#This Row],[Ship Date]]-orders[[#This Row],[Order Date]]</f>
        <v>0</v>
      </c>
      <c r="K1928">
        <f>WEEKNUM(orders[[#This Row],[Order Date]])</f>
        <v>11</v>
      </c>
      <c r="L1928" t="str" cm="1">
        <f t="array" ref="L1928">_xlfn.IFS(orders[[#This Row],[Customer Gender]]="M","Male", orders[[#This Row],[Customer Gender]]="F","Female", orders[[#This Row],[Customer Gender]]="O","Other", TRUE,"Unknown")</f>
        <v>Unknown</v>
      </c>
      <c r="M1928">
        <v>3</v>
      </c>
      <c r="N1928">
        <v>47.8</v>
      </c>
      <c r="O1928" s="5">
        <v>143.39999999999998</v>
      </c>
    </row>
    <row r="1929" spans="1:15" x14ac:dyDescent="0.3">
      <c r="A1929" t="s">
        <v>2028</v>
      </c>
      <c r="B1929" t="s">
        <v>43</v>
      </c>
      <c r="C1929" s="7">
        <v>45728</v>
      </c>
      <c r="D1929" s="7">
        <v>45730</v>
      </c>
      <c r="E1929" t="s">
        <v>88</v>
      </c>
      <c r="F1929" t="s">
        <v>39</v>
      </c>
      <c r="G1929">
        <v>4</v>
      </c>
      <c r="H1929" t="s">
        <v>18</v>
      </c>
      <c r="I1929" t="s">
        <v>112</v>
      </c>
      <c r="J1929">
        <f>orders[[#This Row],[Ship Date]]-orders[[#This Row],[Order Date]]</f>
        <v>2</v>
      </c>
      <c r="K1929">
        <f>WEEKNUM(orders[[#This Row],[Order Date]])</f>
        <v>11</v>
      </c>
      <c r="L1929" t="str" cm="1">
        <f t="array" ref="L1929">_xlfn.IFS(orders[[#This Row],[Customer Gender]]="M","Male", orders[[#This Row],[Customer Gender]]="F","Female", orders[[#This Row],[Customer Gender]]="O","Other", TRUE,"Unknown")</f>
        <v>Other</v>
      </c>
      <c r="M1929">
        <v>19</v>
      </c>
      <c r="N1929">
        <v>18.399999999999999</v>
      </c>
      <c r="O1929">
        <v>349.59999999999997</v>
      </c>
    </row>
    <row r="1930" spans="1:15" x14ac:dyDescent="0.3">
      <c r="A1930" t="s">
        <v>2029</v>
      </c>
      <c r="B1930" t="s">
        <v>68</v>
      </c>
      <c r="C1930" s="7">
        <v>45728</v>
      </c>
      <c r="D1930" s="7">
        <v>45736</v>
      </c>
      <c r="E1930" t="s">
        <v>26</v>
      </c>
      <c r="F1930" t="s">
        <v>17</v>
      </c>
      <c r="G1930">
        <v>4</v>
      </c>
      <c r="H1930" t="s">
        <v>18</v>
      </c>
      <c r="I1930" t="s">
        <v>114</v>
      </c>
      <c r="J1930">
        <f>orders[[#This Row],[Ship Date]]-orders[[#This Row],[Order Date]]</f>
        <v>8</v>
      </c>
      <c r="K1930">
        <f>WEEKNUM(orders[[#This Row],[Order Date]])</f>
        <v>11</v>
      </c>
      <c r="L1930" t="str" cm="1">
        <f t="array" ref="L1930">_xlfn.IFS(orders[[#This Row],[Customer Gender]]="M","Male", orders[[#This Row],[Customer Gender]]="F","Female", orders[[#This Row],[Customer Gender]]="O","Other", TRUE,"Unknown")</f>
        <v>Female</v>
      </c>
      <c r="M1930">
        <v>3</v>
      </c>
      <c r="N1930">
        <v>65.5</v>
      </c>
      <c r="O1930" s="5">
        <v>196.5</v>
      </c>
    </row>
    <row r="1931" spans="1:15" x14ac:dyDescent="0.3">
      <c r="A1931" t="s">
        <v>2030</v>
      </c>
      <c r="B1931" t="s">
        <v>53</v>
      </c>
      <c r="C1931" s="7">
        <v>45728</v>
      </c>
      <c r="D1931" s="7">
        <v>45731</v>
      </c>
      <c r="E1931" t="s">
        <v>22</v>
      </c>
      <c r="F1931" t="s">
        <v>39</v>
      </c>
      <c r="G1931">
        <v>2</v>
      </c>
      <c r="H1931" t="s">
        <v>18</v>
      </c>
      <c r="I1931" t="s">
        <v>114</v>
      </c>
      <c r="J1931">
        <f>orders[[#This Row],[Ship Date]]-orders[[#This Row],[Order Date]]</f>
        <v>3</v>
      </c>
      <c r="K1931">
        <f>WEEKNUM(orders[[#This Row],[Order Date]])</f>
        <v>11</v>
      </c>
      <c r="L1931" t="str" cm="1">
        <f t="array" ref="L1931">_xlfn.IFS(orders[[#This Row],[Customer Gender]]="M","Male", orders[[#This Row],[Customer Gender]]="F","Female", orders[[#This Row],[Customer Gender]]="O","Other", TRUE,"Unknown")</f>
        <v>Male</v>
      </c>
      <c r="M1931">
        <v>2</v>
      </c>
      <c r="N1931">
        <v>50.6</v>
      </c>
      <c r="O1931">
        <v>101.2</v>
      </c>
    </row>
    <row r="1932" spans="1:15" x14ac:dyDescent="0.3">
      <c r="A1932" t="s">
        <v>2031</v>
      </c>
      <c r="B1932" t="s">
        <v>29</v>
      </c>
      <c r="C1932" s="7">
        <v>45728</v>
      </c>
      <c r="D1932" s="7">
        <v>45732</v>
      </c>
      <c r="E1932" t="s">
        <v>22</v>
      </c>
      <c r="F1932" t="s">
        <v>50</v>
      </c>
      <c r="G1932">
        <v>4</v>
      </c>
      <c r="H1932" t="s">
        <v>18</v>
      </c>
      <c r="I1932" t="s">
        <v>114</v>
      </c>
      <c r="J1932">
        <f>orders[[#This Row],[Ship Date]]-orders[[#This Row],[Order Date]]</f>
        <v>4</v>
      </c>
      <c r="K1932">
        <f>WEEKNUM(orders[[#This Row],[Order Date]])</f>
        <v>11</v>
      </c>
      <c r="L1932" t="str" cm="1">
        <f t="array" ref="L1932">_xlfn.IFS(orders[[#This Row],[Customer Gender]]="M","Male", orders[[#This Row],[Customer Gender]]="F","Female", orders[[#This Row],[Customer Gender]]="O","Other", TRUE,"Unknown")</f>
        <v>Male</v>
      </c>
      <c r="M1932">
        <v>5</v>
      </c>
      <c r="N1932">
        <v>69</v>
      </c>
      <c r="O1932" s="5">
        <v>345</v>
      </c>
    </row>
    <row r="1933" spans="1:15" x14ac:dyDescent="0.3">
      <c r="A1933" t="s">
        <v>2032</v>
      </c>
      <c r="B1933" t="s">
        <v>45</v>
      </c>
      <c r="C1933" s="7">
        <v>45728</v>
      </c>
      <c r="D1933" s="7">
        <v>45730</v>
      </c>
      <c r="E1933" t="s">
        <v>26</v>
      </c>
      <c r="F1933" t="s">
        <v>17</v>
      </c>
      <c r="G1933">
        <v>4</v>
      </c>
      <c r="H1933" t="s">
        <v>18</v>
      </c>
      <c r="I1933" t="s">
        <v>23</v>
      </c>
      <c r="J1933">
        <f>orders[[#This Row],[Ship Date]]-orders[[#This Row],[Order Date]]</f>
        <v>2</v>
      </c>
      <c r="K1933">
        <f>WEEKNUM(orders[[#This Row],[Order Date]])</f>
        <v>11</v>
      </c>
      <c r="L1933" t="str" cm="1">
        <f t="array" ref="L1933">_xlfn.IFS(orders[[#This Row],[Customer Gender]]="M","Male", orders[[#This Row],[Customer Gender]]="F","Female", orders[[#This Row],[Customer Gender]]="O","Other", TRUE,"Unknown")</f>
        <v>Female</v>
      </c>
      <c r="M1933">
        <v>8</v>
      </c>
      <c r="N1933">
        <v>51.1</v>
      </c>
      <c r="O1933">
        <v>408.8</v>
      </c>
    </row>
    <row r="1934" spans="1:15" x14ac:dyDescent="0.3">
      <c r="A1934" t="s">
        <v>2033</v>
      </c>
      <c r="B1934" t="s">
        <v>45</v>
      </c>
      <c r="C1934" s="7">
        <v>45728</v>
      </c>
      <c r="D1934" s="7">
        <v>45729</v>
      </c>
      <c r="E1934" t="s">
        <v>26</v>
      </c>
      <c r="F1934" t="s">
        <v>17</v>
      </c>
      <c r="G1934">
        <v>5</v>
      </c>
      <c r="H1934" t="s">
        <v>18</v>
      </c>
      <c r="I1934" t="s">
        <v>333</v>
      </c>
      <c r="J1934">
        <f>orders[[#This Row],[Ship Date]]-orders[[#This Row],[Order Date]]</f>
        <v>1</v>
      </c>
      <c r="K1934">
        <f>WEEKNUM(orders[[#This Row],[Order Date]])</f>
        <v>11</v>
      </c>
      <c r="L1934" t="str" cm="1">
        <f t="array" ref="L1934">_xlfn.IFS(orders[[#This Row],[Customer Gender]]="M","Male", orders[[#This Row],[Customer Gender]]="F","Female", orders[[#This Row],[Customer Gender]]="O","Other", TRUE,"Unknown")</f>
        <v>Female</v>
      </c>
      <c r="M1934">
        <v>1</v>
      </c>
      <c r="N1934">
        <v>36.1</v>
      </c>
      <c r="O1934" s="5">
        <v>36.1</v>
      </c>
    </row>
    <row r="1935" spans="1:15" x14ac:dyDescent="0.3">
      <c r="A1935" t="s">
        <v>2034</v>
      </c>
      <c r="B1935" t="s">
        <v>80</v>
      </c>
      <c r="C1935" s="7">
        <v>45728</v>
      </c>
      <c r="D1935" s="7">
        <v>45729</v>
      </c>
      <c r="E1935" t="s">
        <v>22</v>
      </c>
      <c r="F1935" t="s">
        <v>17</v>
      </c>
      <c r="G1935">
        <v>4</v>
      </c>
      <c r="H1935" t="s">
        <v>18</v>
      </c>
      <c r="I1935" t="s">
        <v>32</v>
      </c>
      <c r="J1935">
        <f>orders[[#This Row],[Ship Date]]-orders[[#This Row],[Order Date]]</f>
        <v>1</v>
      </c>
      <c r="K1935">
        <f>WEEKNUM(orders[[#This Row],[Order Date]])</f>
        <v>11</v>
      </c>
      <c r="L1935" t="str" cm="1">
        <f t="array" ref="L1935">_xlfn.IFS(orders[[#This Row],[Customer Gender]]="M","Male", orders[[#This Row],[Customer Gender]]="F","Female", orders[[#This Row],[Customer Gender]]="O","Other", TRUE,"Unknown")</f>
        <v>Male</v>
      </c>
      <c r="M1935">
        <v>1</v>
      </c>
      <c r="N1935">
        <v>18.7</v>
      </c>
      <c r="O1935">
        <v>18.7</v>
      </c>
    </row>
    <row r="1936" spans="1:15" x14ac:dyDescent="0.3">
      <c r="A1936" t="s">
        <v>2035</v>
      </c>
      <c r="B1936" t="s">
        <v>134</v>
      </c>
      <c r="C1936" s="7">
        <v>45728</v>
      </c>
      <c r="D1936" s="7">
        <v>45731</v>
      </c>
      <c r="E1936" t="s">
        <v>26</v>
      </c>
      <c r="F1936" t="s">
        <v>50</v>
      </c>
      <c r="G1936">
        <v>3</v>
      </c>
      <c r="H1936" t="s">
        <v>18</v>
      </c>
      <c r="I1936" t="s">
        <v>32</v>
      </c>
      <c r="J1936">
        <f>orders[[#This Row],[Ship Date]]-orders[[#This Row],[Order Date]]</f>
        <v>3</v>
      </c>
      <c r="K1936">
        <f>WEEKNUM(orders[[#This Row],[Order Date]])</f>
        <v>11</v>
      </c>
      <c r="L1936" t="str" cm="1">
        <f t="array" ref="L1936">_xlfn.IFS(orders[[#This Row],[Customer Gender]]="M","Male", orders[[#This Row],[Customer Gender]]="F","Female", orders[[#This Row],[Customer Gender]]="O","Other", TRUE,"Unknown")</f>
        <v>Female</v>
      </c>
      <c r="M1936">
        <v>1</v>
      </c>
      <c r="N1936">
        <v>30.1</v>
      </c>
      <c r="O1936" s="5">
        <v>30.1</v>
      </c>
    </row>
    <row r="1937" spans="1:15" x14ac:dyDescent="0.3">
      <c r="A1937" t="s">
        <v>2036</v>
      </c>
      <c r="B1937" t="s">
        <v>43</v>
      </c>
      <c r="C1937" s="7">
        <v>45728</v>
      </c>
      <c r="D1937" s="7">
        <v>45729</v>
      </c>
      <c r="E1937" t="s">
        <v>22</v>
      </c>
      <c r="F1937" t="s">
        <v>50</v>
      </c>
      <c r="G1937">
        <v>4</v>
      </c>
      <c r="H1937" t="s">
        <v>18</v>
      </c>
      <c r="I1937" t="s">
        <v>32</v>
      </c>
      <c r="J1937">
        <f>orders[[#This Row],[Ship Date]]-orders[[#This Row],[Order Date]]</f>
        <v>1</v>
      </c>
      <c r="K1937">
        <f>WEEKNUM(orders[[#This Row],[Order Date]])</f>
        <v>11</v>
      </c>
      <c r="L1937" t="str" cm="1">
        <f t="array" ref="L1937">_xlfn.IFS(orders[[#This Row],[Customer Gender]]="M","Male", orders[[#This Row],[Customer Gender]]="F","Female", orders[[#This Row],[Customer Gender]]="O","Other", TRUE,"Unknown")</f>
        <v>Male</v>
      </c>
      <c r="M1937">
        <v>1</v>
      </c>
      <c r="N1937">
        <v>16.3</v>
      </c>
      <c r="O1937">
        <v>16.3</v>
      </c>
    </row>
    <row r="1938" spans="1:15" x14ac:dyDescent="0.3">
      <c r="A1938" t="s">
        <v>2037</v>
      </c>
      <c r="B1938" t="s">
        <v>21</v>
      </c>
      <c r="C1938" s="7">
        <v>45728</v>
      </c>
      <c r="D1938" s="7">
        <v>45733</v>
      </c>
      <c r="E1938" t="s">
        <v>26</v>
      </c>
      <c r="F1938" t="s">
        <v>39</v>
      </c>
      <c r="G1938">
        <v>3</v>
      </c>
      <c r="H1938" t="s">
        <v>18</v>
      </c>
      <c r="I1938" t="s">
        <v>32</v>
      </c>
      <c r="J1938">
        <f>orders[[#This Row],[Ship Date]]-orders[[#This Row],[Order Date]]</f>
        <v>5</v>
      </c>
      <c r="K1938">
        <f>WEEKNUM(orders[[#This Row],[Order Date]])</f>
        <v>11</v>
      </c>
      <c r="L1938" t="str" cm="1">
        <f t="array" ref="L1938">_xlfn.IFS(orders[[#This Row],[Customer Gender]]="M","Male", orders[[#This Row],[Customer Gender]]="F","Female", orders[[#This Row],[Customer Gender]]="O","Other", TRUE,"Unknown")</f>
        <v>Female</v>
      </c>
      <c r="M1938">
        <v>3</v>
      </c>
      <c r="N1938">
        <v>63.8</v>
      </c>
      <c r="O1938" s="5">
        <v>191.39999999999998</v>
      </c>
    </row>
    <row r="1939" spans="1:15" x14ac:dyDescent="0.3">
      <c r="A1939" t="s">
        <v>2038</v>
      </c>
      <c r="B1939" t="s">
        <v>21</v>
      </c>
      <c r="C1939" s="7">
        <v>45728</v>
      </c>
      <c r="D1939" s="7">
        <v>45728</v>
      </c>
      <c r="E1939" t="s">
        <v>26</v>
      </c>
      <c r="F1939" t="s">
        <v>17</v>
      </c>
      <c r="G1939">
        <v>3</v>
      </c>
      <c r="H1939" t="s">
        <v>18</v>
      </c>
      <c r="I1939" t="s">
        <v>32</v>
      </c>
      <c r="J1939">
        <f>orders[[#This Row],[Ship Date]]-orders[[#This Row],[Order Date]]</f>
        <v>0</v>
      </c>
      <c r="K1939">
        <f>WEEKNUM(orders[[#This Row],[Order Date]])</f>
        <v>11</v>
      </c>
      <c r="L1939" t="str" cm="1">
        <f t="array" ref="L1939">_xlfn.IFS(orders[[#This Row],[Customer Gender]]="M","Male", orders[[#This Row],[Customer Gender]]="F","Female", orders[[#This Row],[Customer Gender]]="O","Other", TRUE,"Unknown")</f>
        <v>Female</v>
      </c>
      <c r="M1939">
        <v>7</v>
      </c>
      <c r="N1939">
        <v>73.900000000000006</v>
      </c>
      <c r="O1939">
        <v>517.30000000000007</v>
      </c>
    </row>
    <row r="1940" spans="1:15" x14ac:dyDescent="0.3">
      <c r="A1940" t="s">
        <v>2039</v>
      </c>
      <c r="B1940" t="s">
        <v>16</v>
      </c>
      <c r="C1940" s="7">
        <v>45728</v>
      </c>
      <c r="D1940" s="7">
        <v>45729</v>
      </c>
      <c r="E1940" t="s">
        <v>22</v>
      </c>
      <c r="F1940" t="s">
        <v>17</v>
      </c>
      <c r="G1940">
        <v>3</v>
      </c>
      <c r="H1940" t="s">
        <v>18</v>
      </c>
      <c r="I1940" t="s">
        <v>32</v>
      </c>
      <c r="J1940">
        <f>orders[[#This Row],[Ship Date]]-orders[[#This Row],[Order Date]]</f>
        <v>1</v>
      </c>
      <c r="K1940">
        <f>WEEKNUM(orders[[#This Row],[Order Date]])</f>
        <v>11</v>
      </c>
      <c r="L1940" t="str" cm="1">
        <f t="array" ref="L1940">_xlfn.IFS(orders[[#This Row],[Customer Gender]]="M","Male", orders[[#This Row],[Customer Gender]]="F","Female", orders[[#This Row],[Customer Gender]]="O","Other", TRUE,"Unknown")</f>
        <v>Male</v>
      </c>
      <c r="M1940">
        <v>2</v>
      </c>
      <c r="N1940">
        <v>20.2</v>
      </c>
      <c r="O1940" s="5">
        <v>40.4</v>
      </c>
    </row>
    <row r="1941" spans="1:15" x14ac:dyDescent="0.3">
      <c r="A1941" t="s">
        <v>2040</v>
      </c>
      <c r="B1941" t="s">
        <v>66</v>
      </c>
      <c r="C1941" s="7">
        <v>45728</v>
      </c>
      <c r="D1941" s="7">
        <v>45729</v>
      </c>
      <c r="E1941" t="s">
        <v>22</v>
      </c>
      <c r="F1941" t="s">
        <v>17</v>
      </c>
      <c r="G1941">
        <v>4</v>
      </c>
      <c r="H1941" t="s">
        <v>18</v>
      </c>
      <c r="I1941" t="s">
        <v>32</v>
      </c>
      <c r="J1941">
        <f>orders[[#This Row],[Ship Date]]-orders[[#This Row],[Order Date]]</f>
        <v>1</v>
      </c>
      <c r="K1941">
        <f>WEEKNUM(orders[[#This Row],[Order Date]])</f>
        <v>11</v>
      </c>
      <c r="L1941" t="str" cm="1">
        <f t="array" ref="L1941">_xlfn.IFS(orders[[#This Row],[Customer Gender]]="M","Male", orders[[#This Row],[Customer Gender]]="F","Female", orders[[#This Row],[Customer Gender]]="O","Other", TRUE,"Unknown")</f>
        <v>Male</v>
      </c>
      <c r="M1941">
        <v>11</v>
      </c>
      <c r="N1941">
        <v>29.5</v>
      </c>
      <c r="O1941">
        <v>324.5</v>
      </c>
    </row>
    <row r="1942" spans="1:15" x14ac:dyDescent="0.3">
      <c r="A1942" t="s">
        <v>2041</v>
      </c>
      <c r="B1942" t="s">
        <v>122</v>
      </c>
      <c r="C1942" s="7">
        <v>45728</v>
      </c>
      <c r="D1942" s="7">
        <v>45729</v>
      </c>
      <c r="E1942" t="s">
        <v>22</v>
      </c>
      <c r="F1942" t="s">
        <v>34</v>
      </c>
      <c r="G1942">
        <v>4</v>
      </c>
      <c r="H1942" t="s">
        <v>18</v>
      </c>
      <c r="I1942" t="s">
        <v>32</v>
      </c>
      <c r="J1942">
        <f>orders[[#This Row],[Ship Date]]-orders[[#This Row],[Order Date]]</f>
        <v>1</v>
      </c>
      <c r="K1942">
        <f>WEEKNUM(orders[[#This Row],[Order Date]])</f>
        <v>11</v>
      </c>
      <c r="L1942" t="str" cm="1">
        <f t="array" ref="L1942">_xlfn.IFS(orders[[#This Row],[Customer Gender]]="M","Male", orders[[#This Row],[Customer Gender]]="F","Female", orders[[#This Row],[Customer Gender]]="O","Other", TRUE,"Unknown")</f>
        <v>Male</v>
      </c>
      <c r="M1942">
        <v>7</v>
      </c>
      <c r="N1942">
        <v>37.9</v>
      </c>
      <c r="O1942" s="5">
        <v>265.3</v>
      </c>
    </row>
    <row r="1943" spans="1:15" x14ac:dyDescent="0.3">
      <c r="A1943" t="s">
        <v>2042</v>
      </c>
      <c r="B1943" t="s">
        <v>25</v>
      </c>
      <c r="C1943" s="7">
        <v>45728</v>
      </c>
      <c r="D1943" s="7">
        <v>45729</v>
      </c>
      <c r="E1943" t="s">
        <v>26</v>
      </c>
      <c r="F1943" t="s">
        <v>39</v>
      </c>
      <c r="G1943">
        <v>3</v>
      </c>
      <c r="H1943" t="s">
        <v>18</v>
      </c>
      <c r="I1943" t="s">
        <v>32</v>
      </c>
      <c r="J1943">
        <f>orders[[#This Row],[Ship Date]]-orders[[#This Row],[Order Date]]</f>
        <v>1</v>
      </c>
      <c r="K1943">
        <f>WEEKNUM(orders[[#This Row],[Order Date]])</f>
        <v>11</v>
      </c>
      <c r="L1943" t="str" cm="1">
        <f t="array" ref="L1943">_xlfn.IFS(orders[[#This Row],[Customer Gender]]="M","Male", orders[[#This Row],[Customer Gender]]="F","Female", orders[[#This Row],[Customer Gender]]="O","Other", TRUE,"Unknown")</f>
        <v>Female</v>
      </c>
      <c r="M1943">
        <v>1</v>
      </c>
      <c r="N1943">
        <v>56.5</v>
      </c>
      <c r="O1943">
        <v>56.5</v>
      </c>
    </row>
    <row r="1944" spans="1:15" x14ac:dyDescent="0.3">
      <c r="A1944" t="s">
        <v>2043</v>
      </c>
      <c r="B1944" t="s">
        <v>25</v>
      </c>
      <c r="C1944" s="7">
        <v>45728</v>
      </c>
      <c r="D1944" s="7">
        <v>45734</v>
      </c>
      <c r="E1944" t="s">
        <v>22</v>
      </c>
      <c r="F1944" t="s">
        <v>34</v>
      </c>
      <c r="G1944">
        <v>2</v>
      </c>
      <c r="H1944" t="s">
        <v>18</v>
      </c>
      <c r="I1944" t="s">
        <v>187</v>
      </c>
      <c r="J1944">
        <f>orders[[#This Row],[Ship Date]]-orders[[#This Row],[Order Date]]</f>
        <v>6</v>
      </c>
      <c r="K1944">
        <f>WEEKNUM(orders[[#This Row],[Order Date]])</f>
        <v>11</v>
      </c>
      <c r="L1944" t="str" cm="1">
        <f t="array" ref="L1944">_xlfn.IFS(orders[[#This Row],[Customer Gender]]="M","Male", orders[[#This Row],[Customer Gender]]="F","Female", orders[[#This Row],[Customer Gender]]="O","Other", TRUE,"Unknown")</f>
        <v>Male</v>
      </c>
      <c r="M1944">
        <v>2</v>
      </c>
      <c r="N1944">
        <v>66.900000000000006</v>
      </c>
      <c r="O1944" s="5">
        <v>133.80000000000001</v>
      </c>
    </row>
    <row r="1945" spans="1:15" x14ac:dyDescent="0.3">
      <c r="A1945" t="s">
        <v>2044</v>
      </c>
      <c r="B1945" t="s">
        <v>25</v>
      </c>
      <c r="C1945" s="7">
        <v>45728</v>
      </c>
      <c r="D1945" s="7">
        <v>45731</v>
      </c>
      <c r="E1945" t="s">
        <v>22</v>
      </c>
      <c r="F1945" t="s">
        <v>34</v>
      </c>
      <c r="G1945">
        <v>4</v>
      </c>
      <c r="H1945" t="s">
        <v>18</v>
      </c>
      <c r="I1945" t="s">
        <v>58</v>
      </c>
      <c r="J1945">
        <f>orders[[#This Row],[Ship Date]]-orders[[#This Row],[Order Date]]</f>
        <v>3</v>
      </c>
      <c r="K1945">
        <f>WEEKNUM(orders[[#This Row],[Order Date]])</f>
        <v>11</v>
      </c>
      <c r="L1945" t="str" cm="1">
        <f t="array" ref="L1945">_xlfn.IFS(orders[[#This Row],[Customer Gender]]="M","Male", orders[[#This Row],[Customer Gender]]="F","Female", orders[[#This Row],[Customer Gender]]="O","Other", TRUE,"Unknown")</f>
        <v>Male</v>
      </c>
      <c r="M1945">
        <v>5</v>
      </c>
      <c r="N1945">
        <v>51.9</v>
      </c>
      <c r="O1945">
        <v>259.5</v>
      </c>
    </row>
    <row r="1946" spans="1:15" x14ac:dyDescent="0.3">
      <c r="A1946" t="s">
        <v>2045</v>
      </c>
      <c r="B1946" t="s">
        <v>25</v>
      </c>
      <c r="C1946" s="7">
        <v>45728</v>
      </c>
      <c r="D1946" s="7">
        <v>45731</v>
      </c>
      <c r="E1946" t="s">
        <v>22</v>
      </c>
      <c r="F1946" t="s">
        <v>34</v>
      </c>
      <c r="G1946">
        <v>4</v>
      </c>
      <c r="H1946" t="s">
        <v>18</v>
      </c>
      <c r="I1946" t="s">
        <v>61</v>
      </c>
      <c r="J1946">
        <f>orders[[#This Row],[Ship Date]]-orders[[#This Row],[Order Date]]</f>
        <v>3</v>
      </c>
      <c r="K1946">
        <f>WEEKNUM(orders[[#This Row],[Order Date]])</f>
        <v>11</v>
      </c>
      <c r="L1946" t="str" cm="1">
        <f t="array" ref="L1946">_xlfn.IFS(orders[[#This Row],[Customer Gender]]="M","Male", orders[[#This Row],[Customer Gender]]="F","Female", orders[[#This Row],[Customer Gender]]="O","Other", TRUE,"Unknown")</f>
        <v>Male</v>
      </c>
      <c r="M1946">
        <v>2</v>
      </c>
      <c r="N1946">
        <v>75.599999999999994</v>
      </c>
      <c r="O1946" s="5">
        <v>151.19999999999999</v>
      </c>
    </row>
    <row r="1947" spans="1:15" x14ac:dyDescent="0.3">
      <c r="A1947" t="s">
        <v>2046</v>
      </c>
      <c r="B1947" t="s">
        <v>68</v>
      </c>
      <c r="C1947" s="7">
        <v>45728</v>
      </c>
      <c r="D1947" s="7">
        <v>45739</v>
      </c>
      <c r="E1947" t="s">
        <v>22</v>
      </c>
      <c r="F1947" t="s">
        <v>17</v>
      </c>
      <c r="G1947">
        <v>4</v>
      </c>
      <c r="H1947" t="s">
        <v>18</v>
      </c>
      <c r="I1947" t="s">
        <v>61</v>
      </c>
      <c r="J1947">
        <f>orders[[#This Row],[Ship Date]]-orders[[#This Row],[Order Date]]</f>
        <v>11</v>
      </c>
      <c r="K1947">
        <f>WEEKNUM(orders[[#This Row],[Order Date]])</f>
        <v>11</v>
      </c>
      <c r="L1947" t="str" cm="1">
        <f t="array" ref="L1947">_xlfn.IFS(orders[[#This Row],[Customer Gender]]="M","Male", orders[[#This Row],[Customer Gender]]="F","Female", orders[[#This Row],[Customer Gender]]="O","Other", TRUE,"Unknown")</f>
        <v>Male</v>
      </c>
      <c r="M1947">
        <v>6</v>
      </c>
      <c r="N1947">
        <v>47.3</v>
      </c>
      <c r="O1947">
        <v>283.79999999999995</v>
      </c>
    </row>
    <row r="1948" spans="1:15" x14ac:dyDescent="0.3">
      <c r="A1948" t="s">
        <v>2047</v>
      </c>
      <c r="B1948" t="s">
        <v>31</v>
      </c>
      <c r="C1948" s="7">
        <v>45728</v>
      </c>
      <c r="D1948" s="7">
        <v>45729</v>
      </c>
      <c r="E1948" t="s">
        <v>2517</v>
      </c>
      <c r="F1948" t="s">
        <v>17</v>
      </c>
      <c r="G1948">
        <v>3</v>
      </c>
      <c r="H1948" t="s">
        <v>18</v>
      </c>
      <c r="I1948" t="s">
        <v>61</v>
      </c>
      <c r="J1948">
        <f>orders[[#This Row],[Ship Date]]-orders[[#This Row],[Order Date]]</f>
        <v>1</v>
      </c>
      <c r="K1948">
        <f>WEEKNUM(orders[[#This Row],[Order Date]])</f>
        <v>11</v>
      </c>
      <c r="L1948" t="str" cm="1">
        <f t="array" ref="L1948">_xlfn.IFS(orders[[#This Row],[Customer Gender]]="M","Male", orders[[#This Row],[Customer Gender]]="F","Female", orders[[#This Row],[Customer Gender]]="O","Other", TRUE,"Unknown")</f>
        <v>Unknown</v>
      </c>
      <c r="M1948">
        <v>1</v>
      </c>
      <c r="N1948">
        <v>20.6</v>
      </c>
      <c r="O1948" s="5">
        <v>20.6</v>
      </c>
    </row>
    <row r="1949" spans="1:15" x14ac:dyDescent="0.3">
      <c r="A1949" t="s">
        <v>2048</v>
      </c>
      <c r="B1949" t="s">
        <v>38</v>
      </c>
      <c r="C1949" s="7">
        <v>45728</v>
      </c>
      <c r="D1949" s="7">
        <v>45730</v>
      </c>
      <c r="E1949" t="s">
        <v>22</v>
      </c>
      <c r="F1949" t="s">
        <v>17</v>
      </c>
      <c r="G1949">
        <v>3</v>
      </c>
      <c r="H1949" t="s">
        <v>18</v>
      </c>
      <c r="I1949" t="s">
        <v>61</v>
      </c>
      <c r="J1949">
        <f>orders[[#This Row],[Ship Date]]-orders[[#This Row],[Order Date]]</f>
        <v>2</v>
      </c>
      <c r="K1949">
        <f>WEEKNUM(orders[[#This Row],[Order Date]])</f>
        <v>11</v>
      </c>
      <c r="L1949" t="str" cm="1">
        <f t="array" ref="L1949">_xlfn.IFS(orders[[#This Row],[Customer Gender]]="M","Male", orders[[#This Row],[Customer Gender]]="F","Female", orders[[#This Row],[Customer Gender]]="O","Other", TRUE,"Unknown")</f>
        <v>Male</v>
      </c>
      <c r="M1949">
        <v>3</v>
      </c>
      <c r="N1949">
        <v>49.7</v>
      </c>
      <c r="O1949">
        <v>149.10000000000002</v>
      </c>
    </row>
    <row r="1950" spans="1:15" x14ac:dyDescent="0.3">
      <c r="A1950" t="s">
        <v>2049</v>
      </c>
      <c r="B1950" t="s">
        <v>29</v>
      </c>
      <c r="C1950" s="7">
        <v>45728</v>
      </c>
      <c r="D1950" s="7">
        <v>45730</v>
      </c>
      <c r="E1950" t="s">
        <v>26</v>
      </c>
      <c r="F1950" t="s">
        <v>17</v>
      </c>
      <c r="G1950">
        <v>4</v>
      </c>
      <c r="H1950" t="s">
        <v>18</v>
      </c>
      <c r="I1950" t="s">
        <v>61</v>
      </c>
      <c r="J1950">
        <f>orders[[#This Row],[Ship Date]]-orders[[#This Row],[Order Date]]</f>
        <v>2</v>
      </c>
      <c r="K1950">
        <f>WEEKNUM(orders[[#This Row],[Order Date]])</f>
        <v>11</v>
      </c>
      <c r="L1950" t="str" cm="1">
        <f t="array" ref="L1950">_xlfn.IFS(orders[[#This Row],[Customer Gender]]="M","Male", orders[[#This Row],[Customer Gender]]="F","Female", orders[[#This Row],[Customer Gender]]="O","Other", TRUE,"Unknown")</f>
        <v>Female</v>
      </c>
      <c r="M1950">
        <v>1</v>
      </c>
      <c r="N1950">
        <v>37.9</v>
      </c>
      <c r="O1950" s="5">
        <v>37.9</v>
      </c>
    </row>
    <row r="1951" spans="1:15" x14ac:dyDescent="0.3">
      <c r="A1951" t="s">
        <v>2050</v>
      </c>
      <c r="B1951" t="s">
        <v>75</v>
      </c>
      <c r="C1951" s="7">
        <v>45728</v>
      </c>
      <c r="D1951" s="7">
        <v>45730</v>
      </c>
      <c r="E1951" t="s">
        <v>26</v>
      </c>
      <c r="F1951" t="s">
        <v>69</v>
      </c>
      <c r="G1951">
        <v>4</v>
      </c>
      <c r="H1951" t="s">
        <v>18</v>
      </c>
      <c r="I1951" t="s">
        <v>76</v>
      </c>
      <c r="J1951">
        <f>orders[[#This Row],[Ship Date]]-orders[[#This Row],[Order Date]]</f>
        <v>2</v>
      </c>
      <c r="K1951">
        <f>WEEKNUM(orders[[#This Row],[Order Date]])</f>
        <v>11</v>
      </c>
      <c r="L1951" t="str" cm="1">
        <f t="array" ref="L1951">_xlfn.IFS(orders[[#This Row],[Customer Gender]]="M","Male", orders[[#This Row],[Customer Gender]]="F","Female", orders[[#This Row],[Customer Gender]]="O","Other", TRUE,"Unknown")</f>
        <v>Female</v>
      </c>
      <c r="M1951">
        <v>15</v>
      </c>
      <c r="N1951">
        <v>32</v>
      </c>
      <c r="O1951">
        <v>480</v>
      </c>
    </row>
    <row r="1952" spans="1:15" x14ac:dyDescent="0.3">
      <c r="A1952" t="s">
        <v>2051</v>
      </c>
      <c r="B1952" t="s">
        <v>53</v>
      </c>
      <c r="C1952" s="7">
        <v>45729</v>
      </c>
      <c r="D1952" s="7">
        <v>45730</v>
      </c>
      <c r="E1952" t="s">
        <v>22</v>
      </c>
      <c r="F1952" t="s">
        <v>17</v>
      </c>
      <c r="G1952">
        <v>5</v>
      </c>
      <c r="H1952" t="s">
        <v>18</v>
      </c>
      <c r="I1952" t="s">
        <v>76</v>
      </c>
      <c r="J1952">
        <f>orders[[#This Row],[Ship Date]]-orders[[#This Row],[Order Date]]</f>
        <v>1</v>
      </c>
      <c r="K1952">
        <f>WEEKNUM(orders[[#This Row],[Order Date]])</f>
        <v>11</v>
      </c>
      <c r="L1952" t="str" cm="1">
        <f t="array" ref="L1952">_xlfn.IFS(orders[[#This Row],[Customer Gender]]="M","Male", orders[[#This Row],[Customer Gender]]="F","Female", orders[[#This Row],[Customer Gender]]="O","Other", TRUE,"Unknown")</f>
        <v>Male</v>
      </c>
      <c r="M1952">
        <v>18</v>
      </c>
      <c r="N1952">
        <v>38.5</v>
      </c>
      <c r="O1952" s="5">
        <v>693</v>
      </c>
    </row>
    <row r="1953" spans="1:15" x14ac:dyDescent="0.3">
      <c r="A1953" t="s">
        <v>2052</v>
      </c>
      <c r="B1953" t="s">
        <v>16</v>
      </c>
      <c r="C1953" s="7">
        <v>45729</v>
      </c>
      <c r="D1953" s="7">
        <v>45731</v>
      </c>
      <c r="E1953" t="s">
        <v>26</v>
      </c>
      <c r="F1953" t="s">
        <v>34</v>
      </c>
      <c r="G1953">
        <v>4</v>
      </c>
      <c r="H1953" t="s">
        <v>18</v>
      </c>
      <c r="I1953" t="s">
        <v>112</v>
      </c>
      <c r="J1953">
        <f>orders[[#This Row],[Ship Date]]-orders[[#This Row],[Order Date]]</f>
        <v>2</v>
      </c>
      <c r="K1953">
        <f>WEEKNUM(orders[[#This Row],[Order Date]])</f>
        <v>11</v>
      </c>
      <c r="L1953" t="str" cm="1">
        <f t="array" ref="L1953">_xlfn.IFS(orders[[#This Row],[Customer Gender]]="M","Male", orders[[#This Row],[Customer Gender]]="F","Female", orders[[#This Row],[Customer Gender]]="O","Other", TRUE,"Unknown")</f>
        <v>Female</v>
      </c>
      <c r="M1953">
        <v>4</v>
      </c>
      <c r="N1953">
        <v>11.7</v>
      </c>
      <c r="O1953">
        <v>46.8</v>
      </c>
    </row>
    <row r="1954" spans="1:15" x14ac:dyDescent="0.3">
      <c r="A1954" t="s">
        <v>2053</v>
      </c>
      <c r="B1954" t="s">
        <v>29</v>
      </c>
      <c r="C1954" s="7">
        <v>45729</v>
      </c>
      <c r="D1954" s="7">
        <v>45730</v>
      </c>
      <c r="E1954" t="s">
        <v>22</v>
      </c>
      <c r="F1954" t="s">
        <v>17</v>
      </c>
      <c r="G1954">
        <v>4</v>
      </c>
      <c r="H1954" t="s">
        <v>18</v>
      </c>
      <c r="I1954" t="s">
        <v>114</v>
      </c>
      <c r="J1954">
        <f>orders[[#This Row],[Ship Date]]-orders[[#This Row],[Order Date]]</f>
        <v>1</v>
      </c>
      <c r="K1954">
        <f>WEEKNUM(orders[[#This Row],[Order Date]])</f>
        <v>11</v>
      </c>
      <c r="L1954" t="str" cm="1">
        <f t="array" ref="L1954">_xlfn.IFS(orders[[#This Row],[Customer Gender]]="M","Male", orders[[#This Row],[Customer Gender]]="F","Female", orders[[#This Row],[Customer Gender]]="O","Other", TRUE,"Unknown")</f>
        <v>Male</v>
      </c>
      <c r="M1954">
        <v>6</v>
      </c>
      <c r="N1954">
        <v>83.8</v>
      </c>
      <c r="O1954" s="5">
        <v>502.79999999999995</v>
      </c>
    </row>
    <row r="1955" spans="1:15" x14ac:dyDescent="0.3">
      <c r="A1955" t="s">
        <v>2054</v>
      </c>
      <c r="B1955" t="s">
        <v>16</v>
      </c>
      <c r="C1955" s="7">
        <v>45729</v>
      </c>
      <c r="D1955" s="7">
        <v>45732</v>
      </c>
      <c r="E1955" t="s">
        <v>22</v>
      </c>
      <c r="F1955" t="s">
        <v>17</v>
      </c>
      <c r="G1955">
        <v>3</v>
      </c>
      <c r="H1955" t="s">
        <v>18</v>
      </c>
      <c r="I1955" t="s">
        <v>146</v>
      </c>
      <c r="J1955">
        <f>orders[[#This Row],[Ship Date]]-orders[[#This Row],[Order Date]]</f>
        <v>3</v>
      </c>
      <c r="K1955">
        <f>WEEKNUM(orders[[#This Row],[Order Date]])</f>
        <v>11</v>
      </c>
      <c r="L1955" t="str" cm="1">
        <f t="array" ref="L1955">_xlfn.IFS(orders[[#This Row],[Customer Gender]]="M","Male", orders[[#This Row],[Customer Gender]]="F","Female", orders[[#This Row],[Customer Gender]]="O","Other", TRUE,"Unknown")</f>
        <v>Male</v>
      </c>
      <c r="M1955">
        <v>7</v>
      </c>
      <c r="N1955">
        <v>14</v>
      </c>
      <c r="O1955">
        <v>98</v>
      </c>
    </row>
    <row r="1956" spans="1:15" x14ac:dyDescent="0.3">
      <c r="A1956" t="s">
        <v>2055</v>
      </c>
      <c r="B1956" t="s">
        <v>127</v>
      </c>
      <c r="C1956" s="7">
        <v>45729</v>
      </c>
      <c r="D1956" s="7">
        <v>45731</v>
      </c>
      <c r="E1956" t="s">
        <v>26</v>
      </c>
      <c r="F1956" t="s">
        <v>69</v>
      </c>
      <c r="G1956">
        <v>5</v>
      </c>
      <c r="H1956" t="s">
        <v>18</v>
      </c>
      <c r="I1956" t="s">
        <v>32</v>
      </c>
      <c r="J1956">
        <f>orders[[#This Row],[Ship Date]]-orders[[#This Row],[Order Date]]</f>
        <v>2</v>
      </c>
      <c r="K1956">
        <f>WEEKNUM(orders[[#This Row],[Order Date]])</f>
        <v>11</v>
      </c>
      <c r="L1956" t="str" cm="1">
        <f t="array" ref="L1956">_xlfn.IFS(orders[[#This Row],[Customer Gender]]="M","Male", orders[[#This Row],[Customer Gender]]="F","Female", orders[[#This Row],[Customer Gender]]="O","Other", TRUE,"Unknown")</f>
        <v>Female</v>
      </c>
      <c r="M1956">
        <v>4</v>
      </c>
      <c r="N1956">
        <v>77.3</v>
      </c>
      <c r="O1956" s="5">
        <v>309.2</v>
      </c>
    </row>
    <row r="1957" spans="1:15" x14ac:dyDescent="0.3">
      <c r="A1957" t="s">
        <v>2056</v>
      </c>
      <c r="B1957" t="s">
        <v>25</v>
      </c>
      <c r="C1957" s="7">
        <v>45729</v>
      </c>
      <c r="D1957" s="7">
        <v>45733</v>
      </c>
      <c r="E1957" t="s">
        <v>26</v>
      </c>
      <c r="F1957" t="s">
        <v>17</v>
      </c>
      <c r="G1957">
        <v>3</v>
      </c>
      <c r="H1957" t="s">
        <v>18</v>
      </c>
      <c r="I1957" t="s">
        <v>32</v>
      </c>
      <c r="J1957">
        <f>orders[[#This Row],[Ship Date]]-orders[[#This Row],[Order Date]]</f>
        <v>4</v>
      </c>
      <c r="K1957">
        <f>WEEKNUM(orders[[#This Row],[Order Date]])</f>
        <v>11</v>
      </c>
      <c r="L1957" t="str" cm="1">
        <f t="array" ref="L1957">_xlfn.IFS(orders[[#This Row],[Customer Gender]]="M","Male", orders[[#This Row],[Customer Gender]]="F","Female", orders[[#This Row],[Customer Gender]]="O","Other", TRUE,"Unknown")</f>
        <v>Female</v>
      </c>
      <c r="M1957">
        <v>2</v>
      </c>
      <c r="N1957">
        <v>76.900000000000006</v>
      </c>
      <c r="O1957">
        <v>153.80000000000001</v>
      </c>
    </row>
    <row r="1958" spans="1:15" x14ac:dyDescent="0.3">
      <c r="A1958" t="s">
        <v>2057</v>
      </c>
      <c r="B1958" t="s">
        <v>21</v>
      </c>
      <c r="C1958" s="7">
        <v>45729</v>
      </c>
      <c r="D1958" s="7">
        <v>45731</v>
      </c>
      <c r="E1958" t="s">
        <v>26</v>
      </c>
      <c r="F1958" t="s">
        <v>34</v>
      </c>
      <c r="G1958">
        <v>5</v>
      </c>
      <c r="H1958" t="s">
        <v>18</v>
      </c>
      <c r="I1958" t="s">
        <v>32</v>
      </c>
      <c r="J1958">
        <f>orders[[#This Row],[Ship Date]]-orders[[#This Row],[Order Date]]</f>
        <v>2</v>
      </c>
      <c r="K1958">
        <f>WEEKNUM(orders[[#This Row],[Order Date]])</f>
        <v>11</v>
      </c>
      <c r="L1958" t="str" cm="1">
        <f t="array" ref="L1958">_xlfn.IFS(orders[[#This Row],[Customer Gender]]="M","Male", orders[[#This Row],[Customer Gender]]="F","Female", orders[[#This Row],[Customer Gender]]="O","Other", TRUE,"Unknown")</f>
        <v>Female</v>
      </c>
      <c r="M1958">
        <v>1</v>
      </c>
      <c r="N1958">
        <v>48</v>
      </c>
      <c r="O1958" s="5">
        <v>48</v>
      </c>
    </row>
    <row r="1959" spans="1:15" x14ac:dyDescent="0.3">
      <c r="A1959" t="s">
        <v>2058</v>
      </c>
      <c r="B1959" t="s">
        <v>25</v>
      </c>
      <c r="C1959" s="7">
        <v>45729</v>
      </c>
      <c r="D1959" s="7">
        <v>45732</v>
      </c>
      <c r="E1959" t="s">
        <v>22</v>
      </c>
      <c r="F1959" t="s">
        <v>34</v>
      </c>
      <c r="G1959">
        <v>3</v>
      </c>
      <c r="H1959" t="s">
        <v>18</v>
      </c>
      <c r="I1959" t="s">
        <v>32</v>
      </c>
      <c r="J1959">
        <f>orders[[#This Row],[Ship Date]]-orders[[#This Row],[Order Date]]</f>
        <v>3</v>
      </c>
      <c r="K1959">
        <f>WEEKNUM(orders[[#This Row],[Order Date]])</f>
        <v>11</v>
      </c>
      <c r="L1959" t="str" cm="1">
        <f t="array" ref="L1959">_xlfn.IFS(orders[[#This Row],[Customer Gender]]="M","Male", orders[[#This Row],[Customer Gender]]="F","Female", orders[[#This Row],[Customer Gender]]="O","Other", TRUE,"Unknown")</f>
        <v>Male</v>
      </c>
      <c r="M1959">
        <v>1</v>
      </c>
      <c r="N1959">
        <v>94.5</v>
      </c>
      <c r="O1959">
        <v>94.5</v>
      </c>
    </row>
    <row r="1960" spans="1:15" x14ac:dyDescent="0.3">
      <c r="A1960" t="s">
        <v>2059</v>
      </c>
      <c r="B1960" t="s">
        <v>53</v>
      </c>
      <c r="C1960" s="7">
        <v>45729</v>
      </c>
      <c r="D1960" s="7">
        <v>45731</v>
      </c>
      <c r="E1960" t="s">
        <v>26</v>
      </c>
      <c r="F1960" t="s">
        <v>34</v>
      </c>
      <c r="G1960">
        <v>5</v>
      </c>
      <c r="H1960" t="s">
        <v>18</v>
      </c>
      <c r="I1960" t="s">
        <v>32</v>
      </c>
      <c r="J1960">
        <f>orders[[#This Row],[Ship Date]]-orders[[#This Row],[Order Date]]</f>
        <v>2</v>
      </c>
      <c r="K1960">
        <f>WEEKNUM(orders[[#This Row],[Order Date]])</f>
        <v>11</v>
      </c>
      <c r="L1960" t="str" cm="1">
        <f t="array" ref="L1960">_xlfn.IFS(orders[[#This Row],[Customer Gender]]="M","Male", orders[[#This Row],[Customer Gender]]="F","Female", orders[[#This Row],[Customer Gender]]="O","Other", TRUE,"Unknown")</f>
        <v>Female</v>
      </c>
      <c r="M1960">
        <v>3</v>
      </c>
      <c r="N1960">
        <v>58.4</v>
      </c>
      <c r="O1960" s="5">
        <v>175.2</v>
      </c>
    </row>
    <row r="1961" spans="1:15" x14ac:dyDescent="0.3">
      <c r="A1961" t="s">
        <v>2060</v>
      </c>
      <c r="B1961" t="s">
        <v>41</v>
      </c>
      <c r="C1961" s="7">
        <v>45729</v>
      </c>
      <c r="D1961" s="7">
        <v>45729</v>
      </c>
      <c r="E1961" t="s">
        <v>22</v>
      </c>
      <c r="F1961" t="s">
        <v>17</v>
      </c>
      <c r="G1961">
        <v>4</v>
      </c>
      <c r="H1961" t="s">
        <v>18</v>
      </c>
      <c r="I1961" t="s">
        <v>187</v>
      </c>
      <c r="J1961">
        <f>orders[[#This Row],[Ship Date]]-orders[[#This Row],[Order Date]]</f>
        <v>0</v>
      </c>
      <c r="K1961">
        <f>WEEKNUM(orders[[#This Row],[Order Date]])</f>
        <v>11</v>
      </c>
      <c r="L1961" t="str" cm="1">
        <f t="array" ref="L1961">_xlfn.IFS(orders[[#This Row],[Customer Gender]]="M","Male", orders[[#This Row],[Customer Gender]]="F","Female", orders[[#This Row],[Customer Gender]]="O","Other", TRUE,"Unknown")</f>
        <v>Male</v>
      </c>
      <c r="M1961">
        <v>13</v>
      </c>
      <c r="N1961">
        <v>42.2</v>
      </c>
      <c r="O1961">
        <v>548.6</v>
      </c>
    </row>
    <row r="1962" spans="1:15" x14ac:dyDescent="0.3">
      <c r="A1962" t="s">
        <v>2061</v>
      </c>
      <c r="B1962" t="s">
        <v>38</v>
      </c>
      <c r="C1962" s="7">
        <v>45729</v>
      </c>
      <c r="D1962" s="7">
        <v>45730</v>
      </c>
      <c r="E1962" t="s">
        <v>22</v>
      </c>
      <c r="F1962" t="s">
        <v>69</v>
      </c>
      <c r="G1962">
        <v>3</v>
      </c>
      <c r="H1962" t="s">
        <v>18</v>
      </c>
      <c r="I1962" t="s">
        <v>187</v>
      </c>
      <c r="J1962">
        <f>orders[[#This Row],[Ship Date]]-orders[[#This Row],[Order Date]]</f>
        <v>1</v>
      </c>
      <c r="K1962">
        <f>WEEKNUM(orders[[#This Row],[Order Date]])</f>
        <v>11</v>
      </c>
      <c r="L1962" t="str" cm="1">
        <f t="array" ref="L1962">_xlfn.IFS(orders[[#This Row],[Customer Gender]]="M","Male", orders[[#This Row],[Customer Gender]]="F","Female", orders[[#This Row],[Customer Gender]]="O","Other", TRUE,"Unknown")</f>
        <v>Male</v>
      </c>
      <c r="M1962">
        <v>2</v>
      </c>
      <c r="N1962">
        <v>152.19999999999999</v>
      </c>
      <c r="O1962" s="5">
        <v>304.39999999999998</v>
      </c>
    </row>
    <row r="1963" spans="1:15" x14ac:dyDescent="0.3">
      <c r="A1963" t="s">
        <v>2062</v>
      </c>
      <c r="B1963" t="s">
        <v>38</v>
      </c>
      <c r="C1963" s="7">
        <v>45729</v>
      </c>
      <c r="D1963" s="7">
        <v>45730</v>
      </c>
      <c r="E1963" t="s">
        <v>22</v>
      </c>
      <c r="F1963" t="s">
        <v>17</v>
      </c>
      <c r="G1963">
        <v>3</v>
      </c>
      <c r="H1963" t="s">
        <v>18</v>
      </c>
      <c r="I1963" t="s">
        <v>54</v>
      </c>
      <c r="J1963">
        <f>orders[[#This Row],[Ship Date]]-orders[[#This Row],[Order Date]]</f>
        <v>1</v>
      </c>
      <c r="K1963">
        <f>WEEKNUM(orders[[#This Row],[Order Date]])</f>
        <v>11</v>
      </c>
      <c r="L1963" t="str" cm="1">
        <f t="array" ref="L1963">_xlfn.IFS(orders[[#This Row],[Customer Gender]]="M","Male", orders[[#This Row],[Customer Gender]]="F","Female", orders[[#This Row],[Customer Gender]]="O","Other", TRUE,"Unknown")</f>
        <v>Male</v>
      </c>
      <c r="M1963">
        <v>24</v>
      </c>
      <c r="N1963">
        <v>72</v>
      </c>
      <c r="O1963">
        <v>1728</v>
      </c>
    </row>
    <row r="1964" spans="1:15" x14ac:dyDescent="0.3">
      <c r="A1964" t="s">
        <v>2063</v>
      </c>
      <c r="B1964" t="s">
        <v>21</v>
      </c>
      <c r="C1964" s="7">
        <v>45729</v>
      </c>
      <c r="D1964" s="7">
        <v>45730</v>
      </c>
      <c r="E1964" t="s">
        <v>26</v>
      </c>
      <c r="F1964" t="s">
        <v>39</v>
      </c>
      <c r="G1964">
        <v>4</v>
      </c>
      <c r="H1964" t="s">
        <v>18</v>
      </c>
      <c r="I1964" t="s">
        <v>61</v>
      </c>
      <c r="J1964">
        <f>orders[[#This Row],[Ship Date]]-orders[[#This Row],[Order Date]]</f>
        <v>1</v>
      </c>
      <c r="K1964">
        <f>WEEKNUM(orders[[#This Row],[Order Date]])</f>
        <v>11</v>
      </c>
      <c r="L1964" t="str" cm="1">
        <f t="array" ref="L1964">_xlfn.IFS(orders[[#This Row],[Customer Gender]]="M","Male", orders[[#This Row],[Customer Gender]]="F","Female", orders[[#This Row],[Customer Gender]]="O","Other", TRUE,"Unknown")</f>
        <v>Female</v>
      </c>
      <c r="M1964">
        <v>23</v>
      </c>
      <c r="N1964">
        <v>70.900000000000006</v>
      </c>
      <c r="O1964" s="5">
        <v>1630.7</v>
      </c>
    </row>
    <row r="1965" spans="1:15" x14ac:dyDescent="0.3">
      <c r="A1965" t="s">
        <v>2064</v>
      </c>
      <c r="B1965" t="s">
        <v>25</v>
      </c>
      <c r="C1965" s="7">
        <v>45729</v>
      </c>
      <c r="D1965" s="7">
        <v>45730</v>
      </c>
      <c r="E1965" t="s">
        <v>22</v>
      </c>
      <c r="F1965" t="s">
        <v>39</v>
      </c>
      <c r="G1965">
        <v>5</v>
      </c>
      <c r="H1965" t="s">
        <v>18</v>
      </c>
      <c r="I1965" t="s">
        <v>61</v>
      </c>
      <c r="J1965">
        <f>orders[[#This Row],[Ship Date]]-orders[[#This Row],[Order Date]]</f>
        <v>1</v>
      </c>
      <c r="K1965">
        <f>WEEKNUM(orders[[#This Row],[Order Date]])</f>
        <v>11</v>
      </c>
      <c r="L1965" t="str" cm="1">
        <f t="array" ref="L1965">_xlfn.IFS(orders[[#This Row],[Customer Gender]]="M","Male", orders[[#This Row],[Customer Gender]]="F","Female", orders[[#This Row],[Customer Gender]]="O","Other", TRUE,"Unknown")</f>
        <v>Male</v>
      </c>
      <c r="M1965">
        <v>2</v>
      </c>
      <c r="N1965">
        <v>53.7</v>
      </c>
      <c r="O1965">
        <v>107.4</v>
      </c>
    </row>
    <row r="1966" spans="1:15" x14ac:dyDescent="0.3">
      <c r="A1966" t="s">
        <v>2065</v>
      </c>
      <c r="B1966" t="s">
        <v>45</v>
      </c>
      <c r="C1966" s="7">
        <v>45729</v>
      </c>
      <c r="D1966" s="7">
        <v>45730</v>
      </c>
      <c r="E1966" t="s">
        <v>26</v>
      </c>
      <c r="F1966" t="s">
        <v>39</v>
      </c>
      <c r="G1966">
        <v>2</v>
      </c>
      <c r="H1966" t="s">
        <v>18</v>
      </c>
      <c r="I1966" t="s">
        <v>71</v>
      </c>
      <c r="J1966">
        <f>orders[[#This Row],[Ship Date]]-orders[[#This Row],[Order Date]]</f>
        <v>1</v>
      </c>
      <c r="K1966">
        <f>WEEKNUM(orders[[#This Row],[Order Date]])</f>
        <v>11</v>
      </c>
      <c r="L1966" t="str" cm="1">
        <f t="array" ref="L1966">_xlfn.IFS(orders[[#This Row],[Customer Gender]]="M","Male", orders[[#This Row],[Customer Gender]]="F","Female", orders[[#This Row],[Customer Gender]]="O","Other", TRUE,"Unknown")</f>
        <v>Female</v>
      </c>
      <c r="M1966">
        <v>4</v>
      </c>
      <c r="N1966">
        <v>42.9</v>
      </c>
      <c r="O1966" s="5">
        <v>171.6</v>
      </c>
    </row>
    <row r="1967" spans="1:15" x14ac:dyDescent="0.3">
      <c r="A1967" t="s">
        <v>2066</v>
      </c>
      <c r="B1967" t="s">
        <v>25</v>
      </c>
      <c r="C1967" s="7">
        <v>45729</v>
      </c>
      <c r="D1967" s="7">
        <v>45730</v>
      </c>
      <c r="E1967" t="s">
        <v>22</v>
      </c>
      <c r="F1967" t="s">
        <v>34</v>
      </c>
      <c r="G1967">
        <v>4</v>
      </c>
      <c r="H1967" t="s">
        <v>18</v>
      </c>
      <c r="I1967" t="s">
        <v>76</v>
      </c>
      <c r="J1967">
        <f>orders[[#This Row],[Ship Date]]-orders[[#This Row],[Order Date]]</f>
        <v>1</v>
      </c>
      <c r="K1967">
        <f>WEEKNUM(orders[[#This Row],[Order Date]])</f>
        <v>11</v>
      </c>
      <c r="L1967" t="str" cm="1">
        <f t="array" ref="L1967">_xlfn.IFS(orders[[#This Row],[Customer Gender]]="M","Male", orders[[#This Row],[Customer Gender]]="F","Female", orders[[#This Row],[Customer Gender]]="O","Other", TRUE,"Unknown")</f>
        <v>Male</v>
      </c>
      <c r="M1967">
        <v>7</v>
      </c>
      <c r="N1967">
        <v>107.5</v>
      </c>
      <c r="O1967">
        <v>752.5</v>
      </c>
    </row>
    <row r="1968" spans="1:15" x14ac:dyDescent="0.3">
      <c r="A1968" t="s">
        <v>2067</v>
      </c>
      <c r="B1968" t="s">
        <v>134</v>
      </c>
      <c r="C1968" s="7">
        <v>45729</v>
      </c>
      <c r="D1968" s="7">
        <v>45730</v>
      </c>
      <c r="E1968" t="s">
        <v>22</v>
      </c>
      <c r="F1968" t="s">
        <v>34</v>
      </c>
      <c r="G1968">
        <v>3</v>
      </c>
      <c r="H1968" t="s">
        <v>18</v>
      </c>
      <c r="I1968" t="s">
        <v>308</v>
      </c>
      <c r="J1968">
        <f>orders[[#This Row],[Ship Date]]-orders[[#This Row],[Order Date]]</f>
        <v>1</v>
      </c>
      <c r="K1968">
        <f>WEEKNUM(orders[[#This Row],[Order Date]])</f>
        <v>11</v>
      </c>
      <c r="L1968" t="str" cm="1">
        <f t="array" ref="L1968">_xlfn.IFS(orders[[#This Row],[Customer Gender]]="M","Male", orders[[#This Row],[Customer Gender]]="F","Female", orders[[#This Row],[Customer Gender]]="O","Other", TRUE,"Unknown")</f>
        <v>Male</v>
      </c>
      <c r="M1968">
        <v>16</v>
      </c>
      <c r="N1968">
        <v>21.5</v>
      </c>
      <c r="O1968" s="5">
        <v>344</v>
      </c>
    </row>
    <row r="1969" spans="1:15" x14ac:dyDescent="0.3">
      <c r="A1969" t="s">
        <v>2068</v>
      </c>
      <c r="B1969" t="s">
        <v>29</v>
      </c>
      <c r="C1969" s="7">
        <v>45729</v>
      </c>
      <c r="D1969" s="7">
        <v>45731</v>
      </c>
      <c r="E1969" t="s">
        <v>26</v>
      </c>
      <c r="F1969" t="s">
        <v>50</v>
      </c>
      <c r="G1969">
        <v>4</v>
      </c>
      <c r="H1969" t="s">
        <v>18</v>
      </c>
      <c r="I1969" t="s">
        <v>107</v>
      </c>
      <c r="J1969">
        <f>orders[[#This Row],[Ship Date]]-orders[[#This Row],[Order Date]]</f>
        <v>2</v>
      </c>
      <c r="K1969">
        <f>WEEKNUM(orders[[#This Row],[Order Date]])</f>
        <v>11</v>
      </c>
      <c r="L1969" t="str" cm="1">
        <f t="array" ref="L1969">_xlfn.IFS(orders[[#This Row],[Customer Gender]]="M","Male", orders[[#This Row],[Customer Gender]]="F","Female", orders[[#This Row],[Customer Gender]]="O","Other", TRUE,"Unknown")</f>
        <v>Female</v>
      </c>
      <c r="M1969">
        <v>5</v>
      </c>
      <c r="N1969">
        <v>85.3</v>
      </c>
      <c r="O1969">
        <v>426.5</v>
      </c>
    </row>
    <row r="1970" spans="1:15" x14ac:dyDescent="0.3">
      <c r="A1970" t="s">
        <v>2069</v>
      </c>
      <c r="B1970" t="s">
        <v>41</v>
      </c>
      <c r="C1970" s="7">
        <v>45729</v>
      </c>
      <c r="D1970" s="7">
        <v>45737</v>
      </c>
      <c r="E1970" t="s">
        <v>88</v>
      </c>
      <c r="F1970" t="s">
        <v>34</v>
      </c>
      <c r="G1970">
        <v>3</v>
      </c>
      <c r="H1970" t="s">
        <v>18</v>
      </c>
      <c r="I1970" t="s">
        <v>109</v>
      </c>
      <c r="J1970">
        <f>orders[[#This Row],[Ship Date]]-orders[[#This Row],[Order Date]]</f>
        <v>8</v>
      </c>
      <c r="K1970">
        <f>WEEKNUM(orders[[#This Row],[Order Date]])</f>
        <v>11</v>
      </c>
      <c r="L1970" t="str" cm="1">
        <f t="array" ref="L1970">_xlfn.IFS(orders[[#This Row],[Customer Gender]]="M","Male", orders[[#This Row],[Customer Gender]]="F","Female", orders[[#This Row],[Customer Gender]]="O","Other", TRUE,"Unknown")</f>
        <v>Other</v>
      </c>
      <c r="M1970">
        <v>5</v>
      </c>
      <c r="N1970">
        <v>80.8</v>
      </c>
      <c r="O1970" s="5">
        <v>404</v>
      </c>
    </row>
    <row r="1971" spans="1:15" x14ac:dyDescent="0.3">
      <c r="A1971" t="s">
        <v>2070</v>
      </c>
      <c r="B1971" t="s">
        <v>25</v>
      </c>
      <c r="C1971" s="7">
        <v>45729</v>
      </c>
      <c r="D1971" s="7">
        <v>45731</v>
      </c>
      <c r="E1971" t="s">
        <v>2517</v>
      </c>
      <c r="F1971" t="s">
        <v>39</v>
      </c>
      <c r="G1971">
        <v>4</v>
      </c>
      <c r="H1971" t="s">
        <v>18</v>
      </c>
      <c r="I1971" t="s">
        <v>114</v>
      </c>
      <c r="J1971">
        <f>orders[[#This Row],[Ship Date]]-orders[[#This Row],[Order Date]]</f>
        <v>2</v>
      </c>
      <c r="K1971">
        <f>WEEKNUM(orders[[#This Row],[Order Date]])</f>
        <v>11</v>
      </c>
      <c r="L1971" t="str" cm="1">
        <f t="array" ref="L1971">_xlfn.IFS(orders[[#This Row],[Customer Gender]]="M","Male", orders[[#This Row],[Customer Gender]]="F","Female", orders[[#This Row],[Customer Gender]]="O","Other", TRUE,"Unknown")</f>
        <v>Unknown</v>
      </c>
      <c r="M1971">
        <v>3</v>
      </c>
      <c r="N1971">
        <v>123.1</v>
      </c>
      <c r="O1971">
        <v>369.29999999999995</v>
      </c>
    </row>
    <row r="1972" spans="1:15" x14ac:dyDescent="0.3">
      <c r="A1972" t="s">
        <v>2071</v>
      </c>
      <c r="B1972" t="s">
        <v>43</v>
      </c>
      <c r="C1972" s="7">
        <v>45729</v>
      </c>
      <c r="D1972" s="7">
        <v>45731</v>
      </c>
      <c r="E1972" t="s">
        <v>26</v>
      </c>
      <c r="F1972" t="s">
        <v>39</v>
      </c>
      <c r="G1972">
        <v>2</v>
      </c>
      <c r="H1972" t="s">
        <v>18</v>
      </c>
      <c r="I1972" t="s">
        <v>966</v>
      </c>
      <c r="J1972">
        <f>orders[[#This Row],[Ship Date]]-orders[[#This Row],[Order Date]]</f>
        <v>2</v>
      </c>
      <c r="K1972">
        <f>WEEKNUM(orders[[#This Row],[Order Date]])</f>
        <v>11</v>
      </c>
      <c r="L1972" t="str" cm="1">
        <f t="array" ref="L1972">_xlfn.IFS(orders[[#This Row],[Customer Gender]]="M","Male", orders[[#This Row],[Customer Gender]]="F","Female", orders[[#This Row],[Customer Gender]]="O","Other", TRUE,"Unknown")</f>
        <v>Female</v>
      </c>
      <c r="M1972">
        <v>2</v>
      </c>
      <c r="N1972">
        <v>36.9</v>
      </c>
      <c r="O1972" s="5">
        <v>73.8</v>
      </c>
    </row>
    <row r="1973" spans="1:15" x14ac:dyDescent="0.3">
      <c r="A1973" t="s">
        <v>2072</v>
      </c>
      <c r="B1973" t="s">
        <v>66</v>
      </c>
      <c r="C1973" s="7">
        <v>45729</v>
      </c>
      <c r="D1973" s="7">
        <v>45730</v>
      </c>
      <c r="E1973" t="s">
        <v>22</v>
      </c>
      <c r="F1973" t="s">
        <v>17</v>
      </c>
      <c r="G1973">
        <v>4</v>
      </c>
      <c r="H1973" t="s">
        <v>18</v>
      </c>
      <c r="I1973" t="s">
        <v>23</v>
      </c>
      <c r="J1973">
        <f>orders[[#This Row],[Ship Date]]-orders[[#This Row],[Order Date]]</f>
        <v>1</v>
      </c>
      <c r="K1973">
        <f>WEEKNUM(orders[[#This Row],[Order Date]])</f>
        <v>11</v>
      </c>
      <c r="L1973" t="str" cm="1">
        <f t="array" ref="L1973">_xlfn.IFS(orders[[#This Row],[Customer Gender]]="M","Male", orders[[#This Row],[Customer Gender]]="F","Female", orders[[#This Row],[Customer Gender]]="O","Other", TRUE,"Unknown")</f>
        <v>Male</v>
      </c>
      <c r="M1973">
        <v>5</v>
      </c>
      <c r="N1973">
        <v>40</v>
      </c>
      <c r="O1973">
        <v>200</v>
      </c>
    </row>
    <row r="1974" spans="1:15" x14ac:dyDescent="0.3">
      <c r="A1974" t="s">
        <v>2073</v>
      </c>
      <c r="B1974" t="s">
        <v>38</v>
      </c>
      <c r="C1974" s="7">
        <v>45729</v>
      </c>
      <c r="D1974" s="7">
        <v>45730</v>
      </c>
      <c r="E1974" t="s">
        <v>22</v>
      </c>
      <c r="F1974" t="s">
        <v>69</v>
      </c>
      <c r="G1974">
        <v>5</v>
      </c>
      <c r="H1974" t="s">
        <v>18</v>
      </c>
      <c r="I1974" t="s">
        <v>23</v>
      </c>
      <c r="J1974">
        <f>orders[[#This Row],[Ship Date]]-orders[[#This Row],[Order Date]]</f>
        <v>1</v>
      </c>
      <c r="K1974">
        <f>WEEKNUM(orders[[#This Row],[Order Date]])</f>
        <v>11</v>
      </c>
      <c r="L1974" t="str" cm="1">
        <f t="array" ref="L1974">_xlfn.IFS(orders[[#This Row],[Customer Gender]]="M","Male", orders[[#This Row],[Customer Gender]]="F","Female", orders[[#This Row],[Customer Gender]]="O","Other", TRUE,"Unknown")</f>
        <v>Male</v>
      </c>
      <c r="M1974">
        <v>3</v>
      </c>
      <c r="N1974">
        <v>55.5</v>
      </c>
      <c r="O1974" s="5">
        <v>166.5</v>
      </c>
    </row>
    <row r="1975" spans="1:15" x14ac:dyDescent="0.3">
      <c r="A1975" t="s">
        <v>2074</v>
      </c>
      <c r="B1975" t="s">
        <v>16</v>
      </c>
      <c r="C1975" s="7">
        <v>45729</v>
      </c>
      <c r="D1975" s="7">
        <v>45733</v>
      </c>
      <c r="E1975" t="s">
        <v>26</v>
      </c>
      <c r="F1975" t="s">
        <v>69</v>
      </c>
      <c r="G1975">
        <v>4</v>
      </c>
      <c r="H1975" t="s">
        <v>18</v>
      </c>
      <c r="I1975" t="s">
        <v>23</v>
      </c>
      <c r="J1975">
        <f>orders[[#This Row],[Ship Date]]-orders[[#This Row],[Order Date]]</f>
        <v>4</v>
      </c>
      <c r="K1975">
        <f>WEEKNUM(orders[[#This Row],[Order Date]])</f>
        <v>11</v>
      </c>
      <c r="L1975" t="str" cm="1">
        <f t="array" ref="L1975">_xlfn.IFS(orders[[#This Row],[Customer Gender]]="M","Male", orders[[#This Row],[Customer Gender]]="F","Female", orders[[#This Row],[Customer Gender]]="O","Other", TRUE,"Unknown")</f>
        <v>Female</v>
      </c>
      <c r="M1975">
        <v>4</v>
      </c>
      <c r="N1975">
        <v>20.5</v>
      </c>
      <c r="O1975">
        <v>82</v>
      </c>
    </row>
    <row r="1976" spans="1:15" x14ac:dyDescent="0.3">
      <c r="A1976" t="s">
        <v>2075</v>
      </c>
      <c r="B1976" t="s">
        <v>145</v>
      </c>
      <c r="C1976" s="7">
        <v>45729</v>
      </c>
      <c r="D1976" s="7">
        <v>45730</v>
      </c>
      <c r="E1976" t="s">
        <v>26</v>
      </c>
      <c r="F1976" t="s">
        <v>69</v>
      </c>
      <c r="G1976">
        <v>4</v>
      </c>
      <c r="H1976" t="s">
        <v>18</v>
      </c>
      <c r="I1976" t="s">
        <v>23</v>
      </c>
      <c r="J1976">
        <f>orders[[#This Row],[Ship Date]]-orders[[#This Row],[Order Date]]</f>
        <v>1</v>
      </c>
      <c r="K1976">
        <f>WEEKNUM(orders[[#This Row],[Order Date]])</f>
        <v>11</v>
      </c>
      <c r="L1976" t="str" cm="1">
        <f t="array" ref="L1976">_xlfn.IFS(orders[[#This Row],[Customer Gender]]="M","Male", orders[[#This Row],[Customer Gender]]="F","Female", orders[[#This Row],[Customer Gender]]="O","Other", TRUE,"Unknown")</f>
        <v>Female</v>
      </c>
      <c r="M1976">
        <v>4</v>
      </c>
      <c r="N1976">
        <v>50.1</v>
      </c>
      <c r="O1976" s="5">
        <v>200.4</v>
      </c>
    </row>
    <row r="1977" spans="1:15" x14ac:dyDescent="0.3">
      <c r="A1977" t="s">
        <v>2076</v>
      </c>
      <c r="B1977" t="s">
        <v>45</v>
      </c>
      <c r="C1977" s="7">
        <v>45729</v>
      </c>
      <c r="D1977" s="7">
        <v>45731</v>
      </c>
      <c r="E1977" t="s">
        <v>22</v>
      </c>
      <c r="F1977" t="s">
        <v>34</v>
      </c>
      <c r="G1977">
        <v>5</v>
      </c>
      <c r="H1977" t="s">
        <v>18</v>
      </c>
      <c r="I1977" t="s">
        <v>23</v>
      </c>
      <c r="J1977">
        <f>orders[[#This Row],[Ship Date]]-orders[[#This Row],[Order Date]]</f>
        <v>2</v>
      </c>
      <c r="K1977">
        <f>WEEKNUM(orders[[#This Row],[Order Date]])</f>
        <v>11</v>
      </c>
      <c r="L1977" t="str" cm="1">
        <f t="array" ref="L1977">_xlfn.IFS(orders[[#This Row],[Customer Gender]]="M","Male", orders[[#This Row],[Customer Gender]]="F","Female", orders[[#This Row],[Customer Gender]]="O","Other", TRUE,"Unknown")</f>
        <v>Male</v>
      </c>
      <c r="M1977">
        <v>1</v>
      </c>
      <c r="N1977">
        <v>35.9</v>
      </c>
      <c r="O1977">
        <v>35.9</v>
      </c>
    </row>
    <row r="1978" spans="1:15" x14ac:dyDescent="0.3">
      <c r="A1978" t="s">
        <v>2077</v>
      </c>
      <c r="B1978" t="s">
        <v>75</v>
      </c>
      <c r="C1978" s="7">
        <v>45730</v>
      </c>
      <c r="D1978" s="7">
        <v>45731</v>
      </c>
      <c r="E1978" t="s">
        <v>22</v>
      </c>
      <c r="F1978" t="s">
        <v>39</v>
      </c>
      <c r="G1978">
        <v>5</v>
      </c>
      <c r="H1978" t="s">
        <v>18</v>
      </c>
      <c r="I1978" t="s">
        <v>330</v>
      </c>
      <c r="J1978">
        <f>orders[[#This Row],[Ship Date]]-orders[[#This Row],[Order Date]]</f>
        <v>1</v>
      </c>
      <c r="K1978">
        <f>WEEKNUM(orders[[#This Row],[Order Date]])</f>
        <v>11</v>
      </c>
      <c r="L1978" t="str" cm="1">
        <f t="array" ref="L1978">_xlfn.IFS(orders[[#This Row],[Customer Gender]]="M","Male", orders[[#This Row],[Customer Gender]]="F","Female", orders[[#This Row],[Customer Gender]]="O","Other", TRUE,"Unknown")</f>
        <v>Male</v>
      </c>
      <c r="M1978">
        <v>4</v>
      </c>
      <c r="N1978">
        <v>29.4</v>
      </c>
      <c r="O1978" s="5">
        <v>117.6</v>
      </c>
    </row>
    <row r="1979" spans="1:15" x14ac:dyDescent="0.3">
      <c r="A1979" t="s">
        <v>2078</v>
      </c>
      <c r="B1979" t="s">
        <v>43</v>
      </c>
      <c r="C1979" s="7">
        <v>45730</v>
      </c>
      <c r="D1979" s="7">
        <v>45738</v>
      </c>
      <c r="E1979" t="s">
        <v>88</v>
      </c>
      <c r="F1979" t="s">
        <v>39</v>
      </c>
      <c r="G1979">
        <v>3</v>
      </c>
      <c r="H1979" t="s">
        <v>18</v>
      </c>
      <c r="I1979" t="s">
        <v>330</v>
      </c>
      <c r="J1979">
        <f>orders[[#This Row],[Ship Date]]-orders[[#This Row],[Order Date]]</f>
        <v>8</v>
      </c>
      <c r="K1979">
        <f>WEEKNUM(orders[[#This Row],[Order Date]])</f>
        <v>11</v>
      </c>
      <c r="L1979" t="str" cm="1">
        <f t="array" ref="L1979">_xlfn.IFS(orders[[#This Row],[Customer Gender]]="M","Male", orders[[#This Row],[Customer Gender]]="F","Female", orders[[#This Row],[Customer Gender]]="O","Other", TRUE,"Unknown")</f>
        <v>Other</v>
      </c>
      <c r="M1979">
        <v>5</v>
      </c>
      <c r="N1979">
        <v>29.1</v>
      </c>
      <c r="O1979">
        <v>145.5</v>
      </c>
    </row>
    <row r="1980" spans="1:15" x14ac:dyDescent="0.3">
      <c r="A1980" t="s">
        <v>2079</v>
      </c>
      <c r="B1980" t="s">
        <v>43</v>
      </c>
      <c r="C1980" s="7">
        <v>45730</v>
      </c>
      <c r="D1980" s="7">
        <v>45742</v>
      </c>
      <c r="E1980" t="s">
        <v>22</v>
      </c>
      <c r="F1980" t="s">
        <v>17</v>
      </c>
      <c r="G1980">
        <v>5</v>
      </c>
      <c r="H1980" t="s">
        <v>18</v>
      </c>
      <c r="I1980" t="s">
        <v>146</v>
      </c>
      <c r="J1980">
        <f>orders[[#This Row],[Ship Date]]-orders[[#This Row],[Order Date]]</f>
        <v>12</v>
      </c>
      <c r="K1980">
        <f>WEEKNUM(orders[[#This Row],[Order Date]])</f>
        <v>11</v>
      </c>
      <c r="L1980" t="str" cm="1">
        <f t="array" ref="L1980">_xlfn.IFS(orders[[#This Row],[Customer Gender]]="M","Male", orders[[#This Row],[Customer Gender]]="F","Female", orders[[#This Row],[Customer Gender]]="O","Other", TRUE,"Unknown")</f>
        <v>Male</v>
      </c>
      <c r="M1980">
        <v>3</v>
      </c>
      <c r="N1980">
        <v>33.5</v>
      </c>
      <c r="O1980" s="5">
        <v>100.5</v>
      </c>
    </row>
    <row r="1981" spans="1:15" x14ac:dyDescent="0.3">
      <c r="A1981" t="s">
        <v>2080</v>
      </c>
      <c r="B1981" t="s">
        <v>31</v>
      </c>
      <c r="C1981" s="7">
        <v>45730</v>
      </c>
      <c r="D1981" s="7">
        <v>45730</v>
      </c>
      <c r="E1981" t="s">
        <v>22</v>
      </c>
      <c r="F1981" t="s">
        <v>50</v>
      </c>
      <c r="G1981">
        <v>5</v>
      </c>
      <c r="H1981" t="s">
        <v>18</v>
      </c>
      <c r="I1981" t="s">
        <v>32</v>
      </c>
      <c r="J1981">
        <f>orders[[#This Row],[Ship Date]]-orders[[#This Row],[Order Date]]</f>
        <v>0</v>
      </c>
      <c r="K1981">
        <f>WEEKNUM(orders[[#This Row],[Order Date]])</f>
        <v>11</v>
      </c>
      <c r="L1981" t="str" cm="1">
        <f t="array" ref="L1981">_xlfn.IFS(orders[[#This Row],[Customer Gender]]="M","Male", orders[[#This Row],[Customer Gender]]="F","Female", orders[[#This Row],[Customer Gender]]="O","Other", TRUE,"Unknown")</f>
        <v>Male</v>
      </c>
      <c r="M1981">
        <v>10</v>
      </c>
      <c r="N1981">
        <v>36</v>
      </c>
      <c r="O1981">
        <v>360</v>
      </c>
    </row>
    <row r="1982" spans="1:15" x14ac:dyDescent="0.3">
      <c r="A1982" t="s">
        <v>2081</v>
      </c>
      <c r="B1982" t="s">
        <v>127</v>
      </c>
      <c r="C1982" s="7">
        <v>45730</v>
      </c>
      <c r="D1982" s="7">
        <v>45734</v>
      </c>
      <c r="E1982" t="s">
        <v>26</v>
      </c>
      <c r="F1982" t="s">
        <v>17</v>
      </c>
      <c r="G1982">
        <v>5</v>
      </c>
      <c r="H1982" t="s">
        <v>18</v>
      </c>
      <c r="I1982" t="s">
        <v>32</v>
      </c>
      <c r="J1982">
        <f>orders[[#This Row],[Ship Date]]-orders[[#This Row],[Order Date]]</f>
        <v>4</v>
      </c>
      <c r="K1982">
        <f>WEEKNUM(orders[[#This Row],[Order Date]])</f>
        <v>11</v>
      </c>
      <c r="L1982" t="str" cm="1">
        <f t="array" ref="L1982">_xlfn.IFS(orders[[#This Row],[Customer Gender]]="M","Male", orders[[#This Row],[Customer Gender]]="F","Female", orders[[#This Row],[Customer Gender]]="O","Other", TRUE,"Unknown")</f>
        <v>Female</v>
      </c>
      <c r="M1982">
        <v>3</v>
      </c>
      <c r="N1982">
        <v>57.3</v>
      </c>
      <c r="O1982" s="5">
        <v>171.89999999999998</v>
      </c>
    </row>
    <row r="1983" spans="1:15" x14ac:dyDescent="0.3">
      <c r="A1983" t="s">
        <v>2082</v>
      </c>
      <c r="B1983" t="s">
        <v>21</v>
      </c>
      <c r="C1983" s="7">
        <v>45730</v>
      </c>
      <c r="D1983" s="7">
        <v>45731</v>
      </c>
      <c r="E1983" t="s">
        <v>26</v>
      </c>
      <c r="F1983" t="s">
        <v>39</v>
      </c>
      <c r="G1983">
        <v>5</v>
      </c>
      <c r="H1983" t="s">
        <v>18</v>
      </c>
      <c r="I1983" t="s">
        <v>32</v>
      </c>
      <c r="J1983">
        <f>orders[[#This Row],[Ship Date]]-orders[[#This Row],[Order Date]]</f>
        <v>1</v>
      </c>
      <c r="K1983">
        <f>WEEKNUM(orders[[#This Row],[Order Date]])</f>
        <v>11</v>
      </c>
      <c r="L1983" t="str" cm="1">
        <f t="array" ref="L1983">_xlfn.IFS(orders[[#This Row],[Customer Gender]]="M","Male", orders[[#This Row],[Customer Gender]]="F","Female", orders[[#This Row],[Customer Gender]]="O","Other", TRUE,"Unknown")</f>
        <v>Female</v>
      </c>
      <c r="M1983">
        <v>1</v>
      </c>
      <c r="N1983">
        <v>81.400000000000006</v>
      </c>
      <c r="O1983">
        <v>81.400000000000006</v>
      </c>
    </row>
    <row r="1984" spans="1:15" x14ac:dyDescent="0.3">
      <c r="A1984" t="s">
        <v>2083</v>
      </c>
      <c r="B1984" t="s">
        <v>53</v>
      </c>
      <c r="C1984" s="7">
        <v>45730</v>
      </c>
      <c r="D1984" s="7">
        <v>45734</v>
      </c>
      <c r="E1984" t="s">
        <v>22</v>
      </c>
      <c r="F1984" t="s">
        <v>17</v>
      </c>
      <c r="G1984">
        <v>5</v>
      </c>
      <c r="H1984" t="s">
        <v>18</v>
      </c>
      <c r="I1984" t="s">
        <v>32</v>
      </c>
      <c r="J1984">
        <f>orders[[#This Row],[Ship Date]]-orders[[#This Row],[Order Date]]</f>
        <v>4</v>
      </c>
      <c r="K1984">
        <f>WEEKNUM(orders[[#This Row],[Order Date]])</f>
        <v>11</v>
      </c>
      <c r="L1984" t="str" cm="1">
        <f t="array" ref="L1984">_xlfn.IFS(orders[[#This Row],[Customer Gender]]="M","Male", orders[[#This Row],[Customer Gender]]="F","Female", orders[[#This Row],[Customer Gender]]="O","Other", TRUE,"Unknown")</f>
        <v>Male</v>
      </c>
      <c r="M1984">
        <v>2</v>
      </c>
      <c r="N1984">
        <v>35.299999999999997</v>
      </c>
      <c r="O1984" s="5">
        <v>70.599999999999994</v>
      </c>
    </row>
    <row r="1985" spans="1:15" x14ac:dyDescent="0.3">
      <c r="A1985" t="s">
        <v>2084</v>
      </c>
      <c r="B1985" t="s">
        <v>29</v>
      </c>
      <c r="C1985" s="7">
        <v>45730</v>
      </c>
      <c r="D1985" s="7">
        <v>45731</v>
      </c>
      <c r="E1985" t="s">
        <v>26</v>
      </c>
      <c r="F1985" t="s">
        <v>69</v>
      </c>
      <c r="G1985">
        <v>4</v>
      </c>
      <c r="H1985" t="s">
        <v>18</v>
      </c>
      <c r="I1985" t="s">
        <v>32</v>
      </c>
      <c r="J1985">
        <f>orders[[#This Row],[Ship Date]]-orders[[#This Row],[Order Date]]</f>
        <v>1</v>
      </c>
      <c r="K1985">
        <f>WEEKNUM(orders[[#This Row],[Order Date]])</f>
        <v>11</v>
      </c>
      <c r="L1985" t="str" cm="1">
        <f t="array" ref="L1985">_xlfn.IFS(orders[[#This Row],[Customer Gender]]="M","Male", orders[[#This Row],[Customer Gender]]="F","Female", orders[[#This Row],[Customer Gender]]="O","Other", TRUE,"Unknown")</f>
        <v>Female</v>
      </c>
      <c r="M1985">
        <v>1</v>
      </c>
      <c r="N1985">
        <v>36.1</v>
      </c>
      <c r="O1985">
        <v>36.1</v>
      </c>
    </row>
    <row r="1986" spans="1:15" x14ac:dyDescent="0.3">
      <c r="A1986" t="s">
        <v>2085</v>
      </c>
      <c r="B1986" t="s">
        <v>21</v>
      </c>
      <c r="C1986" s="7">
        <v>45730</v>
      </c>
      <c r="D1986" s="7">
        <v>45732</v>
      </c>
      <c r="E1986" t="s">
        <v>26</v>
      </c>
      <c r="F1986" t="s">
        <v>17</v>
      </c>
      <c r="G1986">
        <v>5</v>
      </c>
      <c r="H1986" t="s">
        <v>18</v>
      </c>
      <c r="I1986" t="s">
        <v>32</v>
      </c>
      <c r="J1986">
        <f>orders[[#This Row],[Ship Date]]-orders[[#This Row],[Order Date]]</f>
        <v>2</v>
      </c>
      <c r="K1986">
        <f>WEEKNUM(orders[[#This Row],[Order Date]])</f>
        <v>11</v>
      </c>
      <c r="L1986" t="str" cm="1">
        <f t="array" ref="L1986">_xlfn.IFS(orders[[#This Row],[Customer Gender]]="M","Male", orders[[#This Row],[Customer Gender]]="F","Female", orders[[#This Row],[Customer Gender]]="O","Other", TRUE,"Unknown")</f>
        <v>Female</v>
      </c>
      <c r="M1986">
        <v>2</v>
      </c>
      <c r="N1986">
        <v>36.700000000000003</v>
      </c>
      <c r="O1986" s="5">
        <v>73.400000000000006</v>
      </c>
    </row>
    <row r="1987" spans="1:15" x14ac:dyDescent="0.3">
      <c r="A1987" t="s">
        <v>2086</v>
      </c>
      <c r="B1987" t="s">
        <v>53</v>
      </c>
      <c r="C1987" s="7">
        <v>45730</v>
      </c>
      <c r="D1987" s="7">
        <v>45732</v>
      </c>
      <c r="E1987" t="s">
        <v>26</v>
      </c>
      <c r="F1987" t="s">
        <v>17</v>
      </c>
      <c r="G1987">
        <v>2</v>
      </c>
      <c r="H1987" t="s">
        <v>18</v>
      </c>
      <c r="I1987" t="s">
        <v>32</v>
      </c>
      <c r="J1987">
        <f>orders[[#This Row],[Ship Date]]-orders[[#This Row],[Order Date]]</f>
        <v>2</v>
      </c>
      <c r="K1987">
        <f>WEEKNUM(orders[[#This Row],[Order Date]])</f>
        <v>11</v>
      </c>
      <c r="L1987" t="str" cm="1">
        <f t="array" ref="L1987">_xlfn.IFS(orders[[#This Row],[Customer Gender]]="M","Male", orders[[#This Row],[Customer Gender]]="F","Female", orders[[#This Row],[Customer Gender]]="O","Other", TRUE,"Unknown")</f>
        <v>Female</v>
      </c>
      <c r="M1987">
        <v>1</v>
      </c>
      <c r="N1987">
        <v>20.9</v>
      </c>
      <c r="O1987">
        <v>20.9</v>
      </c>
    </row>
    <row r="1988" spans="1:15" x14ac:dyDescent="0.3">
      <c r="A1988" t="s">
        <v>2087</v>
      </c>
      <c r="B1988" t="s">
        <v>68</v>
      </c>
      <c r="C1988" s="7">
        <v>45730</v>
      </c>
      <c r="D1988" s="7">
        <v>45734</v>
      </c>
      <c r="E1988" t="s">
        <v>22</v>
      </c>
      <c r="F1988" t="s">
        <v>17</v>
      </c>
      <c r="G1988">
        <v>5</v>
      </c>
      <c r="H1988" t="s">
        <v>18</v>
      </c>
      <c r="I1988" t="s">
        <v>187</v>
      </c>
      <c r="J1988">
        <f>orders[[#This Row],[Ship Date]]-orders[[#This Row],[Order Date]]</f>
        <v>4</v>
      </c>
      <c r="K1988">
        <f>WEEKNUM(orders[[#This Row],[Order Date]])</f>
        <v>11</v>
      </c>
      <c r="L1988" t="str" cm="1">
        <f t="array" ref="L1988">_xlfn.IFS(orders[[#This Row],[Customer Gender]]="M","Male", orders[[#This Row],[Customer Gender]]="F","Female", orders[[#This Row],[Customer Gender]]="O","Other", TRUE,"Unknown")</f>
        <v>Male</v>
      </c>
      <c r="M1988">
        <v>3</v>
      </c>
      <c r="N1988">
        <v>58.8</v>
      </c>
      <c r="O1988" s="5">
        <v>176.39999999999998</v>
      </c>
    </row>
    <row r="1989" spans="1:15" x14ac:dyDescent="0.3">
      <c r="A1989" t="s">
        <v>2088</v>
      </c>
      <c r="B1989" t="s">
        <v>25</v>
      </c>
      <c r="C1989" s="7">
        <v>45731</v>
      </c>
      <c r="D1989" s="7">
        <v>45733</v>
      </c>
      <c r="E1989" t="s">
        <v>2517</v>
      </c>
      <c r="F1989" t="s">
        <v>17</v>
      </c>
      <c r="G1989">
        <v>4</v>
      </c>
      <c r="H1989" t="s">
        <v>18</v>
      </c>
      <c r="I1989" t="s">
        <v>54</v>
      </c>
      <c r="J1989">
        <f>orders[[#This Row],[Ship Date]]-orders[[#This Row],[Order Date]]</f>
        <v>2</v>
      </c>
      <c r="K1989">
        <f>WEEKNUM(orders[[#This Row],[Order Date]])</f>
        <v>11</v>
      </c>
      <c r="L1989" t="str" cm="1">
        <f t="array" ref="L1989">_xlfn.IFS(orders[[#This Row],[Customer Gender]]="M","Male", orders[[#This Row],[Customer Gender]]="F","Female", orders[[#This Row],[Customer Gender]]="O","Other", TRUE,"Unknown")</f>
        <v>Unknown</v>
      </c>
      <c r="M1989">
        <v>3</v>
      </c>
      <c r="N1989">
        <v>97.6</v>
      </c>
      <c r="O1989">
        <v>292.79999999999995</v>
      </c>
    </row>
    <row r="1990" spans="1:15" x14ac:dyDescent="0.3">
      <c r="A1990" t="s">
        <v>2089</v>
      </c>
      <c r="B1990" t="s">
        <v>21</v>
      </c>
      <c r="C1990" s="7">
        <v>45731</v>
      </c>
      <c r="D1990" s="7">
        <v>45734</v>
      </c>
      <c r="E1990" t="s">
        <v>26</v>
      </c>
      <c r="F1990" t="s">
        <v>17</v>
      </c>
      <c r="G1990">
        <v>3</v>
      </c>
      <c r="H1990" t="s">
        <v>18</v>
      </c>
      <c r="I1990" t="s">
        <v>54</v>
      </c>
      <c r="J1990">
        <f>orders[[#This Row],[Ship Date]]-orders[[#This Row],[Order Date]]</f>
        <v>3</v>
      </c>
      <c r="K1990">
        <f>WEEKNUM(orders[[#This Row],[Order Date]])</f>
        <v>11</v>
      </c>
      <c r="L1990" t="str" cm="1">
        <f t="array" ref="L1990">_xlfn.IFS(orders[[#This Row],[Customer Gender]]="M","Male", orders[[#This Row],[Customer Gender]]="F","Female", orders[[#This Row],[Customer Gender]]="O","Other", TRUE,"Unknown")</f>
        <v>Female</v>
      </c>
      <c r="M1990">
        <v>2</v>
      </c>
      <c r="N1990">
        <v>58.7</v>
      </c>
      <c r="O1990" s="5">
        <v>117.4</v>
      </c>
    </row>
    <row r="1991" spans="1:15" x14ac:dyDescent="0.3">
      <c r="A1991" t="s">
        <v>2090</v>
      </c>
      <c r="B1991" t="s">
        <v>38</v>
      </c>
      <c r="C1991" s="7">
        <v>45731</v>
      </c>
      <c r="D1991" s="7">
        <v>45732</v>
      </c>
      <c r="E1991" t="s">
        <v>2517</v>
      </c>
      <c r="F1991" t="s">
        <v>17</v>
      </c>
      <c r="G1991">
        <v>3</v>
      </c>
      <c r="H1991" t="s">
        <v>18</v>
      </c>
      <c r="I1991" t="s">
        <v>54</v>
      </c>
      <c r="J1991">
        <f>orders[[#This Row],[Ship Date]]-orders[[#This Row],[Order Date]]</f>
        <v>1</v>
      </c>
      <c r="K1991">
        <f>WEEKNUM(orders[[#This Row],[Order Date]])</f>
        <v>11</v>
      </c>
      <c r="L1991" t="str" cm="1">
        <f t="array" ref="L1991">_xlfn.IFS(orders[[#This Row],[Customer Gender]]="M","Male", orders[[#This Row],[Customer Gender]]="F","Female", orders[[#This Row],[Customer Gender]]="O","Other", TRUE,"Unknown")</f>
        <v>Unknown</v>
      </c>
      <c r="M1991">
        <v>5</v>
      </c>
      <c r="N1991">
        <v>71.900000000000006</v>
      </c>
      <c r="O1991">
        <v>359.5</v>
      </c>
    </row>
    <row r="1992" spans="1:15" x14ac:dyDescent="0.3">
      <c r="A1992" t="s">
        <v>2091</v>
      </c>
      <c r="B1992" t="s">
        <v>21</v>
      </c>
      <c r="C1992" s="7">
        <v>45731</v>
      </c>
      <c r="D1992" s="7">
        <v>45733</v>
      </c>
      <c r="E1992" t="s">
        <v>2517</v>
      </c>
      <c r="F1992" t="s">
        <v>17</v>
      </c>
      <c r="G1992">
        <v>3</v>
      </c>
      <c r="H1992" t="s">
        <v>18</v>
      </c>
      <c r="I1992" t="s">
        <v>61</v>
      </c>
      <c r="J1992">
        <f>orders[[#This Row],[Ship Date]]-orders[[#This Row],[Order Date]]</f>
        <v>2</v>
      </c>
      <c r="K1992">
        <f>WEEKNUM(orders[[#This Row],[Order Date]])</f>
        <v>11</v>
      </c>
      <c r="L1992" t="str" cm="1">
        <f t="array" ref="L1992">_xlfn.IFS(orders[[#This Row],[Customer Gender]]="M","Male", orders[[#This Row],[Customer Gender]]="F","Female", orders[[#This Row],[Customer Gender]]="O","Other", TRUE,"Unknown")</f>
        <v>Unknown</v>
      </c>
      <c r="M1992">
        <v>2</v>
      </c>
      <c r="N1992">
        <v>62.4</v>
      </c>
      <c r="O1992" s="5">
        <v>124.8</v>
      </c>
    </row>
    <row r="1993" spans="1:15" x14ac:dyDescent="0.3">
      <c r="A1993" t="s">
        <v>2092</v>
      </c>
      <c r="B1993" t="s">
        <v>38</v>
      </c>
      <c r="C1993" s="7">
        <v>45731</v>
      </c>
      <c r="D1993" s="7">
        <v>45732</v>
      </c>
      <c r="E1993" t="s">
        <v>26</v>
      </c>
      <c r="F1993" t="s">
        <v>34</v>
      </c>
      <c r="G1993">
        <v>4</v>
      </c>
      <c r="H1993" t="s">
        <v>18</v>
      </c>
      <c r="I1993" t="s">
        <v>61</v>
      </c>
      <c r="J1993">
        <f>orders[[#This Row],[Ship Date]]-orders[[#This Row],[Order Date]]</f>
        <v>1</v>
      </c>
      <c r="K1993">
        <f>WEEKNUM(orders[[#This Row],[Order Date]])</f>
        <v>11</v>
      </c>
      <c r="L1993" t="str" cm="1">
        <f t="array" ref="L1993">_xlfn.IFS(orders[[#This Row],[Customer Gender]]="M","Male", orders[[#This Row],[Customer Gender]]="F","Female", orders[[#This Row],[Customer Gender]]="O","Other", TRUE,"Unknown")</f>
        <v>Female</v>
      </c>
      <c r="M1993">
        <v>16</v>
      </c>
      <c r="N1993">
        <v>53.8</v>
      </c>
      <c r="O1993">
        <v>860.8</v>
      </c>
    </row>
    <row r="1994" spans="1:15" x14ac:dyDescent="0.3">
      <c r="A1994" t="s">
        <v>2093</v>
      </c>
      <c r="B1994" t="s">
        <v>45</v>
      </c>
      <c r="C1994" s="7">
        <v>45731</v>
      </c>
      <c r="D1994" s="7">
        <v>45738</v>
      </c>
      <c r="E1994" t="s">
        <v>26</v>
      </c>
      <c r="F1994" t="s">
        <v>17</v>
      </c>
      <c r="G1994">
        <v>5</v>
      </c>
      <c r="H1994" t="s">
        <v>18</v>
      </c>
      <c r="I1994" t="s">
        <v>61</v>
      </c>
      <c r="J1994">
        <f>orders[[#This Row],[Ship Date]]-orders[[#This Row],[Order Date]]</f>
        <v>7</v>
      </c>
      <c r="K1994">
        <f>WEEKNUM(orders[[#This Row],[Order Date]])</f>
        <v>11</v>
      </c>
      <c r="L1994" t="str" cm="1">
        <f t="array" ref="L1994">_xlfn.IFS(orders[[#This Row],[Customer Gender]]="M","Male", orders[[#This Row],[Customer Gender]]="F","Female", orders[[#This Row],[Customer Gender]]="O","Other", TRUE,"Unknown")</f>
        <v>Female</v>
      </c>
      <c r="M1994">
        <v>1</v>
      </c>
      <c r="N1994">
        <v>43.8</v>
      </c>
      <c r="O1994" s="5">
        <v>43.8</v>
      </c>
    </row>
    <row r="1995" spans="1:15" x14ac:dyDescent="0.3">
      <c r="A1995" t="s">
        <v>2094</v>
      </c>
      <c r="B1995" t="s">
        <v>36</v>
      </c>
      <c r="C1995" s="7">
        <v>45731</v>
      </c>
      <c r="D1995" s="7">
        <v>45732</v>
      </c>
      <c r="E1995" t="s">
        <v>22</v>
      </c>
      <c r="F1995" t="s">
        <v>50</v>
      </c>
      <c r="G1995">
        <v>4</v>
      </c>
      <c r="H1995" t="s">
        <v>18</v>
      </c>
      <c r="I1995" t="s">
        <v>61</v>
      </c>
      <c r="J1995">
        <f>orders[[#This Row],[Ship Date]]-orders[[#This Row],[Order Date]]</f>
        <v>1</v>
      </c>
      <c r="K1995">
        <f>WEEKNUM(orders[[#This Row],[Order Date]])</f>
        <v>11</v>
      </c>
      <c r="L1995" t="str" cm="1">
        <f t="array" ref="L1995">_xlfn.IFS(orders[[#This Row],[Customer Gender]]="M","Male", orders[[#This Row],[Customer Gender]]="F","Female", orders[[#This Row],[Customer Gender]]="O","Other", TRUE,"Unknown")</f>
        <v>Male</v>
      </c>
      <c r="M1995">
        <v>3</v>
      </c>
      <c r="N1995">
        <v>53.6</v>
      </c>
      <c r="O1995">
        <v>160.80000000000001</v>
      </c>
    </row>
    <row r="1996" spans="1:15" x14ac:dyDescent="0.3">
      <c r="A1996" t="s">
        <v>2095</v>
      </c>
      <c r="B1996" t="s">
        <v>68</v>
      </c>
      <c r="C1996" s="7">
        <v>45731</v>
      </c>
      <c r="D1996" s="7">
        <v>45734</v>
      </c>
      <c r="E1996" t="s">
        <v>22</v>
      </c>
      <c r="F1996" t="s">
        <v>69</v>
      </c>
      <c r="G1996">
        <v>3</v>
      </c>
      <c r="H1996" t="s">
        <v>18</v>
      </c>
      <c r="I1996" t="s">
        <v>61</v>
      </c>
      <c r="J1996">
        <f>orders[[#This Row],[Ship Date]]-orders[[#This Row],[Order Date]]</f>
        <v>3</v>
      </c>
      <c r="K1996">
        <f>WEEKNUM(orders[[#This Row],[Order Date]])</f>
        <v>11</v>
      </c>
      <c r="L1996" t="str" cm="1">
        <f t="array" ref="L1996">_xlfn.IFS(orders[[#This Row],[Customer Gender]]="M","Male", orders[[#This Row],[Customer Gender]]="F","Female", orders[[#This Row],[Customer Gender]]="O","Other", TRUE,"Unknown")</f>
        <v>Male</v>
      </c>
      <c r="M1996">
        <v>2</v>
      </c>
      <c r="N1996">
        <v>84.3</v>
      </c>
      <c r="O1996" s="5">
        <v>168.6</v>
      </c>
    </row>
    <row r="1997" spans="1:15" x14ac:dyDescent="0.3">
      <c r="A1997" t="s">
        <v>2096</v>
      </c>
      <c r="B1997" t="s">
        <v>38</v>
      </c>
      <c r="C1997" s="7">
        <v>45731</v>
      </c>
      <c r="D1997" s="7">
        <v>45732</v>
      </c>
      <c r="E1997" t="s">
        <v>26</v>
      </c>
      <c r="F1997" t="s">
        <v>34</v>
      </c>
      <c r="G1997">
        <v>5</v>
      </c>
      <c r="H1997" t="s">
        <v>18</v>
      </c>
      <c r="I1997" t="s">
        <v>61</v>
      </c>
      <c r="J1997">
        <f>orders[[#This Row],[Ship Date]]-orders[[#This Row],[Order Date]]</f>
        <v>1</v>
      </c>
      <c r="K1997">
        <f>WEEKNUM(orders[[#This Row],[Order Date]])</f>
        <v>11</v>
      </c>
      <c r="L1997" t="str" cm="1">
        <f t="array" ref="L1997">_xlfn.IFS(orders[[#This Row],[Customer Gender]]="M","Male", orders[[#This Row],[Customer Gender]]="F","Female", orders[[#This Row],[Customer Gender]]="O","Other", TRUE,"Unknown")</f>
        <v>Female</v>
      </c>
      <c r="M1997">
        <v>9</v>
      </c>
      <c r="N1997">
        <v>117.9</v>
      </c>
      <c r="O1997">
        <v>1061.1000000000001</v>
      </c>
    </row>
    <row r="1998" spans="1:15" x14ac:dyDescent="0.3">
      <c r="A1998" t="s">
        <v>2097</v>
      </c>
      <c r="B1998" t="s">
        <v>31</v>
      </c>
      <c r="C1998" s="7">
        <v>45731</v>
      </c>
      <c r="D1998" s="7">
        <v>45732</v>
      </c>
      <c r="E1998" t="s">
        <v>26</v>
      </c>
      <c r="F1998" t="s">
        <v>34</v>
      </c>
      <c r="G1998">
        <v>4</v>
      </c>
      <c r="H1998" t="s">
        <v>18</v>
      </c>
      <c r="I1998" t="s">
        <v>200</v>
      </c>
      <c r="J1998">
        <f>orders[[#This Row],[Ship Date]]-orders[[#This Row],[Order Date]]</f>
        <v>1</v>
      </c>
      <c r="K1998">
        <f>WEEKNUM(orders[[#This Row],[Order Date]])</f>
        <v>11</v>
      </c>
      <c r="L1998" t="str" cm="1">
        <f t="array" ref="L1998">_xlfn.IFS(orders[[#This Row],[Customer Gender]]="M","Male", orders[[#This Row],[Customer Gender]]="F","Female", orders[[#This Row],[Customer Gender]]="O","Other", TRUE,"Unknown")</f>
        <v>Female</v>
      </c>
      <c r="M1998">
        <v>8</v>
      </c>
      <c r="N1998">
        <v>30</v>
      </c>
      <c r="O1998" s="5">
        <v>240</v>
      </c>
    </row>
    <row r="1999" spans="1:15" x14ac:dyDescent="0.3">
      <c r="A1999" t="s">
        <v>2098</v>
      </c>
      <c r="B1999" t="s">
        <v>80</v>
      </c>
      <c r="C1999" s="7">
        <v>45731</v>
      </c>
      <c r="D1999" s="7">
        <v>45732</v>
      </c>
      <c r="E1999" t="s">
        <v>22</v>
      </c>
      <c r="F1999" t="s">
        <v>39</v>
      </c>
      <c r="G1999">
        <v>4</v>
      </c>
      <c r="H1999" t="s">
        <v>18</v>
      </c>
      <c r="I1999" t="s">
        <v>71</v>
      </c>
      <c r="J1999">
        <f>orders[[#This Row],[Ship Date]]-orders[[#This Row],[Order Date]]</f>
        <v>1</v>
      </c>
      <c r="K1999">
        <f>WEEKNUM(orders[[#This Row],[Order Date]])</f>
        <v>11</v>
      </c>
      <c r="L1999" t="str" cm="1">
        <f t="array" ref="L1999">_xlfn.IFS(orders[[#This Row],[Customer Gender]]="M","Male", orders[[#This Row],[Customer Gender]]="F","Female", orders[[#This Row],[Customer Gender]]="O","Other", TRUE,"Unknown")</f>
        <v>Male</v>
      </c>
      <c r="M1999">
        <v>3</v>
      </c>
      <c r="N1999">
        <v>37.299999999999997</v>
      </c>
      <c r="O1999">
        <v>111.89999999999999</v>
      </c>
    </row>
    <row r="2000" spans="1:15" x14ac:dyDescent="0.3">
      <c r="A2000" t="s">
        <v>2099</v>
      </c>
      <c r="B2000" t="s">
        <v>31</v>
      </c>
      <c r="C2000" s="7">
        <v>45731</v>
      </c>
      <c r="D2000" s="7">
        <v>45733</v>
      </c>
      <c r="E2000" t="s">
        <v>22</v>
      </c>
      <c r="F2000" t="s">
        <v>34</v>
      </c>
      <c r="G2000">
        <v>5</v>
      </c>
      <c r="H2000" t="s">
        <v>18</v>
      </c>
      <c r="I2000" t="s">
        <v>76</v>
      </c>
      <c r="J2000">
        <f>orders[[#This Row],[Ship Date]]-orders[[#This Row],[Order Date]]</f>
        <v>2</v>
      </c>
      <c r="K2000">
        <f>WEEKNUM(orders[[#This Row],[Order Date]])</f>
        <v>11</v>
      </c>
      <c r="L2000" t="str" cm="1">
        <f t="array" ref="L2000">_xlfn.IFS(orders[[#This Row],[Customer Gender]]="M","Male", orders[[#This Row],[Customer Gender]]="F","Female", orders[[#This Row],[Customer Gender]]="O","Other", TRUE,"Unknown")</f>
        <v>Male</v>
      </c>
      <c r="M2000">
        <v>9</v>
      </c>
      <c r="N2000">
        <v>25.1</v>
      </c>
      <c r="O2000" s="5">
        <v>225.9</v>
      </c>
    </row>
    <row r="2001" spans="1:15" x14ac:dyDescent="0.3">
      <c r="A2001" t="s">
        <v>2100</v>
      </c>
      <c r="B2001" t="s">
        <v>43</v>
      </c>
      <c r="C2001" s="7">
        <v>45731</v>
      </c>
      <c r="D2001" s="7">
        <v>45741</v>
      </c>
      <c r="E2001" t="s">
        <v>22</v>
      </c>
      <c r="F2001" t="s">
        <v>34</v>
      </c>
      <c r="G2001">
        <v>4</v>
      </c>
      <c r="H2001" t="s">
        <v>18</v>
      </c>
      <c r="I2001" t="s">
        <v>107</v>
      </c>
      <c r="J2001">
        <f>orders[[#This Row],[Ship Date]]-orders[[#This Row],[Order Date]]</f>
        <v>10</v>
      </c>
      <c r="K2001">
        <f>WEEKNUM(orders[[#This Row],[Order Date]])</f>
        <v>11</v>
      </c>
      <c r="L2001" t="str" cm="1">
        <f t="array" ref="L2001">_xlfn.IFS(orders[[#This Row],[Customer Gender]]="M","Male", orders[[#This Row],[Customer Gender]]="F","Female", orders[[#This Row],[Customer Gender]]="O","Other", TRUE,"Unknown")</f>
        <v>Male</v>
      </c>
      <c r="M2001">
        <v>11</v>
      </c>
      <c r="N2001">
        <v>36</v>
      </c>
      <c r="O2001">
        <v>396</v>
      </c>
    </row>
    <row r="2002" spans="1:15" x14ac:dyDescent="0.3">
      <c r="A2002" t="s">
        <v>2101</v>
      </c>
      <c r="B2002" t="s">
        <v>127</v>
      </c>
      <c r="C2002" s="7">
        <v>45731</v>
      </c>
      <c r="D2002" s="7">
        <v>45735</v>
      </c>
      <c r="E2002" t="s">
        <v>26</v>
      </c>
      <c r="F2002" t="s">
        <v>34</v>
      </c>
      <c r="G2002">
        <v>4</v>
      </c>
      <c r="H2002" t="s">
        <v>18</v>
      </c>
      <c r="I2002" t="s">
        <v>109</v>
      </c>
      <c r="J2002">
        <f>orders[[#This Row],[Ship Date]]-orders[[#This Row],[Order Date]]</f>
        <v>4</v>
      </c>
      <c r="K2002">
        <f>WEEKNUM(orders[[#This Row],[Order Date]])</f>
        <v>11</v>
      </c>
      <c r="L2002" t="str" cm="1">
        <f t="array" ref="L2002">_xlfn.IFS(orders[[#This Row],[Customer Gender]]="M","Male", orders[[#This Row],[Customer Gender]]="F","Female", orders[[#This Row],[Customer Gender]]="O","Other", TRUE,"Unknown")</f>
        <v>Female</v>
      </c>
      <c r="M2002">
        <v>3</v>
      </c>
      <c r="N2002">
        <v>48.5</v>
      </c>
      <c r="O2002" s="5">
        <v>145.5</v>
      </c>
    </row>
    <row r="2003" spans="1:15" x14ac:dyDescent="0.3">
      <c r="A2003" t="s">
        <v>2102</v>
      </c>
      <c r="B2003" t="s">
        <v>134</v>
      </c>
      <c r="C2003" s="7">
        <v>45731</v>
      </c>
      <c r="D2003" s="7">
        <v>45732</v>
      </c>
      <c r="E2003" t="s">
        <v>22</v>
      </c>
      <c r="F2003" t="s">
        <v>34</v>
      </c>
      <c r="G2003">
        <v>5</v>
      </c>
      <c r="H2003" t="s">
        <v>18</v>
      </c>
      <c r="I2003" t="s">
        <v>114</v>
      </c>
      <c r="J2003">
        <f>orders[[#This Row],[Ship Date]]-orders[[#This Row],[Order Date]]</f>
        <v>1</v>
      </c>
      <c r="K2003">
        <f>WEEKNUM(orders[[#This Row],[Order Date]])</f>
        <v>11</v>
      </c>
      <c r="L2003" t="str" cm="1">
        <f t="array" ref="L2003">_xlfn.IFS(orders[[#This Row],[Customer Gender]]="M","Male", orders[[#This Row],[Customer Gender]]="F","Female", orders[[#This Row],[Customer Gender]]="O","Other", TRUE,"Unknown")</f>
        <v>Male</v>
      </c>
      <c r="M2003">
        <v>6</v>
      </c>
      <c r="N2003">
        <v>21.1</v>
      </c>
      <c r="O2003">
        <v>126.60000000000001</v>
      </c>
    </row>
    <row r="2004" spans="1:15" x14ac:dyDescent="0.3">
      <c r="A2004" t="s">
        <v>2103</v>
      </c>
      <c r="B2004" t="s">
        <v>122</v>
      </c>
      <c r="C2004" s="7">
        <v>45731</v>
      </c>
      <c r="D2004" s="7">
        <v>45732</v>
      </c>
      <c r="E2004" t="s">
        <v>88</v>
      </c>
      <c r="F2004" t="s">
        <v>17</v>
      </c>
      <c r="G2004">
        <v>3</v>
      </c>
      <c r="H2004" t="s">
        <v>18</v>
      </c>
      <c r="I2004" t="s">
        <v>114</v>
      </c>
      <c r="J2004">
        <f>orders[[#This Row],[Ship Date]]-orders[[#This Row],[Order Date]]</f>
        <v>1</v>
      </c>
      <c r="K2004">
        <f>WEEKNUM(orders[[#This Row],[Order Date]])</f>
        <v>11</v>
      </c>
      <c r="L2004" t="str" cm="1">
        <f t="array" ref="L2004">_xlfn.IFS(orders[[#This Row],[Customer Gender]]="M","Male", orders[[#This Row],[Customer Gender]]="F","Female", orders[[#This Row],[Customer Gender]]="O","Other", TRUE,"Unknown")</f>
        <v>Other</v>
      </c>
      <c r="M2004">
        <v>14</v>
      </c>
      <c r="N2004">
        <v>43.2</v>
      </c>
      <c r="O2004" s="5">
        <v>604.80000000000007</v>
      </c>
    </row>
    <row r="2005" spans="1:15" x14ac:dyDescent="0.3">
      <c r="A2005" t="s">
        <v>2104</v>
      </c>
      <c r="B2005" t="s">
        <v>45</v>
      </c>
      <c r="C2005" s="7">
        <v>45731</v>
      </c>
      <c r="D2005" s="7">
        <v>45732</v>
      </c>
      <c r="E2005" t="s">
        <v>2517</v>
      </c>
      <c r="F2005" t="s">
        <v>50</v>
      </c>
      <c r="G2005">
        <v>3</v>
      </c>
      <c r="H2005" t="s">
        <v>18</v>
      </c>
      <c r="I2005" t="s">
        <v>114</v>
      </c>
      <c r="J2005">
        <f>orders[[#This Row],[Ship Date]]-orders[[#This Row],[Order Date]]</f>
        <v>1</v>
      </c>
      <c r="K2005">
        <f>WEEKNUM(orders[[#This Row],[Order Date]])</f>
        <v>11</v>
      </c>
      <c r="L2005" t="str" cm="1">
        <f t="array" ref="L2005">_xlfn.IFS(orders[[#This Row],[Customer Gender]]="M","Male", orders[[#This Row],[Customer Gender]]="F","Female", orders[[#This Row],[Customer Gender]]="O","Other", TRUE,"Unknown")</f>
        <v>Unknown</v>
      </c>
      <c r="M2005">
        <v>2</v>
      </c>
      <c r="N2005">
        <v>21.1</v>
      </c>
      <c r="O2005">
        <v>42.2</v>
      </c>
    </row>
    <row r="2006" spans="1:15" x14ac:dyDescent="0.3">
      <c r="A2006" t="s">
        <v>2105</v>
      </c>
      <c r="B2006" t="s">
        <v>38</v>
      </c>
      <c r="C2006" s="7">
        <v>45731</v>
      </c>
      <c r="D2006" s="7">
        <v>45733</v>
      </c>
      <c r="E2006" t="s">
        <v>26</v>
      </c>
      <c r="F2006" t="s">
        <v>50</v>
      </c>
      <c r="G2006">
        <v>5</v>
      </c>
      <c r="H2006" t="s">
        <v>18</v>
      </c>
      <c r="I2006" t="s">
        <v>23</v>
      </c>
      <c r="J2006">
        <f>orders[[#This Row],[Ship Date]]-orders[[#This Row],[Order Date]]</f>
        <v>2</v>
      </c>
      <c r="K2006">
        <f>WEEKNUM(orders[[#This Row],[Order Date]])</f>
        <v>11</v>
      </c>
      <c r="L2006" t="str" cm="1">
        <f t="array" ref="L2006">_xlfn.IFS(orders[[#This Row],[Customer Gender]]="M","Male", orders[[#This Row],[Customer Gender]]="F","Female", orders[[#This Row],[Customer Gender]]="O","Other", TRUE,"Unknown")</f>
        <v>Female</v>
      </c>
      <c r="M2006">
        <v>4</v>
      </c>
      <c r="N2006">
        <v>41.3</v>
      </c>
      <c r="O2006" s="5">
        <v>165.2</v>
      </c>
    </row>
    <row r="2007" spans="1:15" x14ac:dyDescent="0.3">
      <c r="A2007" t="s">
        <v>2106</v>
      </c>
      <c r="B2007" t="s">
        <v>43</v>
      </c>
      <c r="C2007" s="7">
        <v>45731</v>
      </c>
      <c r="D2007" s="7">
        <v>45734</v>
      </c>
      <c r="E2007" t="s">
        <v>2517</v>
      </c>
      <c r="F2007" t="s">
        <v>39</v>
      </c>
      <c r="G2007">
        <v>5</v>
      </c>
      <c r="H2007" t="s">
        <v>18</v>
      </c>
      <c r="I2007" t="s">
        <v>23</v>
      </c>
      <c r="J2007">
        <f>orders[[#This Row],[Ship Date]]-orders[[#This Row],[Order Date]]</f>
        <v>3</v>
      </c>
      <c r="K2007">
        <f>WEEKNUM(orders[[#This Row],[Order Date]])</f>
        <v>11</v>
      </c>
      <c r="L2007" t="str" cm="1">
        <f t="array" ref="L2007">_xlfn.IFS(orders[[#This Row],[Customer Gender]]="M","Male", orders[[#This Row],[Customer Gender]]="F","Female", orders[[#This Row],[Customer Gender]]="O","Other", TRUE,"Unknown")</f>
        <v>Unknown</v>
      </c>
      <c r="M2007">
        <v>2</v>
      </c>
      <c r="N2007">
        <v>15.3</v>
      </c>
      <c r="O2007">
        <v>30.6</v>
      </c>
    </row>
    <row r="2008" spans="1:15" x14ac:dyDescent="0.3">
      <c r="A2008" t="s">
        <v>2107</v>
      </c>
      <c r="B2008" t="s">
        <v>21</v>
      </c>
      <c r="C2008" s="7">
        <v>45731</v>
      </c>
      <c r="D2008" s="7">
        <v>45733</v>
      </c>
      <c r="E2008" t="s">
        <v>22</v>
      </c>
      <c r="F2008" t="s">
        <v>34</v>
      </c>
      <c r="G2008">
        <v>3</v>
      </c>
      <c r="H2008" t="s">
        <v>18</v>
      </c>
      <c r="I2008" t="s">
        <v>27</v>
      </c>
      <c r="J2008">
        <f>orders[[#This Row],[Ship Date]]-orders[[#This Row],[Order Date]]</f>
        <v>2</v>
      </c>
      <c r="K2008">
        <f>WEEKNUM(orders[[#This Row],[Order Date]])</f>
        <v>11</v>
      </c>
      <c r="L2008" t="str" cm="1">
        <f t="array" ref="L2008">_xlfn.IFS(orders[[#This Row],[Customer Gender]]="M","Male", orders[[#This Row],[Customer Gender]]="F","Female", orders[[#This Row],[Customer Gender]]="O","Other", TRUE,"Unknown")</f>
        <v>Male</v>
      </c>
      <c r="M2008">
        <v>1</v>
      </c>
      <c r="N2008">
        <v>54.6</v>
      </c>
      <c r="O2008" s="5">
        <v>54.6</v>
      </c>
    </row>
    <row r="2009" spans="1:15" x14ac:dyDescent="0.3">
      <c r="A2009" t="s">
        <v>2108</v>
      </c>
      <c r="B2009" t="s">
        <v>43</v>
      </c>
      <c r="C2009" s="7">
        <v>45731</v>
      </c>
      <c r="D2009" s="7">
        <v>45732</v>
      </c>
      <c r="E2009" t="s">
        <v>22</v>
      </c>
      <c r="F2009" t="s">
        <v>17</v>
      </c>
      <c r="G2009">
        <v>3</v>
      </c>
      <c r="H2009" t="s">
        <v>18</v>
      </c>
      <c r="I2009" t="s">
        <v>146</v>
      </c>
      <c r="J2009">
        <f>orders[[#This Row],[Ship Date]]-orders[[#This Row],[Order Date]]</f>
        <v>1</v>
      </c>
      <c r="K2009">
        <f>WEEKNUM(orders[[#This Row],[Order Date]])</f>
        <v>11</v>
      </c>
      <c r="L2009" t="str" cm="1">
        <f t="array" ref="L2009">_xlfn.IFS(orders[[#This Row],[Customer Gender]]="M","Male", orders[[#This Row],[Customer Gender]]="F","Female", orders[[#This Row],[Customer Gender]]="O","Other", TRUE,"Unknown")</f>
        <v>Male</v>
      </c>
      <c r="M2009">
        <v>1</v>
      </c>
      <c r="N2009">
        <v>15.9</v>
      </c>
      <c r="O2009">
        <v>15.9</v>
      </c>
    </row>
    <row r="2010" spans="1:15" x14ac:dyDescent="0.3">
      <c r="A2010" t="s">
        <v>2109</v>
      </c>
      <c r="B2010" t="s">
        <v>45</v>
      </c>
      <c r="C2010" s="7">
        <v>45731</v>
      </c>
      <c r="D2010" s="7">
        <v>45733</v>
      </c>
      <c r="E2010" t="s">
        <v>26</v>
      </c>
      <c r="F2010" t="s">
        <v>50</v>
      </c>
      <c r="G2010">
        <v>5</v>
      </c>
      <c r="H2010" t="s">
        <v>18</v>
      </c>
      <c r="I2010" t="s">
        <v>333</v>
      </c>
      <c r="J2010">
        <f>orders[[#This Row],[Ship Date]]-orders[[#This Row],[Order Date]]</f>
        <v>2</v>
      </c>
      <c r="K2010">
        <f>WEEKNUM(orders[[#This Row],[Order Date]])</f>
        <v>11</v>
      </c>
      <c r="L2010" t="str" cm="1">
        <f t="array" ref="L2010">_xlfn.IFS(orders[[#This Row],[Customer Gender]]="M","Male", orders[[#This Row],[Customer Gender]]="F","Female", orders[[#This Row],[Customer Gender]]="O","Other", TRUE,"Unknown")</f>
        <v>Female</v>
      </c>
      <c r="M2010">
        <v>1</v>
      </c>
      <c r="N2010">
        <v>50.2</v>
      </c>
      <c r="O2010" s="5">
        <v>50.2</v>
      </c>
    </row>
    <row r="2011" spans="1:15" x14ac:dyDescent="0.3">
      <c r="A2011" t="s">
        <v>2110</v>
      </c>
      <c r="B2011" t="s">
        <v>66</v>
      </c>
      <c r="C2011" s="7">
        <v>45731</v>
      </c>
      <c r="D2011" s="7">
        <v>45732</v>
      </c>
      <c r="E2011" t="s">
        <v>26</v>
      </c>
      <c r="F2011" t="s">
        <v>50</v>
      </c>
      <c r="G2011">
        <v>2</v>
      </c>
      <c r="H2011" t="s">
        <v>18</v>
      </c>
      <c r="I2011" t="s">
        <v>333</v>
      </c>
      <c r="J2011">
        <f>orders[[#This Row],[Ship Date]]-orders[[#This Row],[Order Date]]</f>
        <v>1</v>
      </c>
      <c r="K2011">
        <f>WEEKNUM(orders[[#This Row],[Order Date]])</f>
        <v>11</v>
      </c>
      <c r="L2011" t="str" cm="1">
        <f t="array" ref="L2011">_xlfn.IFS(orders[[#This Row],[Customer Gender]]="M","Male", orders[[#This Row],[Customer Gender]]="F","Female", orders[[#This Row],[Customer Gender]]="O","Other", TRUE,"Unknown")</f>
        <v>Female</v>
      </c>
      <c r="M2011">
        <v>4</v>
      </c>
      <c r="N2011">
        <v>85.1</v>
      </c>
      <c r="O2011">
        <v>340.4</v>
      </c>
    </row>
    <row r="2012" spans="1:15" x14ac:dyDescent="0.3">
      <c r="A2012" t="s">
        <v>2111</v>
      </c>
      <c r="B2012" t="s">
        <v>66</v>
      </c>
      <c r="C2012" s="7">
        <v>45731</v>
      </c>
      <c r="D2012" s="7">
        <v>45732</v>
      </c>
      <c r="E2012" t="s">
        <v>26</v>
      </c>
      <c r="F2012" t="s">
        <v>17</v>
      </c>
      <c r="G2012">
        <v>5</v>
      </c>
      <c r="H2012" t="s">
        <v>18</v>
      </c>
      <c r="I2012" t="s">
        <v>32</v>
      </c>
      <c r="J2012">
        <f>orders[[#This Row],[Ship Date]]-orders[[#This Row],[Order Date]]</f>
        <v>1</v>
      </c>
      <c r="K2012">
        <f>WEEKNUM(orders[[#This Row],[Order Date]])</f>
        <v>11</v>
      </c>
      <c r="L2012" t="str" cm="1">
        <f t="array" ref="L2012">_xlfn.IFS(orders[[#This Row],[Customer Gender]]="M","Male", orders[[#This Row],[Customer Gender]]="F","Female", orders[[#This Row],[Customer Gender]]="O","Other", TRUE,"Unknown")</f>
        <v>Female</v>
      </c>
      <c r="M2012">
        <v>2</v>
      </c>
      <c r="N2012">
        <v>41.4</v>
      </c>
      <c r="O2012" s="5">
        <v>82.8</v>
      </c>
    </row>
    <row r="2013" spans="1:15" x14ac:dyDescent="0.3">
      <c r="A2013" t="s">
        <v>2112</v>
      </c>
      <c r="B2013" t="s">
        <v>31</v>
      </c>
      <c r="C2013" s="7">
        <v>45731</v>
      </c>
      <c r="D2013" s="7">
        <v>45732</v>
      </c>
      <c r="E2013" t="s">
        <v>26</v>
      </c>
      <c r="F2013" t="s">
        <v>39</v>
      </c>
      <c r="G2013">
        <v>3</v>
      </c>
      <c r="H2013" t="s">
        <v>18</v>
      </c>
      <c r="I2013" t="s">
        <v>32</v>
      </c>
      <c r="J2013">
        <f>orders[[#This Row],[Ship Date]]-orders[[#This Row],[Order Date]]</f>
        <v>1</v>
      </c>
      <c r="K2013">
        <f>WEEKNUM(orders[[#This Row],[Order Date]])</f>
        <v>11</v>
      </c>
      <c r="L2013" t="str" cm="1">
        <f t="array" ref="L2013">_xlfn.IFS(orders[[#This Row],[Customer Gender]]="M","Male", orders[[#This Row],[Customer Gender]]="F","Female", orders[[#This Row],[Customer Gender]]="O","Other", TRUE,"Unknown")</f>
        <v>Female</v>
      </c>
      <c r="M2013">
        <v>7</v>
      </c>
      <c r="N2013">
        <v>32.700000000000003</v>
      </c>
      <c r="O2013">
        <v>228.90000000000003</v>
      </c>
    </row>
    <row r="2014" spans="1:15" x14ac:dyDescent="0.3">
      <c r="A2014" t="s">
        <v>2113</v>
      </c>
      <c r="B2014" t="s">
        <v>31</v>
      </c>
      <c r="C2014" s="7">
        <v>45731</v>
      </c>
      <c r="D2014" s="7">
        <v>45733</v>
      </c>
      <c r="E2014" t="s">
        <v>22</v>
      </c>
      <c r="F2014" t="s">
        <v>69</v>
      </c>
      <c r="G2014">
        <v>3</v>
      </c>
      <c r="H2014" t="s">
        <v>18</v>
      </c>
      <c r="I2014" t="s">
        <v>32</v>
      </c>
      <c r="J2014">
        <f>orders[[#This Row],[Ship Date]]-orders[[#This Row],[Order Date]]</f>
        <v>2</v>
      </c>
      <c r="K2014">
        <f>WEEKNUM(orders[[#This Row],[Order Date]])</f>
        <v>11</v>
      </c>
      <c r="L2014" t="str" cm="1">
        <f t="array" ref="L2014">_xlfn.IFS(orders[[#This Row],[Customer Gender]]="M","Male", orders[[#This Row],[Customer Gender]]="F","Female", orders[[#This Row],[Customer Gender]]="O","Other", TRUE,"Unknown")</f>
        <v>Male</v>
      </c>
      <c r="M2014">
        <v>2</v>
      </c>
      <c r="N2014">
        <v>41.6</v>
      </c>
      <c r="O2014" s="5">
        <v>83.2</v>
      </c>
    </row>
    <row r="2015" spans="1:15" x14ac:dyDescent="0.3">
      <c r="A2015" t="s">
        <v>2114</v>
      </c>
      <c r="B2015" t="s">
        <v>36</v>
      </c>
      <c r="C2015" s="7">
        <v>45731</v>
      </c>
      <c r="D2015" s="7">
        <v>45732</v>
      </c>
      <c r="E2015" t="s">
        <v>2517</v>
      </c>
      <c r="F2015" t="s">
        <v>39</v>
      </c>
      <c r="G2015">
        <v>4</v>
      </c>
      <c r="H2015" t="s">
        <v>18</v>
      </c>
      <c r="I2015" t="s">
        <v>32</v>
      </c>
      <c r="J2015">
        <f>orders[[#This Row],[Ship Date]]-orders[[#This Row],[Order Date]]</f>
        <v>1</v>
      </c>
      <c r="K2015">
        <f>WEEKNUM(orders[[#This Row],[Order Date]])</f>
        <v>11</v>
      </c>
      <c r="L2015" t="str" cm="1">
        <f t="array" ref="L2015">_xlfn.IFS(orders[[#This Row],[Customer Gender]]="M","Male", orders[[#This Row],[Customer Gender]]="F","Female", orders[[#This Row],[Customer Gender]]="O","Other", TRUE,"Unknown")</f>
        <v>Unknown</v>
      </c>
      <c r="M2015">
        <v>4</v>
      </c>
      <c r="N2015">
        <v>64.8</v>
      </c>
      <c r="O2015">
        <v>259.2</v>
      </c>
    </row>
    <row r="2016" spans="1:15" x14ac:dyDescent="0.3">
      <c r="A2016" t="s">
        <v>2115</v>
      </c>
      <c r="B2016" t="s">
        <v>122</v>
      </c>
      <c r="C2016" s="7">
        <v>45731</v>
      </c>
      <c r="D2016" s="7">
        <v>45732</v>
      </c>
      <c r="E2016" t="s">
        <v>22</v>
      </c>
      <c r="F2016" t="s">
        <v>17</v>
      </c>
      <c r="G2016">
        <v>5</v>
      </c>
      <c r="H2016" t="s">
        <v>18</v>
      </c>
      <c r="I2016" t="s">
        <v>32</v>
      </c>
      <c r="J2016">
        <f>orders[[#This Row],[Ship Date]]-orders[[#This Row],[Order Date]]</f>
        <v>1</v>
      </c>
      <c r="K2016">
        <f>WEEKNUM(orders[[#This Row],[Order Date]])</f>
        <v>11</v>
      </c>
      <c r="L2016" t="str" cm="1">
        <f t="array" ref="L2016">_xlfn.IFS(orders[[#This Row],[Customer Gender]]="M","Male", orders[[#This Row],[Customer Gender]]="F","Female", orders[[#This Row],[Customer Gender]]="O","Other", TRUE,"Unknown")</f>
        <v>Male</v>
      </c>
      <c r="M2016">
        <v>2</v>
      </c>
      <c r="N2016">
        <v>33.6</v>
      </c>
      <c r="O2016" s="5">
        <v>67.2</v>
      </c>
    </row>
    <row r="2017" spans="1:15" x14ac:dyDescent="0.3">
      <c r="A2017" t="s">
        <v>2116</v>
      </c>
      <c r="B2017" t="s">
        <v>38</v>
      </c>
      <c r="C2017" s="7">
        <v>45731</v>
      </c>
      <c r="D2017" s="7">
        <v>45732</v>
      </c>
      <c r="E2017" t="s">
        <v>2517</v>
      </c>
      <c r="F2017" t="s">
        <v>34</v>
      </c>
      <c r="G2017">
        <v>4</v>
      </c>
      <c r="H2017" t="s">
        <v>18</v>
      </c>
      <c r="I2017" t="s">
        <v>32</v>
      </c>
      <c r="J2017">
        <f>orders[[#This Row],[Ship Date]]-orders[[#This Row],[Order Date]]</f>
        <v>1</v>
      </c>
      <c r="K2017">
        <f>WEEKNUM(orders[[#This Row],[Order Date]])</f>
        <v>11</v>
      </c>
      <c r="L2017" t="str" cm="1">
        <f t="array" ref="L2017">_xlfn.IFS(orders[[#This Row],[Customer Gender]]="M","Male", orders[[#This Row],[Customer Gender]]="F","Female", orders[[#This Row],[Customer Gender]]="O","Other", TRUE,"Unknown")</f>
        <v>Unknown</v>
      </c>
      <c r="M2017">
        <v>3</v>
      </c>
      <c r="N2017">
        <v>100.7</v>
      </c>
      <c r="O2017">
        <v>302.10000000000002</v>
      </c>
    </row>
    <row r="2018" spans="1:15" x14ac:dyDescent="0.3">
      <c r="A2018" t="s">
        <v>2117</v>
      </c>
      <c r="B2018" t="s">
        <v>31</v>
      </c>
      <c r="C2018" s="7">
        <v>45732</v>
      </c>
      <c r="D2018" s="7">
        <v>45734</v>
      </c>
      <c r="E2018" t="s">
        <v>26</v>
      </c>
      <c r="F2018" t="s">
        <v>69</v>
      </c>
      <c r="G2018">
        <v>5</v>
      </c>
      <c r="H2018" t="s">
        <v>18</v>
      </c>
      <c r="I2018" t="s">
        <v>32</v>
      </c>
      <c r="J2018">
        <f>orders[[#This Row],[Ship Date]]-orders[[#This Row],[Order Date]]</f>
        <v>2</v>
      </c>
      <c r="K2018">
        <f>WEEKNUM(orders[[#This Row],[Order Date]])</f>
        <v>12</v>
      </c>
      <c r="L2018" t="str" cm="1">
        <f t="array" ref="L2018">_xlfn.IFS(orders[[#This Row],[Customer Gender]]="M","Male", orders[[#This Row],[Customer Gender]]="F","Female", orders[[#This Row],[Customer Gender]]="O","Other", TRUE,"Unknown")</f>
        <v>Female</v>
      </c>
      <c r="M2018">
        <v>2</v>
      </c>
      <c r="N2018">
        <v>49.3</v>
      </c>
      <c r="O2018" s="5">
        <v>98.6</v>
      </c>
    </row>
    <row r="2019" spans="1:15" x14ac:dyDescent="0.3">
      <c r="A2019" t="s">
        <v>2118</v>
      </c>
      <c r="B2019" t="s">
        <v>25</v>
      </c>
      <c r="C2019" s="7">
        <v>45732</v>
      </c>
      <c r="D2019" s="7">
        <v>45735</v>
      </c>
      <c r="E2019" t="s">
        <v>22</v>
      </c>
      <c r="F2019" t="s">
        <v>39</v>
      </c>
      <c r="G2019">
        <v>5</v>
      </c>
      <c r="H2019" t="s">
        <v>18</v>
      </c>
      <c r="I2019" t="s">
        <v>32</v>
      </c>
      <c r="J2019">
        <f>orders[[#This Row],[Ship Date]]-orders[[#This Row],[Order Date]]</f>
        <v>3</v>
      </c>
      <c r="K2019">
        <f>WEEKNUM(orders[[#This Row],[Order Date]])</f>
        <v>12</v>
      </c>
      <c r="L2019" t="str" cm="1">
        <f t="array" ref="L2019">_xlfn.IFS(orders[[#This Row],[Customer Gender]]="M","Male", orders[[#This Row],[Customer Gender]]="F","Female", orders[[#This Row],[Customer Gender]]="O","Other", TRUE,"Unknown")</f>
        <v>Male</v>
      </c>
      <c r="M2019">
        <v>6</v>
      </c>
      <c r="N2019">
        <v>97</v>
      </c>
      <c r="O2019">
        <v>582</v>
      </c>
    </row>
    <row r="2020" spans="1:15" x14ac:dyDescent="0.3">
      <c r="A2020" t="s">
        <v>2119</v>
      </c>
      <c r="B2020" t="s">
        <v>16</v>
      </c>
      <c r="C2020" s="7">
        <v>45732</v>
      </c>
      <c r="D2020" s="7">
        <v>45735</v>
      </c>
      <c r="E2020" t="s">
        <v>26</v>
      </c>
      <c r="F2020" t="s">
        <v>69</v>
      </c>
      <c r="G2020">
        <v>5</v>
      </c>
      <c r="H2020" t="s">
        <v>18</v>
      </c>
      <c r="I2020" t="s">
        <v>32</v>
      </c>
      <c r="J2020">
        <f>orders[[#This Row],[Ship Date]]-orders[[#This Row],[Order Date]]</f>
        <v>3</v>
      </c>
      <c r="K2020">
        <f>WEEKNUM(orders[[#This Row],[Order Date]])</f>
        <v>12</v>
      </c>
      <c r="L2020" t="str" cm="1">
        <f t="array" ref="L2020">_xlfn.IFS(orders[[#This Row],[Customer Gender]]="M","Male", orders[[#This Row],[Customer Gender]]="F","Female", orders[[#This Row],[Customer Gender]]="O","Other", TRUE,"Unknown")</f>
        <v>Female</v>
      </c>
      <c r="M2020">
        <v>6</v>
      </c>
      <c r="N2020">
        <v>25.2</v>
      </c>
      <c r="O2020" s="5">
        <v>151.19999999999999</v>
      </c>
    </row>
    <row r="2021" spans="1:15" x14ac:dyDescent="0.3">
      <c r="A2021" t="s">
        <v>2120</v>
      </c>
      <c r="B2021" t="s">
        <v>16</v>
      </c>
      <c r="C2021" s="7">
        <v>45732</v>
      </c>
      <c r="D2021" s="7">
        <v>45733</v>
      </c>
      <c r="E2021" t="s">
        <v>2517</v>
      </c>
      <c r="F2021" t="s">
        <v>17</v>
      </c>
      <c r="G2021">
        <v>3</v>
      </c>
      <c r="H2021" t="s">
        <v>18</v>
      </c>
      <c r="I2021" t="s">
        <v>32</v>
      </c>
      <c r="J2021">
        <f>orders[[#This Row],[Ship Date]]-orders[[#This Row],[Order Date]]</f>
        <v>1</v>
      </c>
      <c r="K2021">
        <f>WEEKNUM(orders[[#This Row],[Order Date]])</f>
        <v>12</v>
      </c>
      <c r="L2021" t="str" cm="1">
        <f t="array" ref="L2021">_xlfn.IFS(orders[[#This Row],[Customer Gender]]="M","Male", orders[[#This Row],[Customer Gender]]="F","Female", orders[[#This Row],[Customer Gender]]="O","Other", TRUE,"Unknown")</f>
        <v>Unknown</v>
      </c>
      <c r="M2021">
        <v>11</v>
      </c>
      <c r="N2021">
        <v>12.2</v>
      </c>
      <c r="O2021">
        <v>134.19999999999999</v>
      </c>
    </row>
    <row r="2022" spans="1:15" x14ac:dyDescent="0.3">
      <c r="A2022" t="s">
        <v>2121</v>
      </c>
      <c r="B2022" t="s">
        <v>43</v>
      </c>
      <c r="C2022" s="7">
        <v>45732</v>
      </c>
      <c r="D2022" s="7">
        <v>45734</v>
      </c>
      <c r="E2022" t="s">
        <v>26</v>
      </c>
      <c r="F2022" t="s">
        <v>34</v>
      </c>
      <c r="G2022">
        <v>3</v>
      </c>
      <c r="H2022" t="s">
        <v>18</v>
      </c>
      <c r="I2022" t="s">
        <v>157</v>
      </c>
      <c r="J2022">
        <f>orders[[#This Row],[Ship Date]]-orders[[#This Row],[Order Date]]</f>
        <v>2</v>
      </c>
      <c r="K2022">
        <f>WEEKNUM(orders[[#This Row],[Order Date]])</f>
        <v>12</v>
      </c>
      <c r="L2022" t="str" cm="1">
        <f t="array" ref="L2022">_xlfn.IFS(orders[[#This Row],[Customer Gender]]="M","Male", orders[[#This Row],[Customer Gender]]="F","Female", orders[[#This Row],[Customer Gender]]="O","Other", TRUE,"Unknown")</f>
        <v>Female</v>
      </c>
      <c r="M2022">
        <v>7</v>
      </c>
      <c r="N2022">
        <v>38.799999999999997</v>
      </c>
      <c r="O2022" s="5">
        <v>271.59999999999997</v>
      </c>
    </row>
    <row r="2023" spans="1:15" x14ac:dyDescent="0.3">
      <c r="A2023" t="s">
        <v>2122</v>
      </c>
      <c r="B2023" t="s">
        <v>25</v>
      </c>
      <c r="C2023" s="7">
        <v>45732</v>
      </c>
      <c r="D2023" s="7">
        <v>45733</v>
      </c>
      <c r="E2023" t="s">
        <v>22</v>
      </c>
      <c r="F2023" t="s">
        <v>17</v>
      </c>
      <c r="G2023">
        <v>5</v>
      </c>
      <c r="H2023" t="s">
        <v>18</v>
      </c>
      <c r="I2023" t="s">
        <v>61</v>
      </c>
      <c r="J2023">
        <f>orders[[#This Row],[Ship Date]]-orders[[#This Row],[Order Date]]</f>
        <v>1</v>
      </c>
      <c r="K2023">
        <f>WEEKNUM(orders[[#This Row],[Order Date]])</f>
        <v>12</v>
      </c>
      <c r="L2023" t="str" cm="1">
        <f t="array" ref="L2023">_xlfn.IFS(orders[[#This Row],[Customer Gender]]="M","Male", orders[[#This Row],[Customer Gender]]="F","Female", orders[[#This Row],[Customer Gender]]="O","Other", TRUE,"Unknown")</f>
        <v>Male</v>
      </c>
      <c r="M2023">
        <v>4</v>
      </c>
      <c r="N2023">
        <v>53.2</v>
      </c>
      <c r="O2023">
        <v>212.8</v>
      </c>
    </row>
    <row r="2024" spans="1:15" x14ac:dyDescent="0.3">
      <c r="A2024" t="s">
        <v>2123</v>
      </c>
      <c r="B2024" t="s">
        <v>38</v>
      </c>
      <c r="C2024" s="7">
        <v>45732</v>
      </c>
      <c r="D2024" s="7">
        <v>45733</v>
      </c>
      <c r="E2024" t="s">
        <v>88</v>
      </c>
      <c r="F2024" t="s">
        <v>34</v>
      </c>
      <c r="G2024">
        <v>3</v>
      </c>
      <c r="H2024" t="s">
        <v>18</v>
      </c>
      <c r="I2024" t="s">
        <v>61</v>
      </c>
      <c r="J2024">
        <f>orders[[#This Row],[Ship Date]]-orders[[#This Row],[Order Date]]</f>
        <v>1</v>
      </c>
      <c r="K2024">
        <f>WEEKNUM(orders[[#This Row],[Order Date]])</f>
        <v>12</v>
      </c>
      <c r="L2024" t="str" cm="1">
        <f t="array" ref="L2024">_xlfn.IFS(orders[[#This Row],[Customer Gender]]="M","Male", orders[[#This Row],[Customer Gender]]="F","Female", orders[[#This Row],[Customer Gender]]="O","Other", TRUE,"Unknown")</f>
        <v>Other</v>
      </c>
      <c r="M2024">
        <v>7</v>
      </c>
      <c r="N2024">
        <v>151</v>
      </c>
      <c r="O2024" s="5">
        <v>1057</v>
      </c>
    </row>
    <row r="2025" spans="1:15" x14ac:dyDescent="0.3">
      <c r="A2025" t="s">
        <v>2124</v>
      </c>
      <c r="B2025" t="s">
        <v>21</v>
      </c>
      <c r="C2025" s="7">
        <v>45732</v>
      </c>
      <c r="D2025" s="7">
        <v>45733</v>
      </c>
      <c r="E2025" t="s">
        <v>26</v>
      </c>
      <c r="F2025" t="s">
        <v>69</v>
      </c>
      <c r="G2025">
        <v>4</v>
      </c>
      <c r="H2025" t="s">
        <v>18</v>
      </c>
      <c r="I2025" t="s">
        <v>61</v>
      </c>
      <c r="J2025">
        <f>orders[[#This Row],[Ship Date]]-orders[[#This Row],[Order Date]]</f>
        <v>1</v>
      </c>
      <c r="K2025">
        <f>WEEKNUM(orders[[#This Row],[Order Date]])</f>
        <v>12</v>
      </c>
      <c r="L2025" t="str" cm="1">
        <f t="array" ref="L2025">_xlfn.IFS(orders[[#This Row],[Customer Gender]]="M","Male", orders[[#This Row],[Customer Gender]]="F","Female", orders[[#This Row],[Customer Gender]]="O","Other", TRUE,"Unknown")</f>
        <v>Female</v>
      </c>
      <c r="M2025">
        <v>2</v>
      </c>
      <c r="N2025">
        <v>37.1</v>
      </c>
      <c r="O2025">
        <v>74.2</v>
      </c>
    </row>
    <row r="2026" spans="1:15" x14ac:dyDescent="0.3">
      <c r="A2026" t="s">
        <v>2125</v>
      </c>
      <c r="B2026" t="s">
        <v>36</v>
      </c>
      <c r="C2026" s="7">
        <v>45732</v>
      </c>
      <c r="D2026" s="7">
        <v>45733</v>
      </c>
      <c r="E2026" t="s">
        <v>22</v>
      </c>
      <c r="F2026" t="s">
        <v>69</v>
      </c>
      <c r="G2026">
        <v>4</v>
      </c>
      <c r="H2026" t="s">
        <v>18</v>
      </c>
      <c r="I2026" t="s">
        <v>61</v>
      </c>
      <c r="J2026">
        <f>orders[[#This Row],[Ship Date]]-orders[[#This Row],[Order Date]]</f>
        <v>1</v>
      </c>
      <c r="K2026">
        <f>WEEKNUM(orders[[#This Row],[Order Date]])</f>
        <v>12</v>
      </c>
      <c r="L2026" t="str" cm="1">
        <f t="array" ref="L2026">_xlfn.IFS(orders[[#This Row],[Customer Gender]]="M","Male", orders[[#This Row],[Customer Gender]]="F","Female", orders[[#This Row],[Customer Gender]]="O","Other", TRUE,"Unknown")</f>
        <v>Male</v>
      </c>
      <c r="M2026">
        <v>2</v>
      </c>
      <c r="N2026">
        <v>38.9</v>
      </c>
      <c r="O2026" s="5">
        <v>77.8</v>
      </c>
    </row>
    <row r="2027" spans="1:15" x14ac:dyDescent="0.3">
      <c r="A2027" t="s">
        <v>2126</v>
      </c>
      <c r="B2027" t="s">
        <v>53</v>
      </c>
      <c r="C2027" s="7">
        <v>45732</v>
      </c>
      <c r="D2027" s="7">
        <v>45733</v>
      </c>
      <c r="E2027" t="s">
        <v>22</v>
      </c>
      <c r="F2027" t="s">
        <v>17</v>
      </c>
      <c r="G2027">
        <v>5</v>
      </c>
      <c r="H2027" t="s">
        <v>18</v>
      </c>
      <c r="I2027" t="s">
        <v>102</v>
      </c>
      <c r="J2027">
        <f>orders[[#This Row],[Ship Date]]-orders[[#This Row],[Order Date]]</f>
        <v>1</v>
      </c>
      <c r="K2027">
        <f>WEEKNUM(orders[[#This Row],[Order Date]])</f>
        <v>12</v>
      </c>
      <c r="L2027" t="str" cm="1">
        <f t="array" ref="L2027">_xlfn.IFS(orders[[#This Row],[Customer Gender]]="M","Male", orders[[#This Row],[Customer Gender]]="F","Female", orders[[#This Row],[Customer Gender]]="O","Other", TRUE,"Unknown")</f>
        <v>Male</v>
      </c>
      <c r="M2027">
        <v>2</v>
      </c>
      <c r="N2027">
        <v>35.200000000000003</v>
      </c>
      <c r="O2027">
        <v>70.400000000000006</v>
      </c>
    </row>
    <row r="2028" spans="1:15" x14ac:dyDescent="0.3">
      <c r="A2028" t="s">
        <v>2127</v>
      </c>
      <c r="B2028" t="s">
        <v>16</v>
      </c>
      <c r="C2028" s="7">
        <v>45732</v>
      </c>
      <c r="D2028" s="7">
        <v>45734</v>
      </c>
      <c r="E2028" t="s">
        <v>26</v>
      </c>
      <c r="F2028" t="s">
        <v>34</v>
      </c>
      <c r="G2028">
        <v>4</v>
      </c>
      <c r="H2028" t="s">
        <v>18</v>
      </c>
      <c r="I2028" t="s">
        <v>71</v>
      </c>
      <c r="J2028">
        <f>orders[[#This Row],[Ship Date]]-orders[[#This Row],[Order Date]]</f>
        <v>2</v>
      </c>
      <c r="K2028">
        <f>WEEKNUM(orders[[#This Row],[Order Date]])</f>
        <v>12</v>
      </c>
      <c r="L2028" t="str" cm="1">
        <f t="array" ref="L2028">_xlfn.IFS(orders[[#This Row],[Customer Gender]]="M","Male", orders[[#This Row],[Customer Gender]]="F","Female", orders[[#This Row],[Customer Gender]]="O","Other", TRUE,"Unknown")</f>
        <v>Female</v>
      </c>
      <c r="M2028">
        <v>2</v>
      </c>
      <c r="N2028">
        <v>22.3</v>
      </c>
      <c r="O2028" s="5">
        <v>44.6</v>
      </c>
    </row>
    <row r="2029" spans="1:15" x14ac:dyDescent="0.3">
      <c r="A2029" t="s">
        <v>2128</v>
      </c>
      <c r="B2029" t="s">
        <v>45</v>
      </c>
      <c r="C2029" s="7">
        <v>45732</v>
      </c>
      <c r="D2029" s="7">
        <v>45735</v>
      </c>
      <c r="E2029" t="s">
        <v>26</v>
      </c>
      <c r="F2029" t="s">
        <v>17</v>
      </c>
      <c r="G2029">
        <v>5</v>
      </c>
      <c r="H2029" t="s">
        <v>18</v>
      </c>
      <c r="I2029" t="s">
        <v>76</v>
      </c>
      <c r="J2029">
        <f>orders[[#This Row],[Ship Date]]-orders[[#This Row],[Order Date]]</f>
        <v>3</v>
      </c>
      <c r="K2029">
        <f>WEEKNUM(orders[[#This Row],[Order Date]])</f>
        <v>12</v>
      </c>
      <c r="L2029" t="str" cm="1">
        <f t="array" ref="L2029">_xlfn.IFS(orders[[#This Row],[Customer Gender]]="M","Male", orders[[#This Row],[Customer Gender]]="F","Female", orders[[#This Row],[Customer Gender]]="O","Other", TRUE,"Unknown")</f>
        <v>Female</v>
      </c>
      <c r="M2029">
        <v>1</v>
      </c>
      <c r="N2029">
        <v>43.3</v>
      </c>
      <c r="O2029">
        <v>43.3</v>
      </c>
    </row>
    <row r="2030" spans="1:15" x14ac:dyDescent="0.3">
      <c r="A2030" t="s">
        <v>2129</v>
      </c>
      <c r="B2030" t="s">
        <v>38</v>
      </c>
      <c r="C2030" s="7">
        <v>45732</v>
      </c>
      <c r="D2030" s="7">
        <v>45738</v>
      </c>
      <c r="E2030" t="s">
        <v>22</v>
      </c>
      <c r="F2030" t="s">
        <v>17</v>
      </c>
      <c r="G2030">
        <v>4</v>
      </c>
      <c r="H2030" t="s">
        <v>18</v>
      </c>
      <c r="I2030" t="s">
        <v>76</v>
      </c>
      <c r="J2030">
        <f>orders[[#This Row],[Ship Date]]-orders[[#This Row],[Order Date]]</f>
        <v>6</v>
      </c>
      <c r="K2030">
        <f>WEEKNUM(orders[[#This Row],[Order Date]])</f>
        <v>12</v>
      </c>
      <c r="L2030" t="str" cm="1">
        <f t="array" ref="L2030">_xlfn.IFS(orders[[#This Row],[Customer Gender]]="M","Male", orders[[#This Row],[Customer Gender]]="F","Female", orders[[#This Row],[Customer Gender]]="O","Other", TRUE,"Unknown")</f>
        <v>Male</v>
      </c>
      <c r="M2030">
        <v>6</v>
      </c>
      <c r="N2030">
        <v>75.900000000000006</v>
      </c>
      <c r="O2030" s="5">
        <v>455.40000000000003</v>
      </c>
    </row>
    <row r="2031" spans="1:15" x14ac:dyDescent="0.3">
      <c r="A2031" t="s">
        <v>2130</v>
      </c>
      <c r="B2031" t="s">
        <v>38</v>
      </c>
      <c r="C2031" s="7">
        <v>45732</v>
      </c>
      <c r="D2031" s="7">
        <v>45736</v>
      </c>
      <c r="E2031" t="s">
        <v>26</v>
      </c>
      <c r="F2031" t="s">
        <v>39</v>
      </c>
      <c r="G2031">
        <v>3</v>
      </c>
      <c r="H2031" t="s">
        <v>18</v>
      </c>
      <c r="I2031" t="s">
        <v>76</v>
      </c>
      <c r="J2031">
        <f>orders[[#This Row],[Ship Date]]-orders[[#This Row],[Order Date]]</f>
        <v>4</v>
      </c>
      <c r="K2031">
        <f>WEEKNUM(orders[[#This Row],[Order Date]])</f>
        <v>12</v>
      </c>
      <c r="L2031" t="str" cm="1">
        <f t="array" ref="L2031">_xlfn.IFS(orders[[#This Row],[Customer Gender]]="M","Male", orders[[#This Row],[Customer Gender]]="F","Female", orders[[#This Row],[Customer Gender]]="O","Other", TRUE,"Unknown")</f>
        <v>Female</v>
      </c>
      <c r="M2031">
        <v>3</v>
      </c>
      <c r="N2031">
        <v>78.7</v>
      </c>
      <c r="O2031">
        <v>236.10000000000002</v>
      </c>
    </row>
    <row r="2032" spans="1:15" x14ac:dyDescent="0.3">
      <c r="A2032" t="s">
        <v>2131</v>
      </c>
      <c r="B2032" t="s">
        <v>21</v>
      </c>
      <c r="C2032" s="7">
        <v>45732</v>
      </c>
      <c r="D2032" s="7">
        <v>45736</v>
      </c>
      <c r="E2032" t="s">
        <v>26</v>
      </c>
      <c r="F2032" t="s">
        <v>17</v>
      </c>
      <c r="G2032">
        <v>5</v>
      </c>
      <c r="H2032" t="s">
        <v>18</v>
      </c>
      <c r="I2032" t="s">
        <v>109</v>
      </c>
      <c r="J2032">
        <f>orders[[#This Row],[Ship Date]]-orders[[#This Row],[Order Date]]</f>
        <v>4</v>
      </c>
      <c r="K2032">
        <f>WEEKNUM(orders[[#This Row],[Order Date]])</f>
        <v>12</v>
      </c>
      <c r="L2032" t="str" cm="1">
        <f t="array" ref="L2032">_xlfn.IFS(orders[[#This Row],[Customer Gender]]="M","Male", orders[[#This Row],[Customer Gender]]="F","Female", orders[[#This Row],[Customer Gender]]="O","Other", TRUE,"Unknown")</f>
        <v>Female</v>
      </c>
      <c r="M2032">
        <v>1</v>
      </c>
      <c r="N2032">
        <v>66.3</v>
      </c>
      <c r="O2032" s="5">
        <v>66.3</v>
      </c>
    </row>
    <row r="2033" spans="1:15" x14ac:dyDescent="0.3">
      <c r="A2033" t="s">
        <v>2132</v>
      </c>
      <c r="B2033" t="s">
        <v>43</v>
      </c>
      <c r="C2033" s="7">
        <v>45732</v>
      </c>
      <c r="D2033" s="7">
        <v>45732</v>
      </c>
      <c r="E2033" t="s">
        <v>22</v>
      </c>
      <c r="F2033" t="s">
        <v>17</v>
      </c>
      <c r="G2033">
        <v>3</v>
      </c>
      <c r="H2033" t="s">
        <v>18</v>
      </c>
      <c r="I2033" t="s">
        <v>109</v>
      </c>
      <c r="J2033">
        <f>orders[[#This Row],[Ship Date]]-orders[[#This Row],[Order Date]]</f>
        <v>0</v>
      </c>
      <c r="K2033">
        <f>WEEKNUM(orders[[#This Row],[Order Date]])</f>
        <v>12</v>
      </c>
      <c r="L2033" t="str" cm="1">
        <f t="array" ref="L2033">_xlfn.IFS(orders[[#This Row],[Customer Gender]]="M","Male", orders[[#This Row],[Customer Gender]]="F","Female", orders[[#This Row],[Customer Gender]]="O","Other", TRUE,"Unknown")</f>
        <v>Male</v>
      </c>
      <c r="M2033">
        <v>2</v>
      </c>
      <c r="N2033">
        <v>33.6</v>
      </c>
      <c r="O2033">
        <v>67.2</v>
      </c>
    </row>
    <row r="2034" spans="1:15" x14ac:dyDescent="0.3">
      <c r="A2034" t="s">
        <v>2133</v>
      </c>
      <c r="B2034" t="s">
        <v>25</v>
      </c>
      <c r="C2034" s="7">
        <v>45732</v>
      </c>
      <c r="D2034" s="7">
        <v>45733</v>
      </c>
      <c r="E2034" t="s">
        <v>22</v>
      </c>
      <c r="F2034" t="s">
        <v>69</v>
      </c>
      <c r="G2034">
        <v>4</v>
      </c>
      <c r="H2034" t="s">
        <v>18</v>
      </c>
      <c r="I2034" t="s">
        <v>109</v>
      </c>
      <c r="J2034">
        <f>orders[[#This Row],[Ship Date]]-orders[[#This Row],[Order Date]]</f>
        <v>1</v>
      </c>
      <c r="K2034">
        <f>WEEKNUM(orders[[#This Row],[Order Date]])</f>
        <v>12</v>
      </c>
      <c r="L2034" t="str" cm="1">
        <f t="array" ref="L2034">_xlfn.IFS(orders[[#This Row],[Customer Gender]]="M","Male", orders[[#This Row],[Customer Gender]]="F","Female", orders[[#This Row],[Customer Gender]]="O","Other", TRUE,"Unknown")</f>
        <v>Male</v>
      </c>
      <c r="M2034">
        <v>7</v>
      </c>
      <c r="N2034">
        <v>61.4</v>
      </c>
      <c r="O2034" s="5">
        <v>429.8</v>
      </c>
    </row>
    <row r="2035" spans="1:15" x14ac:dyDescent="0.3">
      <c r="A2035" t="s">
        <v>2134</v>
      </c>
      <c r="B2035" t="s">
        <v>43</v>
      </c>
      <c r="C2035" s="7">
        <v>45732</v>
      </c>
      <c r="D2035" s="7">
        <v>45735</v>
      </c>
      <c r="E2035" t="s">
        <v>26</v>
      </c>
      <c r="F2035" t="s">
        <v>17</v>
      </c>
      <c r="G2035">
        <v>4</v>
      </c>
      <c r="H2035" t="s">
        <v>18</v>
      </c>
      <c r="I2035" t="s">
        <v>114</v>
      </c>
      <c r="J2035">
        <f>orders[[#This Row],[Ship Date]]-orders[[#This Row],[Order Date]]</f>
        <v>3</v>
      </c>
      <c r="K2035">
        <f>WEEKNUM(orders[[#This Row],[Order Date]])</f>
        <v>12</v>
      </c>
      <c r="L2035" t="str" cm="1">
        <f t="array" ref="L2035">_xlfn.IFS(orders[[#This Row],[Customer Gender]]="M","Male", orders[[#This Row],[Customer Gender]]="F","Female", orders[[#This Row],[Customer Gender]]="O","Other", TRUE,"Unknown")</f>
        <v>Female</v>
      </c>
      <c r="M2035">
        <v>2</v>
      </c>
      <c r="N2035">
        <v>17.5</v>
      </c>
      <c r="O2035">
        <v>35</v>
      </c>
    </row>
    <row r="2036" spans="1:15" x14ac:dyDescent="0.3">
      <c r="A2036" t="s">
        <v>2135</v>
      </c>
      <c r="B2036" t="s">
        <v>43</v>
      </c>
      <c r="C2036" s="7">
        <v>45732</v>
      </c>
      <c r="D2036" s="7">
        <v>45735</v>
      </c>
      <c r="E2036" t="s">
        <v>26</v>
      </c>
      <c r="F2036" t="s">
        <v>34</v>
      </c>
      <c r="G2036">
        <v>4</v>
      </c>
      <c r="H2036" t="s">
        <v>18</v>
      </c>
      <c r="I2036" t="s">
        <v>114</v>
      </c>
      <c r="J2036">
        <f>orders[[#This Row],[Ship Date]]-orders[[#This Row],[Order Date]]</f>
        <v>3</v>
      </c>
      <c r="K2036">
        <f>WEEKNUM(orders[[#This Row],[Order Date]])</f>
        <v>12</v>
      </c>
      <c r="L2036" t="str" cm="1">
        <f t="array" ref="L2036">_xlfn.IFS(orders[[#This Row],[Customer Gender]]="M","Male", orders[[#This Row],[Customer Gender]]="F","Female", orders[[#This Row],[Customer Gender]]="O","Other", TRUE,"Unknown")</f>
        <v>Female</v>
      </c>
      <c r="M2036">
        <v>2</v>
      </c>
      <c r="N2036">
        <v>32.5</v>
      </c>
      <c r="O2036" s="5">
        <v>65</v>
      </c>
    </row>
    <row r="2037" spans="1:15" x14ac:dyDescent="0.3">
      <c r="A2037" t="s">
        <v>2136</v>
      </c>
      <c r="B2037" t="s">
        <v>31</v>
      </c>
      <c r="C2037" s="7">
        <v>45732</v>
      </c>
      <c r="D2037" s="7">
        <v>45733</v>
      </c>
      <c r="E2037" t="s">
        <v>26</v>
      </c>
      <c r="F2037" t="s">
        <v>69</v>
      </c>
      <c r="G2037">
        <v>4</v>
      </c>
      <c r="H2037" t="s">
        <v>18</v>
      </c>
      <c r="I2037" t="s">
        <v>114</v>
      </c>
      <c r="J2037">
        <f>orders[[#This Row],[Ship Date]]-orders[[#This Row],[Order Date]]</f>
        <v>1</v>
      </c>
      <c r="K2037">
        <f>WEEKNUM(orders[[#This Row],[Order Date]])</f>
        <v>12</v>
      </c>
      <c r="L2037" t="str" cm="1">
        <f t="array" ref="L2037">_xlfn.IFS(orders[[#This Row],[Customer Gender]]="M","Male", orders[[#This Row],[Customer Gender]]="F","Female", orders[[#This Row],[Customer Gender]]="O","Other", TRUE,"Unknown")</f>
        <v>Female</v>
      </c>
      <c r="M2037">
        <v>1</v>
      </c>
      <c r="N2037">
        <v>34.6</v>
      </c>
      <c r="O2037">
        <v>34.6</v>
      </c>
    </row>
    <row r="2038" spans="1:15" x14ac:dyDescent="0.3">
      <c r="A2038" t="s">
        <v>2137</v>
      </c>
      <c r="B2038" t="s">
        <v>25</v>
      </c>
      <c r="C2038" s="7">
        <v>45732</v>
      </c>
      <c r="D2038" s="7">
        <v>45732</v>
      </c>
      <c r="E2038" t="s">
        <v>22</v>
      </c>
      <c r="F2038" t="s">
        <v>34</v>
      </c>
      <c r="G2038">
        <v>5</v>
      </c>
      <c r="H2038" t="s">
        <v>18</v>
      </c>
      <c r="I2038" t="s">
        <v>114</v>
      </c>
      <c r="J2038">
        <f>orders[[#This Row],[Ship Date]]-orders[[#This Row],[Order Date]]</f>
        <v>0</v>
      </c>
      <c r="K2038">
        <f>WEEKNUM(orders[[#This Row],[Order Date]])</f>
        <v>12</v>
      </c>
      <c r="L2038" t="str" cm="1">
        <f t="array" ref="L2038">_xlfn.IFS(orders[[#This Row],[Customer Gender]]="M","Male", orders[[#This Row],[Customer Gender]]="F","Female", orders[[#This Row],[Customer Gender]]="O","Other", TRUE,"Unknown")</f>
        <v>Male</v>
      </c>
      <c r="M2038">
        <v>1</v>
      </c>
      <c r="N2038">
        <v>75.900000000000006</v>
      </c>
      <c r="O2038" s="5">
        <v>75.900000000000006</v>
      </c>
    </row>
    <row r="2039" spans="1:15" x14ac:dyDescent="0.3">
      <c r="A2039" t="s">
        <v>2138</v>
      </c>
      <c r="B2039" t="s">
        <v>21</v>
      </c>
      <c r="C2039" s="7">
        <v>45732</v>
      </c>
      <c r="D2039" s="7">
        <v>45735</v>
      </c>
      <c r="E2039" t="s">
        <v>22</v>
      </c>
      <c r="F2039" t="s">
        <v>34</v>
      </c>
      <c r="G2039">
        <v>3</v>
      </c>
      <c r="H2039" t="s">
        <v>18</v>
      </c>
      <c r="I2039" t="s">
        <v>114</v>
      </c>
      <c r="J2039">
        <f>orders[[#This Row],[Ship Date]]-orders[[#This Row],[Order Date]]</f>
        <v>3</v>
      </c>
      <c r="K2039">
        <f>WEEKNUM(orders[[#This Row],[Order Date]])</f>
        <v>12</v>
      </c>
      <c r="L2039" t="str" cm="1">
        <f t="array" ref="L2039">_xlfn.IFS(orders[[#This Row],[Customer Gender]]="M","Male", orders[[#This Row],[Customer Gender]]="F","Female", orders[[#This Row],[Customer Gender]]="O","Other", TRUE,"Unknown")</f>
        <v>Male</v>
      </c>
      <c r="M2039">
        <v>3</v>
      </c>
      <c r="N2039">
        <v>42.1</v>
      </c>
      <c r="O2039">
        <v>126.30000000000001</v>
      </c>
    </row>
    <row r="2040" spans="1:15" x14ac:dyDescent="0.3">
      <c r="A2040" t="s">
        <v>2139</v>
      </c>
      <c r="B2040" t="s">
        <v>41</v>
      </c>
      <c r="C2040" s="7">
        <v>45732</v>
      </c>
      <c r="D2040" s="7">
        <v>45739</v>
      </c>
      <c r="E2040" t="s">
        <v>22</v>
      </c>
      <c r="F2040" t="s">
        <v>17</v>
      </c>
      <c r="G2040">
        <v>4</v>
      </c>
      <c r="H2040" t="s">
        <v>18</v>
      </c>
      <c r="I2040" t="s">
        <v>23</v>
      </c>
      <c r="J2040">
        <f>orders[[#This Row],[Ship Date]]-orders[[#This Row],[Order Date]]</f>
        <v>7</v>
      </c>
      <c r="K2040">
        <f>WEEKNUM(orders[[#This Row],[Order Date]])</f>
        <v>12</v>
      </c>
      <c r="L2040" t="str" cm="1">
        <f t="array" ref="L2040">_xlfn.IFS(orders[[#This Row],[Customer Gender]]="M","Male", orders[[#This Row],[Customer Gender]]="F","Female", orders[[#This Row],[Customer Gender]]="O","Other", TRUE,"Unknown")</f>
        <v>Male</v>
      </c>
      <c r="M2040">
        <v>3</v>
      </c>
      <c r="N2040">
        <v>65.3</v>
      </c>
      <c r="O2040" s="5">
        <v>195.89999999999998</v>
      </c>
    </row>
    <row r="2041" spans="1:15" x14ac:dyDescent="0.3">
      <c r="A2041" t="s">
        <v>2140</v>
      </c>
      <c r="B2041" t="s">
        <v>122</v>
      </c>
      <c r="C2041" s="7">
        <v>45732</v>
      </c>
      <c r="D2041" s="7">
        <v>45735</v>
      </c>
      <c r="E2041" t="s">
        <v>22</v>
      </c>
      <c r="F2041" t="s">
        <v>50</v>
      </c>
      <c r="G2041">
        <v>4</v>
      </c>
      <c r="H2041" t="s">
        <v>18</v>
      </c>
      <c r="I2041" t="s">
        <v>436</v>
      </c>
      <c r="J2041">
        <f>orders[[#This Row],[Ship Date]]-orders[[#This Row],[Order Date]]</f>
        <v>3</v>
      </c>
      <c r="K2041">
        <f>WEEKNUM(orders[[#This Row],[Order Date]])</f>
        <v>12</v>
      </c>
      <c r="L2041" t="str" cm="1">
        <f t="array" ref="L2041">_xlfn.IFS(orders[[#This Row],[Customer Gender]]="M","Male", orders[[#This Row],[Customer Gender]]="F","Female", orders[[#This Row],[Customer Gender]]="O","Other", TRUE,"Unknown")</f>
        <v>Male</v>
      </c>
      <c r="M2041">
        <v>1</v>
      </c>
      <c r="N2041">
        <v>20.6</v>
      </c>
      <c r="O2041">
        <v>20.6</v>
      </c>
    </row>
    <row r="2042" spans="1:15" x14ac:dyDescent="0.3">
      <c r="A2042" t="s">
        <v>2141</v>
      </c>
      <c r="B2042" t="s">
        <v>43</v>
      </c>
      <c r="C2042" s="7">
        <v>45732</v>
      </c>
      <c r="D2042" s="7">
        <v>45733</v>
      </c>
      <c r="E2042" t="s">
        <v>22</v>
      </c>
      <c r="F2042" t="s">
        <v>34</v>
      </c>
      <c r="G2042">
        <v>3</v>
      </c>
      <c r="H2042" t="s">
        <v>18</v>
      </c>
      <c r="I2042" t="s">
        <v>27</v>
      </c>
      <c r="J2042">
        <f>orders[[#This Row],[Ship Date]]-orders[[#This Row],[Order Date]]</f>
        <v>1</v>
      </c>
      <c r="K2042">
        <f>WEEKNUM(orders[[#This Row],[Order Date]])</f>
        <v>12</v>
      </c>
      <c r="L2042" t="str" cm="1">
        <f t="array" ref="L2042">_xlfn.IFS(orders[[#This Row],[Customer Gender]]="M","Male", orders[[#This Row],[Customer Gender]]="F","Female", orders[[#This Row],[Customer Gender]]="O","Other", TRUE,"Unknown")</f>
        <v>Male</v>
      </c>
      <c r="M2042">
        <v>7</v>
      </c>
      <c r="N2042">
        <v>16.5</v>
      </c>
      <c r="O2042" s="5">
        <v>115.5</v>
      </c>
    </row>
    <row r="2043" spans="1:15" x14ac:dyDescent="0.3">
      <c r="A2043" t="s">
        <v>2142</v>
      </c>
      <c r="B2043" t="s">
        <v>127</v>
      </c>
      <c r="C2043" s="7">
        <v>45732</v>
      </c>
      <c r="D2043" s="7">
        <v>45734</v>
      </c>
      <c r="E2043" t="s">
        <v>22</v>
      </c>
      <c r="F2043" t="s">
        <v>17</v>
      </c>
      <c r="G2043">
        <v>5</v>
      </c>
      <c r="H2043" t="s">
        <v>18</v>
      </c>
      <c r="I2043" t="s">
        <v>27</v>
      </c>
      <c r="J2043">
        <f>orders[[#This Row],[Ship Date]]-orders[[#This Row],[Order Date]]</f>
        <v>2</v>
      </c>
      <c r="K2043">
        <f>WEEKNUM(orders[[#This Row],[Order Date]])</f>
        <v>12</v>
      </c>
      <c r="L2043" t="str" cm="1">
        <f t="array" ref="L2043">_xlfn.IFS(orders[[#This Row],[Customer Gender]]="M","Male", orders[[#This Row],[Customer Gender]]="F","Female", orders[[#This Row],[Customer Gender]]="O","Other", TRUE,"Unknown")</f>
        <v>Male</v>
      </c>
      <c r="M2043">
        <v>10</v>
      </c>
      <c r="N2043">
        <v>36.200000000000003</v>
      </c>
      <c r="O2043">
        <v>362</v>
      </c>
    </row>
    <row r="2044" spans="1:15" x14ac:dyDescent="0.3">
      <c r="A2044" t="s">
        <v>2143</v>
      </c>
      <c r="B2044" t="s">
        <v>38</v>
      </c>
      <c r="C2044" s="7">
        <v>45732</v>
      </c>
      <c r="D2044" s="7">
        <v>45733</v>
      </c>
      <c r="E2044" t="s">
        <v>26</v>
      </c>
      <c r="F2044" t="s">
        <v>17</v>
      </c>
      <c r="G2044">
        <v>3</v>
      </c>
      <c r="H2044" t="s">
        <v>18</v>
      </c>
      <c r="I2044" t="s">
        <v>146</v>
      </c>
      <c r="J2044">
        <f>orders[[#This Row],[Ship Date]]-orders[[#This Row],[Order Date]]</f>
        <v>1</v>
      </c>
      <c r="K2044">
        <f>WEEKNUM(orders[[#This Row],[Order Date]])</f>
        <v>12</v>
      </c>
      <c r="L2044" t="str" cm="1">
        <f t="array" ref="L2044">_xlfn.IFS(orders[[#This Row],[Customer Gender]]="M","Male", orders[[#This Row],[Customer Gender]]="F","Female", orders[[#This Row],[Customer Gender]]="O","Other", TRUE,"Unknown")</f>
        <v>Female</v>
      </c>
      <c r="M2044">
        <v>1</v>
      </c>
      <c r="N2044">
        <v>53.2</v>
      </c>
      <c r="O2044" s="5">
        <v>53.2</v>
      </c>
    </row>
    <row r="2045" spans="1:15" x14ac:dyDescent="0.3">
      <c r="A2045" t="s">
        <v>2144</v>
      </c>
      <c r="B2045" t="s">
        <v>25</v>
      </c>
      <c r="C2045" s="7">
        <v>45732</v>
      </c>
      <c r="D2045" s="7">
        <v>45733</v>
      </c>
      <c r="E2045" t="s">
        <v>26</v>
      </c>
      <c r="F2045" t="s">
        <v>17</v>
      </c>
      <c r="G2045">
        <v>3</v>
      </c>
      <c r="H2045" t="s">
        <v>18</v>
      </c>
      <c r="I2045" t="s">
        <v>32</v>
      </c>
      <c r="J2045">
        <f>orders[[#This Row],[Ship Date]]-orders[[#This Row],[Order Date]]</f>
        <v>1</v>
      </c>
      <c r="K2045">
        <f>WEEKNUM(orders[[#This Row],[Order Date]])</f>
        <v>12</v>
      </c>
      <c r="L2045" t="str" cm="1">
        <f t="array" ref="L2045">_xlfn.IFS(orders[[#This Row],[Customer Gender]]="M","Male", orders[[#This Row],[Customer Gender]]="F","Female", orders[[#This Row],[Customer Gender]]="O","Other", TRUE,"Unknown")</f>
        <v>Female</v>
      </c>
      <c r="M2045">
        <v>14</v>
      </c>
      <c r="N2045">
        <v>176</v>
      </c>
      <c r="O2045">
        <v>2464</v>
      </c>
    </row>
    <row r="2046" spans="1:15" x14ac:dyDescent="0.3">
      <c r="A2046" t="s">
        <v>2145</v>
      </c>
      <c r="B2046" t="s">
        <v>21</v>
      </c>
      <c r="C2046" s="7">
        <v>45732</v>
      </c>
      <c r="D2046" s="7">
        <v>45733</v>
      </c>
      <c r="E2046" t="s">
        <v>22</v>
      </c>
      <c r="F2046" t="s">
        <v>34</v>
      </c>
      <c r="G2046">
        <v>4</v>
      </c>
      <c r="H2046" t="s">
        <v>18</v>
      </c>
      <c r="I2046" t="s">
        <v>32</v>
      </c>
      <c r="J2046">
        <f>orders[[#This Row],[Ship Date]]-orders[[#This Row],[Order Date]]</f>
        <v>1</v>
      </c>
      <c r="K2046">
        <f>WEEKNUM(orders[[#This Row],[Order Date]])</f>
        <v>12</v>
      </c>
      <c r="L2046" t="str" cm="1">
        <f t="array" ref="L2046">_xlfn.IFS(orders[[#This Row],[Customer Gender]]="M","Male", orders[[#This Row],[Customer Gender]]="F","Female", orders[[#This Row],[Customer Gender]]="O","Other", TRUE,"Unknown")</f>
        <v>Male</v>
      </c>
      <c r="M2046">
        <v>1</v>
      </c>
      <c r="N2046">
        <v>52.4</v>
      </c>
      <c r="O2046" s="5">
        <v>52.4</v>
      </c>
    </row>
    <row r="2047" spans="1:15" x14ac:dyDescent="0.3">
      <c r="A2047" t="s">
        <v>2146</v>
      </c>
      <c r="B2047" t="s">
        <v>53</v>
      </c>
      <c r="C2047" s="7">
        <v>45732</v>
      </c>
      <c r="D2047" s="7">
        <v>45733</v>
      </c>
      <c r="E2047" t="s">
        <v>26</v>
      </c>
      <c r="F2047" t="s">
        <v>34</v>
      </c>
      <c r="G2047">
        <v>5</v>
      </c>
      <c r="H2047" t="s">
        <v>18</v>
      </c>
      <c r="I2047" t="s">
        <v>32</v>
      </c>
      <c r="J2047">
        <f>orders[[#This Row],[Ship Date]]-orders[[#This Row],[Order Date]]</f>
        <v>1</v>
      </c>
      <c r="K2047">
        <f>WEEKNUM(orders[[#This Row],[Order Date]])</f>
        <v>12</v>
      </c>
      <c r="L2047" t="str" cm="1">
        <f t="array" ref="L2047">_xlfn.IFS(orders[[#This Row],[Customer Gender]]="M","Male", orders[[#This Row],[Customer Gender]]="F","Female", orders[[#This Row],[Customer Gender]]="O","Other", TRUE,"Unknown")</f>
        <v>Female</v>
      </c>
      <c r="M2047">
        <v>3</v>
      </c>
      <c r="N2047">
        <v>48.2</v>
      </c>
      <c r="O2047">
        <v>144.60000000000002</v>
      </c>
    </row>
    <row r="2048" spans="1:15" x14ac:dyDescent="0.3">
      <c r="A2048" t="s">
        <v>2147</v>
      </c>
      <c r="B2048" t="s">
        <v>122</v>
      </c>
      <c r="C2048" s="7">
        <v>45732</v>
      </c>
      <c r="D2048" s="7">
        <v>45736</v>
      </c>
      <c r="E2048" t="s">
        <v>26</v>
      </c>
      <c r="F2048" t="s">
        <v>39</v>
      </c>
      <c r="G2048">
        <v>3</v>
      </c>
      <c r="H2048" t="s">
        <v>18</v>
      </c>
      <c r="I2048" t="s">
        <v>32</v>
      </c>
      <c r="J2048">
        <f>orders[[#This Row],[Ship Date]]-orders[[#This Row],[Order Date]]</f>
        <v>4</v>
      </c>
      <c r="K2048">
        <f>WEEKNUM(orders[[#This Row],[Order Date]])</f>
        <v>12</v>
      </c>
      <c r="L2048" t="str" cm="1">
        <f t="array" ref="L2048">_xlfn.IFS(orders[[#This Row],[Customer Gender]]="M","Male", orders[[#This Row],[Customer Gender]]="F","Female", orders[[#This Row],[Customer Gender]]="O","Other", TRUE,"Unknown")</f>
        <v>Female</v>
      </c>
      <c r="M2048">
        <v>1</v>
      </c>
      <c r="N2048">
        <v>51.6</v>
      </c>
      <c r="O2048" s="5">
        <v>51.6</v>
      </c>
    </row>
    <row r="2049" spans="1:15" x14ac:dyDescent="0.3">
      <c r="A2049" t="s">
        <v>2148</v>
      </c>
      <c r="B2049" t="s">
        <v>16</v>
      </c>
      <c r="C2049" s="7">
        <v>45733</v>
      </c>
      <c r="D2049" s="7">
        <v>45734</v>
      </c>
      <c r="E2049" t="s">
        <v>22</v>
      </c>
      <c r="F2049" t="s">
        <v>17</v>
      </c>
      <c r="G2049">
        <v>4</v>
      </c>
      <c r="H2049" t="s">
        <v>18</v>
      </c>
      <c r="I2049" t="s">
        <v>32</v>
      </c>
      <c r="J2049">
        <f>orders[[#This Row],[Ship Date]]-orders[[#This Row],[Order Date]]</f>
        <v>1</v>
      </c>
      <c r="K2049">
        <f>WEEKNUM(orders[[#This Row],[Order Date]])</f>
        <v>12</v>
      </c>
      <c r="L2049" t="str" cm="1">
        <f t="array" ref="L2049">_xlfn.IFS(orders[[#This Row],[Customer Gender]]="M","Male", orders[[#This Row],[Customer Gender]]="F","Female", orders[[#This Row],[Customer Gender]]="O","Other", TRUE,"Unknown")</f>
        <v>Male</v>
      </c>
      <c r="M2049">
        <v>4</v>
      </c>
      <c r="N2049">
        <v>33.700000000000003</v>
      </c>
      <c r="O2049">
        <v>134.80000000000001</v>
      </c>
    </row>
    <row r="2050" spans="1:15" x14ac:dyDescent="0.3">
      <c r="A2050" t="s">
        <v>2149</v>
      </c>
      <c r="B2050" t="s">
        <v>31</v>
      </c>
      <c r="C2050" s="7">
        <v>45733</v>
      </c>
      <c r="D2050" s="7">
        <v>45735</v>
      </c>
      <c r="E2050" t="s">
        <v>26</v>
      </c>
      <c r="F2050" t="s">
        <v>69</v>
      </c>
      <c r="G2050">
        <v>3</v>
      </c>
      <c r="H2050" t="s">
        <v>18</v>
      </c>
      <c r="I2050" t="s">
        <v>32</v>
      </c>
      <c r="J2050">
        <f>orders[[#This Row],[Ship Date]]-orders[[#This Row],[Order Date]]</f>
        <v>2</v>
      </c>
      <c r="K2050">
        <f>WEEKNUM(orders[[#This Row],[Order Date]])</f>
        <v>12</v>
      </c>
      <c r="L2050" t="str" cm="1">
        <f t="array" ref="L2050">_xlfn.IFS(orders[[#This Row],[Customer Gender]]="M","Male", orders[[#This Row],[Customer Gender]]="F","Female", orders[[#This Row],[Customer Gender]]="O","Other", TRUE,"Unknown")</f>
        <v>Female</v>
      </c>
      <c r="M2050">
        <v>10</v>
      </c>
      <c r="N2050">
        <v>36.299999999999997</v>
      </c>
      <c r="O2050" s="5">
        <v>363</v>
      </c>
    </row>
    <row r="2051" spans="1:15" x14ac:dyDescent="0.3">
      <c r="A2051" t="s">
        <v>2150</v>
      </c>
      <c r="B2051" t="s">
        <v>43</v>
      </c>
      <c r="C2051" s="7">
        <v>45733</v>
      </c>
      <c r="D2051" s="7">
        <v>45738</v>
      </c>
      <c r="E2051" t="s">
        <v>26</v>
      </c>
      <c r="F2051" t="s">
        <v>34</v>
      </c>
      <c r="G2051">
        <v>5</v>
      </c>
      <c r="H2051" t="s">
        <v>18</v>
      </c>
      <c r="I2051" t="s">
        <v>32</v>
      </c>
      <c r="J2051">
        <f>orders[[#This Row],[Ship Date]]-orders[[#This Row],[Order Date]]</f>
        <v>5</v>
      </c>
      <c r="K2051">
        <f>WEEKNUM(orders[[#This Row],[Order Date]])</f>
        <v>12</v>
      </c>
      <c r="L2051" t="str" cm="1">
        <f t="array" ref="L2051">_xlfn.IFS(orders[[#This Row],[Customer Gender]]="M","Male", orders[[#This Row],[Customer Gender]]="F","Female", orders[[#This Row],[Customer Gender]]="O","Other", TRUE,"Unknown")</f>
        <v>Female</v>
      </c>
      <c r="M2051">
        <v>1</v>
      </c>
      <c r="N2051">
        <v>23.4</v>
      </c>
      <c r="O2051">
        <v>23.4</v>
      </c>
    </row>
    <row r="2052" spans="1:15" x14ac:dyDescent="0.3">
      <c r="A2052" t="s">
        <v>2151</v>
      </c>
      <c r="B2052" t="s">
        <v>122</v>
      </c>
      <c r="C2052" s="7">
        <v>45733</v>
      </c>
      <c r="D2052" s="7">
        <v>45735</v>
      </c>
      <c r="E2052" t="s">
        <v>26</v>
      </c>
      <c r="F2052" t="s">
        <v>34</v>
      </c>
      <c r="G2052">
        <v>4</v>
      </c>
      <c r="H2052" t="s">
        <v>18</v>
      </c>
      <c r="I2052" t="s">
        <v>32</v>
      </c>
      <c r="J2052">
        <f>orders[[#This Row],[Ship Date]]-orders[[#This Row],[Order Date]]</f>
        <v>2</v>
      </c>
      <c r="K2052">
        <f>WEEKNUM(orders[[#This Row],[Order Date]])</f>
        <v>12</v>
      </c>
      <c r="L2052" t="str" cm="1">
        <f t="array" ref="L2052">_xlfn.IFS(orders[[#This Row],[Customer Gender]]="M","Male", orders[[#This Row],[Customer Gender]]="F","Female", orders[[#This Row],[Customer Gender]]="O","Other", TRUE,"Unknown")</f>
        <v>Female</v>
      </c>
      <c r="M2052">
        <v>8</v>
      </c>
      <c r="N2052">
        <v>56.6</v>
      </c>
      <c r="O2052" s="5">
        <v>452.8</v>
      </c>
    </row>
    <row r="2053" spans="1:15" x14ac:dyDescent="0.3">
      <c r="A2053" t="s">
        <v>2152</v>
      </c>
      <c r="B2053" t="s">
        <v>122</v>
      </c>
      <c r="C2053" s="7">
        <v>45733</v>
      </c>
      <c r="D2053" s="7">
        <v>45734</v>
      </c>
      <c r="E2053" t="s">
        <v>22</v>
      </c>
      <c r="F2053" t="s">
        <v>17</v>
      </c>
      <c r="G2053">
        <v>4</v>
      </c>
      <c r="H2053" t="s">
        <v>18</v>
      </c>
      <c r="I2053" t="s">
        <v>48</v>
      </c>
      <c r="J2053">
        <f>orders[[#This Row],[Ship Date]]-orders[[#This Row],[Order Date]]</f>
        <v>1</v>
      </c>
      <c r="K2053">
        <f>WEEKNUM(orders[[#This Row],[Order Date]])</f>
        <v>12</v>
      </c>
      <c r="L2053" t="str" cm="1">
        <f t="array" ref="L2053">_xlfn.IFS(orders[[#This Row],[Customer Gender]]="M","Male", orders[[#This Row],[Customer Gender]]="F","Female", orders[[#This Row],[Customer Gender]]="O","Other", TRUE,"Unknown")</f>
        <v>Male</v>
      </c>
      <c r="M2053">
        <v>2</v>
      </c>
      <c r="N2053">
        <v>26.8</v>
      </c>
      <c r="O2053">
        <v>53.6</v>
      </c>
    </row>
    <row r="2054" spans="1:15" x14ac:dyDescent="0.3">
      <c r="A2054" t="s">
        <v>2153</v>
      </c>
      <c r="B2054" t="s">
        <v>16</v>
      </c>
      <c r="C2054" s="7">
        <v>45733</v>
      </c>
      <c r="D2054" s="7">
        <v>45735</v>
      </c>
      <c r="E2054" t="s">
        <v>22</v>
      </c>
      <c r="F2054" t="s">
        <v>39</v>
      </c>
      <c r="G2054">
        <v>4</v>
      </c>
      <c r="H2054" t="s">
        <v>18</v>
      </c>
      <c r="I2054" t="s">
        <v>187</v>
      </c>
      <c r="J2054">
        <f>orders[[#This Row],[Ship Date]]-orders[[#This Row],[Order Date]]</f>
        <v>2</v>
      </c>
      <c r="K2054">
        <f>WEEKNUM(orders[[#This Row],[Order Date]])</f>
        <v>12</v>
      </c>
      <c r="L2054" t="str" cm="1">
        <f t="array" ref="L2054">_xlfn.IFS(orders[[#This Row],[Customer Gender]]="M","Male", orders[[#This Row],[Customer Gender]]="F","Female", orders[[#This Row],[Customer Gender]]="O","Other", TRUE,"Unknown")</f>
        <v>Male</v>
      </c>
      <c r="M2054">
        <v>3</v>
      </c>
      <c r="N2054">
        <v>11.3</v>
      </c>
      <c r="O2054" s="5">
        <v>33.900000000000006</v>
      </c>
    </row>
    <row r="2055" spans="1:15" x14ac:dyDescent="0.3">
      <c r="A2055" t="s">
        <v>2154</v>
      </c>
      <c r="B2055" t="s">
        <v>38</v>
      </c>
      <c r="C2055" s="7">
        <v>45733</v>
      </c>
      <c r="D2055" s="7">
        <v>45736</v>
      </c>
      <c r="E2055" t="s">
        <v>26</v>
      </c>
      <c r="F2055" t="s">
        <v>17</v>
      </c>
      <c r="G2055">
        <v>4</v>
      </c>
      <c r="H2055" t="s">
        <v>18</v>
      </c>
      <c r="I2055" t="s">
        <v>58</v>
      </c>
      <c r="J2055">
        <f>orders[[#This Row],[Ship Date]]-orders[[#This Row],[Order Date]]</f>
        <v>3</v>
      </c>
      <c r="K2055">
        <f>WEEKNUM(orders[[#This Row],[Order Date]])</f>
        <v>12</v>
      </c>
      <c r="L2055" t="str" cm="1">
        <f t="array" ref="L2055">_xlfn.IFS(orders[[#This Row],[Customer Gender]]="M","Male", orders[[#This Row],[Customer Gender]]="F","Female", orders[[#This Row],[Customer Gender]]="O","Other", TRUE,"Unknown")</f>
        <v>Female</v>
      </c>
      <c r="M2055">
        <v>3</v>
      </c>
      <c r="N2055">
        <v>60.1</v>
      </c>
      <c r="O2055">
        <v>180.3</v>
      </c>
    </row>
    <row r="2056" spans="1:15" x14ac:dyDescent="0.3">
      <c r="A2056" t="s">
        <v>2155</v>
      </c>
      <c r="B2056" t="s">
        <v>16</v>
      </c>
      <c r="C2056" s="7">
        <v>45733</v>
      </c>
      <c r="D2056" s="7">
        <v>45738</v>
      </c>
      <c r="E2056" t="s">
        <v>26</v>
      </c>
      <c r="F2056" t="s">
        <v>17</v>
      </c>
      <c r="G2056">
        <v>4</v>
      </c>
      <c r="H2056" t="s">
        <v>18</v>
      </c>
      <c r="I2056" t="s">
        <v>61</v>
      </c>
      <c r="J2056">
        <f>orders[[#This Row],[Ship Date]]-orders[[#This Row],[Order Date]]</f>
        <v>5</v>
      </c>
      <c r="K2056">
        <f>WEEKNUM(orders[[#This Row],[Order Date]])</f>
        <v>12</v>
      </c>
      <c r="L2056" t="str" cm="1">
        <f t="array" ref="L2056">_xlfn.IFS(orders[[#This Row],[Customer Gender]]="M","Male", orders[[#This Row],[Customer Gender]]="F","Female", orders[[#This Row],[Customer Gender]]="O","Other", TRUE,"Unknown")</f>
        <v>Female</v>
      </c>
      <c r="M2056">
        <v>11</v>
      </c>
      <c r="N2056">
        <v>27.7</v>
      </c>
      <c r="O2056" s="5">
        <v>304.7</v>
      </c>
    </row>
    <row r="2057" spans="1:15" x14ac:dyDescent="0.3">
      <c r="A2057" t="s">
        <v>2156</v>
      </c>
      <c r="B2057" t="s">
        <v>122</v>
      </c>
      <c r="C2057" s="7">
        <v>45733</v>
      </c>
      <c r="D2057" s="7">
        <v>45736</v>
      </c>
      <c r="E2057" t="s">
        <v>22</v>
      </c>
      <c r="F2057" t="s">
        <v>17</v>
      </c>
      <c r="G2057">
        <v>5</v>
      </c>
      <c r="H2057" t="s">
        <v>18</v>
      </c>
      <c r="I2057" t="s">
        <v>61</v>
      </c>
      <c r="J2057">
        <f>orders[[#This Row],[Ship Date]]-orders[[#This Row],[Order Date]]</f>
        <v>3</v>
      </c>
      <c r="K2057">
        <f>WEEKNUM(orders[[#This Row],[Order Date]])</f>
        <v>12</v>
      </c>
      <c r="L2057" t="str" cm="1">
        <f t="array" ref="L2057">_xlfn.IFS(orders[[#This Row],[Customer Gender]]="M","Male", orders[[#This Row],[Customer Gender]]="F","Female", orders[[#This Row],[Customer Gender]]="O","Other", TRUE,"Unknown")</f>
        <v>Male</v>
      </c>
      <c r="M2057">
        <v>1</v>
      </c>
      <c r="N2057">
        <v>71.400000000000006</v>
      </c>
      <c r="O2057">
        <v>71.400000000000006</v>
      </c>
    </row>
    <row r="2058" spans="1:15" x14ac:dyDescent="0.3">
      <c r="A2058" t="s">
        <v>2157</v>
      </c>
      <c r="B2058" t="s">
        <v>25</v>
      </c>
      <c r="C2058" s="7">
        <v>45733</v>
      </c>
      <c r="D2058" s="7">
        <v>45734</v>
      </c>
      <c r="E2058" t="s">
        <v>26</v>
      </c>
      <c r="F2058" t="s">
        <v>17</v>
      </c>
      <c r="G2058">
        <v>5</v>
      </c>
      <c r="H2058" t="s">
        <v>18</v>
      </c>
      <c r="I2058" t="s">
        <v>61</v>
      </c>
      <c r="J2058">
        <f>orders[[#This Row],[Ship Date]]-orders[[#This Row],[Order Date]]</f>
        <v>1</v>
      </c>
      <c r="K2058">
        <f>WEEKNUM(orders[[#This Row],[Order Date]])</f>
        <v>12</v>
      </c>
      <c r="L2058" t="str" cm="1">
        <f t="array" ref="L2058">_xlfn.IFS(orders[[#This Row],[Customer Gender]]="M","Male", orders[[#This Row],[Customer Gender]]="F","Female", orders[[#This Row],[Customer Gender]]="O","Other", TRUE,"Unknown")</f>
        <v>Female</v>
      </c>
      <c r="M2058">
        <v>2</v>
      </c>
      <c r="N2058">
        <v>66.7</v>
      </c>
      <c r="O2058" s="5">
        <v>133.4</v>
      </c>
    </row>
    <row r="2059" spans="1:15" x14ac:dyDescent="0.3">
      <c r="A2059" t="s">
        <v>2158</v>
      </c>
      <c r="B2059" t="s">
        <v>75</v>
      </c>
      <c r="C2059" s="7">
        <v>45733</v>
      </c>
      <c r="D2059" s="7">
        <v>45734</v>
      </c>
      <c r="E2059" t="s">
        <v>26</v>
      </c>
      <c r="F2059" t="s">
        <v>17</v>
      </c>
      <c r="G2059">
        <v>4</v>
      </c>
      <c r="H2059" t="s">
        <v>18</v>
      </c>
      <c r="I2059" t="s">
        <v>61</v>
      </c>
      <c r="J2059">
        <f>orders[[#This Row],[Ship Date]]-orders[[#This Row],[Order Date]]</f>
        <v>1</v>
      </c>
      <c r="K2059">
        <f>WEEKNUM(orders[[#This Row],[Order Date]])</f>
        <v>12</v>
      </c>
      <c r="L2059" t="str" cm="1">
        <f t="array" ref="L2059">_xlfn.IFS(orders[[#This Row],[Customer Gender]]="M","Male", orders[[#This Row],[Customer Gender]]="F","Female", orders[[#This Row],[Customer Gender]]="O","Other", TRUE,"Unknown")</f>
        <v>Female</v>
      </c>
      <c r="M2059">
        <v>5</v>
      </c>
      <c r="N2059">
        <v>39.1</v>
      </c>
      <c r="O2059">
        <v>195.5</v>
      </c>
    </row>
    <row r="2060" spans="1:15" x14ac:dyDescent="0.3">
      <c r="A2060" t="s">
        <v>2159</v>
      </c>
      <c r="B2060" t="s">
        <v>43</v>
      </c>
      <c r="C2060" s="7">
        <v>45733</v>
      </c>
      <c r="D2060" s="7">
        <v>45738</v>
      </c>
      <c r="E2060" t="s">
        <v>22</v>
      </c>
      <c r="F2060" t="s">
        <v>34</v>
      </c>
      <c r="G2060">
        <v>5</v>
      </c>
      <c r="H2060" t="s">
        <v>18</v>
      </c>
      <c r="I2060" t="s">
        <v>61</v>
      </c>
      <c r="J2060">
        <f>orders[[#This Row],[Ship Date]]-orders[[#This Row],[Order Date]]</f>
        <v>5</v>
      </c>
      <c r="K2060">
        <f>WEEKNUM(orders[[#This Row],[Order Date]])</f>
        <v>12</v>
      </c>
      <c r="L2060" t="str" cm="1">
        <f t="array" ref="L2060">_xlfn.IFS(orders[[#This Row],[Customer Gender]]="M","Male", orders[[#This Row],[Customer Gender]]="F","Female", orders[[#This Row],[Customer Gender]]="O","Other", TRUE,"Unknown")</f>
        <v>Male</v>
      </c>
      <c r="M2060">
        <v>4</v>
      </c>
      <c r="N2060">
        <v>24.9</v>
      </c>
      <c r="O2060" s="5">
        <v>99.6</v>
      </c>
    </row>
    <row r="2061" spans="1:15" x14ac:dyDescent="0.3">
      <c r="A2061" t="s">
        <v>2160</v>
      </c>
      <c r="B2061" t="s">
        <v>36</v>
      </c>
      <c r="C2061" s="7">
        <v>45733</v>
      </c>
      <c r="D2061" s="7">
        <v>45734</v>
      </c>
      <c r="E2061" t="s">
        <v>22</v>
      </c>
      <c r="F2061" t="s">
        <v>17</v>
      </c>
      <c r="G2061">
        <v>5</v>
      </c>
      <c r="H2061" t="s">
        <v>18</v>
      </c>
      <c r="I2061" t="s">
        <v>102</v>
      </c>
      <c r="J2061">
        <f>orders[[#This Row],[Ship Date]]-orders[[#This Row],[Order Date]]</f>
        <v>1</v>
      </c>
      <c r="K2061">
        <f>WEEKNUM(orders[[#This Row],[Order Date]])</f>
        <v>12</v>
      </c>
      <c r="L2061" t="str" cm="1">
        <f t="array" ref="L2061">_xlfn.IFS(orders[[#This Row],[Customer Gender]]="M","Male", orders[[#This Row],[Customer Gender]]="F","Female", orders[[#This Row],[Customer Gender]]="O","Other", TRUE,"Unknown")</f>
        <v>Male</v>
      </c>
      <c r="M2061">
        <v>5</v>
      </c>
      <c r="N2061">
        <v>29.2</v>
      </c>
      <c r="O2061">
        <v>146</v>
      </c>
    </row>
    <row r="2062" spans="1:15" x14ac:dyDescent="0.3">
      <c r="A2062" t="s">
        <v>2161</v>
      </c>
      <c r="B2062" t="s">
        <v>75</v>
      </c>
      <c r="C2062" s="7">
        <v>45733</v>
      </c>
      <c r="D2062" s="7">
        <v>45735</v>
      </c>
      <c r="E2062" t="s">
        <v>26</v>
      </c>
      <c r="F2062" t="s">
        <v>34</v>
      </c>
      <c r="G2062">
        <v>4</v>
      </c>
      <c r="H2062" t="s">
        <v>18</v>
      </c>
      <c r="I2062" t="s">
        <v>76</v>
      </c>
      <c r="J2062">
        <f>orders[[#This Row],[Ship Date]]-orders[[#This Row],[Order Date]]</f>
        <v>2</v>
      </c>
      <c r="K2062">
        <f>WEEKNUM(orders[[#This Row],[Order Date]])</f>
        <v>12</v>
      </c>
      <c r="L2062" t="str" cm="1">
        <f t="array" ref="L2062">_xlfn.IFS(orders[[#This Row],[Customer Gender]]="M","Male", orders[[#This Row],[Customer Gender]]="F","Female", orders[[#This Row],[Customer Gender]]="O","Other", TRUE,"Unknown")</f>
        <v>Female</v>
      </c>
      <c r="M2062">
        <v>14</v>
      </c>
      <c r="N2062">
        <v>28.3</v>
      </c>
      <c r="O2062" s="5">
        <v>396.2</v>
      </c>
    </row>
    <row r="2063" spans="1:15" x14ac:dyDescent="0.3">
      <c r="A2063" t="s">
        <v>2162</v>
      </c>
      <c r="B2063" t="s">
        <v>45</v>
      </c>
      <c r="C2063" s="7">
        <v>45733</v>
      </c>
      <c r="D2063" s="7">
        <v>45734</v>
      </c>
      <c r="E2063" t="s">
        <v>26</v>
      </c>
      <c r="F2063" t="s">
        <v>17</v>
      </c>
      <c r="G2063">
        <v>3</v>
      </c>
      <c r="H2063" t="s">
        <v>18</v>
      </c>
      <c r="I2063" t="s">
        <v>76</v>
      </c>
      <c r="J2063">
        <f>orders[[#This Row],[Ship Date]]-orders[[#This Row],[Order Date]]</f>
        <v>1</v>
      </c>
      <c r="K2063">
        <f>WEEKNUM(orders[[#This Row],[Order Date]])</f>
        <v>12</v>
      </c>
      <c r="L2063" t="str" cm="1">
        <f t="array" ref="L2063">_xlfn.IFS(orders[[#This Row],[Customer Gender]]="M","Male", orders[[#This Row],[Customer Gender]]="F","Female", orders[[#This Row],[Customer Gender]]="O","Other", TRUE,"Unknown")</f>
        <v>Female</v>
      </c>
      <c r="M2063">
        <v>3</v>
      </c>
      <c r="N2063">
        <v>37.799999999999997</v>
      </c>
      <c r="O2063">
        <v>113.39999999999999</v>
      </c>
    </row>
    <row r="2064" spans="1:15" x14ac:dyDescent="0.3">
      <c r="A2064" t="s">
        <v>2163</v>
      </c>
      <c r="B2064" t="s">
        <v>80</v>
      </c>
      <c r="C2064" s="7">
        <v>45733</v>
      </c>
      <c r="D2064" s="7">
        <v>45739</v>
      </c>
      <c r="E2064" t="s">
        <v>26</v>
      </c>
      <c r="F2064" t="s">
        <v>39</v>
      </c>
      <c r="G2064">
        <v>4</v>
      </c>
      <c r="H2064" t="s">
        <v>18</v>
      </c>
      <c r="I2064" t="s">
        <v>76</v>
      </c>
      <c r="J2064">
        <f>orders[[#This Row],[Ship Date]]-orders[[#This Row],[Order Date]]</f>
        <v>6</v>
      </c>
      <c r="K2064">
        <f>WEEKNUM(orders[[#This Row],[Order Date]])</f>
        <v>12</v>
      </c>
      <c r="L2064" t="str" cm="1">
        <f t="array" ref="L2064">_xlfn.IFS(orders[[#This Row],[Customer Gender]]="M","Male", orders[[#This Row],[Customer Gender]]="F","Female", orders[[#This Row],[Customer Gender]]="O","Other", TRUE,"Unknown")</f>
        <v>Female</v>
      </c>
      <c r="M2064">
        <v>7</v>
      </c>
      <c r="N2064">
        <v>28.1</v>
      </c>
      <c r="O2064" s="5">
        <v>196.70000000000002</v>
      </c>
    </row>
    <row r="2065" spans="1:15" x14ac:dyDescent="0.3">
      <c r="A2065" t="s">
        <v>2164</v>
      </c>
      <c r="B2065" t="s">
        <v>21</v>
      </c>
      <c r="C2065" s="7">
        <v>45733</v>
      </c>
      <c r="D2065" s="7">
        <v>45735</v>
      </c>
      <c r="E2065" t="s">
        <v>26</v>
      </c>
      <c r="F2065" t="s">
        <v>39</v>
      </c>
      <c r="G2065">
        <v>4</v>
      </c>
      <c r="H2065" t="s">
        <v>18</v>
      </c>
      <c r="I2065" t="s">
        <v>76</v>
      </c>
      <c r="J2065">
        <f>orders[[#This Row],[Ship Date]]-orders[[#This Row],[Order Date]]</f>
        <v>2</v>
      </c>
      <c r="K2065">
        <f>WEEKNUM(orders[[#This Row],[Order Date]])</f>
        <v>12</v>
      </c>
      <c r="L2065" t="str" cm="1">
        <f t="array" ref="L2065">_xlfn.IFS(orders[[#This Row],[Customer Gender]]="M","Male", orders[[#This Row],[Customer Gender]]="F","Female", orders[[#This Row],[Customer Gender]]="O","Other", TRUE,"Unknown")</f>
        <v>Female</v>
      </c>
      <c r="M2065">
        <v>3</v>
      </c>
      <c r="N2065">
        <v>59.7</v>
      </c>
      <c r="O2065">
        <v>179.10000000000002</v>
      </c>
    </row>
    <row r="2066" spans="1:15" x14ac:dyDescent="0.3">
      <c r="A2066" t="s">
        <v>2165</v>
      </c>
      <c r="B2066" t="s">
        <v>127</v>
      </c>
      <c r="C2066" s="7">
        <v>45733</v>
      </c>
      <c r="D2066" s="7">
        <v>45734</v>
      </c>
      <c r="E2066" t="s">
        <v>22</v>
      </c>
      <c r="F2066" t="s">
        <v>34</v>
      </c>
      <c r="G2066">
        <v>3</v>
      </c>
      <c r="H2066" t="s">
        <v>18</v>
      </c>
      <c r="I2066" t="s">
        <v>76</v>
      </c>
      <c r="J2066">
        <f>orders[[#This Row],[Ship Date]]-orders[[#This Row],[Order Date]]</f>
        <v>1</v>
      </c>
      <c r="K2066">
        <f>WEEKNUM(orders[[#This Row],[Order Date]])</f>
        <v>12</v>
      </c>
      <c r="L2066" t="str" cm="1">
        <f t="array" ref="L2066">_xlfn.IFS(orders[[#This Row],[Customer Gender]]="M","Male", orders[[#This Row],[Customer Gender]]="F","Female", orders[[#This Row],[Customer Gender]]="O","Other", TRUE,"Unknown")</f>
        <v>Male</v>
      </c>
      <c r="M2066">
        <v>1</v>
      </c>
      <c r="N2066">
        <v>71.900000000000006</v>
      </c>
      <c r="O2066" s="5">
        <v>71.900000000000006</v>
      </c>
    </row>
    <row r="2067" spans="1:15" x14ac:dyDescent="0.3">
      <c r="A2067" t="s">
        <v>2166</v>
      </c>
      <c r="B2067" t="s">
        <v>21</v>
      </c>
      <c r="C2067" s="7">
        <v>45733</v>
      </c>
      <c r="D2067" s="7">
        <v>45734</v>
      </c>
      <c r="E2067" t="s">
        <v>22</v>
      </c>
      <c r="F2067" t="s">
        <v>39</v>
      </c>
      <c r="G2067">
        <v>4</v>
      </c>
      <c r="H2067" t="s">
        <v>18</v>
      </c>
      <c r="I2067" t="s">
        <v>81</v>
      </c>
      <c r="J2067">
        <f>orders[[#This Row],[Ship Date]]-orders[[#This Row],[Order Date]]</f>
        <v>1</v>
      </c>
      <c r="K2067">
        <f>WEEKNUM(orders[[#This Row],[Order Date]])</f>
        <v>12</v>
      </c>
      <c r="L2067" t="str" cm="1">
        <f t="array" ref="L2067">_xlfn.IFS(orders[[#This Row],[Customer Gender]]="M","Male", orders[[#This Row],[Customer Gender]]="F","Female", orders[[#This Row],[Customer Gender]]="O","Other", TRUE,"Unknown")</f>
        <v>Male</v>
      </c>
      <c r="M2067">
        <v>2</v>
      </c>
      <c r="N2067">
        <v>56.9</v>
      </c>
      <c r="O2067">
        <v>113.8</v>
      </c>
    </row>
    <row r="2068" spans="1:15" x14ac:dyDescent="0.3">
      <c r="A2068" t="s">
        <v>2167</v>
      </c>
      <c r="B2068" t="s">
        <v>43</v>
      </c>
      <c r="C2068" s="7">
        <v>45733</v>
      </c>
      <c r="D2068" s="7">
        <v>45736</v>
      </c>
      <c r="E2068" t="s">
        <v>26</v>
      </c>
      <c r="F2068" t="s">
        <v>39</v>
      </c>
      <c r="G2068">
        <v>3</v>
      </c>
      <c r="H2068" t="s">
        <v>18</v>
      </c>
      <c r="I2068" t="s">
        <v>23</v>
      </c>
      <c r="J2068">
        <f>orders[[#This Row],[Ship Date]]-orders[[#This Row],[Order Date]]</f>
        <v>3</v>
      </c>
      <c r="K2068">
        <f>WEEKNUM(orders[[#This Row],[Order Date]])</f>
        <v>12</v>
      </c>
      <c r="L2068" t="str" cm="1">
        <f t="array" ref="L2068">_xlfn.IFS(orders[[#This Row],[Customer Gender]]="M","Male", orders[[#This Row],[Customer Gender]]="F","Female", orders[[#This Row],[Customer Gender]]="O","Other", TRUE,"Unknown")</f>
        <v>Female</v>
      </c>
      <c r="M2068">
        <v>2</v>
      </c>
      <c r="N2068">
        <v>15.8</v>
      </c>
      <c r="O2068" s="5">
        <v>31.6</v>
      </c>
    </row>
    <row r="2069" spans="1:15" x14ac:dyDescent="0.3">
      <c r="A2069" t="s">
        <v>2168</v>
      </c>
      <c r="B2069" t="s">
        <v>66</v>
      </c>
      <c r="C2069" s="7">
        <v>45733</v>
      </c>
      <c r="D2069" s="7">
        <v>45735</v>
      </c>
      <c r="E2069" t="s">
        <v>26</v>
      </c>
      <c r="F2069" t="s">
        <v>39</v>
      </c>
      <c r="G2069">
        <v>4</v>
      </c>
      <c r="H2069" t="s">
        <v>18</v>
      </c>
      <c r="I2069" t="s">
        <v>146</v>
      </c>
      <c r="J2069">
        <f>orders[[#This Row],[Ship Date]]-orders[[#This Row],[Order Date]]</f>
        <v>2</v>
      </c>
      <c r="K2069">
        <f>WEEKNUM(orders[[#This Row],[Order Date]])</f>
        <v>12</v>
      </c>
      <c r="L2069" t="str" cm="1">
        <f t="array" ref="L2069">_xlfn.IFS(orders[[#This Row],[Customer Gender]]="M","Male", orders[[#This Row],[Customer Gender]]="F","Female", orders[[#This Row],[Customer Gender]]="O","Other", TRUE,"Unknown")</f>
        <v>Female</v>
      </c>
      <c r="M2069">
        <v>4</v>
      </c>
      <c r="N2069">
        <v>61.7</v>
      </c>
      <c r="O2069">
        <v>246.8</v>
      </c>
    </row>
    <row r="2070" spans="1:15" x14ac:dyDescent="0.3">
      <c r="A2070" t="s">
        <v>2169</v>
      </c>
      <c r="B2070" t="s">
        <v>25</v>
      </c>
      <c r="C2070" s="7">
        <v>45733</v>
      </c>
      <c r="D2070" s="7">
        <v>45735</v>
      </c>
      <c r="E2070" t="s">
        <v>22</v>
      </c>
      <c r="F2070" t="s">
        <v>34</v>
      </c>
      <c r="G2070">
        <v>2</v>
      </c>
      <c r="H2070" t="s">
        <v>18</v>
      </c>
      <c r="I2070" t="s">
        <v>32</v>
      </c>
      <c r="J2070">
        <f>orders[[#This Row],[Ship Date]]-orders[[#This Row],[Order Date]]</f>
        <v>2</v>
      </c>
      <c r="K2070">
        <f>WEEKNUM(orders[[#This Row],[Order Date]])</f>
        <v>12</v>
      </c>
      <c r="L2070" t="str" cm="1">
        <f t="array" ref="L2070">_xlfn.IFS(orders[[#This Row],[Customer Gender]]="M","Male", orders[[#This Row],[Customer Gender]]="F","Female", orders[[#This Row],[Customer Gender]]="O","Other", TRUE,"Unknown")</f>
        <v>Male</v>
      </c>
      <c r="M2070">
        <v>10</v>
      </c>
      <c r="N2070">
        <v>105.2</v>
      </c>
      <c r="O2070" s="5">
        <v>1052</v>
      </c>
    </row>
    <row r="2071" spans="1:15" x14ac:dyDescent="0.3">
      <c r="A2071" t="s">
        <v>2170</v>
      </c>
      <c r="B2071" t="s">
        <v>16</v>
      </c>
      <c r="C2071" s="7">
        <v>45733</v>
      </c>
      <c r="D2071" s="7">
        <v>45735</v>
      </c>
      <c r="E2071" t="s">
        <v>26</v>
      </c>
      <c r="F2071" t="s">
        <v>39</v>
      </c>
      <c r="G2071">
        <v>4</v>
      </c>
      <c r="H2071" t="s">
        <v>18</v>
      </c>
      <c r="I2071" t="s">
        <v>32</v>
      </c>
      <c r="J2071">
        <f>orders[[#This Row],[Ship Date]]-orders[[#This Row],[Order Date]]</f>
        <v>2</v>
      </c>
      <c r="K2071">
        <f>WEEKNUM(orders[[#This Row],[Order Date]])</f>
        <v>12</v>
      </c>
      <c r="L2071" t="str" cm="1">
        <f t="array" ref="L2071">_xlfn.IFS(orders[[#This Row],[Customer Gender]]="M","Male", orders[[#This Row],[Customer Gender]]="F","Female", orders[[#This Row],[Customer Gender]]="O","Other", TRUE,"Unknown")</f>
        <v>Female</v>
      </c>
      <c r="M2071">
        <v>2</v>
      </c>
      <c r="N2071">
        <v>17</v>
      </c>
      <c r="O2071">
        <v>34</v>
      </c>
    </row>
    <row r="2072" spans="1:15" x14ac:dyDescent="0.3">
      <c r="A2072" t="s">
        <v>2171</v>
      </c>
      <c r="B2072" t="s">
        <v>38</v>
      </c>
      <c r="C2072" s="7">
        <v>45733</v>
      </c>
      <c r="D2072" s="7">
        <v>45734</v>
      </c>
      <c r="E2072" t="s">
        <v>22</v>
      </c>
      <c r="F2072" t="s">
        <v>39</v>
      </c>
      <c r="G2072">
        <v>4</v>
      </c>
      <c r="H2072" t="s">
        <v>18</v>
      </c>
      <c r="I2072" t="s">
        <v>32</v>
      </c>
      <c r="J2072">
        <f>orders[[#This Row],[Ship Date]]-orders[[#This Row],[Order Date]]</f>
        <v>1</v>
      </c>
      <c r="K2072">
        <f>WEEKNUM(orders[[#This Row],[Order Date]])</f>
        <v>12</v>
      </c>
      <c r="L2072" t="str" cm="1">
        <f t="array" ref="L2072">_xlfn.IFS(orders[[#This Row],[Customer Gender]]="M","Male", orders[[#This Row],[Customer Gender]]="F","Female", orders[[#This Row],[Customer Gender]]="O","Other", TRUE,"Unknown")</f>
        <v>Male</v>
      </c>
      <c r="M2072">
        <v>3</v>
      </c>
      <c r="N2072">
        <v>84.1</v>
      </c>
      <c r="O2072" s="5">
        <v>252.29999999999998</v>
      </c>
    </row>
    <row r="2073" spans="1:15" x14ac:dyDescent="0.3">
      <c r="A2073" t="s">
        <v>2172</v>
      </c>
      <c r="B2073" t="s">
        <v>29</v>
      </c>
      <c r="C2073" s="7">
        <v>45733</v>
      </c>
      <c r="D2073" s="7">
        <v>45738</v>
      </c>
      <c r="E2073" t="s">
        <v>22</v>
      </c>
      <c r="F2073" t="s">
        <v>17</v>
      </c>
      <c r="G2073">
        <v>5</v>
      </c>
      <c r="H2073" t="s">
        <v>18</v>
      </c>
      <c r="I2073" t="s">
        <v>32</v>
      </c>
      <c r="J2073">
        <f>orders[[#This Row],[Ship Date]]-orders[[#This Row],[Order Date]]</f>
        <v>5</v>
      </c>
      <c r="K2073">
        <f>WEEKNUM(orders[[#This Row],[Order Date]])</f>
        <v>12</v>
      </c>
      <c r="L2073" t="str" cm="1">
        <f t="array" ref="L2073">_xlfn.IFS(orders[[#This Row],[Customer Gender]]="M","Male", orders[[#This Row],[Customer Gender]]="F","Female", orders[[#This Row],[Customer Gender]]="O","Other", TRUE,"Unknown")</f>
        <v>Male</v>
      </c>
      <c r="M2073">
        <v>4</v>
      </c>
      <c r="N2073">
        <v>59.5</v>
      </c>
      <c r="O2073">
        <v>238</v>
      </c>
    </row>
    <row r="2074" spans="1:15" x14ac:dyDescent="0.3">
      <c r="A2074" t="s">
        <v>2173</v>
      </c>
      <c r="B2074" t="s">
        <v>43</v>
      </c>
      <c r="C2074" s="7">
        <v>45733</v>
      </c>
      <c r="D2074" s="7">
        <v>45735</v>
      </c>
      <c r="E2074" t="s">
        <v>22</v>
      </c>
      <c r="F2074" t="s">
        <v>34</v>
      </c>
      <c r="G2074">
        <v>5</v>
      </c>
      <c r="H2074" t="s">
        <v>18</v>
      </c>
      <c r="I2074" t="s">
        <v>32</v>
      </c>
      <c r="J2074">
        <f>orders[[#This Row],[Ship Date]]-orders[[#This Row],[Order Date]]</f>
        <v>2</v>
      </c>
      <c r="K2074">
        <f>WEEKNUM(orders[[#This Row],[Order Date]])</f>
        <v>12</v>
      </c>
      <c r="L2074" t="str" cm="1">
        <f t="array" ref="L2074">_xlfn.IFS(orders[[#This Row],[Customer Gender]]="M","Male", orders[[#This Row],[Customer Gender]]="F","Female", orders[[#This Row],[Customer Gender]]="O","Other", TRUE,"Unknown")</f>
        <v>Male</v>
      </c>
      <c r="M2074">
        <v>2</v>
      </c>
      <c r="N2074">
        <v>57.5</v>
      </c>
      <c r="O2074" s="5">
        <v>115</v>
      </c>
    </row>
    <row r="2075" spans="1:15" x14ac:dyDescent="0.3">
      <c r="A2075" t="s">
        <v>2174</v>
      </c>
      <c r="B2075" t="s">
        <v>43</v>
      </c>
      <c r="C2075" s="7">
        <v>45733</v>
      </c>
      <c r="D2075" s="7">
        <v>45734</v>
      </c>
      <c r="E2075" t="s">
        <v>26</v>
      </c>
      <c r="F2075" t="s">
        <v>69</v>
      </c>
      <c r="G2075">
        <v>5</v>
      </c>
      <c r="H2075" t="s">
        <v>18</v>
      </c>
      <c r="I2075" t="s">
        <v>32</v>
      </c>
      <c r="J2075">
        <f>orders[[#This Row],[Ship Date]]-orders[[#This Row],[Order Date]]</f>
        <v>1</v>
      </c>
      <c r="K2075">
        <f>WEEKNUM(orders[[#This Row],[Order Date]])</f>
        <v>12</v>
      </c>
      <c r="L2075" t="str" cm="1">
        <f t="array" ref="L2075">_xlfn.IFS(orders[[#This Row],[Customer Gender]]="M","Male", orders[[#This Row],[Customer Gender]]="F","Female", orders[[#This Row],[Customer Gender]]="O","Other", TRUE,"Unknown")</f>
        <v>Female</v>
      </c>
      <c r="M2075">
        <v>1</v>
      </c>
      <c r="N2075">
        <v>34.299999999999997</v>
      </c>
      <c r="O2075">
        <v>34.299999999999997</v>
      </c>
    </row>
    <row r="2076" spans="1:15" x14ac:dyDescent="0.3">
      <c r="A2076" t="s">
        <v>2175</v>
      </c>
      <c r="B2076" t="s">
        <v>36</v>
      </c>
      <c r="C2076" s="7">
        <v>45734</v>
      </c>
      <c r="D2076" s="7">
        <v>45736</v>
      </c>
      <c r="E2076" t="s">
        <v>26</v>
      </c>
      <c r="F2076" t="s">
        <v>17</v>
      </c>
      <c r="G2076">
        <v>4</v>
      </c>
      <c r="H2076" t="s">
        <v>18</v>
      </c>
      <c r="I2076" t="s">
        <v>32</v>
      </c>
      <c r="J2076">
        <f>orders[[#This Row],[Ship Date]]-orders[[#This Row],[Order Date]]</f>
        <v>2</v>
      </c>
      <c r="K2076">
        <f>WEEKNUM(orders[[#This Row],[Order Date]])</f>
        <v>12</v>
      </c>
      <c r="L2076" t="str" cm="1">
        <f t="array" ref="L2076">_xlfn.IFS(orders[[#This Row],[Customer Gender]]="M","Male", orders[[#This Row],[Customer Gender]]="F","Female", orders[[#This Row],[Customer Gender]]="O","Other", TRUE,"Unknown")</f>
        <v>Female</v>
      </c>
      <c r="M2076">
        <v>2</v>
      </c>
      <c r="N2076">
        <v>27.8</v>
      </c>
      <c r="O2076" s="5">
        <v>55.6</v>
      </c>
    </row>
    <row r="2077" spans="1:15" x14ac:dyDescent="0.3">
      <c r="A2077" t="s">
        <v>2176</v>
      </c>
      <c r="B2077" t="s">
        <v>68</v>
      </c>
      <c r="C2077" s="7">
        <v>45734</v>
      </c>
      <c r="D2077" s="7">
        <v>45734</v>
      </c>
      <c r="E2077" t="s">
        <v>22</v>
      </c>
      <c r="F2077" t="s">
        <v>39</v>
      </c>
      <c r="G2077">
        <v>5</v>
      </c>
      <c r="H2077" t="s">
        <v>18</v>
      </c>
      <c r="I2077" t="s">
        <v>32</v>
      </c>
      <c r="J2077">
        <f>orders[[#This Row],[Ship Date]]-orders[[#This Row],[Order Date]]</f>
        <v>0</v>
      </c>
      <c r="K2077">
        <f>WEEKNUM(orders[[#This Row],[Order Date]])</f>
        <v>12</v>
      </c>
      <c r="L2077" t="str" cm="1">
        <f t="array" ref="L2077">_xlfn.IFS(orders[[#This Row],[Customer Gender]]="M","Male", orders[[#This Row],[Customer Gender]]="F","Female", orders[[#This Row],[Customer Gender]]="O","Other", TRUE,"Unknown")</f>
        <v>Male</v>
      </c>
      <c r="M2077">
        <v>2</v>
      </c>
      <c r="N2077">
        <v>85</v>
      </c>
      <c r="O2077">
        <v>170</v>
      </c>
    </row>
    <row r="2078" spans="1:15" x14ac:dyDescent="0.3">
      <c r="A2078" t="s">
        <v>2177</v>
      </c>
      <c r="B2078" t="s">
        <v>38</v>
      </c>
      <c r="C2078" s="7">
        <v>45734</v>
      </c>
      <c r="D2078" s="7">
        <v>45736</v>
      </c>
      <c r="E2078" t="s">
        <v>26</v>
      </c>
      <c r="F2078" t="s">
        <v>17</v>
      </c>
      <c r="G2078">
        <v>4</v>
      </c>
      <c r="H2078" t="s">
        <v>18</v>
      </c>
      <c r="I2078" t="s">
        <v>32</v>
      </c>
      <c r="J2078">
        <f>orders[[#This Row],[Ship Date]]-orders[[#This Row],[Order Date]]</f>
        <v>2</v>
      </c>
      <c r="K2078">
        <f>WEEKNUM(orders[[#This Row],[Order Date]])</f>
        <v>12</v>
      </c>
      <c r="L2078" t="str" cm="1">
        <f t="array" ref="L2078">_xlfn.IFS(orders[[#This Row],[Customer Gender]]="M","Male", orders[[#This Row],[Customer Gender]]="F","Female", orders[[#This Row],[Customer Gender]]="O","Other", TRUE,"Unknown")</f>
        <v>Female</v>
      </c>
      <c r="M2078">
        <v>2</v>
      </c>
      <c r="N2078">
        <v>95</v>
      </c>
      <c r="O2078" s="5">
        <v>190</v>
      </c>
    </row>
    <row r="2079" spans="1:15" x14ac:dyDescent="0.3">
      <c r="A2079" t="s">
        <v>2178</v>
      </c>
      <c r="B2079" t="s">
        <v>127</v>
      </c>
      <c r="C2079" s="7">
        <v>45734</v>
      </c>
      <c r="D2079" s="7">
        <v>45736</v>
      </c>
      <c r="E2079" t="s">
        <v>22</v>
      </c>
      <c r="F2079" t="s">
        <v>17</v>
      </c>
      <c r="G2079">
        <v>3</v>
      </c>
      <c r="H2079" t="s">
        <v>18</v>
      </c>
      <c r="I2079" t="s">
        <v>32</v>
      </c>
      <c r="J2079">
        <f>orders[[#This Row],[Ship Date]]-orders[[#This Row],[Order Date]]</f>
        <v>2</v>
      </c>
      <c r="K2079">
        <f>WEEKNUM(orders[[#This Row],[Order Date]])</f>
        <v>12</v>
      </c>
      <c r="L2079" t="str" cm="1">
        <f t="array" ref="L2079">_xlfn.IFS(orders[[#This Row],[Customer Gender]]="M","Male", orders[[#This Row],[Customer Gender]]="F","Female", orders[[#This Row],[Customer Gender]]="O","Other", TRUE,"Unknown")</f>
        <v>Male</v>
      </c>
      <c r="M2079">
        <v>2</v>
      </c>
      <c r="N2079">
        <v>32</v>
      </c>
      <c r="O2079">
        <v>64</v>
      </c>
    </row>
    <row r="2080" spans="1:15" x14ac:dyDescent="0.3">
      <c r="A2080" t="s">
        <v>2179</v>
      </c>
      <c r="B2080" t="s">
        <v>25</v>
      </c>
      <c r="C2080" s="7">
        <v>45734</v>
      </c>
      <c r="D2080" s="7">
        <v>45735</v>
      </c>
      <c r="E2080" t="s">
        <v>26</v>
      </c>
      <c r="F2080" t="s">
        <v>34</v>
      </c>
      <c r="G2080">
        <v>4</v>
      </c>
      <c r="H2080" t="s">
        <v>18</v>
      </c>
      <c r="I2080" t="s">
        <v>32</v>
      </c>
      <c r="J2080">
        <f>orders[[#This Row],[Ship Date]]-orders[[#This Row],[Order Date]]</f>
        <v>1</v>
      </c>
      <c r="K2080">
        <f>WEEKNUM(orders[[#This Row],[Order Date]])</f>
        <v>12</v>
      </c>
      <c r="L2080" t="str" cm="1">
        <f t="array" ref="L2080">_xlfn.IFS(orders[[#This Row],[Customer Gender]]="M","Male", orders[[#This Row],[Customer Gender]]="F","Female", orders[[#This Row],[Customer Gender]]="O","Other", TRUE,"Unknown")</f>
        <v>Female</v>
      </c>
      <c r="M2080">
        <v>2</v>
      </c>
      <c r="N2080">
        <v>65.2</v>
      </c>
      <c r="O2080" s="5">
        <v>130.4</v>
      </c>
    </row>
    <row r="2081" spans="1:15" x14ac:dyDescent="0.3">
      <c r="A2081" t="s">
        <v>2180</v>
      </c>
      <c r="B2081" t="s">
        <v>134</v>
      </c>
      <c r="C2081" s="7">
        <v>45734</v>
      </c>
      <c r="D2081" s="7">
        <v>45735</v>
      </c>
      <c r="E2081" t="s">
        <v>22</v>
      </c>
      <c r="F2081" t="s">
        <v>34</v>
      </c>
      <c r="G2081">
        <v>5</v>
      </c>
      <c r="H2081" t="s">
        <v>18</v>
      </c>
      <c r="I2081" t="s">
        <v>32</v>
      </c>
      <c r="J2081">
        <f>orders[[#This Row],[Ship Date]]-orders[[#This Row],[Order Date]]</f>
        <v>1</v>
      </c>
      <c r="K2081">
        <f>WEEKNUM(orders[[#This Row],[Order Date]])</f>
        <v>12</v>
      </c>
      <c r="L2081" t="str" cm="1">
        <f t="array" ref="L2081">_xlfn.IFS(orders[[#This Row],[Customer Gender]]="M","Male", orders[[#This Row],[Customer Gender]]="F","Female", orders[[#This Row],[Customer Gender]]="O","Other", TRUE,"Unknown")</f>
        <v>Male</v>
      </c>
      <c r="M2081">
        <v>4</v>
      </c>
      <c r="N2081">
        <v>22</v>
      </c>
      <c r="O2081">
        <v>88</v>
      </c>
    </row>
    <row r="2082" spans="1:15" x14ac:dyDescent="0.3">
      <c r="A2082" t="s">
        <v>2181</v>
      </c>
      <c r="B2082" t="s">
        <v>122</v>
      </c>
      <c r="C2082" s="7">
        <v>45734</v>
      </c>
      <c r="D2082" s="7">
        <v>45737</v>
      </c>
      <c r="E2082" t="s">
        <v>22</v>
      </c>
      <c r="F2082" t="s">
        <v>34</v>
      </c>
      <c r="G2082">
        <v>5</v>
      </c>
      <c r="H2082" t="s">
        <v>18</v>
      </c>
      <c r="I2082" t="s">
        <v>32</v>
      </c>
      <c r="J2082">
        <f>orders[[#This Row],[Ship Date]]-orders[[#This Row],[Order Date]]</f>
        <v>3</v>
      </c>
      <c r="K2082">
        <f>WEEKNUM(orders[[#This Row],[Order Date]])</f>
        <v>12</v>
      </c>
      <c r="L2082" t="str" cm="1">
        <f t="array" ref="L2082">_xlfn.IFS(orders[[#This Row],[Customer Gender]]="M","Male", orders[[#This Row],[Customer Gender]]="F","Female", orders[[#This Row],[Customer Gender]]="O","Other", TRUE,"Unknown")</f>
        <v>Male</v>
      </c>
      <c r="M2082">
        <v>3</v>
      </c>
      <c r="N2082">
        <v>69.400000000000006</v>
      </c>
      <c r="O2082" s="5">
        <v>208.20000000000002</v>
      </c>
    </row>
    <row r="2083" spans="1:15" x14ac:dyDescent="0.3">
      <c r="A2083" t="s">
        <v>2182</v>
      </c>
      <c r="B2083" t="s">
        <v>53</v>
      </c>
      <c r="C2083" s="7">
        <v>45734</v>
      </c>
      <c r="D2083" s="7">
        <v>45736</v>
      </c>
      <c r="E2083" t="s">
        <v>26</v>
      </c>
      <c r="F2083" t="s">
        <v>17</v>
      </c>
      <c r="G2083">
        <v>5</v>
      </c>
      <c r="H2083" t="s">
        <v>18</v>
      </c>
      <c r="I2083" t="s">
        <v>32</v>
      </c>
      <c r="J2083">
        <f>orders[[#This Row],[Ship Date]]-orders[[#This Row],[Order Date]]</f>
        <v>2</v>
      </c>
      <c r="K2083">
        <f>WEEKNUM(orders[[#This Row],[Order Date]])</f>
        <v>12</v>
      </c>
      <c r="L2083" t="str" cm="1">
        <f t="array" ref="L2083">_xlfn.IFS(orders[[#This Row],[Customer Gender]]="M","Male", orders[[#This Row],[Customer Gender]]="F","Female", orders[[#This Row],[Customer Gender]]="O","Other", TRUE,"Unknown")</f>
        <v>Female</v>
      </c>
      <c r="M2083">
        <v>6</v>
      </c>
      <c r="N2083">
        <v>31.5</v>
      </c>
      <c r="O2083">
        <v>189</v>
      </c>
    </row>
    <row r="2084" spans="1:15" x14ac:dyDescent="0.3">
      <c r="A2084" t="s">
        <v>2183</v>
      </c>
      <c r="B2084" t="s">
        <v>38</v>
      </c>
      <c r="C2084" s="7">
        <v>45734</v>
      </c>
      <c r="D2084" s="7">
        <v>45738</v>
      </c>
      <c r="E2084" t="s">
        <v>88</v>
      </c>
      <c r="F2084" t="s">
        <v>17</v>
      </c>
      <c r="G2084">
        <v>4</v>
      </c>
      <c r="H2084" t="s">
        <v>18</v>
      </c>
      <c r="I2084" t="s">
        <v>32</v>
      </c>
      <c r="J2084">
        <f>orders[[#This Row],[Ship Date]]-orders[[#This Row],[Order Date]]</f>
        <v>4</v>
      </c>
      <c r="K2084">
        <f>WEEKNUM(orders[[#This Row],[Order Date]])</f>
        <v>12</v>
      </c>
      <c r="L2084" t="str" cm="1">
        <f t="array" ref="L2084">_xlfn.IFS(orders[[#This Row],[Customer Gender]]="M","Male", orders[[#This Row],[Customer Gender]]="F","Female", orders[[#This Row],[Customer Gender]]="O","Other", TRUE,"Unknown")</f>
        <v>Other</v>
      </c>
      <c r="M2084">
        <v>1</v>
      </c>
      <c r="N2084">
        <v>45.8</v>
      </c>
      <c r="O2084" s="5">
        <v>45.8</v>
      </c>
    </row>
    <row r="2085" spans="1:15" x14ac:dyDescent="0.3">
      <c r="A2085" t="s">
        <v>2184</v>
      </c>
      <c r="B2085" t="s">
        <v>170</v>
      </c>
      <c r="C2085" s="7">
        <v>45734</v>
      </c>
      <c r="D2085" s="7">
        <v>45741</v>
      </c>
      <c r="E2085" t="s">
        <v>26</v>
      </c>
      <c r="F2085" t="s">
        <v>34</v>
      </c>
      <c r="G2085">
        <v>3</v>
      </c>
      <c r="H2085" t="s">
        <v>18</v>
      </c>
      <c r="I2085" t="s">
        <v>51</v>
      </c>
      <c r="J2085">
        <f>orders[[#This Row],[Ship Date]]-orders[[#This Row],[Order Date]]</f>
        <v>7</v>
      </c>
      <c r="K2085">
        <f>WEEKNUM(orders[[#This Row],[Order Date]])</f>
        <v>12</v>
      </c>
      <c r="L2085" t="str" cm="1">
        <f t="array" ref="L2085">_xlfn.IFS(orders[[#This Row],[Customer Gender]]="M","Male", orders[[#This Row],[Customer Gender]]="F","Female", orders[[#This Row],[Customer Gender]]="O","Other", TRUE,"Unknown")</f>
        <v>Female</v>
      </c>
      <c r="M2085">
        <v>4</v>
      </c>
      <c r="N2085">
        <v>12.8</v>
      </c>
      <c r="O2085">
        <v>51.2</v>
      </c>
    </row>
    <row r="2086" spans="1:15" x14ac:dyDescent="0.3">
      <c r="A2086" t="s">
        <v>2185</v>
      </c>
      <c r="B2086" t="s">
        <v>36</v>
      </c>
      <c r="C2086" s="7">
        <v>45734</v>
      </c>
      <c r="D2086" s="7">
        <v>45735</v>
      </c>
      <c r="E2086" t="s">
        <v>26</v>
      </c>
      <c r="F2086" t="s">
        <v>39</v>
      </c>
      <c r="G2086">
        <v>5</v>
      </c>
      <c r="H2086" t="s">
        <v>18</v>
      </c>
      <c r="I2086" t="s">
        <v>54</v>
      </c>
      <c r="J2086">
        <f>orders[[#This Row],[Ship Date]]-orders[[#This Row],[Order Date]]</f>
        <v>1</v>
      </c>
      <c r="K2086">
        <f>WEEKNUM(orders[[#This Row],[Order Date]])</f>
        <v>12</v>
      </c>
      <c r="L2086" t="str" cm="1">
        <f t="array" ref="L2086">_xlfn.IFS(orders[[#This Row],[Customer Gender]]="M","Male", orders[[#This Row],[Customer Gender]]="F","Female", orders[[#This Row],[Customer Gender]]="O","Other", TRUE,"Unknown")</f>
        <v>Female</v>
      </c>
      <c r="M2086">
        <v>3</v>
      </c>
      <c r="N2086">
        <v>115.3</v>
      </c>
      <c r="O2086" s="5">
        <v>345.9</v>
      </c>
    </row>
    <row r="2087" spans="1:15" x14ac:dyDescent="0.3">
      <c r="A2087" t="s">
        <v>2186</v>
      </c>
      <c r="B2087" t="s">
        <v>36</v>
      </c>
      <c r="C2087" s="7">
        <v>45734</v>
      </c>
      <c r="D2087" s="7">
        <v>45736</v>
      </c>
      <c r="E2087" t="s">
        <v>26</v>
      </c>
      <c r="F2087" t="s">
        <v>34</v>
      </c>
      <c r="G2087">
        <v>4</v>
      </c>
      <c r="H2087" t="s">
        <v>18</v>
      </c>
      <c r="I2087" t="s">
        <v>58</v>
      </c>
      <c r="J2087">
        <f>orders[[#This Row],[Ship Date]]-orders[[#This Row],[Order Date]]</f>
        <v>2</v>
      </c>
      <c r="K2087">
        <f>WEEKNUM(orders[[#This Row],[Order Date]])</f>
        <v>12</v>
      </c>
      <c r="L2087" t="str" cm="1">
        <f t="array" ref="L2087">_xlfn.IFS(orders[[#This Row],[Customer Gender]]="M","Male", orders[[#This Row],[Customer Gender]]="F","Female", orders[[#This Row],[Customer Gender]]="O","Other", TRUE,"Unknown")</f>
        <v>Female</v>
      </c>
      <c r="M2087">
        <v>2</v>
      </c>
      <c r="N2087">
        <v>85</v>
      </c>
      <c r="O2087">
        <v>170</v>
      </c>
    </row>
    <row r="2088" spans="1:15" x14ac:dyDescent="0.3">
      <c r="A2088" t="s">
        <v>2187</v>
      </c>
      <c r="B2088" t="s">
        <v>43</v>
      </c>
      <c r="C2088" s="7">
        <v>45734</v>
      </c>
      <c r="D2088" s="7">
        <v>45735</v>
      </c>
      <c r="E2088" t="s">
        <v>26</v>
      </c>
      <c r="F2088" t="s">
        <v>34</v>
      </c>
      <c r="G2088">
        <v>5</v>
      </c>
      <c r="H2088" t="s">
        <v>18</v>
      </c>
      <c r="I2088" t="s">
        <v>58</v>
      </c>
      <c r="J2088">
        <f>orders[[#This Row],[Ship Date]]-orders[[#This Row],[Order Date]]</f>
        <v>1</v>
      </c>
      <c r="K2088">
        <f>WEEKNUM(orders[[#This Row],[Order Date]])</f>
        <v>12</v>
      </c>
      <c r="L2088" t="str" cm="1">
        <f t="array" ref="L2088">_xlfn.IFS(orders[[#This Row],[Customer Gender]]="M","Male", orders[[#This Row],[Customer Gender]]="F","Female", orders[[#This Row],[Customer Gender]]="O","Other", TRUE,"Unknown")</f>
        <v>Female</v>
      </c>
      <c r="M2088">
        <v>3</v>
      </c>
      <c r="N2088">
        <v>56.6</v>
      </c>
      <c r="O2088" s="5">
        <v>169.8</v>
      </c>
    </row>
    <row r="2089" spans="1:15" x14ac:dyDescent="0.3">
      <c r="A2089" t="s">
        <v>2188</v>
      </c>
      <c r="B2089" t="s">
        <v>122</v>
      </c>
      <c r="C2089" s="7">
        <v>45734</v>
      </c>
      <c r="D2089" s="7">
        <v>45737</v>
      </c>
      <c r="E2089" t="s">
        <v>22</v>
      </c>
      <c r="F2089" t="s">
        <v>17</v>
      </c>
      <c r="G2089">
        <v>4</v>
      </c>
      <c r="H2089" t="s">
        <v>18</v>
      </c>
      <c r="I2089" t="s">
        <v>58</v>
      </c>
      <c r="J2089">
        <f>orders[[#This Row],[Ship Date]]-orders[[#This Row],[Order Date]]</f>
        <v>3</v>
      </c>
      <c r="K2089">
        <f>WEEKNUM(orders[[#This Row],[Order Date]])</f>
        <v>12</v>
      </c>
      <c r="L2089" t="str" cm="1">
        <f t="array" ref="L2089">_xlfn.IFS(orders[[#This Row],[Customer Gender]]="M","Male", orders[[#This Row],[Customer Gender]]="F","Female", orders[[#This Row],[Customer Gender]]="O","Other", TRUE,"Unknown")</f>
        <v>Male</v>
      </c>
      <c r="M2089">
        <v>27</v>
      </c>
      <c r="N2089">
        <v>46.3</v>
      </c>
      <c r="O2089">
        <v>1250.0999999999999</v>
      </c>
    </row>
    <row r="2090" spans="1:15" x14ac:dyDescent="0.3">
      <c r="A2090" t="s">
        <v>2189</v>
      </c>
      <c r="B2090" t="s">
        <v>80</v>
      </c>
      <c r="C2090" s="7">
        <v>45734</v>
      </c>
      <c r="D2090" s="7">
        <v>45738</v>
      </c>
      <c r="E2090" t="s">
        <v>22</v>
      </c>
      <c r="F2090" t="s">
        <v>50</v>
      </c>
      <c r="G2090">
        <v>5</v>
      </c>
      <c r="H2090" t="s">
        <v>18</v>
      </c>
      <c r="I2090" t="s">
        <v>58</v>
      </c>
      <c r="J2090">
        <f>orders[[#This Row],[Ship Date]]-orders[[#This Row],[Order Date]]</f>
        <v>4</v>
      </c>
      <c r="K2090">
        <f>WEEKNUM(orders[[#This Row],[Order Date]])</f>
        <v>12</v>
      </c>
      <c r="L2090" t="str" cm="1">
        <f t="array" ref="L2090">_xlfn.IFS(orders[[#This Row],[Customer Gender]]="M","Male", orders[[#This Row],[Customer Gender]]="F","Female", orders[[#This Row],[Customer Gender]]="O","Other", TRUE,"Unknown")</f>
        <v>Male</v>
      </c>
      <c r="M2090">
        <v>4</v>
      </c>
      <c r="N2090">
        <v>23</v>
      </c>
      <c r="O2090" s="5">
        <v>92</v>
      </c>
    </row>
    <row r="2091" spans="1:15" x14ac:dyDescent="0.3">
      <c r="A2091" t="s">
        <v>2190</v>
      </c>
      <c r="B2091" t="s">
        <v>43</v>
      </c>
      <c r="C2091" s="7">
        <v>45734</v>
      </c>
      <c r="D2091" s="7">
        <v>45736</v>
      </c>
      <c r="E2091" t="s">
        <v>22</v>
      </c>
      <c r="F2091" t="s">
        <v>69</v>
      </c>
      <c r="G2091">
        <v>4</v>
      </c>
      <c r="H2091" t="s">
        <v>18</v>
      </c>
      <c r="I2091" t="s">
        <v>61</v>
      </c>
      <c r="J2091">
        <f>orders[[#This Row],[Ship Date]]-orders[[#This Row],[Order Date]]</f>
        <v>2</v>
      </c>
      <c r="K2091">
        <f>WEEKNUM(orders[[#This Row],[Order Date]])</f>
        <v>12</v>
      </c>
      <c r="L2091" t="str" cm="1">
        <f t="array" ref="L2091">_xlfn.IFS(orders[[#This Row],[Customer Gender]]="M","Male", orders[[#This Row],[Customer Gender]]="F","Female", orders[[#This Row],[Customer Gender]]="O","Other", TRUE,"Unknown")</f>
        <v>Male</v>
      </c>
      <c r="M2091">
        <v>6</v>
      </c>
      <c r="N2091">
        <v>42.1</v>
      </c>
      <c r="O2091">
        <v>252.60000000000002</v>
      </c>
    </row>
    <row r="2092" spans="1:15" x14ac:dyDescent="0.3">
      <c r="A2092" t="s">
        <v>2191</v>
      </c>
      <c r="B2092" t="s">
        <v>36</v>
      </c>
      <c r="C2092" s="7">
        <v>45734</v>
      </c>
      <c r="D2092" s="7">
        <v>45738</v>
      </c>
      <c r="E2092" t="s">
        <v>26</v>
      </c>
      <c r="F2092" t="s">
        <v>34</v>
      </c>
      <c r="G2092">
        <v>2</v>
      </c>
      <c r="H2092" t="s">
        <v>18</v>
      </c>
      <c r="I2092" t="s">
        <v>61</v>
      </c>
      <c r="J2092">
        <f>orders[[#This Row],[Ship Date]]-orders[[#This Row],[Order Date]]</f>
        <v>4</v>
      </c>
      <c r="K2092">
        <f>WEEKNUM(orders[[#This Row],[Order Date]])</f>
        <v>12</v>
      </c>
      <c r="L2092" t="str" cm="1">
        <f t="array" ref="L2092">_xlfn.IFS(orders[[#This Row],[Customer Gender]]="M","Male", orders[[#This Row],[Customer Gender]]="F","Female", orders[[#This Row],[Customer Gender]]="O","Other", TRUE,"Unknown")</f>
        <v>Female</v>
      </c>
      <c r="M2092">
        <v>7</v>
      </c>
      <c r="N2092">
        <v>57.4</v>
      </c>
      <c r="O2092" s="5">
        <v>401.8</v>
      </c>
    </row>
    <row r="2093" spans="1:15" x14ac:dyDescent="0.3">
      <c r="A2093" t="s">
        <v>2192</v>
      </c>
      <c r="B2093" t="s">
        <v>16</v>
      </c>
      <c r="C2093" s="7">
        <v>45734</v>
      </c>
      <c r="D2093" s="7">
        <v>45738</v>
      </c>
      <c r="E2093" t="s">
        <v>22</v>
      </c>
      <c r="F2093" t="s">
        <v>39</v>
      </c>
      <c r="G2093">
        <v>4</v>
      </c>
      <c r="H2093" t="s">
        <v>18</v>
      </c>
      <c r="I2093" t="s">
        <v>61</v>
      </c>
      <c r="J2093">
        <f>orders[[#This Row],[Ship Date]]-orders[[#This Row],[Order Date]]</f>
        <v>4</v>
      </c>
      <c r="K2093">
        <f>WEEKNUM(orders[[#This Row],[Order Date]])</f>
        <v>12</v>
      </c>
      <c r="L2093" t="str" cm="1">
        <f t="array" ref="L2093">_xlfn.IFS(orders[[#This Row],[Customer Gender]]="M","Male", orders[[#This Row],[Customer Gender]]="F","Female", orders[[#This Row],[Customer Gender]]="O","Other", TRUE,"Unknown")</f>
        <v>Male</v>
      </c>
      <c r="M2093">
        <v>6</v>
      </c>
      <c r="N2093">
        <v>13.2</v>
      </c>
      <c r="O2093">
        <v>79.199999999999989</v>
      </c>
    </row>
    <row r="2094" spans="1:15" x14ac:dyDescent="0.3">
      <c r="A2094" t="s">
        <v>2193</v>
      </c>
      <c r="B2094" t="s">
        <v>38</v>
      </c>
      <c r="C2094" s="7">
        <v>45734</v>
      </c>
      <c r="D2094" s="7">
        <v>45735</v>
      </c>
      <c r="E2094" t="s">
        <v>22</v>
      </c>
      <c r="F2094" t="s">
        <v>34</v>
      </c>
      <c r="G2094">
        <v>4</v>
      </c>
      <c r="H2094" t="s">
        <v>18</v>
      </c>
      <c r="I2094" t="s">
        <v>61</v>
      </c>
      <c r="J2094">
        <f>orders[[#This Row],[Ship Date]]-orders[[#This Row],[Order Date]]</f>
        <v>1</v>
      </c>
      <c r="K2094">
        <f>WEEKNUM(orders[[#This Row],[Order Date]])</f>
        <v>12</v>
      </c>
      <c r="L2094" t="str" cm="1">
        <f t="array" ref="L2094">_xlfn.IFS(orders[[#This Row],[Customer Gender]]="M","Male", orders[[#This Row],[Customer Gender]]="F","Female", orders[[#This Row],[Customer Gender]]="O","Other", TRUE,"Unknown")</f>
        <v>Male</v>
      </c>
      <c r="M2094">
        <v>3</v>
      </c>
      <c r="N2094">
        <v>52.3</v>
      </c>
      <c r="O2094" s="5">
        <v>156.89999999999998</v>
      </c>
    </row>
    <row r="2095" spans="1:15" x14ac:dyDescent="0.3">
      <c r="A2095" t="s">
        <v>2194</v>
      </c>
      <c r="B2095" t="s">
        <v>43</v>
      </c>
      <c r="C2095" s="7">
        <v>45734</v>
      </c>
      <c r="D2095" s="7">
        <v>45737</v>
      </c>
      <c r="E2095" t="s">
        <v>22</v>
      </c>
      <c r="F2095" t="s">
        <v>34</v>
      </c>
      <c r="G2095">
        <v>5</v>
      </c>
      <c r="H2095" t="s">
        <v>18</v>
      </c>
      <c r="I2095" t="s">
        <v>61</v>
      </c>
      <c r="J2095">
        <f>orders[[#This Row],[Ship Date]]-orders[[#This Row],[Order Date]]</f>
        <v>3</v>
      </c>
      <c r="K2095">
        <f>WEEKNUM(orders[[#This Row],[Order Date]])</f>
        <v>12</v>
      </c>
      <c r="L2095" t="str" cm="1">
        <f t="array" ref="L2095">_xlfn.IFS(orders[[#This Row],[Customer Gender]]="M","Male", orders[[#This Row],[Customer Gender]]="F","Female", orders[[#This Row],[Customer Gender]]="O","Other", TRUE,"Unknown")</f>
        <v>Male</v>
      </c>
      <c r="M2095">
        <v>2</v>
      </c>
      <c r="N2095">
        <v>15.7</v>
      </c>
      <c r="O2095">
        <v>31.4</v>
      </c>
    </row>
    <row r="2096" spans="1:15" x14ac:dyDescent="0.3">
      <c r="A2096" t="s">
        <v>2195</v>
      </c>
      <c r="B2096" t="s">
        <v>41</v>
      </c>
      <c r="C2096" s="7">
        <v>45734</v>
      </c>
      <c r="D2096" s="7">
        <v>45737</v>
      </c>
      <c r="E2096" t="s">
        <v>26</v>
      </c>
      <c r="F2096" t="s">
        <v>34</v>
      </c>
      <c r="G2096">
        <v>5</v>
      </c>
      <c r="H2096" t="s">
        <v>18</v>
      </c>
      <c r="I2096" t="s">
        <v>71</v>
      </c>
      <c r="J2096">
        <f>orders[[#This Row],[Ship Date]]-orders[[#This Row],[Order Date]]</f>
        <v>3</v>
      </c>
      <c r="K2096">
        <f>WEEKNUM(orders[[#This Row],[Order Date]])</f>
        <v>12</v>
      </c>
      <c r="L2096" t="str" cm="1">
        <f t="array" ref="L2096">_xlfn.IFS(orders[[#This Row],[Customer Gender]]="M","Male", orders[[#This Row],[Customer Gender]]="F","Female", orders[[#This Row],[Customer Gender]]="O","Other", TRUE,"Unknown")</f>
        <v>Female</v>
      </c>
      <c r="M2096">
        <v>3</v>
      </c>
      <c r="N2096">
        <v>35</v>
      </c>
      <c r="O2096" s="5">
        <v>105</v>
      </c>
    </row>
    <row r="2097" spans="1:15" x14ac:dyDescent="0.3">
      <c r="A2097" t="s">
        <v>2196</v>
      </c>
      <c r="B2097" t="s">
        <v>31</v>
      </c>
      <c r="C2097" s="7">
        <v>45734</v>
      </c>
      <c r="D2097" s="7">
        <v>45734</v>
      </c>
      <c r="E2097" t="s">
        <v>22</v>
      </c>
      <c r="F2097" t="s">
        <v>34</v>
      </c>
      <c r="G2097">
        <v>5</v>
      </c>
      <c r="H2097" t="s">
        <v>18</v>
      </c>
      <c r="I2097" t="s">
        <v>76</v>
      </c>
      <c r="J2097">
        <f>orders[[#This Row],[Ship Date]]-orders[[#This Row],[Order Date]]</f>
        <v>0</v>
      </c>
      <c r="K2097">
        <f>WEEKNUM(orders[[#This Row],[Order Date]])</f>
        <v>12</v>
      </c>
      <c r="L2097" t="str" cm="1">
        <f t="array" ref="L2097">_xlfn.IFS(orders[[#This Row],[Customer Gender]]="M","Male", orders[[#This Row],[Customer Gender]]="F","Female", orders[[#This Row],[Customer Gender]]="O","Other", TRUE,"Unknown")</f>
        <v>Male</v>
      </c>
      <c r="M2097">
        <v>3</v>
      </c>
      <c r="N2097">
        <v>26.6</v>
      </c>
      <c r="O2097">
        <v>79.800000000000011</v>
      </c>
    </row>
    <row r="2098" spans="1:15" x14ac:dyDescent="0.3">
      <c r="A2098" t="s">
        <v>2197</v>
      </c>
      <c r="B2098" t="s">
        <v>31</v>
      </c>
      <c r="C2098" s="7">
        <v>45735</v>
      </c>
      <c r="D2098" s="7">
        <v>45736</v>
      </c>
      <c r="E2098" t="s">
        <v>26</v>
      </c>
      <c r="F2098" t="s">
        <v>50</v>
      </c>
      <c r="G2098">
        <v>5</v>
      </c>
      <c r="H2098" t="s">
        <v>18</v>
      </c>
      <c r="I2098" t="s">
        <v>112</v>
      </c>
      <c r="J2098">
        <f>orders[[#This Row],[Ship Date]]-orders[[#This Row],[Order Date]]</f>
        <v>1</v>
      </c>
      <c r="K2098">
        <f>WEEKNUM(orders[[#This Row],[Order Date]])</f>
        <v>12</v>
      </c>
      <c r="L2098" t="str" cm="1">
        <f t="array" ref="L2098">_xlfn.IFS(orders[[#This Row],[Customer Gender]]="M","Male", orders[[#This Row],[Customer Gender]]="F","Female", orders[[#This Row],[Customer Gender]]="O","Other", TRUE,"Unknown")</f>
        <v>Female</v>
      </c>
      <c r="M2098">
        <v>8</v>
      </c>
      <c r="N2098">
        <v>47.9</v>
      </c>
      <c r="O2098" s="5">
        <v>383.2</v>
      </c>
    </row>
    <row r="2099" spans="1:15" x14ac:dyDescent="0.3">
      <c r="A2099" t="s">
        <v>2198</v>
      </c>
      <c r="B2099" t="s">
        <v>36</v>
      </c>
      <c r="C2099" s="7">
        <v>45735</v>
      </c>
      <c r="D2099" s="7">
        <v>45736</v>
      </c>
      <c r="E2099" t="s">
        <v>22</v>
      </c>
      <c r="F2099" t="s">
        <v>39</v>
      </c>
      <c r="G2099">
        <v>4</v>
      </c>
      <c r="H2099" t="s">
        <v>18</v>
      </c>
      <c r="I2099" t="s">
        <v>114</v>
      </c>
      <c r="J2099">
        <f>orders[[#This Row],[Ship Date]]-orders[[#This Row],[Order Date]]</f>
        <v>1</v>
      </c>
      <c r="K2099">
        <f>WEEKNUM(orders[[#This Row],[Order Date]])</f>
        <v>12</v>
      </c>
      <c r="L2099" t="str" cm="1">
        <f t="array" ref="L2099">_xlfn.IFS(orders[[#This Row],[Customer Gender]]="M","Male", orders[[#This Row],[Customer Gender]]="F","Female", orders[[#This Row],[Customer Gender]]="O","Other", TRUE,"Unknown")</f>
        <v>Male</v>
      </c>
      <c r="M2099">
        <v>1</v>
      </c>
      <c r="N2099">
        <v>80.099999999999994</v>
      </c>
      <c r="O2099">
        <v>80.099999999999994</v>
      </c>
    </row>
    <row r="2100" spans="1:15" x14ac:dyDescent="0.3">
      <c r="A2100" t="s">
        <v>2199</v>
      </c>
      <c r="B2100" t="s">
        <v>38</v>
      </c>
      <c r="C2100" s="7">
        <v>45735</v>
      </c>
      <c r="D2100" s="7">
        <v>45736</v>
      </c>
      <c r="E2100" t="s">
        <v>22</v>
      </c>
      <c r="F2100" t="s">
        <v>34</v>
      </c>
      <c r="G2100">
        <v>5</v>
      </c>
      <c r="H2100" t="s">
        <v>18</v>
      </c>
      <c r="I2100" t="s">
        <v>114</v>
      </c>
      <c r="J2100">
        <f>orders[[#This Row],[Ship Date]]-orders[[#This Row],[Order Date]]</f>
        <v>1</v>
      </c>
      <c r="K2100">
        <f>WEEKNUM(orders[[#This Row],[Order Date]])</f>
        <v>12</v>
      </c>
      <c r="L2100" t="str" cm="1">
        <f t="array" ref="L2100">_xlfn.IFS(orders[[#This Row],[Customer Gender]]="M","Male", orders[[#This Row],[Customer Gender]]="F","Female", orders[[#This Row],[Customer Gender]]="O","Other", TRUE,"Unknown")</f>
        <v>Male</v>
      </c>
      <c r="M2100">
        <v>5</v>
      </c>
      <c r="N2100">
        <v>50.4</v>
      </c>
      <c r="O2100" s="5">
        <v>252</v>
      </c>
    </row>
    <row r="2101" spans="1:15" x14ac:dyDescent="0.3">
      <c r="A2101" t="s">
        <v>2200</v>
      </c>
      <c r="B2101" t="s">
        <v>53</v>
      </c>
      <c r="C2101" s="7">
        <v>45735</v>
      </c>
      <c r="D2101" s="7">
        <v>45736</v>
      </c>
      <c r="E2101" t="s">
        <v>22</v>
      </c>
      <c r="F2101" t="s">
        <v>39</v>
      </c>
      <c r="G2101">
        <v>4</v>
      </c>
      <c r="H2101" t="s">
        <v>18</v>
      </c>
      <c r="I2101" t="s">
        <v>114</v>
      </c>
      <c r="J2101">
        <f>orders[[#This Row],[Ship Date]]-orders[[#This Row],[Order Date]]</f>
        <v>1</v>
      </c>
      <c r="K2101">
        <f>WEEKNUM(orders[[#This Row],[Order Date]])</f>
        <v>12</v>
      </c>
      <c r="L2101" t="str" cm="1">
        <f t="array" ref="L2101">_xlfn.IFS(orders[[#This Row],[Customer Gender]]="M","Male", orders[[#This Row],[Customer Gender]]="F","Female", orders[[#This Row],[Customer Gender]]="O","Other", TRUE,"Unknown")</f>
        <v>Male</v>
      </c>
      <c r="M2101">
        <v>7</v>
      </c>
      <c r="N2101">
        <v>43.3</v>
      </c>
      <c r="O2101">
        <v>303.09999999999997</v>
      </c>
    </row>
    <row r="2102" spans="1:15" x14ac:dyDescent="0.3">
      <c r="A2102" t="s">
        <v>2201</v>
      </c>
      <c r="B2102" t="s">
        <v>53</v>
      </c>
      <c r="C2102" s="7">
        <v>45735</v>
      </c>
      <c r="D2102" s="7">
        <v>45736</v>
      </c>
      <c r="E2102" t="s">
        <v>26</v>
      </c>
      <c r="F2102" t="s">
        <v>34</v>
      </c>
      <c r="G2102">
        <v>5</v>
      </c>
      <c r="H2102" t="s">
        <v>18</v>
      </c>
      <c r="I2102" t="s">
        <v>23</v>
      </c>
      <c r="J2102">
        <f>orders[[#This Row],[Ship Date]]-orders[[#This Row],[Order Date]]</f>
        <v>1</v>
      </c>
      <c r="K2102">
        <f>WEEKNUM(orders[[#This Row],[Order Date]])</f>
        <v>12</v>
      </c>
      <c r="L2102" t="str" cm="1">
        <f t="array" ref="L2102">_xlfn.IFS(orders[[#This Row],[Customer Gender]]="M","Male", orders[[#This Row],[Customer Gender]]="F","Female", orders[[#This Row],[Customer Gender]]="O","Other", TRUE,"Unknown")</f>
        <v>Female</v>
      </c>
      <c r="M2102">
        <v>4</v>
      </c>
      <c r="N2102">
        <v>57.5</v>
      </c>
      <c r="O2102" s="5">
        <v>230</v>
      </c>
    </row>
    <row r="2103" spans="1:15" x14ac:dyDescent="0.3">
      <c r="A2103" t="s">
        <v>2202</v>
      </c>
      <c r="B2103" t="s">
        <v>45</v>
      </c>
      <c r="C2103" s="7">
        <v>45735</v>
      </c>
      <c r="D2103" s="7">
        <v>45736</v>
      </c>
      <c r="E2103" t="s">
        <v>22</v>
      </c>
      <c r="F2103" t="s">
        <v>17</v>
      </c>
      <c r="G2103">
        <v>4</v>
      </c>
      <c r="H2103" t="s">
        <v>18</v>
      </c>
      <c r="I2103" t="s">
        <v>2203</v>
      </c>
      <c r="J2103">
        <f>orders[[#This Row],[Ship Date]]-orders[[#This Row],[Order Date]]</f>
        <v>1</v>
      </c>
      <c r="K2103">
        <f>WEEKNUM(orders[[#This Row],[Order Date]])</f>
        <v>12</v>
      </c>
      <c r="L2103" t="str" cm="1">
        <f t="array" ref="L2103">_xlfn.IFS(orders[[#This Row],[Customer Gender]]="M","Male", orders[[#This Row],[Customer Gender]]="F","Female", orders[[#This Row],[Customer Gender]]="O","Other", TRUE,"Unknown")</f>
        <v>Male</v>
      </c>
      <c r="M2103">
        <v>13</v>
      </c>
      <c r="N2103">
        <v>24.8</v>
      </c>
      <c r="O2103">
        <v>322.40000000000003</v>
      </c>
    </row>
    <row r="2104" spans="1:15" x14ac:dyDescent="0.3">
      <c r="A2104" t="s">
        <v>2204</v>
      </c>
      <c r="B2104" t="s">
        <v>25</v>
      </c>
      <c r="C2104" s="7">
        <v>45735</v>
      </c>
      <c r="D2104" s="7">
        <v>45736</v>
      </c>
      <c r="E2104" t="s">
        <v>26</v>
      </c>
      <c r="F2104" t="s">
        <v>17</v>
      </c>
      <c r="G2104">
        <v>4</v>
      </c>
      <c r="H2104" t="s">
        <v>18</v>
      </c>
      <c r="I2104" t="s">
        <v>436</v>
      </c>
      <c r="J2104">
        <f>orders[[#This Row],[Ship Date]]-orders[[#This Row],[Order Date]]</f>
        <v>1</v>
      </c>
      <c r="K2104">
        <f>WEEKNUM(orders[[#This Row],[Order Date]])</f>
        <v>12</v>
      </c>
      <c r="L2104" t="str" cm="1">
        <f t="array" ref="L2104">_xlfn.IFS(orders[[#This Row],[Customer Gender]]="M","Male", orders[[#This Row],[Customer Gender]]="F","Female", orders[[#This Row],[Customer Gender]]="O","Other", TRUE,"Unknown")</f>
        <v>Female</v>
      </c>
      <c r="M2104">
        <v>9</v>
      </c>
      <c r="N2104">
        <v>85.7</v>
      </c>
      <c r="O2104" s="5">
        <v>771.30000000000007</v>
      </c>
    </row>
    <row r="2105" spans="1:15" x14ac:dyDescent="0.3">
      <c r="A2105" t="s">
        <v>2205</v>
      </c>
      <c r="B2105" t="s">
        <v>41</v>
      </c>
      <c r="C2105" s="7">
        <v>45735</v>
      </c>
      <c r="D2105" s="7">
        <v>45737</v>
      </c>
      <c r="E2105" t="s">
        <v>26</v>
      </c>
      <c r="F2105" t="s">
        <v>17</v>
      </c>
      <c r="G2105">
        <v>4</v>
      </c>
      <c r="H2105" t="s">
        <v>18</v>
      </c>
      <c r="I2105" t="s">
        <v>27</v>
      </c>
      <c r="J2105">
        <f>orders[[#This Row],[Ship Date]]-orders[[#This Row],[Order Date]]</f>
        <v>2</v>
      </c>
      <c r="K2105">
        <f>WEEKNUM(orders[[#This Row],[Order Date]])</f>
        <v>12</v>
      </c>
      <c r="L2105" t="str" cm="1">
        <f t="array" ref="L2105">_xlfn.IFS(orders[[#This Row],[Customer Gender]]="M","Male", orders[[#This Row],[Customer Gender]]="F","Female", orders[[#This Row],[Customer Gender]]="O","Other", TRUE,"Unknown")</f>
        <v>Female</v>
      </c>
      <c r="M2105">
        <v>1</v>
      </c>
      <c r="N2105">
        <v>47.1</v>
      </c>
      <c r="O2105">
        <v>47.1</v>
      </c>
    </row>
    <row r="2106" spans="1:15" x14ac:dyDescent="0.3">
      <c r="A2106" t="s">
        <v>2206</v>
      </c>
      <c r="B2106" t="s">
        <v>36</v>
      </c>
      <c r="C2106" s="7">
        <v>45735</v>
      </c>
      <c r="D2106" s="7">
        <v>45739</v>
      </c>
      <c r="E2106" t="s">
        <v>26</v>
      </c>
      <c r="F2106" t="s">
        <v>17</v>
      </c>
      <c r="G2106">
        <v>4</v>
      </c>
      <c r="H2106" t="s">
        <v>18</v>
      </c>
      <c r="I2106" t="s">
        <v>330</v>
      </c>
      <c r="J2106">
        <f>orders[[#This Row],[Ship Date]]-orders[[#This Row],[Order Date]]</f>
        <v>4</v>
      </c>
      <c r="K2106">
        <f>WEEKNUM(orders[[#This Row],[Order Date]])</f>
        <v>12</v>
      </c>
      <c r="L2106" t="str" cm="1">
        <f t="array" ref="L2106">_xlfn.IFS(orders[[#This Row],[Customer Gender]]="M","Male", orders[[#This Row],[Customer Gender]]="F","Female", orders[[#This Row],[Customer Gender]]="O","Other", TRUE,"Unknown")</f>
        <v>Female</v>
      </c>
      <c r="M2106">
        <v>10</v>
      </c>
      <c r="N2106">
        <v>83.2</v>
      </c>
      <c r="O2106" s="5">
        <v>832</v>
      </c>
    </row>
    <row r="2107" spans="1:15" x14ac:dyDescent="0.3">
      <c r="A2107" t="s">
        <v>2207</v>
      </c>
      <c r="B2107" t="s">
        <v>25</v>
      </c>
      <c r="C2107" s="7">
        <v>45735</v>
      </c>
      <c r="D2107" s="7">
        <v>45737</v>
      </c>
      <c r="E2107" t="s">
        <v>26</v>
      </c>
      <c r="F2107" t="s">
        <v>17</v>
      </c>
      <c r="G2107">
        <v>5</v>
      </c>
      <c r="H2107" t="s">
        <v>18</v>
      </c>
      <c r="I2107" t="s">
        <v>146</v>
      </c>
      <c r="J2107">
        <f>orders[[#This Row],[Ship Date]]-orders[[#This Row],[Order Date]]</f>
        <v>2</v>
      </c>
      <c r="K2107">
        <f>WEEKNUM(orders[[#This Row],[Order Date]])</f>
        <v>12</v>
      </c>
      <c r="L2107" t="str" cm="1">
        <f t="array" ref="L2107">_xlfn.IFS(orders[[#This Row],[Customer Gender]]="M","Male", orders[[#This Row],[Customer Gender]]="F","Female", orders[[#This Row],[Customer Gender]]="O","Other", TRUE,"Unknown")</f>
        <v>Female</v>
      </c>
      <c r="M2107">
        <v>3</v>
      </c>
      <c r="N2107">
        <v>157</v>
      </c>
      <c r="O2107">
        <v>471</v>
      </c>
    </row>
    <row r="2108" spans="1:15" x14ac:dyDescent="0.3">
      <c r="A2108" t="s">
        <v>2208</v>
      </c>
      <c r="B2108" t="s">
        <v>127</v>
      </c>
      <c r="C2108" s="7">
        <v>45735</v>
      </c>
      <c r="D2108" s="7">
        <v>45736</v>
      </c>
      <c r="E2108" t="s">
        <v>22</v>
      </c>
      <c r="F2108" t="s">
        <v>39</v>
      </c>
      <c r="G2108">
        <v>5</v>
      </c>
      <c r="H2108" t="s">
        <v>18</v>
      </c>
      <c r="I2108" t="s">
        <v>146</v>
      </c>
      <c r="J2108">
        <f>orders[[#This Row],[Ship Date]]-orders[[#This Row],[Order Date]]</f>
        <v>1</v>
      </c>
      <c r="K2108">
        <f>WEEKNUM(orders[[#This Row],[Order Date]])</f>
        <v>12</v>
      </c>
      <c r="L2108" t="str" cm="1">
        <f t="array" ref="L2108">_xlfn.IFS(orders[[#This Row],[Customer Gender]]="M","Male", orders[[#This Row],[Customer Gender]]="F","Female", orders[[#This Row],[Customer Gender]]="O","Other", TRUE,"Unknown")</f>
        <v>Male</v>
      </c>
      <c r="M2108">
        <v>4</v>
      </c>
      <c r="N2108">
        <v>33.700000000000003</v>
      </c>
      <c r="O2108" s="5">
        <v>134.80000000000001</v>
      </c>
    </row>
    <row r="2109" spans="1:15" x14ac:dyDescent="0.3">
      <c r="A2109" t="s">
        <v>2209</v>
      </c>
      <c r="B2109" t="s">
        <v>25</v>
      </c>
      <c r="C2109" s="7">
        <v>45735</v>
      </c>
      <c r="D2109" s="7">
        <v>45739</v>
      </c>
      <c r="E2109" t="s">
        <v>26</v>
      </c>
      <c r="F2109" t="s">
        <v>34</v>
      </c>
      <c r="G2109">
        <v>3</v>
      </c>
      <c r="H2109" t="s">
        <v>18</v>
      </c>
      <c r="I2109" t="s">
        <v>32</v>
      </c>
      <c r="J2109">
        <f>orders[[#This Row],[Ship Date]]-orders[[#This Row],[Order Date]]</f>
        <v>4</v>
      </c>
      <c r="K2109">
        <f>WEEKNUM(orders[[#This Row],[Order Date]])</f>
        <v>12</v>
      </c>
      <c r="L2109" t="str" cm="1">
        <f t="array" ref="L2109">_xlfn.IFS(orders[[#This Row],[Customer Gender]]="M","Male", orders[[#This Row],[Customer Gender]]="F","Female", orders[[#This Row],[Customer Gender]]="O","Other", TRUE,"Unknown")</f>
        <v>Female</v>
      </c>
      <c r="M2109">
        <v>3</v>
      </c>
      <c r="N2109">
        <v>60.8</v>
      </c>
      <c r="O2109">
        <v>182.39999999999998</v>
      </c>
    </row>
    <row r="2110" spans="1:15" x14ac:dyDescent="0.3">
      <c r="A2110" t="s">
        <v>2210</v>
      </c>
      <c r="B2110" t="s">
        <v>41</v>
      </c>
      <c r="C2110" s="7">
        <v>45735</v>
      </c>
      <c r="D2110" s="7">
        <v>45736</v>
      </c>
      <c r="E2110" t="s">
        <v>22</v>
      </c>
      <c r="F2110" t="s">
        <v>34</v>
      </c>
      <c r="G2110">
        <v>2</v>
      </c>
      <c r="H2110" t="s">
        <v>18</v>
      </c>
      <c r="I2110" t="s">
        <v>32</v>
      </c>
      <c r="J2110">
        <f>orders[[#This Row],[Ship Date]]-orders[[#This Row],[Order Date]]</f>
        <v>1</v>
      </c>
      <c r="K2110">
        <f>WEEKNUM(orders[[#This Row],[Order Date]])</f>
        <v>12</v>
      </c>
      <c r="L2110" t="str" cm="1">
        <f t="array" ref="L2110">_xlfn.IFS(orders[[#This Row],[Customer Gender]]="M","Male", orders[[#This Row],[Customer Gender]]="F","Female", orders[[#This Row],[Customer Gender]]="O","Other", TRUE,"Unknown")</f>
        <v>Male</v>
      </c>
      <c r="M2110">
        <v>1</v>
      </c>
      <c r="N2110">
        <v>57.6</v>
      </c>
      <c r="O2110" s="5">
        <v>57.6</v>
      </c>
    </row>
    <row r="2111" spans="1:15" x14ac:dyDescent="0.3">
      <c r="A2111" t="s">
        <v>2211</v>
      </c>
      <c r="B2111" t="s">
        <v>53</v>
      </c>
      <c r="C2111" s="7">
        <v>45735</v>
      </c>
      <c r="D2111" s="7">
        <v>45737</v>
      </c>
      <c r="E2111" t="s">
        <v>22</v>
      </c>
      <c r="F2111" t="s">
        <v>17</v>
      </c>
      <c r="G2111">
        <v>4</v>
      </c>
      <c r="H2111" t="s">
        <v>18</v>
      </c>
      <c r="I2111" t="s">
        <v>32</v>
      </c>
      <c r="J2111">
        <f>orders[[#This Row],[Ship Date]]-orders[[#This Row],[Order Date]]</f>
        <v>2</v>
      </c>
      <c r="K2111">
        <f>WEEKNUM(orders[[#This Row],[Order Date]])</f>
        <v>12</v>
      </c>
      <c r="L2111" t="str" cm="1">
        <f t="array" ref="L2111">_xlfn.IFS(orders[[#This Row],[Customer Gender]]="M","Male", orders[[#This Row],[Customer Gender]]="F","Female", orders[[#This Row],[Customer Gender]]="O","Other", TRUE,"Unknown")</f>
        <v>Male</v>
      </c>
      <c r="M2111">
        <v>1</v>
      </c>
      <c r="N2111">
        <v>32</v>
      </c>
      <c r="O2111">
        <v>32</v>
      </c>
    </row>
    <row r="2112" spans="1:15" x14ac:dyDescent="0.3">
      <c r="A2112" t="s">
        <v>2212</v>
      </c>
      <c r="B2112" t="s">
        <v>53</v>
      </c>
      <c r="C2112" s="7">
        <v>45735</v>
      </c>
      <c r="D2112" s="7">
        <v>45736</v>
      </c>
      <c r="E2112" t="s">
        <v>26</v>
      </c>
      <c r="F2112" t="s">
        <v>17</v>
      </c>
      <c r="G2112">
        <v>5</v>
      </c>
      <c r="H2112" t="s">
        <v>18</v>
      </c>
      <c r="I2112" t="s">
        <v>32</v>
      </c>
      <c r="J2112">
        <f>orders[[#This Row],[Ship Date]]-orders[[#This Row],[Order Date]]</f>
        <v>1</v>
      </c>
      <c r="K2112">
        <f>WEEKNUM(orders[[#This Row],[Order Date]])</f>
        <v>12</v>
      </c>
      <c r="L2112" t="str" cm="1">
        <f t="array" ref="L2112">_xlfn.IFS(orders[[#This Row],[Customer Gender]]="M","Male", orders[[#This Row],[Customer Gender]]="F","Female", orders[[#This Row],[Customer Gender]]="O","Other", TRUE,"Unknown")</f>
        <v>Female</v>
      </c>
      <c r="M2112">
        <v>4</v>
      </c>
      <c r="N2112">
        <v>23.5</v>
      </c>
      <c r="O2112" s="5">
        <v>94</v>
      </c>
    </row>
    <row r="2113" spans="1:15" x14ac:dyDescent="0.3">
      <c r="A2113" t="s">
        <v>2213</v>
      </c>
      <c r="B2113" t="s">
        <v>68</v>
      </c>
      <c r="C2113" s="7">
        <v>45735</v>
      </c>
      <c r="D2113" s="7">
        <v>45736</v>
      </c>
      <c r="E2113" t="s">
        <v>88</v>
      </c>
      <c r="F2113" t="s">
        <v>69</v>
      </c>
      <c r="G2113">
        <v>4</v>
      </c>
      <c r="H2113" t="s">
        <v>18</v>
      </c>
      <c r="I2113" t="s">
        <v>32</v>
      </c>
      <c r="J2113">
        <f>orders[[#This Row],[Ship Date]]-orders[[#This Row],[Order Date]]</f>
        <v>1</v>
      </c>
      <c r="K2113">
        <f>WEEKNUM(orders[[#This Row],[Order Date]])</f>
        <v>12</v>
      </c>
      <c r="L2113" t="str" cm="1">
        <f t="array" ref="L2113">_xlfn.IFS(orders[[#This Row],[Customer Gender]]="M","Male", orders[[#This Row],[Customer Gender]]="F","Female", orders[[#This Row],[Customer Gender]]="O","Other", TRUE,"Unknown")</f>
        <v>Other</v>
      </c>
      <c r="M2113">
        <v>3</v>
      </c>
      <c r="N2113">
        <v>44.8</v>
      </c>
      <c r="O2113">
        <v>134.39999999999998</v>
      </c>
    </row>
    <row r="2114" spans="1:15" x14ac:dyDescent="0.3">
      <c r="A2114" t="s">
        <v>2214</v>
      </c>
      <c r="B2114" t="s">
        <v>16</v>
      </c>
      <c r="C2114" s="7">
        <v>45735</v>
      </c>
      <c r="D2114" s="7">
        <v>45736</v>
      </c>
      <c r="E2114" t="s">
        <v>22</v>
      </c>
      <c r="F2114" t="s">
        <v>39</v>
      </c>
      <c r="G2114">
        <v>5</v>
      </c>
      <c r="H2114" t="s">
        <v>18</v>
      </c>
      <c r="I2114" t="s">
        <v>32</v>
      </c>
      <c r="J2114">
        <f>orders[[#This Row],[Ship Date]]-orders[[#This Row],[Order Date]]</f>
        <v>1</v>
      </c>
      <c r="K2114">
        <f>WEEKNUM(orders[[#This Row],[Order Date]])</f>
        <v>12</v>
      </c>
      <c r="L2114" t="str" cm="1">
        <f t="array" ref="L2114">_xlfn.IFS(orders[[#This Row],[Customer Gender]]="M","Male", orders[[#This Row],[Customer Gender]]="F","Female", orders[[#This Row],[Customer Gender]]="O","Other", TRUE,"Unknown")</f>
        <v>Male</v>
      </c>
      <c r="M2114">
        <v>8</v>
      </c>
      <c r="N2114">
        <v>11.7</v>
      </c>
      <c r="O2114" s="5">
        <v>93.6</v>
      </c>
    </row>
    <row r="2115" spans="1:15" x14ac:dyDescent="0.3">
      <c r="A2115" t="s">
        <v>2215</v>
      </c>
      <c r="B2115" t="s">
        <v>41</v>
      </c>
      <c r="C2115" s="7">
        <v>45735</v>
      </c>
      <c r="D2115" s="7">
        <v>45738</v>
      </c>
      <c r="E2115" t="s">
        <v>26</v>
      </c>
      <c r="F2115" t="s">
        <v>39</v>
      </c>
      <c r="G2115">
        <v>4</v>
      </c>
      <c r="H2115" t="s">
        <v>18</v>
      </c>
      <c r="I2115" t="s">
        <v>32</v>
      </c>
      <c r="J2115">
        <f>orders[[#This Row],[Ship Date]]-orders[[#This Row],[Order Date]]</f>
        <v>3</v>
      </c>
      <c r="K2115">
        <f>WEEKNUM(orders[[#This Row],[Order Date]])</f>
        <v>12</v>
      </c>
      <c r="L2115" t="str" cm="1">
        <f t="array" ref="L2115">_xlfn.IFS(orders[[#This Row],[Customer Gender]]="M","Male", orders[[#This Row],[Customer Gender]]="F","Female", orders[[#This Row],[Customer Gender]]="O","Other", TRUE,"Unknown")</f>
        <v>Female</v>
      </c>
      <c r="M2115">
        <v>2</v>
      </c>
      <c r="N2115">
        <v>38.799999999999997</v>
      </c>
      <c r="O2115">
        <v>77.599999999999994</v>
      </c>
    </row>
    <row r="2116" spans="1:15" x14ac:dyDescent="0.3">
      <c r="A2116" t="s">
        <v>2216</v>
      </c>
      <c r="B2116" t="s">
        <v>36</v>
      </c>
      <c r="C2116" s="7">
        <v>45735</v>
      </c>
      <c r="D2116" s="7">
        <v>45740</v>
      </c>
      <c r="E2116" t="s">
        <v>26</v>
      </c>
      <c r="F2116" t="s">
        <v>34</v>
      </c>
      <c r="G2116">
        <v>4</v>
      </c>
      <c r="H2116" t="s">
        <v>18</v>
      </c>
      <c r="I2116" t="s">
        <v>32</v>
      </c>
      <c r="J2116">
        <f>orders[[#This Row],[Ship Date]]-orders[[#This Row],[Order Date]]</f>
        <v>5</v>
      </c>
      <c r="K2116">
        <f>WEEKNUM(orders[[#This Row],[Order Date]])</f>
        <v>12</v>
      </c>
      <c r="L2116" t="str" cm="1">
        <f t="array" ref="L2116">_xlfn.IFS(orders[[#This Row],[Customer Gender]]="M","Male", orders[[#This Row],[Customer Gender]]="F","Female", orders[[#This Row],[Customer Gender]]="O","Other", TRUE,"Unknown")</f>
        <v>Female</v>
      </c>
      <c r="M2116">
        <v>14</v>
      </c>
      <c r="N2116">
        <v>86.9</v>
      </c>
      <c r="O2116" s="5">
        <v>1216.6000000000001</v>
      </c>
    </row>
    <row r="2117" spans="1:15" x14ac:dyDescent="0.3">
      <c r="A2117" t="s">
        <v>2217</v>
      </c>
      <c r="B2117" t="s">
        <v>43</v>
      </c>
      <c r="C2117" s="7">
        <v>45735</v>
      </c>
      <c r="D2117" s="7">
        <v>45736</v>
      </c>
      <c r="E2117" t="s">
        <v>26</v>
      </c>
      <c r="F2117" t="s">
        <v>17</v>
      </c>
      <c r="G2117">
        <v>4</v>
      </c>
      <c r="H2117" t="s">
        <v>18</v>
      </c>
      <c r="I2117" t="s">
        <v>32</v>
      </c>
      <c r="J2117">
        <f>orders[[#This Row],[Ship Date]]-orders[[#This Row],[Order Date]]</f>
        <v>1</v>
      </c>
      <c r="K2117">
        <f>WEEKNUM(orders[[#This Row],[Order Date]])</f>
        <v>12</v>
      </c>
      <c r="L2117" t="str" cm="1">
        <f t="array" ref="L2117">_xlfn.IFS(orders[[#This Row],[Customer Gender]]="M","Male", orders[[#This Row],[Customer Gender]]="F","Female", orders[[#This Row],[Customer Gender]]="O","Other", TRUE,"Unknown")</f>
        <v>Female</v>
      </c>
      <c r="M2117">
        <v>1</v>
      </c>
      <c r="N2117">
        <v>18.3</v>
      </c>
      <c r="O2117">
        <v>18.3</v>
      </c>
    </row>
    <row r="2118" spans="1:15" x14ac:dyDescent="0.3">
      <c r="A2118" t="s">
        <v>2218</v>
      </c>
      <c r="B2118" t="s">
        <v>36</v>
      </c>
      <c r="C2118" s="7">
        <v>45735</v>
      </c>
      <c r="D2118" s="7">
        <v>45739</v>
      </c>
      <c r="E2118" t="s">
        <v>22</v>
      </c>
      <c r="F2118" t="s">
        <v>69</v>
      </c>
      <c r="G2118">
        <v>5</v>
      </c>
      <c r="H2118" t="s">
        <v>18</v>
      </c>
      <c r="I2118" t="s">
        <v>32</v>
      </c>
      <c r="J2118">
        <f>orders[[#This Row],[Ship Date]]-orders[[#This Row],[Order Date]]</f>
        <v>4</v>
      </c>
      <c r="K2118">
        <f>WEEKNUM(orders[[#This Row],[Order Date]])</f>
        <v>12</v>
      </c>
      <c r="L2118" t="str" cm="1">
        <f t="array" ref="L2118">_xlfn.IFS(orders[[#This Row],[Customer Gender]]="M","Male", orders[[#This Row],[Customer Gender]]="F","Female", orders[[#This Row],[Customer Gender]]="O","Other", TRUE,"Unknown")</f>
        <v>Male</v>
      </c>
      <c r="M2118">
        <v>1</v>
      </c>
      <c r="N2118">
        <v>47.5</v>
      </c>
      <c r="O2118" s="5">
        <v>47.5</v>
      </c>
    </row>
    <row r="2119" spans="1:15" x14ac:dyDescent="0.3">
      <c r="A2119" t="s">
        <v>2219</v>
      </c>
      <c r="B2119" t="s">
        <v>21</v>
      </c>
      <c r="C2119" s="7">
        <v>45735</v>
      </c>
      <c r="D2119" s="7">
        <v>45736</v>
      </c>
      <c r="E2119" t="s">
        <v>22</v>
      </c>
      <c r="F2119" t="s">
        <v>39</v>
      </c>
      <c r="G2119">
        <v>5</v>
      </c>
      <c r="H2119" t="s">
        <v>18</v>
      </c>
      <c r="I2119" t="s">
        <v>32</v>
      </c>
      <c r="J2119">
        <f>orders[[#This Row],[Ship Date]]-orders[[#This Row],[Order Date]]</f>
        <v>1</v>
      </c>
      <c r="K2119">
        <f>WEEKNUM(orders[[#This Row],[Order Date]])</f>
        <v>12</v>
      </c>
      <c r="L2119" t="str" cm="1">
        <f t="array" ref="L2119">_xlfn.IFS(orders[[#This Row],[Customer Gender]]="M","Male", orders[[#This Row],[Customer Gender]]="F","Female", orders[[#This Row],[Customer Gender]]="O","Other", TRUE,"Unknown")</f>
        <v>Male</v>
      </c>
      <c r="M2119">
        <v>2</v>
      </c>
      <c r="N2119">
        <v>78.599999999999994</v>
      </c>
      <c r="O2119">
        <v>157.19999999999999</v>
      </c>
    </row>
    <row r="2120" spans="1:15" x14ac:dyDescent="0.3">
      <c r="A2120" t="s">
        <v>2220</v>
      </c>
      <c r="B2120" t="s">
        <v>38</v>
      </c>
      <c r="C2120" s="7">
        <v>45735</v>
      </c>
      <c r="D2120" s="7">
        <v>45736</v>
      </c>
      <c r="E2120" t="s">
        <v>22</v>
      </c>
      <c r="F2120" t="s">
        <v>17</v>
      </c>
      <c r="G2120">
        <v>4</v>
      </c>
      <c r="H2120" t="s">
        <v>18</v>
      </c>
      <c r="I2120" t="s">
        <v>32</v>
      </c>
      <c r="J2120">
        <f>orders[[#This Row],[Ship Date]]-orders[[#This Row],[Order Date]]</f>
        <v>1</v>
      </c>
      <c r="K2120">
        <f>WEEKNUM(orders[[#This Row],[Order Date]])</f>
        <v>12</v>
      </c>
      <c r="L2120" t="str" cm="1">
        <f t="array" ref="L2120">_xlfn.IFS(orders[[#This Row],[Customer Gender]]="M","Male", orders[[#This Row],[Customer Gender]]="F","Female", orders[[#This Row],[Customer Gender]]="O","Other", TRUE,"Unknown")</f>
        <v>Male</v>
      </c>
      <c r="M2120">
        <v>4</v>
      </c>
      <c r="N2120">
        <v>87.3</v>
      </c>
      <c r="O2120" s="5">
        <v>349.2</v>
      </c>
    </row>
    <row r="2121" spans="1:15" x14ac:dyDescent="0.3">
      <c r="A2121" t="s">
        <v>2221</v>
      </c>
      <c r="B2121" t="s">
        <v>45</v>
      </c>
      <c r="C2121" s="7">
        <v>45735</v>
      </c>
      <c r="D2121" s="7">
        <v>45735</v>
      </c>
      <c r="E2121" t="s">
        <v>22</v>
      </c>
      <c r="F2121" t="s">
        <v>69</v>
      </c>
      <c r="G2121">
        <v>3</v>
      </c>
      <c r="H2121" t="s">
        <v>18</v>
      </c>
      <c r="I2121" t="s">
        <v>32</v>
      </c>
      <c r="J2121">
        <f>orders[[#This Row],[Ship Date]]-orders[[#This Row],[Order Date]]</f>
        <v>0</v>
      </c>
      <c r="K2121">
        <f>WEEKNUM(orders[[#This Row],[Order Date]])</f>
        <v>12</v>
      </c>
      <c r="L2121" t="str" cm="1">
        <f t="array" ref="L2121">_xlfn.IFS(orders[[#This Row],[Customer Gender]]="M","Male", orders[[#This Row],[Customer Gender]]="F","Female", orders[[#This Row],[Customer Gender]]="O","Other", TRUE,"Unknown")</f>
        <v>Male</v>
      </c>
      <c r="M2121">
        <v>2</v>
      </c>
      <c r="N2121">
        <v>63.2</v>
      </c>
      <c r="O2121">
        <v>126.4</v>
      </c>
    </row>
    <row r="2122" spans="1:15" x14ac:dyDescent="0.3">
      <c r="A2122" t="s">
        <v>2222</v>
      </c>
      <c r="B2122" t="s">
        <v>36</v>
      </c>
      <c r="C2122" s="7">
        <v>45735</v>
      </c>
      <c r="D2122" s="7">
        <v>45736</v>
      </c>
      <c r="E2122" t="s">
        <v>26</v>
      </c>
      <c r="F2122" t="s">
        <v>17</v>
      </c>
      <c r="G2122">
        <v>4</v>
      </c>
      <c r="H2122" t="s">
        <v>18</v>
      </c>
      <c r="I2122" t="s">
        <v>32</v>
      </c>
      <c r="J2122">
        <f>orders[[#This Row],[Ship Date]]-orders[[#This Row],[Order Date]]</f>
        <v>1</v>
      </c>
      <c r="K2122">
        <f>WEEKNUM(orders[[#This Row],[Order Date]])</f>
        <v>12</v>
      </c>
      <c r="L2122" t="str" cm="1">
        <f t="array" ref="L2122">_xlfn.IFS(orders[[#This Row],[Customer Gender]]="M","Male", orders[[#This Row],[Customer Gender]]="F","Female", orders[[#This Row],[Customer Gender]]="O","Other", TRUE,"Unknown")</f>
        <v>Female</v>
      </c>
      <c r="M2122">
        <v>5</v>
      </c>
      <c r="N2122">
        <v>33.700000000000003</v>
      </c>
      <c r="O2122" s="5">
        <v>168.5</v>
      </c>
    </row>
    <row r="2123" spans="1:15" x14ac:dyDescent="0.3">
      <c r="A2123" t="s">
        <v>2223</v>
      </c>
      <c r="B2123" t="s">
        <v>25</v>
      </c>
      <c r="C2123" s="7">
        <v>45735</v>
      </c>
      <c r="D2123" s="7">
        <v>45748</v>
      </c>
      <c r="E2123" t="s">
        <v>26</v>
      </c>
      <c r="F2123" t="s">
        <v>34</v>
      </c>
      <c r="G2123">
        <v>5</v>
      </c>
      <c r="H2123" t="s">
        <v>18</v>
      </c>
      <c r="I2123" t="s">
        <v>32</v>
      </c>
      <c r="J2123">
        <f>orders[[#This Row],[Ship Date]]-orders[[#This Row],[Order Date]]</f>
        <v>13</v>
      </c>
      <c r="K2123">
        <f>WEEKNUM(orders[[#This Row],[Order Date]])</f>
        <v>12</v>
      </c>
      <c r="L2123" t="str" cm="1">
        <f t="array" ref="L2123">_xlfn.IFS(orders[[#This Row],[Customer Gender]]="M","Male", orders[[#This Row],[Customer Gender]]="F","Female", orders[[#This Row],[Customer Gender]]="O","Other", TRUE,"Unknown")</f>
        <v>Female</v>
      </c>
      <c r="M2123">
        <v>3</v>
      </c>
      <c r="N2123">
        <v>107.4</v>
      </c>
      <c r="O2123">
        <v>322.20000000000005</v>
      </c>
    </row>
    <row r="2124" spans="1:15" x14ac:dyDescent="0.3">
      <c r="A2124" t="s">
        <v>2224</v>
      </c>
      <c r="B2124" t="s">
        <v>31</v>
      </c>
      <c r="C2124" s="7">
        <v>45735</v>
      </c>
      <c r="D2124" s="7">
        <v>45736</v>
      </c>
      <c r="E2124" t="s">
        <v>2517</v>
      </c>
      <c r="F2124" t="s">
        <v>34</v>
      </c>
      <c r="G2124">
        <v>5</v>
      </c>
      <c r="H2124" t="s">
        <v>18</v>
      </c>
      <c r="I2124" t="s">
        <v>185</v>
      </c>
      <c r="J2124">
        <f>orders[[#This Row],[Ship Date]]-orders[[#This Row],[Order Date]]</f>
        <v>1</v>
      </c>
      <c r="K2124">
        <f>WEEKNUM(orders[[#This Row],[Order Date]])</f>
        <v>12</v>
      </c>
      <c r="L2124" t="str" cm="1">
        <f t="array" ref="L2124">_xlfn.IFS(orders[[#This Row],[Customer Gender]]="M","Male", orders[[#This Row],[Customer Gender]]="F","Female", orders[[#This Row],[Customer Gender]]="O","Other", TRUE,"Unknown")</f>
        <v>Unknown</v>
      </c>
      <c r="M2124">
        <v>4</v>
      </c>
      <c r="N2124">
        <v>22.2</v>
      </c>
      <c r="O2124" s="5">
        <v>88.8</v>
      </c>
    </row>
    <row r="2125" spans="1:15" x14ac:dyDescent="0.3">
      <c r="A2125" t="s">
        <v>2225</v>
      </c>
      <c r="B2125" t="s">
        <v>145</v>
      </c>
      <c r="C2125" s="7">
        <v>45735</v>
      </c>
      <c r="D2125" s="7">
        <v>45736</v>
      </c>
      <c r="E2125" t="s">
        <v>22</v>
      </c>
      <c r="F2125" t="s">
        <v>50</v>
      </c>
      <c r="G2125">
        <v>5</v>
      </c>
      <c r="H2125" t="s">
        <v>18</v>
      </c>
      <c r="I2125" t="s">
        <v>185</v>
      </c>
      <c r="J2125">
        <f>orders[[#This Row],[Ship Date]]-orders[[#This Row],[Order Date]]</f>
        <v>1</v>
      </c>
      <c r="K2125">
        <f>WEEKNUM(orders[[#This Row],[Order Date]])</f>
        <v>12</v>
      </c>
      <c r="L2125" t="str" cm="1">
        <f t="array" ref="L2125">_xlfn.IFS(orders[[#This Row],[Customer Gender]]="M","Male", orders[[#This Row],[Customer Gender]]="F","Female", orders[[#This Row],[Customer Gender]]="O","Other", TRUE,"Unknown")</f>
        <v>Male</v>
      </c>
      <c r="M2125">
        <v>3</v>
      </c>
      <c r="N2125">
        <v>52.8</v>
      </c>
      <c r="O2125">
        <v>158.39999999999998</v>
      </c>
    </row>
    <row r="2126" spans="1:15" x14ac:dyDescent="0.3">
      <c r="A2126" t="s">
        <v>2226</v>
      </c>
      <c r="B2126" t="s">
        <v>43</v>
      </c>
      <c r="C2126" s="7">
        <v>45735</v>
      </c>
      <c r="D2126" s="7">
        <v>45738</v>
      </c>
      <c r="E2126" t="s">
        <v>26</v>
      </c>
      <c r="F2126" t="s">
        <v>17</v>
      </c>
      <c r="G2126">
        <v>4</v>
      </c>
      <c r="H2126" t="s">
        <v>18</v>
      </c>
      <c r="I2126" t="s">
        <v>187</v>
      </c>
      <c r="J2126">
        <f>orders[[#This Row],[Ship Date]]-orders[[#This Row],[Order Date]]</f>
        <v>3</v>
      </c>
      <c r="K2126">
        <f>WEEKNUM(orders[[#This Row],[Order Date]])</f>
        <v>12</v>
      </c>
      <c r="L2126" t="str" cm="1">
        <f t="array" ref="L2126">_xlfn.IFS(orders[[#This Row],[Customer Gender]]="M","Male", orders[[#This Row],[Customer Gender]]="F","Female", orders[[#This Row],[Customer Gender]]="O","Other", TRUE,"Unknown")</f>
        <v>Female</v>
      </c>
      <c r="M2126">
        <v>3</v>
      </c>
      <c r="N2126">
        <v>41.5</v>
      </c>
      <c r="O2126" s="5">
        <v>124.5</v>
      </c>
    </row>
    <row r="2127" spans="1:15" x14ac:dyDescent="0.3">
      <c r="A2127" t="s">
        <v>2227</v>
      </c>
      <c r="B2127" t="s">
        <v>68</v>
      </c>
      <c r="C2127" s="7">
        <v>45735</v>
      </c>
      <c r="D2127" s="7">
        <v>45738</v>
      </c>
      <c r="E2127" t="s">
        <v>26</v>
      </c>
      <c r="F2127" t="s">
        <v>17</v>
      </c>
      <c r="G2127">
        <v>5</v>
      </c>
      <c r="H2127" t="s">
        <v>18</v>
      </c>
      <c r="I2127" t="s">
        <v>157</v>
      </c>
      <c r="J2127">
        <f>orders[[#This Row],[Ship Date]]-orders[[#This Row],[Order Date]]</f>
        <v>3</v>
      </c>
      <c r="K2127">
        <f>WEEKNUM(orders[[#This Row],[Order Date]])</f>
        <v>12</v>
      </c>
      <c r="L2127" t="str" cm="1">
        <f t="array" ref="L2127">_xlfn.IFS(orders[[#This Row],[Customer Gender]]="M","Male", orders[[#This Row],[Customer Gender]]="F","Female", orders[[#This Row],[Customer Gender]]="O","Other", TRUE,"Unknown")</f>
        <v>Female</v>
      </c>
      <c r="M2127">
        <v>8</v>
      </c>
      <c r="N2127">
        <v>103.5</v>
      </c>
      <c r="O2127">
        <v>828</v>
      </c>
    </row>
    <row r="2128" spans="1:15" x14ac:dyDescent="0.3">
      <c r="A2128" t="s">
        <v>2228</v>
      </c>
      <c r="B2128" t="s">
        <v>31</v>
      </c>
      <c r="C2128" s="7">
        <v>45735</v>
      </c>
      <c r="D2128" s="7">
        <v>45735</v>
      </c>
      <c r="E2128" t="s">
        <v>26</v>
      </c>
      <c r="F2128" t="s">
        <v>34</v>
      </c>
      <c r="G2128">
        <v>5</v>
      </c>
      <c r="H2128" t="s">
        <v>18</v>
      </c>
      <c r="I2128" t="s">
        <v>54</v>
      </c>
      <c r="J2128">
        <f>orders[[#This Row],[Ship Date]]-orders[[#This Row],[Order Date]]</f>
        <v>0</v>
      </c>
      <c r="K2128">
        <f>WEEKNUM(orders[[#This Row],[Order Date]])</f>
        <v>12</v>
      </c>
      <c r="L2128" t="str" cm="1">
        <f t="array" ref="L2128">_xlfn.IFS(orders[[#This Row],[Customer Gender]]="M","Male", orders[[#This Row],[Customer Gender]]="F","Female", orders[[#This Row],[Customer Gender]]="O","Other", TRUE,"Unknown")</f>
        <v>Female</v>
      </c>
      <c r="M2128">
        <v>14</v>
      </c>
      <c r="N2128">
        <v>37.5</v>
      </c>
      <c r="O2128" s="5">
        <v>525</v>
      </c>
    </row>
    <row r="2129" spans="1:15" x14ac:dyDescent="0.3">
      <c r="A2129" t="s">
        <v>2229</v>
      </c>
      <c r="B2129" t="s">
        <v>122</v>
      </c>
      <c r="C2129" s="7">
        <v>45735</v>
      </c>
      <c r="D2129" s="7">
        <v>45741</v>
      </c>
      <c r="E2129" t="s">
        <v>26</v>
      </c>
      <c r="F2129" t="s">
        <v>50</v>
      </c>
      <c r="G2129">
        <v>5</v>
      </c>
      <c r="H2129" t="s">
        <v>18</v>
      </c>
      <c r="I2129" t="s">
        <v>58</v>
      </c>
      <c r="J2129">
        <f>orders[[#This Row],[Ship Date]]-orders[[#This Row],[Order Date]]</f>
        <v>6</v>
      </c>
      <c r="K2129">
        <f>WEEKNUM(orders[[#This Row],[Order Date]])</f>
        <v>12</v>
      </c>
      <c r="L2129" t="str" cm="1">
        <f t="array" ref="L2129">_xlfn.IFS(orders[[#This Row],[Customer Gender]]="M","Male", orders[[#This Row],[Customer Gender]]="F","Female", orders[[#This Row],[Customer Gender]]="O","Other", TRUE,"Unknown")</f>
        <v>Female</v>
      </c>
      <c r="M2129">
        <v>8</v>
      </c>
      <c r="N2129">
        <v>44.4</v>
      </c>
      <c r="O2129">
        <v>355.2</v>
      </c>
    </row>
    <row r="2130" spans="1:15" x14ac:dyDescent="0.3">
      <c r="A2130" t="s">
        <v>2230</v>
      </c>
      <c r="B2130" t="s">
        <v>43</v>
      </c>
      <c r="C2130" s="7">
        <v>45735</v>
      </c>
      <c r="D2130" s="7">
        <v>45736</v>
      </c>
      <c r="E2130" t="s">
        <v>22</v>
      </c>
      <c r="F2130" t="s">
        <v>17</v>
      </c>
      <c r="G2130">
        <v>4</v>
      </c>
      <c r="H2130" t="s">
        <v>18</v>
      </c>
      <c r="I2130" t="s">
        <v>61</v>
      </c>
      <c r="J2130">
        <f>orders[[#This Row],[Ship Date]]-orders[[#This Row],[Order Date]]</f>
        <v>1</v>
      </c>
      <c r="K2130">
        <f>WEEKNUM(orders[[#This Row],[Order Date]])</f>
        <v>12</v>
      </c>
      <c r="L2130" t="str" cm="1">
        <f t="array" ref="L2130">_xlfn.IFS(orders[[#This Row],[Customer Gender]]="M","Male", orders[[#This Row],[Customer Gender]]="F","Female", orders[[#This Row],[Customer Gender]]="O","Other", TRUE,"Unknown")</f>
        <v>Male</v>
      </c>
      <c r="M2130">
        <v>3</v>
      </c>
      <c r="N2130">
        <v>26.2</v>
      </c>
      <c r="O2130" s="5">
        <v>78.599999999999994</v>
      </c>
    </row>
    <row r="2131" spans="1:15" x14ac:dyDescent="0.3">
      <c r="A2131" t="s">
        <v>2231</v>
      </c>
      <c r="B2131" t="s">
        <v>21</v>
      </c>
      <c r="C2131" s="7">
        <v>45735</v>
      </c>
      <c r="D2131" s="7">
        <v>45736</v>
      </c>
      <c r="E2131" t="s">
        <v>26</v>
      </c>
      <c r="F2131" t="s">
        <v>34</v>
      </c>
      <c r="G2131">
        <v>5</v>
      </c>
      <c r="H2131" t="s">
        <v>18</v>
      </c>
      <c r="I2131" t="s">
        <v>61</v>
      </c>
      <c r="J2131">
        <f>orders[[#This Row],[Ship Date]]-orders[[#This Row],[Order Date]]</f>
        <v>1</v>
      </c>
      <c r="K2131">
        <f>WEEKNUM(orders[[#This Row],[Order Date]])</f>
        <v>12</v>
      </c>
      <c r="L2131" t="str" cm="1">
        <f t="array" ref="L2131">_xlfn.IFS(orders[[#This Row],[Customer Gender]]="M","Male", orders[[#This Row],[Customer Gender]]="F","Female", orders[[#This Row],[Customer Gender]]="O","Other", TRUE,"Unknown")</f>
        <v>Female</v>
      </c>
      <c r="M2131">
        <v>7</v>
      </c>
      <c r="N2131">
        <v>32.200000000000003</v>
      </c>
      <c r="O2131">
        <v>225.40000000000003</v>
      </c>
    </row>
    <row r="2132" spans="1:15" x14ac:dyDescent="0.3">
      <c r="A2132" t="s">
        <v>2232</v>
      </c>
      <c r="B2132" t="s">
        <v>43</v>
      </c>
      <c r="C2132" s="7">
        <v>45735</v>
      </c>
      <c r="D2132" s="7">
        <v>45739</v>
      </c>
      <c r="E2132" t="s">
        <v>2517</v>
      </c>
      <c r="F2132" t="s">
        <v>39</v>
      </c>
      <c r="G2132">
        <v>3</v>
      </c>
      <c r="H2132" t="s">
        <v>18</v>
      </c>
      <c r="I2132" t="s">
        <v>61</v>
      </c>
      <c r="J2132">
        <f>orders[[#This Row],[Ship Date]]-orders[[#This Row],[Order Date]]</f>
        <v>4</v>
      </c>
      <c r="K2132">
        <f>WEEKNUM(orders[[#This Row],[Order Date]])</f>
        <v>12</v>
      </c>
      <c r="L2132" t="str" cm="1">
        <f t="array" ref="L2132">_xlfn.IFS(orders[[#This Row],[Customer Gender]]="M","Male", orders[[#This Row],[Customer Gender]]="F","Female", orders[[#This Row],[Customer Gender]]="O","Other", TRUE,"Unknown")</f>
        <v>Unknown</v>
      </c>
      <c r="M2132">
        <v>1</v>
      </c>
      <c r="N2132">
        <v>17.399999999999999</v>
      </c>
      <c r="O2132" s="5">
        <v>17.399999999999999</v>
      </c>
    </row>
    <row r="2133" spans="1:15" x14ac:dyDescent="0.3">
      <c r="A2133" t="s">
        <v>2233</v>
      </c>
      <c r="B2133" t="s">
        <v>43</v>
      </c>
      <c r="C2133" s="7">
        <v>45735</v>
      </c>
      <c r="D2133" s="7">
        <v>45738</v>
      </c>
      <c r="E2133" t="s">
        <v>26</v>
      </c>
      <c r="F2133" t="s">
        <v>17</v>
      </c>
      <c r="G2133">
        <v>4</v>
      </c>
      <c r="H2133" t="s">
        <v>18</v>
      </c>
      <c r="I2133" t="s">
        <v>61</v>
      </c>
      <c r="J2133">
        <f>orders[[#This Row],[Ship Date]]-orders[[#This Row],[Order Date]]</f>
        <v>3</v>
      </c>
      <c r="K2133">
        <f>WEEKNUM(orders[[#This Row],[Order Date]])</f>
        <v>12</v>
      </c>
      <c r="L2133" t="str" cm="1">
        <f t="array" ref="L2133">_xlfn.IFS(orders[[#This Row],[Customer Gender]]="M","Male", orders[[#This Row],[Customer Gender]]="F","Female", orders[[#This Row],[Customer Gender]]="O","Other", TRUE,"Unknown")</f>
        <v>Female</v>
      </c>
      <c r="M2133">
        <v>6</v>
      </c>
      <c r="N2133">
        <v>72.3</v>
      </c>
      <c r="O2133">
        <v>433.79999999999995</v>
      </c>
    </row>
    <row r="2134" spans="1:15" x14ac:dyDescent="0.3">
      <c r="A2134" t="s">
        <v>2234</v>
      </c>
      <c r="B2134" t="s">
        <v>43</v>
      </c>
      <c r="C2134" s="7">
        <v>45735</v>
      </c>
      <c r="D2134" s="7">
        <v>45736</v>
      </c>
      <c r="E2134" t="s">
        <v>22</v>
      </c>
      <c r="F2134" t="s">
        <v>17</v>
      </c>
      <c r="G2134">
        <v>4</v>
      </c>
      <c r="H2134" t="s">
        <v>18</v>
      </c>
      <c r="I2134" t="s">
        <v>61</v>
      </c>
      <c r="J2134">
        <f>orders[[#This Row],[Ship Date]]-orders[[#This Row],[Order Date]]</f>
        <v>1</v>
      </c>
      <c r="K2134">
        <f>WEEKNUM(orders[[#This Row],[Order Date]])</f>
        <v>12</v>
      </c>
      <c r="L2134" t="str" cm="1">
        <f t="array" ref="L2134">_xlfn.IFS(orders[[#This Row],[Customer Gender]]="M","Male", orders[[#This Row],[Customer Gender]]="F","Female", orders[[#This Row],[Customer Gender]]="O","Other", TRUE,"Unknown")</f>
        <v>Male</v>
      </c>
      <c r="M2134">
        <v>11</v>
      </c>
      <c r="N2134">
        <v>24.3</v>
      </c>
      <c r="O2134" s="5">
        <v>267.3</v>
      </c>
    </row>
    <row r="2135" spans="1:15" x14ac:dyDescent="0.3">
      <c r="A2135" t="s">
        <v>2235</v>
      </c>
      <c r="B2135" t="s">
        <v>75</v>
      </c>
      <c r="C2135" s="7">
        <v>45735</v>
      </c>
      <c r="D2135" s="7">
        <v>45741</v>
      </c>
      <c r="E2135" t="s">
        <v>22</v>
      </c>
      <c r="F2135" t="s">
        <v>39</v>
      </c>
      <c r="G2135">
        <v>2</v>
      </c>
      <c r="H2135" t="s">
        <v>18</v>
      </c>
      <c r="I2135" t="s">
        <v>61</v>
      </c>
      <c r="J2135">
        <f>orders[[#This Row],[Ship Date]]-orders[[#This Row],[Order Date]]</f>
        <v>6</v>
      </c>
      <c r="K2135">
        <f>WEEKNUM(orders[[#This Row],[Order Date]])</f>
        <v>12</v>
      </c>
      <c r="L2135" t="str" cm="1">
        <f t="array" ref="L2135">_xlfn.IFS(orders[[#This Row],[Customer Gender]]="M","Male", orders[[#This Row],[Customer Gender]]="F","Female", orders[[#This Row],[Customer Gender]]="O","Other", TRUE,"Unknown")</f>
        <v>Male</v>
      </c>
      <c r="M2135">
        <v>3</v>
      </c>
      <c r="N2135">
        <v>49.1</v>
      </c>
      <c r="O2135">
        <v>147.30000000000001</v>
      </c>
    </row>
    <row r="2136" spans="1:15" x14ac:dyDescent="0.3">
      <c r="A2136" t="s">
        <v>2236</v>
      </c>
      <c r="B2136" t="s">
        <v>25</v>
      </c>
      <c r="C2136" s="7">
        <v>45735</v>
      </c>
      <c r="D2136" s="7">
        <v>45736</v>
      </c>
      <c r="E2136" t="s">
        <v>22</v>
      </c>
      <c r="F2136" t="s">
        <v>50</v>
      </c>
      <c r="G2136">
        <v>3</v>
      </c>
      <c r="H2136" t="s">
        <v>18</v>
      </c>
      <c r="I2136" t="s">
        <v>61</v>
      </c>
      <c r="J2136">
        <f>orders[[#This Row],[Ship Date]]-orders[[#This Row],[Order Date]]</f>
        <v>1</v>
      </c>
      <c r="K2136">
        <f>WEEKNUM(orders[[#This Row],[Order Date]])</f>
        <v>12</v>
      </c>
      <c r="L2136" t="str" cm="1">
        <f t="array" ref="L2136">_xlfn.IFS(orders[[#This Row],[Customer Gender]]="M","Male", orders[[#This Row],[Customer Gender]]="F","Female", orders[[#This Row],[Customer Gender]]="O","Other", TRUE,"Unknown")</f>
        <v>Male</v>
      </c>
      <c r="M2136">
        <v>10</v>
      </c>
      <c r="N2136">
        <v>234.7</v>
      </c>
      <c r="O2136" s="5">
        <v>2347</v>
      </c>
    </row>
    <row r="2137" spans="1:15" x14ac:dyDescent="0.3">
      <c r="A2137" t="s">
        <v>2237</v>
      </c>
      <c r="B2137" t="s">
        <v>29</v>
      </c>
      <c r="C2137" s="7">
        <v>45735</v>
      </c>
      <c r="D2137" s="7">
        <v>45737</v>
      </c>
      <c r="E2137" t="s">
        <v>22</v>
      </c>
      <c r="F2137" t="s">
        <v>34</v>
      </c>
      <c r="G2137">
        <v>3</v>
      </c>
      <c r="H2137" t="s">
        <v>18</v>
      </c>
      <c r="I2137" t="s">
        <v>102</v>
      </c>
      <c r="J2137">
        <f>orders[[#This Row],[Ship Date]]-orders[[#This Row],[Order Date]]</f>
        <v>2</v>
      </c>
      <c r="K2137">
        <f>WEEKNUM(orders[[#This Row],[Order Date]])</f>
        <v>12</v>
      </c>
      <c r="L2137" t="str" cm="1">
        <f t="array" ref="L2137">_xlfn.IFS(orders[[#This Row],[Customer Gender]]="M","Male", orders[[#This Row],[Customer Gender]]="F","Female", orders[[#This Row],[Customer Gender]]="O","Other", TRUE,"Unknown")</f>
        <v>Male</v>
      </c>
      <c r="M2137">
        <v>5</v>
      </c>
      <c r="N2137">
        <v>76.099999999999994</v>
      </c>
      <c r="O2137">
        <v>380.5</v>
      </c>
    </row>
    <row r="2138" spans="1:15" x14ac:dyDescent="0.3">
      <c r="A2138" t="s">
        <v>2238</v>
      </c>
      <c r="B2138" t="s">
        <v>21</v>
      </c>
      <c r="C2138" s="7">
        <v>45735</v>
      </c>
      <c r="D2138" s="7">
        <v>45736</v>
      </c>
      <c r="E2138" t="s">
        <v>22</v>
      </c>
      <c r="F2138" t="s">
        <v>34</v>
      </c>
      <c r="G2138">
        <v>2</v>
      </c>
      <c r="H2138" t="s">
        <v>18</v>
      </c>
      <c r="I2138" t="s">
        <v>76</v>
      </c>
      <c r="J2138">
        <f>orders[[#This Row],[Ship Date]]-orders[[#This Row],[Order Date]]</f>
        <v>1</v>
      </c>
      <c r="K2138">
        <f>WEEKNUM(orders[[#This Row],[Order Date]])</f>
        <v>12</v>
      </c>
      <c r="L2138" t="str" cm="1">
        <f t="array" ref="L2138">_xlfn.IFS(orders[[#This Row],[Customer Gender]]="M","Male", orders[[#This Row],[Customer Gender]]="F","Female", orders[[#This Row],[Customer Gender]]="O","Other", TRUE,"Unknown")</f>
        <v>Male</v>
      </c>
      <c r="M2138">
        <v>3</v>
      </c>
      <c r="N2138">
        <v>93.9</v>
      </c>
      <c r="O2138" s="5">
        <v>281.70000000000005</v>
      </c>
    </row>
    <row r="2139" spans="1:15" x14ac:dyDescent="0.3">
      <c r="A2139" t="s">
        <v>2239</v>
      </c>
      <c r="B2139" t="s">
        <v>25</v>
      </c>
      <c r="C2139" s="7">
        <v>45736</v>
      </c>
      <c r="D2139" s="7">
        <v>45739</v>
      </c>
      <c r="E2139" t="s">
        <v>22</v>
      </c>
      <c r="F2139" t="s">
        <v>17</v>
      </c>
      <c r="G2139">
        <v>4</v>
      </c>
      <c r="H2139" t="s">
        <v>18</v>
      </c>
      <c r="I2139" t="s">
        <v>76</v>
      </c>
      <c r="J2139">
        <f>orders[[#This Row],[Ship Date]]-orders[[#This Row],[Order Date]]</f>
        <v>3</v>
      </c>
      <c r="K2139">
        <f>WEEKNUM(orders[[#This Row],[Order Date]])</f>
        <v>12</v>
      </c>
      <c r="L2139" t="str" cm="1">
        <f t="array" ref="L2139">_xlfn.IFS(orders[[#This Row],[Customer Gender]]="M","Male", orders[[#This Row],[Customer Gender]]="F","Female", orders[[#This Row],[Customer Gender]]="O","Other", TRUE,"Unknown")</f>
        <v>Male</v>
      </c>
      <c r="M2139">
        <v>4</v>
      </c>
      <c r="N2139">
        <v>187</v>
      </c>
      <c r="O2139">
        <v>748</v>
      </c>
    </row>
    <row r="2140" spans="1:15" x14ac:dyDescent="0.3">
      <c r="A2140" t="s">
        <v>2240</v>
      </c>
      <c r="B2140" t="s">
        <v>43</v>
      </c>
      <c r="C2140" s="7">
        <v>45736</v>
      </c>
      <c r="D2140" s="7">
        <v>45737</v>
      </c>
      <c r="E2140" t="s">
        <v>26</v>
      </c>
      <c r="F2140" t="s">
        <v>34</v>
      </c>
      <c r="G2140">
        <v>5</v>
      </c>
      <c r="H2140" t="s">
        <v>18</v>
      </c>
      <c r="I2140" t="s">
        <v>1115</v>
      </c>
      <c r="J2140">
        <f>orders[[#This Row],[Ship Date]]-orders[[#This Row],[Order Date]]</f>
        <v>1</v>
      </c>
      <c r="K2140">
        <f>WEEKNUM(orders[[#This Row],[Order Date]])</f>
        <v>12</v>
      </c>
      <c r="L2140" t="str" cm="1">
        <f t="array" ref="L2140">_xlfn.IFS(orders[[#This Row],[Customer Gender]]="M","Male", orders[[#This Row],[Customer Gender]]="F","Female", orders[[#This Row],[Customer Gender]]="O","Other", TRUE,"Unknown")</f>
        <v>Female</v>
      </c>
      <c r="M2140">
        <v>2</v>
      </c>
      <c r="N2140">
        <v>18</v>
      </c>
      <c r="O2140" s="5">
        <v>36</v>
      </c>
    </row>
    <row r="2141" spans="1:15" x14ac:dyDescent="0.3">
      <c r="A2141" t="s">
        <v>2241</v>
      </c>
      <c r="B2141" t="s">
        <v>31</v>
      </c>
      <c r="C2141" s="7">
        <v>45736</v>
      </c>
      <c r="D2141" s="7">
        <v>45737</v>
      </c>
      <c r="E2141" t="s">
        <v>26</v>
      </c>
      <c r="F2141" t="s">
        <v>69</v>
      </c>
      <c r="G2141">
        <v>5</v>
      </c>
      <c r="H2141" t="s">
        <v>18</v>
      </c>
      <c r="I2141" t="s">
        <v>114</v>
      </c>
      <c r="J2141">
        <f>orders[[#This Row],[Ship Date]]-orders[[#This Row],[Order Date]]</f>
        <v>1</v>
      </c>
      <c r="K2141">
        <f>WEEKNUM(orders[[#This Row],[Order Date]])</f>
        <v>12</v>
      </c>
      <c r="L2141" t="str" cm="1">
        <f t="array" ref="L2141">_xlfn.IFS(orders[[#This Row],[Customer Gender]]="M","Male", orders[[#This Row],[Customer Gender]]="F","Female", orders[[#This Row],[Customer Gender]]="O","Other", TRUE,"Unknown")</f>
        <v>Female</v>
      </c>
      <c r="M2141">
        <v>1</v>
      </c>
      <c r="N2141">
        <v>24.4</v>
      </c>
      <c r="O2141">
        <v>24.4</v>
      </c>
    </row>
    <row r="2142" spans="1:15" x14ac:dyDescent="0.3">
      <c r="A2142" t="s">
        <v>2242</v>
      </c>
      <c r="B2142" t="s">
        <v>53</v>
      </c>
      <c r="C2142" s="7">
        <v>45736</v>
      </c>
      <c r="D2142" s="7">
        <v>45737</v>
      </c>
      <c r="E2142" t="s">
        <v>22</v>
      </c>
      <c r="F2142" t="s">
        <v>69</v>
      </c>
      <c r="G2142">
        <v>3</v>
      </c>
      <c r="H2142" t="s">
        <v>18</v>
      </c>
      <c r="I2142" t="s">
        <v>32</v>
      </c>
      <c r="J2142">
        <f>orders[[#This Row],[Ship Date]]-orders[[#This Row],[Order Date]]</f>
        <v>1</v>
      </c>
      <c r="K2142">
        <f>WEEKNUM(orders[[#This Row],[Order Date]])</f>
        <v>12</v>
      </c>
      <c r="L2142" t="str" cm="1">
        <f t="array" ref="L2142">_xlfn.IFS(orders[[#This Row],[Customer Gender]]="M","Male", orders[[#This Row],[Customer Gender]]="F","Female", orders[[#This Row],[Customer Gender]]="O","Other", TRUE,"Unknown")</f>
        <v>Male</v>
      </c>
      <c r="M2142">
        <v>2</v>
      </c>
      <c r="N2142">
        <v>38.799999999999997</v>
      </c>
      <c r="O2142" s="5">
        <v>77.599999999999994</v>
      </c>
    </row>
    <row r="2143" spans="1:15" x14ac:dyDescent="0.3">
      <c r="A2143" t="s">
        <v>2243</v>
      </c>
      <c r="B2143" t="s">
        <v>29</v>
      </c>
      <c r="C2143" s="7">
        <v>45736</v>
      </c>
      <c r="D2143" s="7">
        <v>45739</v>
      </c>
      <c r="E2143" t="s">
        <v>22</v>
      </c>
      <c r="F2143" t="s">
        <v>50</v>
      </c>
      <c r="G2143">
        <v>4</v>
      </c>
      <c r="H2143" t="s">
        <v>18</v>
      </c>
      <c r="I2143" t="s">
        <v>32</v>
      </c>
      <c r="J2143">
        <f>orders[[#This Row],[Ship Date]]-orders[[#This Row],[Order Date]]</f>
        <v>3</v>
      </c>
      <c r="K2143">
        <f>WEEKNUM(orders[[#This Row],[Order Date]])</f>
        <v>12</v>
      </c>
      <c r="L2143" t="str" cm="1">
        <f t="array" ref="L2143">_xlfn.IFS(orders[[#This Row],[Customer Gender]]="M","Male", orders[[#This Row],[Customer Gender]]="F","Female", orders[[#This Row],[Customer Gender]]="O","Other", TRUE,"Unknown")</f>
        <v>Male</v>
      </c>
      <c r="M2143">
        <v>1</v>
      </c>
      <c r="N2143">
        <v>59.7</v>
      </c>
      <c r="O2143">
        <v>59.7</v>
      </c>
    </row>
    <row r="2144" spans="1:15" x14ac:dyDescent="0.3">
      <c r="A2144" t="s">
        <v>2244</v>
      </c>
      <c r="B2144" t="s">
        <v>41</v>
      </c>
      <c r="C2144" s="7">
        <v>45736</v>
      </c>
      <c r="D2144" s="7">
        <v>45737</v>
      </c>
      <c r="E2144" t="s">
        <v>22</v>
      </c>
      <c r="F2144" t="s">
        <v>34</v>
      </c>
      <c r="G2144">
        <v>5</v>
      </c>
      <c r="H2144" t="s">
        <v>18</v>
      </c>
      <c r="I2144" t="s">
        <v>32</v>
      </c>
      <c r="J2144">
        <f>orders[[#This Row],[Ship Date]]-orders[[#This Row],[Order Date]]</f>
        <v>1</v>
      </c>
      <c r="K2144">
        <f>WEEKNUM(orders[[#This Row],[Order Date]])</f>
        <v>12</v>
      </c>
      <c r="L2144" t="str" cm="1">
        <f t="array" ref="L2144">_xlfn.IFS(orders[[#This Row],[Customer Gender]]="M","Male", orders[[#This Row],[Customer Gender]]="F","Female", orders[[#This Row],[Customer Gender]]="O","Other", TRUE,"Unknown")</f>
        <v>Male</v>
      </c>
      <c r="M2144">
        <v>1</v>
      </c>
      <c r="N2144">
        <v>31.2</v>
      </c>
      <c r="O2144" s="5">
        <v>31.2</v>
      </c>
    </row>
    <row r="2145" spans="1:15" x14ac:dyDescent="0.3">
      <c r="A2145" t="s">
        <v>2245</v>
      </c>
      <c r="B2145" t="s">
        <v>16</v>
      </c>
      <c r="C2145" s="7">
        <v>45736</v>
      </c>
      <c r="D2145" s="7">
        <v>45737</v>
      </c>
      <c r="E2145" t="s">
        <v>26</v>
      </c>
      <c r="F2145" t="s">
        <v>39</v>
      </c>
      <c r="G2145">
        <v>3</v>
      </c>
      <c r="H2145" t="s">
        <v>18</v>
      </c>
      <c r="I2145" t="s">
        <v>32</v>
      </c>
      <c r="J2145">
        <f>orders[[#This Row],[Ship Date]]-orders[[#This Row],[Order Date]]</f>
        <v>1</v>
      </c>
      <c r="K2145">
        <f>WEEKNUM(orders[[#This Row],[Order Date]])</f>
        <v>12</v>
      </c>
      <c r="L2145" t="str" cm="1">
        <f t="array" ref="L2145">_xlfn.IFS(orders[[#This Row],[Customer Gender]]="M","Male", orders[[#This Row],[Customer Gender]]="F","Female", orders[[#This Row],[Customer Gender]]="O","Other", TRUE,"Unknown")</f>
        <v>Female</v>
      </c>
      <c r="M2145">
        <v>1</v>
      </c>
      <c r="N2145">
        <v>16.8</v>
      </c>
      <c r="O2145">
        <v>16.8</v>
      </c>
    </row>
    <row r="2146" spans="1:15" x14ac:dyDescent="0.3">
      <c r="A2146" t="s">
        <v>2246</v>
      </c>
      <c r="B2146" t="s">
        <v>43</v>
      </c>
      <c r="C2146" s="7">
        <v>45736</v>
      </c>
      <c r="D2146" s="7">
        <v>45737</v>
      </c>
      <c r="E2146" t="s">
        <v>22</v>
      </c>
      <c r="F2146" t="s">
        <v>17</v>
      </c>
      <c r="G2146">
        <v>4</v>
      </c>
      <c r="H2146" t="s">
        <v>18</v>
      </c>
      <c r="I2146" t="s">
        <v>32</v>
      </c>
      <c r="J2146">
        <f>orders[[#This Row],[Ship Date]]-orders[[#This Row],[Order Date]]</f>
        <v>1</v>
      </c>
      <c r="K2146">
        <f>WEEKNUM(orders[[#This Row],[Order Date]])</f>
        <v>12</v>
      </c>
      <c r="L2146" t="str" cm="1">
        <f t="array" ref="L2146">_xlfn.IFS(orders[[#This Row],[Customer Gender]]="M","Male", orders[[#This Row],[Customer Gender]]="F","Female", orders[[#This Row],[Customer Gender]]="O","Other", TRUE,"Unknown")</f>
        <v>Male</v>
      </c>
      <c r="M2146">
        <v>1</v>
      </c>
      <c r="N2146">
        <v>46</v>
      </c>
      <c r="O2146" s="5">
        <v>46</v>
      </c>
    </row>
    <row r="2147" spans="1:15" x14ac:dyDescent="0.3">
      <c r="A2147" t="s">
        <v>2247</v>
      </c>
      <c r="B2147" t="s">
        <v>45</v>
      </c>
      <c r="C2147" s="7">
        <v>45736</v>
      </c>
      <c r="D2147" s="7">
        <v>45739</v>
      </c>
      <c r="E2147" t="s">
        <v>26</v>
      </c>
      <c r="F2147" t="s">
        <v>50</v>
      </c>
      <c r="G2147">
        <v>5</v>
      </c>
      <c r="H2147" t="s">
        <v>18</v>
      </c>
      <c r="I2147" t="s">
        <v>32</v>
      </c>
      <c r="J2147">
        <f>orders[[#This Row],[Ship Date]]-orders[[#This Row],[Order Date]]</f>
        <v>3</v>
      </c>
      <c r="K2147">
        <f>WEEKNUM(orders[[#This Row],[Order Date]])</f>
        <v>12</v>
      </c>
      <c r="L2147" t="str" cm="1">
        <f t="array" ref="L2147">_xlfn.IFS(orders[[#This Row],[Customer Gender]]="M","Male", orders[[#This Row],[Customer Gender]]="F","Female", orders[[#This Row],[Customer Gender]]="O","Other", TRUE,"Unknown")</f>
        <v>Female</v>
      </c>
      <c r="M2147">
        <v>8</v>
      </c>
      <c r="N2147">
        <v>42.2</v>
      </c>
      <c r="O2147">
        <v>337.6</v>
      </c>
    </row>
    <row r="2148" spans="1:15" x14ac:dyDescent="0.3">
      <c r="A2148" t="s">
        <v>2248</v>
      </c>
      <c r="B2148" t="s">
        <v>21</v>
      </c>
      <c r="C2148" s="7">
        <v>45736</v>
      </c>
      <c r="D2148" s="7">
        <v>45750</v>
      </c>
      <c r="E2148" t="s">
        <v>26</v>
      </c>
      <c r="F2148" t="s">
        <v>17</v>
      </c>
      <c r="G2148">
        <v>4</v>
      </c>
      <c r="H2148" t="s">
        <v>18</v>
      </c>
      <c r="I2148" t="s">
        <v>32</v>
      </c>
      <c r="J2148">
        <f>orders[[#This Row],[Ship Date]]-orders[[#This Row],[Order Date]]</f>
        <v>14</v>
      </c>
      <c r="K2148">
        <f>WEEKNUM(orders[[#This Row],[Order Date]])</f>
        <v>12</v>
      </c>
      <c r="L2148" t="str" cm="1">
        <f t="array" ref="L2148">_xlfn.IFS(orders[[#This Row],[Customer Gender]]="M","Male", orders[[#This Row],[Customer Gender]]="F","Female", orders[[#This Row],[Customer Gender]]="O","Other", TRUE,"Unknown")</f>
        <v>Female</v>
      </c>
      <c r="M2148">
        <v>3</v>
      </c>
      <c r="N2148">
        <v>71.5</v>
      </c>
      <c r="O2148" s="5">
        <v>214.5</v>
      </c>
    </row>
    <row r="2149" spans="1:15" x14ac:dyDescent="0.3">
      <c r="A2149" t="s">
        <v>2249</v>
      </c>
      <c r="B2149" t="s">
        <v>21</v>
      </c>
      <c r="C2149" s="7">
        <v>45736</v>
      </c>
      <c r="D2149" s="7">
        <v>45736</v>
      </c>
      <c r="E2149" t="s">
        <v>22</v>
      </c>
      <c r="F2149" t="s">
        <v>17</v>
      </c>
      <c r="G2149">
        <v>5</v>
      </c>
      <c r="H2149" t="s">
        <v>18</v>
      </c>
      <c r="I2149" t="s">
        <v>32</v>
      </c>
      <c r="J2149">
        <f>orders[[#This Row],[Ship Date]]-orders[[#This Row],[Order Date]]</f>
        <v>0</v>
      </c>
      <c r="K2149">
        <f>WEEKNUM(orders[[#This Row],[Order Date]])</f>
        <v>12</v>
      </c>
      <c r="L2149" t="str" cm="1">
        <f t="array" ref="L2149">_xlfn.IFS(orders[[#This Row],[Customer Gender]]="M","Male", orders[[#This Row],[Customer Gender]]="F","Female", orders[[#This Row],[Customer Gender]]="O","Other", TRUE,"Unknown")</f>
        <v>Male</v>
      </c>
      <c r="M2149">
        <v>2</v>
      </c>
      <c r="N2149">
        <v>76.599999999999994</v>
      </c>
      <c r="O2149">
        <v>153.19999999999999</v>
      </c>
    </row>
    <row r="2150" spans="1:15" x14ac:dyDescent="0.3">
      <c r="A2150" t="s">
        <v>2250</v>
      </c>
      <c r="B2150" t="s">
        <v>68</v>
      </c>
      <c r="C2150" s="7">
        <v>45736</v>
      </c>
      <c r="D2150" s="7">
        <v>45744</v>
      </c>
      <c r="E2150" t="s">
        <v>26</v>
      </c>
      <c r="F2150" t="s">
        <v>50</v>
      </c>
      <c r="G2150">
        <v>5</v>
      </c>
      <c r="H2150" t="s">
        <v>18</v>
      </c>
      <c r="I2150" t="s">
        <v>32</v>
      </c>
      <c r="J2150">
        <f>orders[[#This Row],[Ship Date]]-orders[[#This Row],[Order Date]]</f>
        <v>8</v>
      </c>
      <c r="K2150">
        <f>WEEKNUM(orders[[#This Row],[Order Date]])</f>
        <v>12</v>
      </c>
      <c r="L2150" t="str" cm="1">
        <f t="array" ref="L2150">_xlfn.IFS(orders[[#This Row],[Customer Gender]]="M","Male", orders[[#This Row],[Customer Gender]]="F","Female", orders[[#This Row],[Customer Gender]]="O","Other", TRUE,"Unknown")</f>
        <v>Female</v>
      </c>
      <c r="M2150">
        <v>2</v>
      </c>
      <c r="N2150">
        <v>87.3</v>
      </c>
      <c r="O2150" s="5">
        <v>174.6</v>
      </c>
    </row>
    <row r="2151" spans="1:15" x14ac:dyDescent="0.3">
      <c r="A2151" t="s">
        <v>2251</v>
      </c>
      <c r="B2151" t="s">
        <v>21</v>
      </c>
      <c r="C2151" s="7">
        <v>45736</v>
      </c>
      <c r="D2151" s="7">
        <v>45739</v>
      </c>
      <c r="E2151" t="s">
        <v>22</v>
      </c>
      <c r="F2151" t="s">
        <v>50</v>
      </c>
      <c r="G2151">
        <v>4</v>
      </c>
      <c r="H2151" t="s">
        <v>18</v>
      </c>
      <c r="I2151" t="s">
        <v>32</v>
      </c>
      <c r="J2151">
        <f>orders[[#This Row],[Ship Date]]-orders[[#This Row],[Order Date]]</f>
        <v>3</v>
      </c>
      <c r="K2151">
        <f>WEEKNUM(orders[[#This Row],[Order Date]])</f>
        <v>12</v>
      </c>
      <c r="L2151" t="str" cm="1">
        <f t="array" ref="L2151">_xlfn.IFS(orders[[#This Row],[Customer Gender]]="M","Male", orders[[#This Row],[Customer Gender]]="F","Female", orders[[#This Row],[Customer Gender]]="O","Other", TRUE,"Unknown")</f>
        <v>Male</v>
      </c>
      <c r="M2151">
        <v>1</v>
      </c>
      <c r="N2151">
        <v>63</v>
      </c>
      <c r="O2151">
        <v>63</v>
      </c>
    </row>
    <row r="2152" spans="1:15" x14ac:dyDescent="0.3">
      <c r="A2152" t="s">
        <v>2252</v>
      </c>
      <c r="B2152" t="s">
        <v>43</v>
      </c>
      <c r="C2152" s="7">
        <v>45736</v>
      </c>
      <c r="D2152" s="7">
        <v>45737</v>
      </c>
      <c r="E2152" t="s">
        <v>26</v>
      </c>
      <c r="F2152" t="s">
        <v>69</v>
      </c>
      <c r="G2152">
        <v>3</v>
      </c>
      <c r="H2152" t="s">
        <v>18</v>
      </c>
      <c r="I2152" t="s">
        <v>544</v>
      </c>
      <c r="J2152">
        <f>orders[[#This Row],[Ship Date]]-orders[[#This Row],[Order Date]]</f>
        <v>1</v>
      </c>
      <c r="K2152">
        <f>WEEKNUM(orders[[#This Row],[Order Date]])</f>
        <v>12</v>
      </c>
      <c r="L2152" t="str" cm="1">
        <f t="array" ref="L2152">_xlfn.IFS(orders[[#This Row],[Customer Gender]]="M","Male", orders[[#This Row],[Customer Gender]]="F","Female", orders[[#This Row],[Customer Gender]]="O","Other", TRUE,"Unknown")</f>
        <v>Female</v>
      </c>
      <c r="M2152">
        <v>2</v>
      </c>
      <c r="N2152">
        <v>41.7</v>
      </c>
      <c r="O2152" s="5">
        <v>83.4</v>
      </c>
    </row>
    <row r="2153" spans="1:15" x14ac:dyDescent="0.3">
      <c r="A2153" t="s">
        <v>2253</v>
      </c>
      <c r="B2153" t="s">
        <v>38</v>
      </c>
      <c r="C2153" s="7">
        <v>45736</v>
      </c>
      <c r="D2153" s="7">
        <v>45736</v>
      </c>
      <c r="E2153" t="s">
        <v>26</v>
      </c>
      <c r="F2153" t="s">
        <v>69</v>
      </c>
      <c r="G2153">
        <v>5</v>
      </c>
      <c r="H2153" t="s">
        <v>18</v>
      </c>
      <c r="I2153" t="s">
        <v>97</v>
      </c>
      <c r="J2153">
        <f>orders[[#This Row],[Ship Date]]-orders[[#This Row],[Order Date]]</f>
        <v>0</v>
      </c>
      <c r="K2153">
        <f>WEEKNUM(orders[[#This Row],[Order Date]])</f>
        <v>12</v>
      </c>
      <c r="L2153" t="str" cm="1">
        <f t="array" ref="L2153">_xlfn.IFS(orders[[#This Row],[Customer Gender]]="M","Male", orders[[#This Row],[Customer Gender]]="F","Female", orders[[#This Row],[Customer Gender]]="O","Other", TRUE,"Unknown")</f>
        <v>Female</v>
      </c>
      <c r="M2153">
        <v>2</v>
      </c>
      <c r="N2153">
        <v>76.099999999999994</v>
      </c>
      <c r="O2153">
        <v>152.19999999999999</v>
      </c>
    </row>
    <row r="2154" spans="1:15" x14ac:dyDescent="0.3">
      <c r="A2154" t="s">
        <v>2254</v>
      </c>
      <c r="B2154" t="s">
        <v>75</v>
      </c>
      <c r="C2154" s="7">
        <v>45736</v>
      </c>
      <c r="D2154" s="7">
        <v>45737</v>
      </c>
      <c r="E2154" t="s">
        <v>26</v>
      </c>
      <c r="F2154" t="s">
        <v>17</v>
      </c>
      <c r="G2154">
        <v>5</v>
      </c>
      <c r="H2154" t="s">
        <v>18</v>
      </c>
      <c r="I2154" t="s">
        <v>48</v>
      </c>
      <c r="J2154">
        <f>orders[[#This Row],[Ship Date]]-orders[[#This Row],[Order Date]]</f>
        <v>1</v>
      </c>
      <c r="K2154">
        <f>WEEKNUM(orders[[#This Row],[Order Date]])</f>
        <v>12</v>
      </c>
      <c r="L2154" t="str" cm="1">
        <f t="array" ref="L2154">_xlfn.IFS(orders[[#This Row],[Customer Gender]]="M","Male", orders[[#This Row],[Customer Gender]]="F","Female", orders[[#This Row],[Customer Gender]]="O","Other", TRUE,"Unknown")</f>
        <v>Female</v>
      </c>
      <c r="M2154">
        <v>2</v>
      </c>
      <c r="N2154">
        <v>28.5</v>
      </c>
      <c r="O2154" s="5">
        <v>57</v>
      </c>
    </row>
    <row r="2155" spans="1:15" x14ac:dyDescent="0.3">
      <c r="A2155" t="s">
        <v>2255</v>
      </c>
      <c r="B2155" t="s">
        <v>16</v>
      </c>
      <c r="C2155" s="7">
        <v>45736</v>
      </c>
      <c r="D2155" s="7">
        <v>45737</v>
      </c>
      <c r="E2155" t="s">
        <v>26</v>
      </c>
      <c r="F2155" t="s">
        <v>34</v>
      </c>
      <c r="G2155">
        <v>5</v>
      </c>
      <c r="H2155" t="s">
        <v>18</v>
      </c>
      <c r="I2155" t="s">
        <v>187</v>
      </c>
      <c r="J2155">
        <f>orders[[#This Row],[Ship Date]]-orders[[#This Row],[Order Date]]</f>
        <v>1</v>
      </c>
      <c r="K2155">
        <f>WEEKNUM(orders[[#This Row],[Order Date]])</f>
        <v>12</v>
      </c>
      <c r="L2155" t="str" cm="1">
        <f t="array" ref="L2155">_xlfn.IFS(orders[[#This Row],[Customer Gender]]="M","Male", orders[[#This Row],[Customer Gender]]="F","Female", orders[[#This Row],[Customer Gender]]="O","Other", TRUE,"Unknown")</f>
        <v>Female</v>
      </c>
      <c r="M2155">
        <v>4</v>
      </c>
      <c r="N2155">
        <v>32.1</v>
      </c>
      <c r="O2155">
        <v>128.4</v>
      </c>
    </row>
    <row r="2156" spans="1:15" x14ac:dyDescent="0.3">
      <c r="A2156" t="s">
        <v>2256</v>
      </c>
      <c r="B2156" t="s">
        <v>31</v>
      </c>
      <c r="C2156" s="7">
        <v>45736</v>
      </c>
      <c r="D2156" s="7">
        <v>45739</v>
      </c>
      <c r="E2156" t="s">
        <v>22</v>
      </c>
      <c r="F2156" t="s">
        <v>34</v>
      </c>
      <c r="G2156">
        <v>5</v>
      </c>
      <c r="H2156" t="s">
        <v>18</v>
      </c>
      <c r="I2156" t="s">
        <v>187</v>
      </c>
      <c r="J2156">
        <f>orders[[#This Row],[Ship Date]]-orders[[#This Row],[Order Date]]</f>
        <v>3</v>
      </c>
      <c r="K2156">
        <f>WEEKNUM(orders[[#This Row],[Order Date]])</f>
        <v>12</v>
      </c>
      <c r="L2156" t="str" cm="1">
        <f t="array" ref="L2156">_xlfn.IFS(orders[[#This Row],[Customer Gender]]="M","Male", orders[[#This Row],[Customer Gender]]="F","Female", orders[[#This Row],[Customer Gender]]="O","Other", TRUE,"Unknown")</f>
        <v>Male</v>
      </c>
      <c r="M2156">
        <v>3</v>
      </c>
      <c r="N2156">
        <v>39</v>
      </c>
      <c r="O2156" s="5">
        <v>117</v>
      </c>
    </row>
    <row r="2157" spans="1:15" x14ac:dyDescent="0.3">
      <c r="A2157" t="s">
        <v>2257</v>
      </c>
      <c r="B2157" t="s">
        <v>38</v>
      </c>
      <c r="C2157" s="7">
        <v>45736</v>
      </c>
      <c r="D2157" s="7">
        <v>45737</v>
      </c>
      <c r="E2157" t="s">
        <v>22</v>
      </c>
      <c r="F2157" t="s">
        <v>34</v>
      </c>
      <c r="G2157">
        <v>4</v>
      </c>
      <c r="H2157" t="s">
        <v>18</v>
      </c>
      <c r="I2157" t="s">
        <v>54</v>
      </c>
      <c r="J2157">
        <f>orders[[#This Row],[Ship Date]]-orders[[#This Row],[Order Date]]</f>
        <v>1</v>
      </c>
      <c r="K2157">
        <f>WEEKNUM(orders[[#This Row],[Order Date]])</f>
        <v>12</v>
      </c>
      <c r="L2157" t="str" cm="1">
        <f t="array" ref="L2157">_xlfn.IFS(orders[[#This Row],[Customer Gender]]="M","Male", orders[[#This Row],[Customer Gender]]="F","Female", orders[[#This Row],[Customer Gender]]="O","Other", TRUE,"Unknown")</f>
        <v>Male</v>
      </c>
      <c r="M2157">
        <v>1</v>
      </c>
      <c r="N2157">
        <v>78.5</v>
      </c>
      <c r="O2157">
        <v>78.5</v>
      </c>
    </row>
    <row r="2158" spans="1:15" x14ac:dyDescent="0.3">
      <c r="A2158" t="s">
        <v>2258</v>
      </c>
      <c r="B2158" t="s">
        <v>31</v>
      </c>
      <c r="C2158" s="7">
        <v>45736</v>
      </c>
      <c r="D2158" s="7">
        <v>45738</v>
      </c>
      <c r="E2158" t="s">
        <v>26</v>
      </c>
      <c r="F2158" t="s">
        <v>17</v>
      </c>
      <c r="G2158">
        <v>4</v>
      </c>
      <c r="H2158" t="s">
        <v>18</v>
      </c>
      <c r="I2158" t="s">
        <v>54</v>
      </c>
      <c r="J2158">
        <f>orders[[#This Row],[Ship Date]]-orders[[#This Row],[Order Date]]</f>
        <v>2</v>
      </c>
      <c r="K2158">
        <f>WEEKNUM(orders[[#This Row],[Order Date]])</f>
        <v>12</v>
      </c>
      <c r="L2158" t="str" cm="1">
        <f t="array" ref="L2158">_xlfn.IFS(orders[[#This Row],[Customer Gender]]="M","Male", orders[[#This Row],[Customer Gender]]="F","Female", orders[[#This Row],[Customer Gender]]="O","Other", TRUE,"Unknown")</f>
        <v>Female</v>
      </c>
      <c r="M2158">
        <v>5</v>
      </c>
      <c r="N2158">
        <v>49.7</v>
      </c>
      <c r="O2158" s="5">
        <v>248.5</v>
      </c>
    </row>
    <row r="2159" spans="1:15" x14ac:dyDescent="0.3">
      <c r="A2159" t="s">
        <v>2259</v>
      </c>
      <c r="B2159" t="s">
        <v>21</v>
      </c>
      <c r="C2159" s="7">
        <v>45736</v>
      </c>
      <c r="D2159" s="7">
        <v>45737</v>
      </c>
      <c r="E2159" t="s">
        <v>26</v>
      </c>
      <c r="F2159" t="s">
        <v>39</v>
      </c>
      <c r="G2159">
        <v>5</v>
      </c>
      <c r="H2159" t="s">
        <v>18</v>
      </c>
      <c r="I2159" t="s">
        <v>58</v>
      </c>
      <c r="J2159">
        <f>orders[[#This Row],[Ship Date]]-orders[[#This Row],[Order Date]]</f>
        <v>1</v>
      </c>
      <c r="K2159">
        <f>WEEKNUM(orders[[#This Row],[Order Date]])</f>
        <v>12</v>
      </c>
      <c r="L2159" t="str" cm="1">
        <f t="array" ref="L2159">_xlfn.IFS(orders[[#This Row],[Customer Gender]]="M","Male", orders[[#This Row],[Customer Gender]]="F","Female", orders[[#This Row],[Customer Gender]]="O","Other", TRUE,"Unknown")</f>
        <v>Female</v>
      </c>
      <c r="M2159">
        <v>4</v>
      </c>
      <c r="N2159">
        <v>68.400000000000006</v>
      </c>
      <c r="O2159">
        <v>273.60000000000002</v>
      </c>
    </row>
    <row r="2160" spans="1:15" x14ac:dyDescent="0.3">
      <c r="A2160" t="s">
        <v>2260</v>
      </c>
      <c r="B2160" t="s">
        <v>29</v>
      </c>
      <c r="C2160" s="7">
        <v>45736</v>
      </c>
      <c r="D2160" s="7">
        <v>45739</v>
      </c>
      <c r="E2160" t="s">
        <v>2517</v>
      </c>
      <c r="F2160" t="s">
        <v>17</v>
      </c>
      <c r="G2160">
        <v>5</v>
      </c>
      <c r="H2160" t="s">
        <v>18</v>
      </c>
      <c r="I2160" t="s">
        <v>58</v>
      </c>
      <c r="J2160">
        <f>orders[[#This Row],[Ship Date]]-orders[[#This Row],[Order Date]]</f>
        <v>3</v>
      </c>
      <c r="K2160">
        <f>WEEKNUM(orders[[#This Row],[Order Date]])</f>
        <v>12</v>
      </c>
      <c r="L2160" t="str" cm="1">
        <f t="array" ref="L2160">_xlfn.IFS(orders[[#This Row],[Customer Gender]]="M","Male", orders[[#This Row],[Customer Gender]]="F","Female", orders[[#This Row],[Customer Gender]]="O","Other", TRUE,"Unknown")</f>
        <v>Unknown</v>
      </c>
      <c r="M2160">
        <v>2</v>
      </c>
      <c r="N2160">
        <v>72.900000000000006</v>
      </c>
      <c r="O2160" s="5">
        <v>145.80000000000001</v>
      </c>
    </row>
    <row r="2161" spans="1:15" x14ac:dyDescent="0.3">
      <c r="A2161" t="s">
        <v>2261</v>
      </c>
      <c r="B2161" t="s">
        <v>36</v>
      </c>
      <c r="C2161" s="7">
        <v>45736</v>
      </c>
      <c r="D2161" s="7">
        <v>45737</v>
      </c>
      <c r="E2161" t="s">
        <v>22</v>
      </c>
      <c r="F2161" t="s">
        <v>69</v>
      </c>
      <c r="G2161">
        <v>4</v>
      </c>
      <c r="H2161" t="s">
        <v>18</v>
      </c>
      <c r="I2161" t="s">
        <v>58</v>
      </c>
      <c r="J2161">
        <f>orders[[#This Row],[Ship Date]]-orders[[#This Row],[Order Date]]</f>
        <v>1</v>
      </c>
      <c r="K2161">
        <f>WEEKNUM(orders[[#This Row],[Order Date]])</f>
        <v>12</v>
      </c>
      <c r="L2161" t="str" cm="1">
        <f t="array" ref="L2161">_xlfn.IFS(orders[[#This Row],[Customer Gender]]="M","Male", orders[[#This Row],[Customer Gender]]="F","Female", orders[[#This Row],[Customer Gender]]="O","Other", TRUE,"Unknown")</f>
        <v>Male</v>
      </c>
      <c r="M2161">
        <v>13</v>
      </c>
      <c r="N2161">
        <v>30.3</v>
      </c>
      <c r="O2161">
        <v>393.90000000000003</v>
      </c>
    </row>
    <row r="2162" spans="1:15" x14ac:dyDescent="0.3">
      <c r="A2162" t="s">
        <v>2262</v>
      </c>
      <c r="B2162" t="s">
        <v>38</v>
      </c>
      <c r="C2162" s="7">
        <v>45736</v>
      </c>
      <c r="D2162" s="7">
        <v>45737</v>
      </c>
      <c r="E2162" t="s">
        <v>26</v>
      </c>
      <c r="F2162" t="s">
        <v>17</v>
      </c>
      <c r="G2162">
        <v>4</v>
      </c>
      <c r="H2162" t="s">
        <v>18</v>
      </c>
      <c r="I2162" t="s">
        <v>61</v>
      </c>
      <c r="J2162">
        <f>orders[[#This Row],[Ship Date]]-orders[[#This Row],[Order Date]]</f>
        <v>1</v>
      </c>
      <c r="K2162">
        <f>WEEKNUM(orders[[#This Row],[Order Date]])</f>
        <v>12</v>
      </c>
      <c r="L2162" t="str" cm="1">
        <f t="array" ref="L2162">_xlfn.IFS(orders[[#This Row],[Customer Gender]]="M","Male", orders[[#This Row],[Customer Gender]]="F","Female", orders[[#This Row],[Customer Gender]]="O","Other", TRUE,"Unknown")</f>
        <v>Female</v>
      </c>
      <c r="M2162">
        <v>11</v>
      </c>
      <c r="N2162">
        <v>57.9</v>
      </c>
      <c r="O2162" s="5">
        <v>636.9</v>
      </c>
    </row>
    <row r="2163" spans="1:15" x14ac:dyDescent="0.3">
      <c r="A2163" t="s">
        <v>2263</v>
      </c>
      <c r="B2163" t="s">
        <v>21</v>
      </c>
      <c r="C2163" s="7">
        <v>45736</v>
      </c>
      <c r="D2163" s="7">
        <v>45737</v>
      </c>
      <c r="E2163" t="s">
        <v>22</v>
      </c>
      <c r="F2163" t="s">
        <v>17</v>
      </c>
      <c r="G2163">
        <v>4</v>
      </c>
      <c r="H2163" t="s">
        <v>18</v>
      </c>
      <c r="I2163" t="s">
        <v>61</v>
      </c>
      <c r="J2163">
        <f>orders[[#This Row],[Ship Date]]-orders[[#This Row],[Order Date]]</f>
        <v>1</v>
      </c>
      <c r="K2163">
        <f>WEEKNUM(orders[[#This Row],[Order Date]])</f>
        <v>12</v>
      </c>
      <c r="L2163" t="str" cm="1">
        <f t="array" ref="L2163">_xlfn.IFS(orders[[#This Row],[Customer Gender]]="M","Male", orders[[#This Row],[Customer Gender]]="F","Female", orders[[#This Row],[Customer Gender]]="O","Other", TRUE,"Unknown")</f>
        <v>Male</v>
      </c>
      <c r="M2163">
        <v>1</v>
      </c>
      <c r="N2163">
        <v>96.7</v>
      </c>
      <c r="O2163">
        <v>96.7</v>
      </c>
    </row>
    <row r="2164" spans="1:15" x14ac:dyDescent="0.3">
      <c r="A2164" t="s">
        <v>2264</v>
      </c>
      <c r="B2164" t="s">
        <v>43</v>
      </c>
      <c r="C2164" s="7">
        <v>45736</v>
      </c>
      <c r="D2164" s="7">
        <v>45738</v>
      </c>
      <c r="E2164" t="s">
        <v>22</v>
      </c>
      <c r="F2164" t="s">
        <v>39</v>
      </c>
      <c r="G2164">
        <v>5</v>
      </c>
      <c r="H2164" t="s">
        <v>18</v>
      </c>
      <c r="I2164" t="s">
        <v>61</v>
      </c>
      <c r="J2164">
        <f>orders[[#This Row],[Ship Date]]-orders[[#This Row],[Order Date]]</f>
        <v>2</v>
      </c>
      <c r="K2164">
        <f>WEEKNUM(orders[[#This Row],[Order Date]])</f>
        <v>12</v>
      </c>
      <c r="L2164" t="str" cm="1">
        <f t="array" ref="L2164">_xlfn.IFS(orders[[#This Row],[Customer Gender]]="M","Male", orders[[#This Row],[Customer Gender]]="F","Female", orders[[#This Row],[Customer Gender]]="O","Other", TRUE,"Unknown")</f>
        <v>Male</v>
      </c>
      <c r="M2164">
        <v>12</v>
      </c>
      <c r="N2164">
        <v>27.6</v>
      </c>
      <c r="O2164" s="5">
        <v>331.20000000000005</v>
      </c>
    </row>
    <row r="2165" spans="1:15" x14ac:dyDescent="0.3">
      <c r="A2165" t="s">
        <v>2265</v>
      </c>
      <c r="B2165" t="s">
        <v>38</v>
      </c>
      <c r="C2165" s="7">
        <v>45736</v>
      </c>
      <c r="D2165" s="7">
        <v>45736</v>
      </c>
      <c r="E2165" t="s">
        <v>22</v>
      </c>
      <c r="F2165" t="s">
        <v>50</v>
      </c>
      <c r="G2165">
        <v>5</v>
      </c>
      <c r="H2165" t="s">
        <v>18</v>
      </c>
      <c r="I2165" t="s">
        <v>61</v>
      </c>
      <c r="J2165">
        <f>orders[[#This Row],[Ship Date]]-orders[[#This Row],[Order Date]]</f>
        <v>0</v>
      </c>
      <c r="K2165">
        <f>WEEKNUM(orders[[#This Row],[Order Date]])</f>
        <v>12</v>
      </c>
      <c r="L2165" t="str" cm="1">
        <f t="array" ref="L2165">_xlfn.IFS(orders[[#This Row],[Customer Gender]]="M","Male", orders[[#This Row],[Customer Gender]]="F","Female", orders[[#This Row],[Customer Gender]]="O","Other", TRUE,"Unknown")</f>
        <v>Male</v>
      </c>
      <c r="M2165">
        <v>4</v>
      </c>
      <c r="N2165">
        <v>64.7</v>
      </c>
      <c r="O2165">
        <v>258.8</v>
      </c>
    </row>
    <row r="2166" spans="1:15" x14ac:dyDescent="0.3">
      <c r="A2166" t="s">
        <v>2266</v>
      </c>
      <c r="B2166" t="s">
        <v>53</v>
      </c>
      <c r="C2166" s="7">
        <v>45736</v>
      </c>
      <c r="D2166" s="7">
        <v>45737</v>
      </c>
      <c r="E2166" t="s">
        <v>22</v>
      </c>
      <c r="F2166" t="s">
        <v>69</v>
      </c>
      <c r="G2166">
        <v>4</v>
      </c>
      <c r="H2166" t="s">
        <v>18</v>
      </c>
      <c r="I2166" t="s">
        <v>61</v>
      </c>
      <c r="J2166">
        <f>orders[[#This Row],[Ship Date]]-orders[[#This Row],[Order Date]]</f>
        <v>1</v>
      </c>
      <c r="K2166">
        <f>WEEKNUM(orders[[#This Row],[Order Date]])</f>
        <v>12</v>
      </c>
      <c r="L2166" t="str" cm="1">
        <f t="array" ref="L2166">_xlfn.IFS(orders[[#This Row],[Customer Gender]]="M","Male", orders[[#This Row],[Customer Gender]]="F","Female", orders[[#This Row],[Customer Gender]]="O","Other", TRUE,"Unknown")</f>
        <v>Male</v>
      </c>
      <c r="M2166">
        <v>6</v>
      </c>
      <c r="N2166">
        <v>30.5</v>
      </c>
      <c r="O2166" s="5">
        <v>183</v>
      </c>
    </row>
    <row r="2167" spans="1:15" x14ac:dyDescent="0.3">
      <c r="A2167" t="s">
        <v>2267</v>
      </c>
      <c r="B2167" t="s">
        <v>38</v>
      </c>
      <c r="C2167" s="7">
        <v>45737</v>
      </c>
      <c r="D2167" s="7">
        <v>45739</v>
      </c>
      <c r="E2167" t="s">
        <v>22</v>
      </c>
      <c r="F2167" t="s">
        <v>69</v>
      </c>
      <c r="G2167">
        <v>5</v>
      </c>
      <c r="H2167" t="s">
        <v>18</v>
      </c>
      <c r="I2167" t="s">
        <v>61</v>
      </c>
      <c r="J2167">
        <f>orders[[#This Row],[Ship Date]]-orders[[#This Row],[Order Date]]</f>
        <v>2</v>
      </c>
      <c r="K2167">
        <f>WEEKNUM(orders[[#This Row],[Order Date]])</f>
        <v>12</v>
      </c>
      <c r="L2167" t="str" cm="1">
        <f t="array" ref="L2167">_xlfn.IFS(orders[[#This Row],[Customer Gender]]="M","Male", orders[[#This Row],[Customer Gender]]="F","Female", orders[[#This Row],[Customer Gender]]="O","Other", TRUE,"Unknown")</f>
        <v>Male</v>
      </c>
      <c r="M2167">
        <v>70</v>
      </c>
      <c r="N2167">
        <v>106</v>
      </c>
      <c r="O2167">
        <v>7420</v>
      </c>
    </row>
    <row r="2168" spans="1:15" x14ac:dyDescent="0.3">
      <c r="A2168" t="s">
        <v>2268</v>
      </c>
      <c r="B2168" t="s">
        <v>68</v>
      </c>
      <c r="C2168" s="7">
        <v>45737</v>
      </c>
      <c r="D2168" s="7">
        <v>45743</v>
      </c>
      <c r="E2168" t="s">
        <v>2517</v>
      </c>
      <c r="F2168" t="s">
        <v>34</v>
      </c>
      <c r="G2168">
        <v>3</v>
      </c>
      <c r="H2168" t="s">
        <v>18</v>
      </c>
      <c r="I2168" t="s">
        <v>107</v>
      </c>
      <c r="J2168">
        <f>orders[[#This Row],[Ship Date]]-orders[[#This Row],[Order Date]]</f>
        <v>6</v>
      </c>
      <c r="K2168">
        <f>WEEKNUM(orders[[#This Row],[Order Date]])</f>
        <v>12</v>
      </c>
      <c r="L2168" t="str" cm="1">
        <f t="array" ref="L2168">_xlfn.IFS(orders[[#This Row],[Customer Gender]]="M","Male", orders[[#This Row],[Customer Gender]]="F","Female", orders[[#This Row],[Customer Gender]]="O","Other", TRUE,"Unknown")</f>
        <v>Unknown</v>
      </c>
      <c r="M2168">
        <v>5</v>
      </c>
      <c r="N2168">
        <v>76.8</v>
      </c>
      <c r="O2168" s="5">
        <v>384</v>
      </c>
    </row>
    <row r="2169" spans="1:15" x14ac:dyDescent="0.3">
      <c r="A2169" t="s">
        <v>2269</v>
      </c>
      <c r="B2169" t="s">
        <v>38</v>
      </c>
      <c r="C2169" s="7">
        <v>45737</v>
      </c>
      <c r="D2169" s="7">
        <v>45738</v>
      </c>
      <c r="E2169" t="s">
        <v>26</v>
      </c>
      <c r="F2169" t="s">
        <v>39</v>
      </c>
      <c r="G2169">
        <v>4</v>
      </c>
      <c r="H2169" t="s">
        <v>18</v>
      </c>
      <c r="I2169" t="s">
        <v>81</v>
      </c>
      <c r="J2169">
        <f>orders[[#This Row],[Ship Date]]-orders[[#This Row],[Order Date]]</f>
        <v>1</v>
      </c>
      <c r="K2169">
        <f>WEEKNUM(orders[[#This Row],[Order Date]])</f>
        <v>12</v>
      </c>
      <c r="L2169" t="str" cm="1">
        <f t="array" ref="L2169">_xlfn.IFS(orders[[#This Row],[Customer Gender]]="M","Male", orders[[#This Row],[Customer Gender]]="F","Female", orders[[#This Row],[Customer Gender]]="O","Other", TRUE,"Unknown")</f>
        <v>Female</v>
      </c>
      <c r="M2169">
        <v>2</v>
      </c>
      <c r="N2169">
        <v>80.400000000000006</v>
      </c>
      <c r="O2169">
        <v>160.80000000000001</v>
      </c>
    </row>
    <row r="2170" spans="1:15" x14ac:dyDescent="0.3">
      <c r="A2170" t="s">
        <v>2270</v>
      </c>
      <c r="B2170" t="s">
        <v>38</v>
      </c>
      <c r="C2170" s="7">
        <v>45737</v>
      </c>
      <c r="D2170" s="7">
        <v>45738</v>
      </c>
      <c r="E2170" t="s">
        <v>22</v>
      </c>
      <c r="F2170" t="s">
        <v>34</v>
      </c>
      <c r="G2170">
        <v>5</v>
      </c>
      <c r="H2170" t="s">
        <v>18</v>
      </c>
      <c r="I2170" t="s">
        <v>114</v>
      </c>
      <c r="J2170">
        <f>orders[[#This Row],[Ship Date]]-orders[[#This Row],[Order Date]]</f>
        <v>1</v>
      </c>
      <c r="K2170">
        <f>WEEKNUM(orders[[#This Row],[Order Date]])</f>
        <v>12</v>
      </c>
      <c r="L2170" t="str" cm="1">
        <f t="array" ref="L2170">_xlfn.IFS(orders[[#This Row],[Customer Gender]]="M","Male", orders[[#This Row],[Customer Gender]]="F","Female", orders[[#This Row],[Customer Gender]]="O","Other", TRUE,"Unknown")</f>
        <v>Male</v>
      </c>
      <c r="M2170">
        <v>4</v>
      </c>
      <c r="N2170">
        <v>69.099999999999994</v>
      </c>
      <c r="O2170" s="5">
        <v>276.39999999999998</v>
      </c>
    </row>
    <row r="2171" spans="1:15" x14ac:dyDescent="0.3">
      <c r="A2171" t="s">
        <v>2271</v>
      </c>
      <c r="B2171" t="s">
        <v>145</v>
      </c>
      <c r="C2171" s="7">
        <v>45737</v>
      </c>
      <c r="D2171" s="7">
        <v>45737</v>
      </c>
      <c r="E2171" t="s">
        <v>22</v>
      </c>
      <c r="F2171" t="s">
        <v>50</v>
      </c>
      <c r="G2171">
        <v>4</v>
      </c>
      <c r="H2171" t="s">
        <v>18</v>
      </c>
      <c r="I2171" t="s">
        <v>114</v>
      </c>
      <c r="J2171">
        <f>orders[[#This Row],[Ship Date]]-orders[[#This Row],[Order Date]]</f>
        <v>0</v>
      </c>
      <c r="K2171">
        <f>WEEKNUM(orders[[#This Row],[Order Date]])</f>
        <v>12</v>
      </c>
      <c r="L2171" t="str" cm="1">
        <f t="array" ref="L2171">_xlfn.IFS(orders[[#This Row],[Customer Gender]]="M","Male", orders[[#This Row],[Customer Gender]]="F","Female", orders[[#This Row],[Customer Gender]]="O","Other", TRUE,"Unknown")</f>
        <v>Male</v>
      </c>
      <c r="M2171">
        <v>2</v>
      </c>
      <c r="N2171">
        <v>76.400000000000006</v>
      </c>
      <c r="O2171">
        <v>152.80000000000001</v>
      </c>
    </row>
    <row r="2172" spans="1:15" x14ac:dyDescent="0.3">
      <c r="A2172" t="s">
        <v>2272</v>
      </c>
      <c r="B2172" t="s">
        <v>25</v>
      </c>
      <c r="C2172" s="7">
        <v>45737</v>
      </c>
      <c r="D2172" s="7">
        <v>45738</v>
      </c>
      <c r="E2172" t="s">
        <v>26</v>
      </c>
      <c r="F2172" t="s">
        <v>34</v>
      </c>
      <c r="G2172">
        <v>3</v>
      </c>
      <c r="H2172" t="s">
        <v>18</v>
      </c>
      <c r="I2172" t="s">
        <v>114</v>
      </c>
      <c r="J2172">
        <f>orders[[#This Row],[Ship Date]]-orders[[#This Row],[Order Date]]</f>
        <v>1</v>
      </c>
      <c r="K2172">
        <f>WEEKNUM(orders[[#This Row],[Order Date]])</f>
        <v>12</v>
      </c>
      <c r="L2172" t="str" cm="1">
        <f t="array" ref="L2172">_xlfn.IFS(orders[[#This Row],[Customer Gender]]="M","Male", orders[[#This Row],[Customer Gender]]="F","Female", orders[[#This Row],[Customer Gender]]="O","Other", TRUE,"Unknown")</f>
        <v>Female</v>
      </c>
      <c r="M2172">
        <v>2</v>
      </c>
      <c r="N2172">
        <v>61.3</v>
      </c>
      <c r="O2172" s="5">
        <v>122.6</v>
      </c>
    </row>
    <row r="2173" spans="1:15" x14ac:dyDescent="0.3">
      <c r="A2173" t="s">
        <v>2273</v>
      </c>
      <c r="B2173" t="s">
        <v>41</v>
      </c>
      <c r="C2173" s="7">
        <v>45737</v>
      </c>
      <c r="D2173" s="7">
        <v>45738</v>
      </c>
      <c r="E2173" t="s">
        <v>22</v>
      </c>
      <c r="F2173" t="s">
        <v>50</v>
      </c>
      <c r="G2173">
        <v>3</v>
      </c>
      <c r="H2173" t="s">
        <v>18</v>
      </c>
      <c r="I2173" t="s">
        <v>23</v>
      </c>
      <c r="J2173">
        <f>orders[[#This Row],[Ship Date]]-orders[[#This Row],[Order Date]]</f>
        <v>1</v>
      </c>
      <c r="K2173">
        <f>WEEKNUM(orders[[#This Row],[Order Date]])</f>
        <v>12</v>
      </c>
      <c r="L2173" t="str" cm="1">
        <f t="array" ref="L2173">_xlfn.IFS(orders[[#This Row],[Customer Gender]]="M","Male", orders[[#This Row],[Customer Gender]]="F","Female", orders[[#This Row],[Customer Gender]]="O","Other", TRUE,"Unknown")</f>
        <v>Male</v>
      </c>
      <c r="M2173">
        <v>1</v>
      </c>
      <c r="N2173">
        <v>58</v>
      </c>
      <c r="O2173">
        <v>58</v>
      </c>
    </row>
    <row r="2174" spans="1:15" x14ac:dyDescent="0.3">
      <c r="A2174" t="s">
        <v>2274</v>
      </c>
      <c r="B2174" t="s">
        <v>25</v>
      </c>
      <c r="C2174" s="7">
        <v>45737</v>
      </c>
      <c r="D2174" s="7">
        <v>45739</v>
      </c>
      <c r="E2174" t="s">
        <v>22</v>
      </c>
      <c r="F2174" t="s">
        <v>39</v>
      </c>
      <c r="G2174">
        <v>4</v>
      </c>
      <c r="H2174" t="s">
        <v>18</v>
      </c>
      <c r="I2174" t="s">
        <v>436</v>
      </c>
      <c r="J2174">
        <f>orders[[#This Row],[Ship Date]]-orders[[#This Row],[Order Date]]</f>
        <v>2</v>
      </c>
      <c r="K2174">
        <f>WEEKNUM(orders[[#This Row],[Order Date]])</f>
        <v>12</v>
      </c>
      <c r="L2174" t="str" cm="1">
        <f t="array" ref="L2174">_xlfn.IFS(orders[[#This Row],[Customer Gender]]="M","Male", orders[[#This Row],[Customer Gender]]="F","Female", orders[[#This Row],[Customer Gender]]="O","Other", TRUE,"Unknown")</f>
        <v>Male</v>
      </c>
      <c r="M2174">
        <v>8</v>
      </c>
      <c r="N2174">
        <v>102.3</v>
      </c>
      <c r="O2174" s="5">
        <v>818.4</v>
      </c>
    </row>
    <row r="2175" spans="1:15" x14ac:dyDescent="0.3">
      <c r="A2175" t="s">
        <v>2275</v>
      </c>
      <c r="B2175" t="s">
        <v>170</v>
      </c>
      <c r="C2175" s="7">
        <v>45737</v>
      </c>
      <c r="D2175" s="7">
        <v>45738</v>
      </c>
      <c r="E2175" t="s">
        <v>26</v>
      </c>
      <c r="F2175" t="s">
        <v>69</v>
      </c>
      <c r="G2175">
        <v>5</v>
      </c>
      <c r="H2175" t="s">
        <v>18</v>
      </c>
      <c r="I2175" t="s">
        <v>27</v>
      </c>
      <c r="J2175">
        <f>orders[[#This Row],[Ship Date]]-orders[[#This Row],[Order Date]]</f>
        <v>1</v>
      </c>
      <c r="K2175">
        <f>WEEKNUM(orders[[#This Row],[Order Date]])</f>
        <v>12</v>
      </c>
      <c r="L2175" t="str" cm="1">
        <f t="array" ref="L2175">_xlfn.IFS(orders[[#This Row],[Customer Gender]]="M","Male", orders[[#This Row],[Customer Gender]]="F","Female", orders[[#This Row],[Customer Gender]]="O","Other", TRUE,"Unknown")</f>
        <v>Female</v>
      </c>
      <c r="M2175">
        <v>2</v>
      </c>
      <c r="N2175">
        <v>13.8</v>
      </c>
      <c r="O2175">
        <v>27.6</v>
      </c>
    </row>
    <row r="2176" spans="1:15" x14ac:dyDescent="0.3">
      <c r="A2176" t="s">
        <v>2276</v>
      </c>
      <c r="B2176" t="s">
        <v>43</v>
      </c>
      <c r="C2176" s="7">
        <v>45737</v>
      </c>
      <c r="D2176" s="7">
        <v>45740</v>
      </c>
      <c r="E2176" t="s">
        <v>26</v>
      </c>
      <c r="F2176" t="s">
        <v>39</v>
      </c>
      <c r="G2176">
        <v>4</v>
      </c>
      <c r="H2176" t="s">
        <v>18</v>
      </c>
      <c r="I2176" t="s">
        <v>146</v>
      </c>
      <c r="J2176">
        <f>orders[[#This Row],[Ship Date]]-orders[[#This Row],[Order Date]]</f>
        <v>3</v>
      </c>
      <c r="K2176">
        <f>WEEKNUM(orders[[#This Row],[Order Date]])</f>
        <v>12</v>
      </c>
      <c r="L2176" t="str" cm="1">
        <f t="array" ref="L2176">_xlfn.IFS(orders[[#This Row],[Customer Gender]]="M","Male", orders[[#This Row],[Customer Gender]]="F","Female", orders[[#This Row],[Customer Gender]]="O","Other", TRUE,"Unknown")</f>
        <v>Female</v>
      </c>
      <c r="M2176">
        <v>3</v>
      </c>
      <c r="N2176">
        <v>33.299999999999997</v>
      </c>
      <c r="O2176" s="5">
        <v>99.899999999999991</v>
      </c>
    </row>
    <row r="2177" spans="1:15" x14ac:dyDescent="0.3">
      <c r="A2177" t="s">
        <v>2277</v>
      </c>
      <c r="B2177" t="s">
        <v>53</v>
      </c>
      <c r="C2177" s="7">
        <v>45737</v>
      </c>
      <c r="D2177" s="7">
        <v>45740</v>
      </c>
      <c r="E2177" t="s">
        <v>22</v>
      </c>
      <c r="F2177" t="s">
        <v>17</v>
      </c>
      <c r="G2177">
        <v>5</v>
      </c>
      <c r="H2177" t="s">
        <v>18</v>
      </c>
      <c r="I2177" t="s">
        <v>146</v>
      </c>
      <c r="J2177">
        <f>orders[[#This Row],[Ship Date]]-orders[[#This Row],[Order Date]]</f>
        <v>3</v>
      </c>
      <c r="K2177">
        <f>WEEKNUM(orders[[#This Row],[Order Date]])</f>
        <v>12</v>
      </c>
      <c r="L2177" t="str" cm="1">
        <f t="array" ref="L2177">_xlfn.IFS(orders[[#This Row],[Customer Gender]]="M","Male", orders[[#This Row],[Customer Gender]]="F","Female", orders[[#This Row],[Customer Gender]]="O","Other", TRUE,"Unknown")</f>
        <v>Male</v>
      </c>
      <c r="M2177">
        <v>1</v>
      </c>
      <c r="N2177">
        <v>27.4</v>
      </c>
      <c r="O2177">
        <v>27.4</v>
      </c>
    </row>
    <row r="2178" spans="1:15" x14ac:dyDescent="0.3">
      <c r="A2178" t="s">
        <v>2278</v>
      </c>
      <c r="B2178" t="s">
        <v>80</v>
      </c>
      <c r="C2178" s="7">
        <v>45737</v>
      </c>
      <c r="D2178" s="7">
        <v>45738</v>
      </c>
      <c r="E2178" t="s">
        <v>26</v>
      </c>
      <c r="F2178" t="s">
        <v>34</v>
      </c>
      <c r="G2178">
        <v>3</v>
      </c>
      <c r="H2178" t="s">
        <v>18</v>
      </c>
      <c r="I2178" t="s">
        <v>32</v>
      </c>
      <c r="J2178">
        <f>orders[[#This Row],[Ship Date]]-orders[[#This Row],[Order Date]]</f>
        <v>1</v>
      </c>
      <c r="K2178">
        <f>WEEKNUM(orders[[#This Row],[Order Date]])</f>
        <v>12</v>
      </c>
      <c r="L2178" t="str" cm="1">
        <f t="array" ref="L2178">_xlfn.IFS(orders[[#This Row],[Customer Gender]]="M","Male", orders[[#This Row],[Customer Gender]]="F","Female", orders[[#This Row],[Customer Gender]]="O","Other", TRUE,"Unknown")</f>
        <v>Female</v>
      </c>
      <c r="M2178">
        <v>2</v>
      </c>
      <c r="N2178">
        <v>25.6</v>
      </c>
      <c r="O2178" s="5">
        <v>51.2</v>
      </c>
    </row>
    <row r="2179" spans="1:15" x14ac:dyDescent="0.3">
      <c r="A2179" t="s">
        <v>2279</v>
      </c>
      <c r="B2179" t="s">
        <v>75</v>
      </c>
      <c r="C2179" s="7">
        <v>45737</v>
      </c>
      <c r="D2179" s="7">
        <v>45738</v>
      </c>
      <c r="E2179" t="s">
        <v>26</v>
      </c>
      <c r="F2179" t="s">
        <v>39</v>
      </c>
      <c r="G2179">
        <v>5</v>
      </c>
      <c r="H2179" t="s">
        <v>18</v>
      </c>
      <c r="I2179" t="s">
        <v>32</v>
      </c>
      <c r="J2179">
        <f>orders[[#This Row],[Ship Date]]-orders[[#This Row],[Order Date]]</f>
        <v>1</v>
      </c>
      <c r="K2179">
        <f>WEEKNUM(orders[[#This Row],[Order Date]])</f>
        <v>12</v>
      </c>
      <c r="L2179" t="str" cm="1">
        <f t="array" ref="L2179">_xlfn.IFS(orders[[#This Row],[Customer Gender]]="M","Male", orders[[#This Row],[Customer Gender]]="F","Female", orders[[#This Row],[Customer Gender]]="O","Other", TRUE,"Unknown")</f>
        <v>Female</v>
      </c>
      <c r="M2179">
        <v>1</v>
      </c>
      <c r="N2179">
        <v>58.4</v>
      </c>
      <c r="O2179">
        <v>58.4</v>
      </c>
    </row>
    <row r="2180" spans="1:15" x14ac:dyDescent="0.3">
      <c r="A2180" t="s">
        <v>2280</v>
      </c>
      <c r="B2180" t="s">
        <v>66</v>
      </c>
      <c r="C2180" s="7">
        <v>45737</v>
      </c>
      <c r="D2180" s="7">
        <v>45738</v>
      </c>
      <c r="E2180" t="s">
        <v>26</v>
      </c>
      <c r="F2180" t="s">
        <v>69</v>
      </c>
      <c r="G2180">
        <v>4</v>
      </c>
      <c r="H2180" t="s">
        <v>18</v>
      </c>
      <c r="I2180" t="s">
        <v>32</v>
      </c>
      <c r="J2180">
        <f>orders[[#This Row],[Ship Date]]-orders[[#This Row],[Order Date]]</f>
        <v>1</v>
      </c>
      <c r="K2180">
        <f>WEEKNUM(orders[[#This Row],[Order Date]])</f>
        <v>12</v>
      </c>
      <c r="L2180" t="str" cm="1">
        <f t="array" ref="L2180">_xlfn.IFS(orders[[#This Row],[Customer Gender]]="M","Male", orders[[#This Row],[Customer Gender]]="F","Female", orders[[#This Row],[Customer Gender]]="O","Other", TRUE,"Unknown")</f>
        <v>Female</v>
      </c>
      <c r="M2180">
        <v>30</v>
      </c>
      <c r="N2180">
        <v>27</v>
      </c>
      <c r="O2180" s="5">
        <v>810</v>
      </c>
    </row>
    <row r="2181" spans="1:15" x14ac:dyDescent="0.3">
      <c r="A2181" t="s">
        <v>2281</v>
      </c>
      <c r="B2181" t="s">
        <v>16</v>
      </c>
      <c r="C2181" s="7">
        <v>45737</v>
      </c>
      <c r="D2181" s="7">
        <v>45738</v>
      </c>
      <c r="E2181" t="s">
        <v>22</v>
      </c>
      <c r="F2181" t="s">
        <v>17</v>
      </c>
      <c r="G2181">
        <v>5</v>
      </c>
      <c r="H2181" t="s">
        <v>18</v>
      </c>
      <c r="I2181" t="s">
        <v>32</v>
      </c>
      <c r="J2181">
        <f>orders[[#This Row],[Ship Date]]-orders[[#This Row],[Order Date]]</f>
        <v>1</v>
      </c>
      <c r="K2181">
        <f>WEEKNUM(orders[[#This Row],[Order Date]])</f>
        <v>12</v>
      </c>
      <c r="L2181" t="str" cm="1">
        <f t="array" ref="L2181">_xlfn.IFS(orders[[#This Row],[Customer Gender]]="M","Male", orders[[#This Row],[Customer Gender]]="F","Female", orders[[#This Row],[Customer Gender]]="O","Other", TRUE,"Unknown")</f>
        <v>Male</v>
      </c>
      <c r="M2181">
        <v>4</v>
      </c>
      <c r="N2181">
        <v>14.2</v>
      </c>
      <c r="O2181">
        <v>56.8</v>
      </c>
    </row>
    <row r="2182" spans="1:15" x14ac:dyDescent="0.3">
      <c r="A2182" t="s">
        <v>2282</v>
      </c>
      <c r="B2182" t="s">
        <v>41</v>
      </c>
      <c r="C2182" s="7">
        <v>45737</v>
      </c>
      <c r="D2182" s="7">
        <v>45747</v>
      </c>
      <c r="E2182" t="s">
        <v>22</v>
      </c>
      <c r="F2182" t="s">
        <v>39</v>
      </c>
      <c r="G2182">
        <v>3</v>
      </c>
      <c r="H2182" t="s">
        <v>18</v>
      </c>
      <c r="I2182" t="s">
        <v>32</v>
      </c>
      <c r="J2182">
        <f>orders[[#This Row],[Ship Date]]-orders[[#This Row],[Order Date]]</f>
        <v>10</v>
      </c>
      <c r="K2182">
        <f>WEEKNUM(orders[[#This Row],[Order Date]])</f>
        <v>12</v>
      </c>
      <c r="L2182" t="str" cm="1">
        <f t="array" ref="L2182">_xlfn.IFS(orders[[#This Row],[Customer Gender]]="M","Male", orders[[#This Row],[Customer Gender]]="F","Female", orders[[#This Row],[Customer Gender]]="O","Other", TRUE,"Unknown")</f>
        <v>Male</v>
      </c>
      <c r="M2182">
        <v>2</v>
      </c>
      <c r="N2182">
        <v>68</v>
      </c>
      <c r="O2182" s="5">
        <v>136</v>
      </c>
    </row>
    <row r="2183" spans="1:15" x14ac:dyDescent="0.3">
      <c r="A2183" t="s">
        <v>2283</v>
      </c>
      <c r="B2183" t="s">
        <v>43</v>
      </c>
      <c r="C2183" s="7">
        <v>45737</v>
      </c>
      <c r="D2183" s="7">
        <v>45738</v>
      </c>
      <c r="E2183" t="s">
        <v>22</v>
      </c>
      <c r="F2183" t="s">
        <v>17</v>
      </c>
      <c r="G2183">
        <v>4</v>
      </c>
      <c r="H2183" t="s">
        <v>18</v>
      </c>
      <c r="I2183" t="s">
        <v>32</v>
      </c>
      <c r="J2183">
        <f>orders[[#This Row],[Ship Date]]-orders[[#This Row],[Order Date]]</f>
        <v>1</v>
      </c>
      <c r="K2183">
        <f>WEEKNUM(orders[[#This Row],[Order Date]])</f>
        <v>12</v>
      </c>
      <c r="L2183" t="str" cm="1">
        <f t="array" ref="L2183">_xlfn.IFS(orders[[#This Row],[Customer Gender]]="M","Male", orders[[#This Row],[Customer Gender]]="F","Female", orders[[#This Row],[Customer Gender]]="O","Other", TRUE,"Unknown")</f>
        <v>Male</v>
      </c>
      <c r="M2183">
        <v>1</v>
      </c>
      <c r="N2183">
        <v>30.7</v>
      </c>
      <c r="O2183">
        <v>30.7</v>
      </c>
    </row>
    <row r="2184" spans="1:15" x14ac:dyDescent="0.3">
      <c r="A2184" t="s">
        <v>2284</v>
      </c>
      <c r="B2184" t="s">
        <v>134</v>
      </c>
      <c r="C2184" s="7">
        <v>45737</v>
      </c>
      <c r="D2184" s="7">
        <v>45740</v>
      </c>
      <c r="E2184" t="s">
        <v>88</v>
      </c>
      <c r="F2184" t="s">
        <v>34</v>
      </c>
      <c r="G2184">
        <v>5</v>
      </c>
      <c r="H2184" t="s">
        <v>18</v>
      </c>
      <c r="I2184" t="s">
        <v>32</v>
      </c>
      <c r="J2184">
        <f>orders[[#This Row],[Ship Date]]-orders[[#This Row],[Order Date]]</f>
        <v>3</v>
      </c>
      <c r="K2184">
        <f>WEEKNUM(orders[[#This Row],[Order Date]])</f>
        <v>12</v>
      </c>
      <c r="L2184" t="str" cm="1">
        <f t="array" ref="L2184">_xlfn.IFS(orders[[#This Row],[Customer Gender]]="M","Male", orders[[#This Row],[Customer Gender]]="F","Female", orders[[#This Row],[Customer Gender]]="O","Other", TRUE,"Unknown")</f>
        <v>Other</v>
      </c>
      <c r="M2184">
        <v>13</v>
      </c>
      <c r="N2184">
        <v>51.6</v>
      </c>
      <c r="O2184" s="5">
        <v>670.80000000000007</v>
      </c>
    </row>
    <row r="2185" spans="1:15" x14ac:dyDescent="0.3">
      <c r="A2185" t="s">
        <v>2285</v>
      </c>
      <c r="B2185" t="s">
        <v>43</v>
      </c>
      <c r="C2185" s="7">
        <v>45737</v>
      </c>
      <c r="D2185" s="7">
        <v>45741</v>
      </c>
      <c r="E2185" t="s">
        <v>26</v>
      </c>
      <c r="F2185" t="s">
        <v>69</v>
      </c>
      <c r="G2185">
        <v>5</v>
      </c>
      <c r="H2185" t="s">
        <v>18</v>
      </c>
      <c r="I2185" t="s">
        <v>32</v>
      </c>
      <c r="J2185">
        <f>orders[[#This Row],[Ship Date]]-orders[[#This Row],[Order Date]]</f>
        <v>4</v>
      </c>
      <c r="K2185">
        <f>WEEKNUM(orders[[#This Row],[Order Date]])</f>
        <v>12</v>
      </c>
      <c r="L2185" t="str" cm="1">
        <f t="array" ref="L2185">_xlfn.IFS(orders[[#This Row],[Customer Gender]]="M","Male", orders[[#This Row],[Customer Gender]]="F","Female", orders[[#This Row],[Customer Gender]]="O","Other", TRUE,"Unknown")</f>
        <v>Female</v>
      </c>
      <c r="M2185">
        <v>3</v>
      </c>
      <c r="N2185">
        <v>20.6</v>
      </c>
      <c r="O2185">
        <v>61.800000000000004</v>
      </c>
    </row>
    <row r="2186" spans="1:15" x14ac:dyDescent="0.3">
      <c r="A2186" t="s">
        <v>2286</v>
      </c>
      <c r="B2186" t="s">
        <v>43</v>
      </c>
      <c r="C2186" s="7">
        <v>45737</v>
      </c>
      <c r="D2186" s="7">
        <v>45738</v>
      </c>
      <c r="E2186" t="s">
        <v>22</v>
      </c>
      <c r="F2186" t="s">
        <v>69</v>
      </c>
      <c r="G2186">
        <v>4</v>
      </c>
      <c r="H2186" t="s">
        <v>18</v>
      </c>
      <c r="I2186" t="s">
        <v>32</v>
      </c>
      <c r="J2186">
        <f>orders[[#This Row],[Ship Date]]-orders[[#This Row],[Order Date]]</f>
        <v>1</v>
      </c>
      <c r="K2186">
        <f>WEEKNUM(orders[[#This Row],[Order Date]])</f>
        <v>12</v>
      </c>
      <c r="L2186" t="str" cm="1">
        <f t="array" ref="L2186">_xlfn.IFS(orders[[#This Row],[Customer Gender]]="M","Male", orders[[#This Row],[Customer Gender]]="F","Female", orders[[#This Row],[Customer Gender]]="O","Other", TRUE,"Unknown")</f>
        <v>Male</v>
      </c>
      <c r="M2186">
        <v>1</v>
      </c>
      <c r="N2186">
        <v>24.8</v>
      </c>
      <c r="O2186" s="5">
        <v>24.8</v>
      </c>
    </row>
    <row r="2187" spans="1:15" x14ac:dyDescent="0.3">
      <c r="A2187" t="s">
        <v>2287</v>
      </c>
      <c r="B2187" t="s">
        <v>16</v>
      </c>
      <c r="C2187" s="7">
        <v>45737</v>
      </c>
      <c r="D2187" s="7">
        <v>45740</v>
      </c>
      <c r="E2187" t="s">
        <v>22</v>
      </c>
      <c r="F2187" t="s">
        <v>34</v>
      </c>
      <c r="G2187">
        <v>4</v>
      </c>
      <c r="H2187" t="s">
        <v>18</v>
      </c>
      <c r="I2187" t="s">
        <v>32</v>
      </c>
      <c r="J2187">
        <f>orders[[#This Row],[Ship Date]]-orders[[#This Row],[Order Date]]</f>
        <v>3</v>
      </c>
      <c r="K2187">
        <f>WEEKNUM(orders[[#This Row],[Order Date]])</f>
        <v>12</v>
      </c>
      <c r="L2187" t="str" cm="1">
        <f t="array" ref="L2187">_xlfn.IFS(orders[[#This Row],[Customer Gender]]="M","Male", orders[[#This Row],[Customer Gender]]="F","Female", orders[[#This Row],[Customer Gender]]="O","Other", TRUE,"Unknown")</f>
        <v>Male</v>
      </c>
      <c r="M2187">
        <v>7</v>
      </c>
      <c r="N2187">
        <v>11.2</v>
      </c>
      <c r="O2187">
        <v>78.399999999999991</v>
      </c>
    </row>
    <row r="2188" spans="1:15" x14ac:dyDescent="0.3">
      <c r="A2188" t="s">
        <v>2288</v>
      </c>
      <c r="B2188" t="s">
        <v>66</v>
      </c>
      <c r="C2188" s="7">
        <v>45737</v>
      </c>
      <c r="D2188" s="7">
        <v>45738</v>
      </c>
      <c r="E2188" t="s">
        <v>26</v>
      </c>
      <c r="F2188" t="s">
        <v>34</v>
      </c>
      <c r="G2188">
        <v>5</v>
      </c>
      <c r="H2188" t="s">
        <v>18</v>
      </c>
      <c r="I2188" t="s">
        <v>32</v>
      </c>
      <c r="J2188">
        <f>orders[[#This Row],[Ship Date]]-orders[[#This Row],[Order Date]]</f>
        <v>1</v>
      </c>
      <c r="K2188">
        <f>WEEKNUM(orders[[#This Row],[Order Date]])</f>
        <v>12</v>
      </c>
      <c r="L2188" t="str" cm="1">
        <f t="array" ref="L2188">_xlfn.IFS(orders[[#This Row],[Customer Gender]]="M","Male", orders[[#This Row],[Customer Gender]]="F","Female", orders[[#This Row],[Customer Gender]]="O","Other", TRUE,"Unknown")</f>
        <v>Female</v>
      </c>
      <c r="M2188">
        <v>2</v>
      </c>
      <c r="N2188">
        <v>51.2</v>
      </c>
      <c r="O2188" s="5">
        <v>102.4</v>
      </c>
    </row>
    <row r="2189" spans="1:15" x14ac:dyDescent="0.3">
      <c r="A2189" t="s">
        <v>2289</v>
      </c>
      <c r="B2189" t="s">
        <v>41</v>
      </c>
      <c r="C2189" s="7">
        <v>45737</v>
      </c>
      <c r="D2189" s="7">
        <v>45738</v>
      </c>
      <c r="E2189" t="s">
        <v>26</v>
      </c>
      <c r="F2189" t="s">
        <v>34</v>
      </c>
      <c r="G2189">
        <v>2</v>
      </c>
      <c r="H2189" t="s">
        <v>18</v>
      </c>
      <c r="I2189" t="s">
        <v>32</v>
      </c>
      <c r="J2189">
        <f>orders[[#This Row],[Ship Date]]-orders[[#This Row],[Order Date]]</f>
        <v>1</v>
      </c>
      <c r="K2189">
        <f>WEEKNUM(orders[[#This Row],[Order Date]])</f>
        <v>12</v>
      </c>
      <c r="L2189" t="str" cm="1">
        <f t="array" ref="L2189">_xlfn.IFS(orders[[#This Row],[Customer Gender]]="M","Male", orders[[#This Row],[Customer Gender]]="F","Female", orders[[#This Row],[Customer Gender]]="O","Other", TRUE,"Unknown")</f>
        <v>Female</v>
      </c>
      <c r="M2189">
        <v>6</v>
      </c>
      <c r="N2189">
        <v>90.5</v>
      </c>
      <c r="O2189">
        <v>543</v>
      </c>
    </row>
    <row r="2190" spans="1:15" x14ac:dyDescent="0.3">
      <c r="A2190" t="s">
        <v>2290</v>
      </c>
      <c r="B2190" t="s">
        <v>21</v>
      </c>
      <c r="C2190" s="7">
        <v>45737</v>
      </c>
      <c r="D2190" s="7">
        <v>45738</v>
      </c>
      <c r="E2190" t="s">
        <v>22</v>
      </c>
      <c r="F2190" t="s">
        <v>34</v>
      </c>
      <c r="G2190">
        <v>5</v>
      </c>
      <c r="H2190" t="s">
        <v>18</v>
      </c>
      <c r="I2190" t="s">
        <v>48</v>
      </c>
      <c r="J2190">
        <f>orders[[#This Row],[Ship Date]]-orders[[#This Row],[Order Date]]</f>
        <v>1</v>
      </c>
      <c r="K2190">
        <f>WEEKNUM(orders[[#This Row],[Order Date]])</f>
        <v>12</v>
      </c>
      <c r="L2190" t="str" cm="1">
        <f t="array" ref="L2190">_xlfn.IFS(orders[[#This Row],[Customer Gender]]="M","Male", orders[[#This Row],[Customer Gender]]="F","Female", orders[[#This Row],[Customer Gender]]="O","Other", TRUE,"Unknown")</f>
        <v>Male</v>
      </c>
      <c r="M2190">
        <v>2</v>
      </c>
      <c r="N2190">
        <v>42.4</v>
      </c>
      <c r="O2190" s="5">
        <v>84.8</v>
      </c>
    </row>
    <row r="2191" spans="1:15" x14ac:dyDescent="0.3">
      <c r="A2191" t="s">
        <v>2291</v>
      </c>
      <c r="B2191" t="s">
        <v>21</v>
      </c>
      <c r="C2191" s="7">
        <v>45737</v>
      </c>
      <c r="D2191" s="7">
        <v>45738</v>
      </c>
      <c r="E2191" t="s">
        <v>22</v>
      </c>
      <c r="F2191" t="s">
        <v>17</v>
      </c>
      <c r="G2191">
        <v>4</v>
      </c>
      <c r="H2191" t="s">
        <v>18</v>
      </c>
      <c r="I2191" t="s">
        <v>51</v>
      </c>
      <c r="J2191">
        <f>orders[[#This Row],[Ship Date]]-orders[[#This Row],[Order Date]]</f>
        <v>1</v>
      </c>
      <c r="K2191">
        <f>WEEKNUM(orders[[#This Row],[Order Date]])</f>
        <v>12</v>
      </c>
      <c r="L2191" t="str" cm="1">
        <f t="array" ref="L2191">_xlfn.IFS(orders[[#This Row],[Customer Gender]]="M","Male", orders[[#This Row],[Customer Gender]]="F","Female", orders[[#This Row],[Customer Gender]]="O","Other", TRUE,"Unknown")</f>
        <v>Male</v>
      </c>
      <c r="M2191">
        <v>2</v>
      </c>
      <c r="N2191">
        <v>38.200000000000003</v>
      </c>
      <c r="O2191">
        <v>76.400000000000006</v>
      </c>
    </row>
    <row r="2192" spans="1:15" x14ac:dyDescent="0.3">
      <c r="A2192" t="s">
        <v>2292</v>
      </c>
      <c r="B2192" t="s">
        <v>25</v>
      </c>
      <c r="C2192" s="7">
        <v>45737</v>
      </c>
      <c r="D2192" s="7">
        <v>45742</v>
      </c>
      <c r="E2192" t="s">
        <v>22</v>
      </c>
      <c r="F2192" t="s">
        <v>17</v>
      </c>
      <c r="G2192">
        <v>4</v>
      </c>
      <c r="H2192" t="s">
        <v>18</v>
      </c>
      <c r="I2192" t="s">
        <v>54</v>
      </c>
      <c r="J2192">
        <f>orders[[#This Row],[Ship Date]]-orders[[#This Row],[Order Date]]</f>
        <v>5</v>
      </c>
      <c r="K2192">
        <f>WEEKNUM(orders[[#This Row],[Order Date]])</f>
        <v>12</v>
      </c>
      <c r="L2192" t="str" cm="1">
        <f t="array" ref="L2192">_xlfn.IFS(orders[[#This Row],[Customer Gender]]="M","Male", orders[[#This Row],[Customer Gender]]="F","Female", orders[[#This Row],[Customer Gender]]="O","Other", TRUE,"Unknown")</f>
        <v>Male</v>
      </c>
      <c r="M2192">
        <v>9</v>
      </c>
      <c r="N2192">
        <v>121.3</v>
      </c>
      <c r="O2192" s="5">
        <v>1091.7</v>
      </c>
    </row>
    <row r="2193" spans="1:15" x14ac:dyDescent="0.3">
      <c r="A2193" t="s">
        <v>2293</v>
      </c>
      <c r="B2193" t="s">
        <v>38</v>
      </c>
      <c r="C2193" s="7">
        <v>45737</v>
      </c>
      <c r="D2193" s="7">
        <v>45744</v>
      </c>
      <c r="E2193" t="s">
        <v>22</v>
      </c>
      <c r="F2193" t="s">
        <v>17</v>
      </c>
      <c r="G2193">
        <v>4</v>
      </c>
      <c r="H2193" t="s">
        <v>18</v>
      </c>
      <c r="I2193" t="s">
        <v>61</v>
      </c>
      <c r="J2193">
        <f>orders[[#This Row],[Ship Date]]-orders[[#This Row],[Order Date]]</f>
        <v>7</v>
      </c>
      <c r="K2193">
        <f>WEEKNUM(orders[[#This Row],[Order Date]])</f>
        <v>12</v>
      </c>
      <c r="L2193" t="str" cm="1">
        <f t="array" ref="L2193">_xlfn.IFS(orders[[#This Row],[Customer Gender]]="M","Male", orders[[#This Row],[Customer Gender]]="F","Female", orders[[#This Row],[Customer Gender]]="O","Other", TRUE,"Unknown")</f>
        <v>Male</v>
      </c>
      <c r="M2193">
        <v>2</v>
      </c>
      <c r="N2193">
        <v>46.9</v>
      </c>
      <c r="O2193">
        <v>93.8</v>
      </c>
    </row>
    <row r="2194" spans="1:15" x14ac:dyDescent="0.3">
      <c r="A2194" t="s">
        <v>2294</v>
      </c>
      <c r="B2194" t="s">
        <v>53</v>
      </c>
      <c r="C2194" s="7">
        <v>45737</v>
      </c>
      <c r="D2194" s="7">
        <v>45739</v>
      </c>
      <c r="E2194" t="s">
        <v>22</v>
      </c>
      <c r="F2194" t="s">
        <v>17</v>
      </c>
      <c r="G2194">
        <v>4</v>
      </c>
      <c r="H2194" t="s">
        <v>18</v>
      </c>
      <c r="I2194" t="s">
        <v>61</v>
      </c>
      <c r="J2194">
        <f>orders[[#This Row],[Ship Date]]-orders[[#This Row],[Order Date]]</f>
        <v>2</v>
      </c>
      <c r="K2194">
        <f>WEEKNUM(orders[[#This Row],[Order Date]])</f>
        <v>12</v>
      </c>
      <c r="L2194" t="str" cm="1">
        <f t="array" ref="L2194">_xlfn.IFS(orders[[#This Row],[Customer Gender]]="M","Male", orders[[#This Row],[Customer Gender]]="F","Female", orders[[#This Row],[Customer Gender]]="O","Other", TRUE,"Unknown")</f>
        <v>Male</v>
      </c>
      <c r="M2194">
        <v>1</v>
      </c>
      <c r="N2194">
        <v>55.3</v>
      </c>
      <c r="O2194" s="5">
        <v>55.3</v>
      </c>
    </row>
    <row r="2195" spans="1:15" x14ac:dyDescent="0.3">
      <c r="A2195" t="s">
        <v>2295</v>
      </c>
      <c r="B2195" t="s">
        <v>25</v>
      </c>
      <c r="C2195" s="7">
        <v>45738</v>
      </c>
      <c r="D2195" s="7">
        <v>45738</v>
      </c>
      <c r="E2195" t="s">
        <v>26</v>
      </c>
      <c r="F2195" t="s">
        <v>17</v>
      </c>
      <c r="G2195">
        <v>3</v>
      </c>
      <c r="H2195" t="s">
        <v>18</v>
      </c>
      <c r="I2195" t="s">
        <v>61</v>
      </c>
      <c r="J2195">
        <f>orders[[#This Row],[Ship Date]]-orders[[#This Row],[Order Date]]</f>
        <v>0</v>
      </c>
      <c r="K2195">
        <f>WEEKNUM(orders[[#This Row],[Order Date]])</f>
        <v>12</v>
      </c>
      <c r="L2195" t="str" cm="1">
        <f t="array" ref="L2195">_xlfn.IFS(orders[[#This Row],[Customer Gender]]="M","Male", orders[[#This Row],[Customer Gender]]="F","Female", orders[[#This Row],[Customer Gender]]="O","Other", TRUE,"Unknown")</f>
        <v>Female</v>
      </c>
      <c r="M2195">
        <v>3</v>
      </c>
      <c r="N2195">
        <v>70.599999999999994</v>
      </c>
      <c r="O2195">
        <v>211.79999999999998</v>
      </c>
    </row>
    <row r="2196" spans="1:15" x14ac:dyDescent="0.3">
      <c r="A2196" t="s">
        <v>2296</v>
      </c>
      <c r="B2196" t="s">
        <v>80</v>
      </c>
      <c r="C2196" s="7">
        <v>45738</v>
      </c>
      <c r="D2196" s="7">
        <v>45740</v>
      </c>
      <c r="E2196" t="s">
        <v>22</v>
      </c>
      <c r="F2196" t="s">
        <v>17</v>
      </c>
      <c r="G2196">
        <v>4</v>
      </c>
      <c r="H2196" t="s">
        <v>18</v>
      </c>
      <c r="I2196" t="s">
        <v>61</v>
      </c>
      <c r="J2196">
        <f>orders[[#This Row],[Ship Date]]-orders[[#This Row],[Order Date]]</f>
        <v>2</v>
      </c>
      <c r="K2196">
        <f>WEEKNUM(orders[[#This Row],[Order Date]])</f>
        <v>12</v>
      </c>
      <c r="L2196" t="str" cm="1">
        <f t="array" ref="L2196">_xlfn.IFS(orders[[#This Row],[Customer Gender]]="M","Male", orders[[#This Row],[Customer Gender]]="F","Female", orders[[#This Row],[Customer Gender]]="O","Other", TRUE,"Unknown")</f>
        <v>Male</v>
      </c>
      <c r="M2196">
        <v>4</v>
      </c>
      <c r="N2196">
        <v>26.1</v>
      </c>
      <c r="O2196" s="5">
        <v>104.4</v>
      </c>
    </row>
    <row r="2197" spans="1:15" x14ac:dyDescent="0.3">
      <c r="A2197" t="s">
        <v>2297</v>
      </c>
      <c r="B2197" t="s">
        <v>45</v>
      </c>
      <c r="C2197" s="7">
        <v>45738</v>
      </c>
      <c r="D2197" s="7">
        <v>45742</v>
      </c>
      <c r="E2197" t="s">
        <v>22</v>
      </c>
      <c r="F2197" t="s">
        <v>39</v>
      </c>
      <c r="G2197">
        <v>4</v>
      </c>
      <c r="H2197" t="s">
        <v>18</v>
      </c>
      <c r="I2197" t="s">
        <v>102</v>
      </c>
      <c r="J2197">
        <f>orders[[#This Row],[Ship Date]]-orders[[#This Row],[Order Date]]</f>
        <v>4</v>
      </c>
      <c r="K2197">
        <f>WEEKNUM(orders[[#This Row],[Order Date]])</f>
        <v>12</v>
      </c>
      <c r="L2197" t="str" cm="1">
        <f t="array" ref="L2197">_xlfn.IFS(orders[[#This Row],[Customer Gender]]="M","Male", orders[[#This Row],[Customer Gender]]="F","Female", orders[[#This Row],[Customer Gender]]="O","Other", TRUE,"Unknown")</f>
        <v>Male</v>
      </c>
      <c r="M2197">
        <v>11</v>
      </c>
      <c r="N2197">
        <v>34.5</v>
      </c>
      <c r="O2197">
        <v>379.5</v>
      </c>
    </row>
    <row r="2198" spans="1:15" x14ac:dyDescent="0.3">
      <c r="A2198" t="s">
        <v>2298</v>
      </c>
      <c r="B2198" t="s">
        <v>21</v>
      </c>
      <c r="C2198" s="7">
        <v>45738</v>
      </c>
      <c r="D2198" s="7">
        <v>45739</v>
      </c>
      <c r="E2198" t="s">
        <v>26</v>
      </c>
      <c r="F2198" t="s">
        <v>17</v>
      </c>
      <c r="G2198">
        <v>3</v>
      </c>
      <c r="H2198" t="s">
        <v>18</v>
      </c>
      <c r="I2198" t="s">
        <v>102</v>
      </c>
      <c r="J2198">
        <f>orders[[#This Row],[Ship Date]]-orders[[#This Row],[Order Date]]</f>
        <v>1</v>
      </c>
      <c r="K2198">
        <f>WEEKNUM(orders[[#This Row],[Order Date]])</f>
        <v>12</v>
      </c>
      <c r="L2198" t="str" cm="1">
        <f t="array" ref="L2198">_xlfn.IFS(orders[[#This Row],[Customer Gender]]="M","Male", orders[[#This Row],[Customer Gender]]="F","Female", orders[[#This Row],[Customer Gender]]="O","Other", TRUE,"Unknown")</f>
        <v>Female</v>
      </c>
      <c r="M2198">
        <v>2</v>
      </c>
      <c r="N2198">
        <v>64.2</v>
      </c>
      <c r="O2198" s="5">
        <v>128.4</v>
      </c>
    </row>
    <row r="2199" spans="1:15" x14ac:dyDescent="0.3">
      <c r="A2199" t="s">
        <v>2299</v>
      </c>
      <c r="B2199" t="s">
        <v>25</v>
      </c>
      <c r="C2199" s="7">
        <v>45738</v>
      </c>
      <c r="D2199" s="7">
        <v>45739</v>
      </c>
      <c r="E2199" t="s">
        <v>26</v>
      </c>
      <c r="F2199" t="s">
        <v>17</v>
      </c>
      <c r="G2199">
        <v>2</v>
      </c>
      <c r="H2199" t="s">
        <v>18</v>
      </c>
      <c r="I2199" t="s">
        <v>102</v>
      </c>
      <c r="J2199">
        <f>orders[[#This Row],[Ship Date]]-orders[[#This Row],[Order Date]]</f>
        <v>1</v>
      </c>
      <c r="K2199">
        <f>WEEKNUM(orders[[#This Row],[Order Date]])</f>
        <v>12</v>
      </c>
      <c r="L2199" t="str" cm="1">
        <f t="array" ref="L2199">_xlfn.IFS(orders[[#This Row],[Customer Gender]]="M","Male", orders[[#This Row],[Customer Gender]]="F","Female", orders[[#This Row],[Customer Gender]]="O","Other", TRUE,"Unknown")</f>
        <v>Female</v>
      </c>
      <c r="M2199">
        <v>4</v>
      </c>
      <c r="N2199">
        <v>145.69999999999999</v>
      </c>
      <c r="O2199">
        <v>582.79999999999995</v>
      </c>
    </row>
    <row r="2200" spans="1:15" x14ac:dyDescent="0.3">
      <c r="A2200" t="s">
        <v>2300</v>
      </c>
      <c r="B2200" t="s">
        <v>68</v>
      </c>
      <c r="C2200" s="7">
        <v>45738</v>
      </c>
      <c r="D2200" s="7">
        <v>45739</v>
      </c>
      <c r="E2200" t="s">
        <v>22</v>
      </c>
      <c r="F2200" t="s">
        <v>39</v>
      </c>
      <c r="G2200">
        <v>4</v>
      </c>
      <c r="H2200" t="s">
        <v>18</v>
      </c>
      <c r="I2200" t="s">
        <v>200</v>
      </c>
      <c r="J2200">
        <f>orders[[#This Row],[Ship Date]]-orders[[#This Row],[Order Date]]</f>
        <v>1</v>
      </c>
      <c r="K2200">
        <f>WEEKNUM(orders[[#This Row],[Order Date]])</f>
        <v>12</v>
      </c>
      <c r="L2200" t="str" cm="1">
        <f t="array" ref="L2200">_xlfn.IFS(orders[[#This Row],[Customer Gender]]="M","Male", orders[[#This Row],[Customer Gender]]="F","Female", orders[[#This Row],[Customer Gender]]="O","Other", TRUE,"Unknown")</f>
        <v>Male</v>
      </c>
      <c r="M2200">
        <v>2</v>
      </c>
      <c r="N2200">
        <v>78.5</v>
      </c>
      <c r="O2200" s="5">
        <v>157</v>
      </c>
    </row>
    <row r="2201" spans="1:15" x14ac:dyDescent="0.3">
      <c r="A2201" t="s">
        <v>2301</v>
      </c>
      <c r="B2201" t="s">
        <v>21</v>
      </c>
      <c r="C2201" s="7">
        <v>45738</v>
      </c>
      <c r="D2201" s="7">
        <v>45740</v>
      </c>
      <c r="E2201" t="s">
        <v>22</v>
      </c>
      <c r="F2201" t="s">
        <v>17</v>
      </c>
      <c r="G2201">
        <v>4</v>
      </c>
      <c r="H2201" t="s">
        <v>18</v>
      </c>
      <c r="I2201" t="s">
        <v>71</v>
      </c>
      <c r="J2201">
        <f>orders[[#This Row],[Ship Date]]-orders[[#This Row],[Order Date]]</f>
        <v>2</v>
      </c>
      <c r="K2201">
        <f>WEEKNUM(orders[[#This Row],[Order Date]])</f>
        <v>12</v>
      </c>
      <c r="L2201" t="str" cm="1">
        <f t="array" ref="L2201">_xlfn.IFS(orders[[#This Row],[Customer Gender]]="M","Male", orders[[#This Row],[Customer Gender]]="F","Female", orders[[#This Row],[Customer Gender]]="O","Other", TRUE,"Unknown")</f>
        <v>Male</v>
      </c>
      <c r="M2201">
        <v>1</v>
      </c>
      <c r="N2201">
        <v>34.200000000000003</v>
      </c>
      <c r="O2201">
        <v>34.200000000000003</v>
      </c>
    </row>
    <row r="2202" spans="1:15" x14ac:dyDescent="0.3">
      <c r="A2202" t="s">
        <v>2302</v>
      </c>
      <c r="B2202" t="s">
        <v>170</v>
      </c>
      <c r="C2202" s="7">
        <v>45738</v>
      </c>
      <c r="D2202" s="7">
        <v>45739</v>
      </c>
      <c r="E2202" t="s">
        <v>22</v>
      </c>
      <c r="F2202" t="s">
        <v>39</v>
      </c>
      <c r="G2202">
        <v>4</v>
      </c>
      <c r="H2202" t="s">
        <v>18</v>
      </c>
      <c r="I2202" t="s">
        <v>71</v>
      </c>
      <c r="J2202">
        <f>orders[[#This Row],[Ship Date]]-orders[[#This Row],[Order Date]]</f>
        <v>1</v>
      </c>
      <c r="K2202">
        <f>WEEKNUM(orders[[#This Row],[Order Date]])</f>
        <v>12</v>
      </c>
      <c r="L2202" t="str" cm="1">
        <f t="array" ref="L2202">_xlfn.IFS(orders[[#This Row],[Customer Gender]]="M","Male", orders[[#This Row],[Customer Gender]]="F","Female", orders[[#This Row],[Customer Gender]]="O","Other", TRUE,"Unknown")</f>
        <v>Male</v>
      </c>
      <c r="M2202">
        <v>1</v>
      </c>
      <c r="N2202">
        <v>26.2</v>
      </c>
      <c r="O2202" s="5">
        <v>26.2</v>
      </c>
    </row>
    <row r="2203" spans="1:15" x14ac:dyDescent="0.3">
      <c r="A2203" t="s">
        <v>2303</v>
      </c>
      <c r="B2203" t="s">
        <v>38</v>
      </c>
      <c r="C2203" s="7">
        <v>45738</v>
      </c>
      <c r="D2203" s="7">
        <v>45739</v>
      </c>
      <c r="E2203" t="s">
        <v>22</v>
      </c>
      <c r="F2203" t="s">
        <v>34</v>
      </c>
      <c r="G2203">
        <v>3</v>
      </c>
      <c r="H2203" t="s">
        <v>18</v>
      </c>
      <c r="I2203" t="s">
        <v>76</v>
      </c>
      <c r="J2203">
        <f>orders[[#This Row],[Ship Date]]-orders[[#This Row],[Order Date]]</f>
        <v>1</v>
      </c>
      <c r="K2203">
        <f>WEEKNUM(orders[[#This Row],[Order Date]])</f>
        <v>12</v>
      </c>
      <c r="L2203" t="str" cm="1">
        <f t="array" ref="L2203">_xlfn.IFS(orders[[#This Row],[Customer Gender]]="M","Male", orders[[#This Row],[Customer Gender]]="F","Female", orders[[#This Row],[Customer Gender]]="O","Other", TRUE,"Unknown")</f>
        <v>Male</v>
      </c>
      <c r="M2203">
        <v>4</v>
      </c>
      <c r="N2203">
        <v>53.2</v>
      </c>
      <c r="O2203">
        <v>212.8</v>
      </c>
    </row>
    <row r="2204" spans="1:15" x14ac:dyDescent="0.3">
      <c r="A2204" t="s">
        <v>2304</v>
      </c>
      <c r="B2204" t="s">
        <v>21</v>
      </c>
      <c r="C2204" s="7">
        <v>45738</v>
      </c>
      <c r="D2204" s="7">
        <v>45742</v>
      </c>
      <c r="E2204" t="s">
        <v>22</v>
      </c>
      <c r="F2204" t="s">
        <v>34</v>
      </c>
      <c r="G2204">
        <v>2</v>
      </c>
      <c r="H2204" t="s">
        <v>18</v>
      </c>
      <c r="I2204" t="s">
        <v>107</v>
      </c>
      <c r="J2204">
        <f>orders[[#This Row],[Ship Date]]-orders[[#This Row],[Order Date]]</f>
        <v>4</v>
      </c>
      <c r="K2204">
        <f>WEEKNUM(orders[[#This Row],[Order Date]])</f>
        <v>12</v>
      </c>
      <c r="L2204" t="str" cm="1">
        <f t="array" ref="L2204">_xlfn.IFS(orders[[#This Row],[Customer Gender]]="M","Male", orders[[#This Row],[Customer Gender]]="F","Female", orders[[#This Row],[Customer Gender]]="O","Other", TRUE,"Unknown")</f>
        <v>Male</v>
      </c>
      <c r="M2204">
        <v>1</v>
      </c>
      <c r="N2204">
        <v>35.4</v>
      </c>
      <c r="O2204" s="5">
        <v>35.4</v>
      </c>
    </row>
    <row r="2205" spans="1:15" x14ac:dyDescent="0.3">
      <c r="A2205" t="s">
        <v>2305</v>
      </c>
      <c r="B2205" t="s">
        <v>80</v>
      </c>
      <c r="C2205" s="7">
        <v>45738</v>
      </c>
      <c r="D2205" s="7">
        <v>45739</v>
      </c>
      <c r="E2205" t="s">
        <v>22</v>
      </c>
      <c r="F2205" t="s">
        <v>39</v>
      </c>
      <c r="G2205">
        <v>4</v>
      </c>
      <c r="H2205" t="s">
        <v>18</v>
      </c>
      <c r="I2205" t="s">
        <v>112</v>
      </c>
      <c r="J2205">
        <f>orders[[#This Row],[Ship Date]]-orders[[#This Row],[Order Date]]</f>
        <v>1</v>
      </c>
      <c r="K2205">
        <f>WEEKNUM(orders[[#This Row],[Order Date]])</f>
        <v>12</v>
      </c>
      <c r="L2205" t="str" cm="1">
        <f t="array" ref="L2205">_xlfn.IFS(orders[[#This Row],[Customer Gender]]="M","Male", orders[[#This Row],[Customer Gender]]="F","Female", orders[[#This Row],[Customer Gender]]="O","Other", TRUE,"Unknown")</f>
        <v>Male</v>
      </c>
      <c r="M2205">
        <v>2</v>
      </c>
      <c r="N2205">
        <v>21.3</v>
      </c>
      <c r="O2205">
        <v>42.6</v>
      </c>
    </row>
    <row r="2206" spans="1:15" x14ac:dyDescent="0.3">
      <c r="A2206" t="s">
        <v>2306</v>
      </c>
      <c r="B2206" t="s">
        <v>43</v>
      </c>
      <c r="C2206" s="7">
        <v>45738</v>
      </c>
      <c r="D2206" s="7">
        <v>45741</v>
      </c>
      <c r="E2206" t="s">
        <v>26</v>
      </c>
      <c r="F2206" t="s">
        <v>69</v>
      </c>
      <c r="G2206">
        <v>5</v>
      </c>
      <c r="H2206" t="s">
        <v>18</v>
      </c>
      <c r="I2206" t="s">
        <v>114</v>
      </c>
      <c r="J2206">
        <f>orders[[#This Row],[Ship Date]]-orders[[#This Row],[Order Date]]</f>
        <v>3</v>
      </c>
      <c r="K2206">
        <f>WEEKNUM(orders[[#This Row],[Order Date]])</f>
        <v>12</v>
      </c>
      <c r="L2206" t="str" cm="1">
        <f t="array" ref="L2206">_xlfn.IFS(orders[[#This Row],[Customer Gender]]="M","Male", orders[[#This Row],[Customer Gender]]="F","Female", orders[[#This Row],[Customer Gender]]="O","Other", TRUE,"Unknown")</f>
        <v>Female</v>
      </c>
      <c r="M2206">
        <v>4</v>
      </c>
      <c r="N2206">
        <v>32.9</v>
      </c>
      <c r="O2206" s="5">
        <v>131.6</v>
      </c>
    </row>
    <row r="2207" spans="1:15" x14ac:dyDescent="0.3">
      <c r="A2207" t="s">
        <v>2307</v>
      </c>
      <c r="B2207" t="s">
        <v>36</v>
      </c>
      <c r="C2207" s="7">
        <v>45738</v>
      </c>
      <c r="D2207" s="7">
        <v>45740</v>
      </c>
      <c r="E2207" t="s">
        <v>26</v>
      </c>
      <c r="F2207" t="s">
        <v>50</v>
      </c>
      <c r="G2207">
        <v>3</v>
      </c>
      <c r="H2207" t="s">
        <v>18</v>
      </c>
      <c r="I2207" t="s">
        <v>114</v>
      </c>
      <c r="J2207">
        <f>orders[[#This Row],[Ship Date]]-orders[[#This Row],[Order Date]]</f>
        <v>2</v>
      </c>
      <c r="K2207">
        <f>WEEKNUM(orders[[#This Row],[Order Date]])</f>
        <v>12</v>
      </c>
      <c r="L2207" t="str" cm="1">
        <f t="array" ref="L2207">_xlfn.IFS(orders[[#This Row],[Customer Gender]]="M","Male", orders[[#This Row],[Customer Gender]]="F","Female", orders[[#This Row],[Customer Gender]]="O","Other", TRUE,"Unknown")</f>
        <v>Female</v>
      </c>
      <c r="M2207">
        <v>15</v>
      </c>
      <c r="N2207">
        <v>85.5</v>
      </c>
      <c r="O2207">
        <v>1282.5</v>
      </c>
    </row>
    <row r="2208" spans="1:15" x14ac:dyDescent="0.3">
      <c r="A2208" t="s">
        <v>2308</v>
      </c>
      <c r="B2208" t="s">
        <v>31</v>
      </c>
      <c r="C2208" s="7">
        <v>45738</v>
      </c>
      <c r="D2208" s="7">
        <v>45739</v>
      </c>
      <c r="E2208" t="s">
        <v>26</v>
      </c>
      <c r="F2208" t="s">
        <v>17</v>
      </c>
      <c r="G2208">
        <v>3</v>
      </c>
      <c r="H2208" t="s">
        <v>18</v>
      </c>
      <c r="I2208" t="s">
        <v>27</v>
      </c>
      <c r="J2208">
        <f>orders[[#This Row],[Ship Date]]-orders[[#This Row],[Order Date]]</f>
        <v>1</v>
      </c>
      <c r="K2208">
        <f>WEEKNUM(orders[[#This Row],[Order Date]])</f>
        <v>12</v>
      </c>
      <c r="L2208" t="str" cm="1">
        <f t="array" ref="L2208">_xlfn.IFS(orders[[#This Row],[Customer Gender]]="M","Male", orders[[#This Row],[Customer Gender]]="F","Female", orders[[#This Row],[Customer Gender]]="O","Other", TRUE,"Unknown")</f>
        <v>Female</v>
      </c>
      <c r="M2208">
        <v>1</v>
      </c>
      <c r="N2208">
        <v>26.8</v>
      </c>
      <c r="O2208" s="5">
        <v>26.8</v>
      </c>
    </row>
    <row r="2209" spans="1:15" x14ac:dyDescent="0.3">
      <c r="A2209" t="s">
        <v>2309</v>
      </c>
      <c r="B2209" t="s">
        <v>45</v>
      </c>
      <c r="C2209" s="7">
        <v>45738</v>
      </c>
      <c r="D2209" s="7">
        <v>45738</v>
      </c>
      <c r="E2209" t="s">
        <v>26</v>
      </c>
      <c r="F2209" t="s">
        <v>50</v>
      </c>
      <c r="G2209">
        <v>4</v>
      </c>
      <c r="H2209" t="s">
        <v>18</v>
      </c>
      <c r="I2209" t="s">
        <v>27</v>
      </c>
      <c r="J2209">
        <f>orders[[#This Row],[Ship Date]]-orders[[#This Row],[Order Date]]</f>
        <v>0</v>
      </c>
      <c r="K2209">
        <f>WEEKNUM(orders[[#This Row],[Order Date]])</f>
        <v>12</v>
      </c>
      <c r="L2209" t="str" cm="1">
        <f t="array" ref="L2209">_xlfn.IFS(orders[[#This Row],[Customer Gender]]="M","Male", orders[[#This Row],[Customer Gender]]="F","Female", orders[[#This Row],[Customer Gender]]="O","Other", TRUE,"Unknown")</f>
        <v>Female</v>
      </c>
      <c r="M2209">
        <v>26</v>
      </c>
      <c r="N2209">
        <v>31.7</v>
      </c>
      <c r="O2209">
        <v>824.19999999999993</v>
      </c>
    </row>
    <row r="2210" spans="1:15" x14ac:dyDescent="0.3">
      <c r="A2210" t="s">
        <v>2310</v>
      </c>
      <c r="B2210" t="s">
        <v>21</v>
      </c>
      <c r="C2210" s="7">
        <v>45738</v>
      </c>
      <c r="D2210" s="7">
        <v>45740</v>
      </c>
      <c r="E2210" t="s">
        <v>26</v>
      </c>
      <c r="F2210" t="s">
        <v>34</v>
      </c>
      <c r="G2210">
        <v>3</v>
      </c>
      <c r="H2210" t="s">
        <v>18</v>
      </c>
      <c r="I2210" t="s">
        <v>32</v>
      </c>
      <c r="J2210">
        <f>orders[[#This Row],[Ship Date]]-orders[[#This Row],[Order Date]]</f>
        <v>2</v>
      </c>
      <c r="K2210">
        <f>WEEKNUM(orders[[#This Row],[Order Date]])</f>
        <v>12</v>
      </c>
      <c r="L2210" t="str" cm="1">
        <f t="array" ref="L2210">_xlfn.IFS(orders[[#This Row],[Customer Gender]]="M","Male", orders[[#This Row],[Customer Gender]]="F","Female", orders[[#This Row],[Customer Gender]]="O","Other", TRUE,"Unknown")</f>
        <v>Female</v>
      </c>
      <c r="M2210">
        <v>2</v>
      </c>
      <c r="N2210">
        <v>78.3</v>
      </c>
      <c r="O2210" s="5">
        <v>156.6</v>
      </c>
    </row>
    <row r="2211" spans="1:15" x14ac:dyDescent="0.3">
      <c r="A2211" t="s">
        <v>2311</v>
      </c>
      <c r="B2211" t="s">
        <v>38</v>
      </c>
      <c r="C2211" s="7">
        <v>45738</v>
      </c>
      <c r="D2211" s="7">
        <v>45739</v>
      </c>
      <c r="E2211" t="s">
        <v>22</v>
      </c>
      <c r="F2211" t="s">
        <v>17</v>
      </c>
      <c r="G2211">
        <v>4</v>
      </c>
      <c r="H2211" t="s">
        <v>18</v>
      </c>
      <c r="I2211" t="s">
        <v>32</v>
      </c>
      <c r="J2211">
        <f>orders[[#This Row],[Ship Date]]-orders[[#This Row],[Order Date]]</f>
        <v>1</v>
      </c>
      <c r="K2211">
        <f>WEEKNUM(orders[[#This Row],[Order Date]])</f>
        <v>12</v>
      </c>
      <c r="L2211" t="str" cm="1">
        <f t="array" ref="L2211">_xlfn.IFS(orders[[#This Row],[Customer Gender]]="M","Male", orders[[#This Row],[Customer Gender]]="F","Female", orders[[#This Row],[Customer Gender]]="O","Other", TRUE,"Unknown")</f>
        <v>Male</v>
      </c>
      <c r="M2211">
        <v>1</v>
      </c>
      <c r="N2211">
        <v>43.9</v>
      </c>
      <c r="O2211">
        <v>43.9</v>
      </c>
    </row>
    <row r="2212" spans="1:15" x14ac:dyDescent="0.3">
      <c r="A2212" t="s">
        <v>2312</v>
      </c>
      <c r="B2212" t="s">
        <v>145</v>
      </c>
      <c r="C2212" s="7">
        <v>45738</v>
      </c>
      <c r="D2212" s="7">
        <v>45740</v>
      </c>
      <c r="E2212" t="s">
        <v>2517</v>
      </c>
      <c r="F2212" t="s">
        <v>50</v>
      </c>
      <c r="G2212">
        <v>5</v>
      </c>
      <c r="H2212" t="s">
        <v>18</v>
      </c>
      <c r="I2212" t="s">
        <v>32</v>
      </c>
      <c r="J2212">
        <f>orders[[#This Row],[Ship Date]]-orders[[#This Row],[Order Date]]</f>
        <v>2</v>
      </c>
      <c r="K2212">
        <f>WEEKNUM(orders[[#This Row],[Order Date]])</f>
        <v>12</v>
      </c>
      <c r="L2212" t="str" cm="1">
        <f t="array" ref="L2212">_xlfn.IFS(orders[[#This Row],[Customer Gender]]="M","Male", orders[[#This Row],[Customer Gender]]="F","Female", orders[[#This Row],[Customer Gender]]="O","Other", TRUE,"Unknown")</f>
        <v>Unknown</v>
      </c>
      <c r="M2212">
        <v>3</v>
      </c>
      <c r="N2212">
        <v>84</v>
      </c>
      <c r="O2212" s="5">
        <v>252</v>
      </c>
    </row>
    <row r="2213" spans="1:15" x14ac:dyDescent="0.3">
      <c r="A2213" t="s">
        <v>2313</v>
      </c>
      <c r="B2213" t="s">
        <v>16</v>
      </c>
      <c r="C2213" s="7">
        <v>45738</v>
      </c>
      <c r="D2213" s="7">
        <v>45739</v>
      </c>
      <c r="E2213" t="s">
        <v>22</v>
      </c>
      <c r="F2213" t="s">
        <v>69</v>
      </c>
      <c r="G2213">
        <v>4</v>
      </c>
      <c r="H2213" t="s">
        <v>18</v>
      </c>
      <c r="I2213" t="s">
        <v>32</v>
      </c>
      <c r="J2213">
        <f>orders[[#This Row],[Ship Date]]-orders[[#This Row],[Order Date]]</f>
        <v>1</v>
      </c>
      <c r="K2213">
        <f>WEEKNUM(orders[[#This Row],[Order Date]])</f>
        <v>12</v>
      </c>
      <c r="L2213" t="str" cm="1">
        <f t="array" ref="L2213">_xlfn.IFS(orders[[#This Row],[Customer Gender]]="M","Male", orders[[#This Row],[Customer Gender]]="F","Female", orders[[#This Row],[Customer Gender]]="O","Other", TRUE,"Unknown")</f>
        <v>Male</v>
      </c>
      <c r="M2213">
        <v>3</v>
      </c>
      <c r="N2213">
        <v>11.4</v>
      </c>
      <c r="O2213">
        <v>34.200000000000003</v>
      </c>
    </row>
    <row r="2214" spans="1:15" x14ac:dyDescent="0.3">
      <c r="A2214" t="s">
        <v>2314</v>
      </c>
      <c r="B2214" t="s">
        <v>68</v>
      </c>
      <c r="C2214" s="7">
        <v>45738</v>
      </c>
      <c r="D2214" s="7">
        <v>45746</v>
      </c>
      <c r="E2214" t="s">
        <v>26</v>
      </c>
      <c r="F2214" t="s">
        <v>17</v>
      </c>
      <c r="G2214">
        <v>4</v>
      </c>
      <c r="H2214" t="s">
        <v>18</v>
      </c>
      <c r="I2214" t="s">
        <v>32</v>
      </c>
      <c r="J2214">
        <f>orders[[#This Row],[Ship Date]]-orders[[#This Row],[Order Date]]</f>
        <v>8</v>
      </c>
      <c r="K2214">
        <f>WEEKNUM(orders[[#This Row],[Order Date]])</f>
        <v>12</v>
      </c>
      <c r="L2214" t="str" cm="1">
        <f t="array" ref="L2214">_xlfn.IFS(orders[[#This Row],[Customer Gender]]="M","Male", orders[[#This Row],[Customer Gender]]="F","Female", orders[[#This Row],[Customer Gender]]="O","Other", TRUE,"Unknown")</f>
        <v>Female</v>
      </c>
      <c r="M2214">
        <v>8</v>
      </c>
      <c r="N2214">
        <v>47.5</v>
      </c>
      <c r="O2214" s="5">
        <v>380</v>
      </c>
    </row>
    <row r="2215" spans="1:15" x14ac:dyDescent="0.3">
      <c r="A2215" t="s">
        <v>2315</v>
      </c>
      <c r="B2215" t="s">
        <v>45</v>
      </c>
      <c r="C2215" s="7">
        <v>45738</v>
      </c>
      <c r="D2215" s="7">
        <v>45740</v>
      </c>
      <c r="E2215" t="s">
        <v>22</v>
      </c>
      <c r="F2215" t="s">
        <v>39</v>
      </c>
      <c r="G2215">
        <v>4</v>
      </c>
      <c r="H2215" t="s">
        <v>18</v>
      </c>
      <c r="I2215" t="s">
        <v>32</v>
      </c>
      <c r="J2215">
        <f>orders[[#This Row],[Ship Date]]-orders[[#This Row],[Order Date]]</f>
        <v>2</v>
      </c>
      <c r="K2215">
        <f>WEEKNUM(orders[[#This Row],[Order Date]])</f>
        <v>12</v>
      </c>
      <c r="L2215" t="str" cm="1">
        <f t="array" ref="L2215">_xlfn.IFS(orders[[#This Row],[Customer Gender]]="M","Male", orders[[#This Row],[Customer Gender]]="F","Female", orders[[#This Row],[Customer Gender]]="O","Other", TRUE,"Unknown")</f>
        <v>Male</v>
      </c>
      <c r="M2215">
        <v>11</v>
      </c>
      <c r="N2215">
        <v>50.5</v>
      </c>
      <c r="O2215">
        <v>555.5</v>
      </c>
    </row>
    <row r="2216" spans="1:15" x14ac:dyDescent="0.3">
      <c r="A2216" t="s">
        <v>2316</v>
      </c>
      <c r="B2216" t="s">
        <v>122</v>
      </c>
      <c r="C2216" s="7">
        <v>45738</v>
      </c>
      <c r="D2216" s="7">
        <v>45741</v>
      </c>
      <c r="E2216" t="s">
        <v>88</v>
      </c>
      <c r="F2216" t="s">
        <v>17</v>
      </c>
      <c r="G2216">
        <v>3</v>
      </c>
      <c r="H2216" t="s">
        <v>18</v>
      </c>
      <c r="I2216" t="s">
        <v>61</v>
      </c>
      <c r="J2216">
        <f>orders[[#This Row],[Ship Date]]-orders[[#This Row],[Order Date]]</f>
        <v>3</v>
      </c>
      <c r="K2216">
        <f>WEEKNUM(orders[[#This Row],[Order Date]])</f>
        <v>12</v>
      </c>
      <c r="L2216" t="str" cm="1">
        <f t="array" ref="L2216">_xlfn.IFS(orders[[#This Row],[Customer Gender]]="M","Male", orders[[#This Row],[Customer Gender]]="F","Female", orders[[#This Row],[Customer Gender]]="O","Other", TRUE,"Unknown")</f>
        <v>Other</v>
      </c>
      <c r="M2216">
        <v>1</v>
      </c>
      <c r="N2216">
        <v>36.299999999999997</v>
      </c>
      <c r="O2216" s="5">
        <v>36.299999999999997</v>
      </c>
    </row>
    <row r="2217" spans="1:15" x14ac:dyDescent="0.3">
      <c r="A2217" t="s">
        <v>2317</v>
      </c>
      <c r="B2217" t="s">
        <v>43</v>
      </c>
      <c r="C2217" s="7">
        <v>45738</v>
      </c>
      <c r="D2217" s="7">
        <v>45739</v>
      </c>
      <c r="E2217" t="s">
        <v>26</v>
      </c>
      <c r="F2217" t="s">
        <v>17</v>
      </c>
      <c r="G2217">
        <v>4</v>
      </c>
      <c r="H2217" t="s">
        <v>18</v>
      </c>
      <c r="I2217" t="s">
        <v>102</v>
      </c>
      <c r="J2217">
        <f>orders[[#This Row],[Ship Date]]-orders[[#This Row],[Order Date]]</f>
        <v>1</v>
      </c>
      <c r="K2217">
        <f>WEEKNUM(orders[[#This Row],[Order Date]])</f>
        <v>12</v>
      </c>
      <c r="L2217" t="str" cm="1">
        <f t="array" ref="L2217">_xlfn.IFS(orders[[#This Row],[Customer Gender]]="M","Male", orders[[#This Row],[Customer Gender]]="F","Female", orders[[#This Row],[Customer Gender]]="O","Other", TRUE,"Unknown")</f>
        <v>Female</v>
      </c>
      <c r="M2217">
        <v>2</v>
      </c>
      <c r="N2217">
        <v>35.4</v>
      </c>
      <c r="O2217">
        <v>70.8</v>
      </c>
    </row>
    <row r="2218" spans="1:15" x14ac:dyDescent="0.3">
      <c r="A2218" t="s">
        <v>2318</v>
      </c>
      <c r="B2218" t="s">
        <v>21</v>
      </c>
      <c r="C2218" s="7">
        <v>45739</v>
      </c>
      <c r="D2218" s="7">
        <v>45740</v>
      </c>
      <c r="E2218" t="s">
        <v>22</v>
      </c>
      <c r="F2218" t="s">
        <v>50</v>
      </c>
      <c r="G2218">
        <v>4</v>
      </c>
      <c r="H2218" t="s">
        <v>18</v>
      </c>
      <c r="I2218" t="s">
        <v>71</v>
      </c>
      <c r="J2218">
        <f>orders[[#This Row],[Ship Date]]-orders[[#This Row],[Order Date]]</f>
        <v>1</v>
      </c>
      <c r="K2218">
        <f>WEEKNUM(orders[[#This Row],[Order Date]])</f>
        <v>13</v>
      </c>
      <c r="L2218" t="str" cm="1">
        <f t="array" ref="L2218">_xlfn.IFS(orders[[#This Row],[Customer Gender]]="M","Male", orders[[#This Row],[Customer Gender]]="F","Female", orders[[#This Row],[Customer Gender]]="O","Other", TRUE,"Unknown")</f>
        <v>Male</v>
      </c>
      <c r="M2218">
        <v>3</v>
      </c>
      <c r="N2218">
        <v>45.9</v>
      </c>
      <c r="O2218" s="5">
        <v>137.69999999999999</v>
      </c>
    </row>
    <row r="2219" spans="1:15" x14ac:dyDescent="0.3">
      <c r="A2219" t="s">
        <v>2319</v>
      </c>
      <c r="B2219" t="s">
        <v>38</v>
      </c>
      <c r="C2219" s="7">
        <v>45739</v>
      </c>
      <c r="D2219" s="7">
        <v>45743</v>
      </c>
      <c r="E2219" t="s">
        <v>22</v>
      </c>
      <c r="F2219" t="s">
        <v>17</v>
      </c>
      <c r="G2219">
        <v>4</v>
      </c>
      <c r="H2219" t="s">
        <v>18</v>
      </c>
      <c r="I2219" t="s">
        <v>76</v>
      </c>
      <c r="J2219">
        <f>orders[[#This Row],[Ship Date]]-orders[[#This Row],[Order Date]]</f>
        <v>4</v>
      </c>
      <c r="K2219">
        <f>WEEKNUM(orders[[#This Row],[Order Date]])</f>
        <v>13</v>
      </c>
      <c r="L2219" t="str" cm="1">
        <f t="array" ref="L2219">_xlfn.IFS(orders[[#This Row],[Customer Gender]]="M","Male", orders[[#This Row],[Customer Gender]]="F","Female", orders[[#This Row],[Customer Gender]]="O","Other", TRUE,"Unknown")</f>
        <v>Male</v>
      </c>
      <c r="M2219">
        <v>10</v>
      </c>
      <c r="N2219">
        <v>41.2</v>
      </c>
      <c r="O2219">
        <v>412</v>
      </c>
    </row>
    <row r="2220" spans="1:15" x14ac:dyDescent="0.3">
      <c r="A2220" t="s">
        <v>2320</v>
      </c>
      <c r="B2220" t="s">
        <v>134</v>
      </c>
      <c r="C2220" s="7">
        <v>45739</v>
      </c>
      <c r="D2220" s="7">
        <v>45740</v>
      </c>
      <c r="E2220" t="s">
        <v>22</v>
      </c>
      <c r="F2220" t="s">
        <v>34</v>
      </c>
      <c r="G2220">
        <v>3</v>
      </c>
      <c r="H2220" t="s">
        <v>18</v>
      </c>
      <c r="I2220" t="s">
        <v>114</v>
      </c>
      <c r="J2220">
        <f>orders[[#This Row],[Ship Date]]-orders[[#This Row],[Order Date]]</f>
        <v>1</v>
      </c>
      <c r="K2220">
        <f>WEEKNUM(orders[[#This Row],[Order Date]])</f>
        <v>13</v>
      </c>
      <c r="L2220" t="str" cm="1">
        <f t="array" ref="L2220">_xlfn.IFS(orders[[#This Row],[Customer Gender]]="M","Male", orders[[#This Row],[Customer Gender]]="F","Female", orders[[#This Row],[Customer Gender]]="O","Other", TRUE,"Unknown")</f>
        <v>Male</v>
      </c>
      <c r="M2220">
        <v>2</v>
      </c>
      <c r="N2220">
        <v>45.1</v>
      </c>
      <c r="O2220" s="5">
        <v>90.2</v>
      </c>
    </row>
    <row r="2221" spans="1:15" x14ac:dyDescent="0.3">
      <c r="A2221" t="s">
        <v>2321</v>
      </c>
      <c r="B2221" t="s">
        <v>38</v>
      </c>
      <c r="C2221" s="7">
        <v>45739</v>
      </c>
      <c r="D2221" s="7">
        <v>45739</v>
      </c>
      <c r="E2221" t="s">
        <v>22</v>
      </c>
      <c r="F2221" t="s">
        <v>39</v>
      </c>
      <c r="G2221">
        <v>4</v>
      </c>
      <c r="H2221" t="s">
        <v>18</v>
      </c>
      <c r="I2221" t="s">
        <v>23</v>
      </c>
      <c r="J2221">
        <f>orders[[#This Row],[Ship Date]]-orders[[#This Row],[Order Date]]</f>
        <v>0</v>
      </c>
      <c r="K2221">
        <f>WEEKNUM(orders[[#This Row],[Order Date]])</f>
        <v>13</v>
      </c>
      <c r="L2221" t="str" cm="1">
        <f t="array" ref="L2221">_xlfn.IFS(orders[[#This Row],[Customer Gender]]="M","Male", orders[[#This Row],[Customer Gender]]="F","Female", orders[[#This Row],[Customer Gender]]="O","Other", TRUE,"Unknown")</f>
        <v>Male</v>
      </c>
      <c r="M2221">
        <v>10</v>
      </c>
      <c r="N2221">
        <v>63.6</v>
      </c>
      <c r="O2221">
        <v>636</v>
      </c>
    </row>
    <row r="2222" spans="1:15" x14ac:dyDescent="0.3">
      <c r="A2222" t="s">
        <v>2322</v>
      </c>
      <c r="B2222" t="s">
        <v>43</v>
      </c>
      <c r="C2222" s="7">
        <v>45739</v>
      </c>
      <c r="D2222" s="7">
        <v>45740</v>
      </c>
      <c r="E2222" t="s">
        <v>22</v>
      </c>
      <c r="F2222" t="s">
        <v>17</v>
      </c>
      <c r="G2222">
        <v>4</v>
      </c>
      <c r="H2222" t="s">
        <v>18</v>
      </c>
      <c r="I2222" t="s">
        <v>32</v>
      </c>
      <c r="J2222">
        <f>orders[[#This Row],[Ship Date]]-orders[[#This Row],[Order Date]]</f>
        <v>1</v>
      </c>
      <c r="K2222">
        <f>WEEKNUM(orders[[#This Row],[Order Date]])</f>
        <v>13</v>
      </c>
      <c r="L2222" t="str" cm="1">
        <f t="array" ref="L2222">_xlfn.IFS(orders[[#This Row],[Customer Gender]]="M","Male", orders[[#This Row],[Customer Gender]]="F","Female", orders[[#This Row],[Customer Gender]]="O","Other", TRUE,"Unknown")</f>
        <v>Male</v>
      </c>
      <c r="M2222">
        <v>1</v>
      </c>
      <c r="N2222">
        <v>70.5</v>
      </c>
      <c r="O2222" s="5">
        <v>70.5</v>
      </c>
    </row>
    <row r="2223" spans="1:15" x14ac:dyDescent="0.3">
      <c r="A2223" t="s">
        <v>2323</v>
      </c>
      <c r="B2223" t="s">
        <v>38</v>
      </c>
      <c r="C2223" s="7">
        <v>45739</v>
      </c>
      <c r="D2223" s="7">
        <v>45739</v>
      </c>
      <c r="E2223" t="s">
        <v>22</v>
      </c>
      <c r="F2223" t="s">
        <v>69</v>
      </c>
      <c r="G2223">
        <v>4</v>
      </c>
      <c r="H2223" t="s">
        <v>18</v>
      </c>
      <c r="I2223" t="s">
        <v>32</v>
      </c>
      <c r="J2223">
        <f>orders[[#This Row],[Ship Date]]-orders[[#This Row],[Order Date]]</f>
        <v>0</v>
      </c>
      <c r="K2223">
        <f>WEEKNUM(orders[[#This Row],[Order Date]])</f>
        <v>13</v>
      </c>
      <c r="L2223" t="str" cm="1">
        <f t="array" ref="L2223">_xlfn.IFS(orders[[#This Row],[Customer Gender]]="M","Male", orders[[#This Row],[Customer Gender]]="F","Female", orders[[#This Row],[Customer Gender]]="O","Other", TRUE,"Unknown")</f>
        <v>Male</v>
      </c>
      <c r="M2223">
        <v>1</v>
      </c>
      <c r="N2223">
        <v>41.3</v>
      </c>
      <c r="O2223">
        <v>41.3</v>
      </c>
    </row>
    <row r="2224" spans="1:15" x14ac:dyDescent="0.3">
      <c r="A2224" t="s">
        <v>2324</v>
      </c>
      <c r="B2224" t="s">
        <v>31</v>
      </c>
      <c r="C2224" s="7">
        <v>45739</v>
      </c>
      <c r="D2224" s="7">
        <v>45742</v>
      </c>
      <c r="E2224" t="s">
        <v>26</v>
      </c>
      <c r="F2224" t="s">
        <v>69</v>
      </c>
      <c r="G2224">
        <v>5</v>
      </c>
      <c r="H2224" t="s">
        <v>18</v>
      </c>
      <c r="I2224" t="s">
        <v>32</v>
      </c>
      <c r="J2224">
        <f>orders[[#This Row],[Ship Date]]-orders[[#This Row],[Order Date]]</f>
        <v>3</v>
      </c>
      <c r="K2224">
        <f>WEEKNUM(orders[[#This Row],[Order Date]])</f>
        <v>13</v>
      </c>
      <c r="L2224" t="str" cm="1">
        <f t="array" ref="L2224">_xlfn.IFS(orders[[#This Row],[Customer Gender]]="M","Male", orders[[#This Row],[Customer Gender]]="F","Female", orders[[#This Row],[Customer Gender]]="O","Other", TRUE,"Unknown")</f>
        <v>Female</v>
      </c>
      <c r="M2224">
        <v>1</v>
      </c>
      <c r="N2224">
        <v>35.299999999999997</v>
      </c>
      <c r="O2224" s="5">
        <v>35.299999999999997</v>
      </c>
    </row>
    <row r="2225" spans="1:15" x14ac:dyDescent="0.3">
      <c r="A2225" t="s">
        <v>2325</v>
      </c>
      <c r="B2225" t="s">
        <v>43</v>
      </c>
      <c r="C2225" s="7">
        <v>45739</v>
      </c>
      <c r="D2225" s="7">
        <v>45740</v>
      </c>
      <c r="E2225" t="s">
        <v>26</v>
      </c>
      <c r="F2225" t="s">
        <v>17</v>
      </c>
      <c r="G2225">
        <v>5</v>
      </c>
      <c r="H2225" t="s">
        <v>18</v>
      </c>
      <c r="I2225" t="s">
        <v>32</v>
      </c>
      <c r="J2225">
        <f>orders[[#This Row],[Ship Date]]-orders[[#This Row],[Order Date]]</f>
        <v>1</v>
      </c>
      <c r="K2225">
        <f>WEEKNUM(orders[[#This Row],[Order Date]])</f>
        <v>13</v>
      </c>
      <c r="L2225" t="str" cm="1">
        <f t="array" ref="L2225">_xlfn.IFS(orders[[#This Row],[Customer Gender]]="M","Male", orders[[#This Row],[Customer Gender]]="F","Female", orders[[#This Row],[Customer Gender]]="O","Other", TRUE,"Unknown")</f>
        <v>Female</v>
      </c>
      <c r="M2225">
        <v>5</v>
      </c>
      <c r="N2225">
        <v>34.700000000000003</v>
      </c>
      <c r="O2225">
        <v>173.5</v>
      </c>
    </row>
    <row r="2226" spans="1:15" x14ac:dyDescent="0.3">
      <c r="A2226" t="s">
        <v>2326</v>
      </c>
      <c r="B2226" t="s">
        <v>43</v>
      </c>
      <c r="C2226" s="7">
        <v>45739</v>
      </c>
      <c r="D2226" s="7">
        <v>45740</v>
      </c>
      <c r="E2226" t="s">
        <v>26</v>
      </c>
      <c r="F2226" t="s">
        <v>17</v>
      </c>
      <c r="G2226">
        <v>4</v>
      </c>
      <c r="H2226" t="s">
        <v>18</v>
      </c>
      <c r="I2226" t="s">
        <v>32</v>
      </c>
      <c r="J2226">
        <f>orders[[#This Row],[Ship Date]]-orders[[#This Row],[Order Date]]</f>
        <v>1</v>
      </c>
      <c r="K2226">
        <f>WEEKNUM(orders[[#This Row],[Order Date]])</f>
        <v>13</v>
      </c>
      <c r="L2226" t="str" cm="1">
        <f t="array" ref="L2226">_xlfn.IFS(orders[[#This Row],[Customer Gender]]="M","Male", orders[[#This Row],[Customer Gender]]="F","Female", orders[[#This Row],[Customer Gender]]="O","Other", TRUE,"Unknown")</f>
        <v>Female</v>
      </c>
      <c r="M2226">
        <v>3</v>
      </c>
      <c r="N2226">
        <v>26.1</v>
      </c>
      <c r="O2226" s="5">
        <v>78.300000000000011</v>
      </c>
    </row>
    <row r="2227" spans="1:15" x14ac:dyDescent="0.3">
      <c r="A2227" t="s">
        <v>2327</v>
      </c>
      <c r="B2227" t="s">
        <v>45</v>
      </c>
      <c r="C2227" s="7">
        <v>45739</v>
      </c>
      <c r="D2227" s="7">
        <v>45739</v>
      </c>
      <c r="E2227" t="s">
        <v>26</v>
      </c>
      <c r="F2227" t="s">
        <v>34</v>
      </c>
      <c r="G2227">
        <v>5</v>
      </c>
      <c r="H2227" t="s">
        <v>18</v>
      </c>
      <c r="I2227" t="s">
        <v>32</v>
      </c>
      <c r="J2227">
        <f>orders[[#This Row],[Ship Date]]-orders[[#This Row],[Order Date]]</f>
        <v>0</v>
      </c>
      <c r="K2227">
        <f>WEEKNUM(orders[[#This Row],[Order Date]])</f>
        <v>13</v>
      </c>
      <c r="L2227" t="str" cm="1">
        <f t="array" ref="L2227">_xlfn.IFS(orders[[#This Row],[Customer Gender]]="M","Male", orders[[#This Row],[Customer Gender]]="F","Female", orders[[#This Row],[Customer Gender]]="O","Other", TRUE,"Unknown")</f>
        <v>Female</v>
      </c>
      <c r="M2227">
        <v>5</v>
      </c>
      <c r="N2227">
        <v>22.6</v>
      </c>
      <c r="O2227">
        <v>113</v>
      </c>
    </row>
    <row r="2228" spans="1:15" x14ac:dyDescent="0.3">
      <c r="A2228" t="s">
        <v>2328</v>
      </c>
      <c r="B2228" t="s">
        <v>25</v>
      </c>
      <c r="C2228" s="7">
        <v>45739</v>
      </c>
      <c r="D2228" s="7">
        <v>45742</v>
      </c>
      <c r="E2228" t="s">
        <v>22</v>
      </c>
      <c r="F2228" t="s">
        <v>34</v>
      </c>
      <c r="G2228">
        <v>3</v>
      </c>
      <c r="H2228" t="s">
        <v>18</v>
      </c>
      <c r="I2228" t="s">
        <v>32</v>
      </c>
      <c r="J2228">
        <f>orders[[#This Row],[Ship Date]]-orders[[#This Row],[Order Date]]</f>
        <v>3</v>
      </c>
      <c r="K2228">
        <f>WEEKNUM(orders[[#This Row],[Order Date]])</f>
        <v>13</v>
      </c>
      <c r="L2228" t="str" cm="1">
        <f t="array" ref="L2228">_xlfn.IFS(orders[[#This Row],[Customer Gender]]="M","Male", orders[[#This Row],[Customer Gender]]="F","Female", orders[[#This Row],[Customer Gender]]="O","Other", TRUE,"Unknown")</f>
        <v>Male</v>
      </c>
      <c r="M2228">
        <v>2</v>
      </c>
      <c r="N2228">
        <v>154.4</v>
      </c>
      <c r="O2228" s="5">
        <v>308.8</v>
      </c>
    </row>
    <row r="2229" spans="1:15" x14ac:dyDescent="0.3">
      <c r="A2229" t="s">
        <v>2329</v>
      </c>
      <c r="B2229" t="s">
        <v>43</v>
      </c>
      <c r="C2229" s="7">
        <v>45739</v>
      </c>
      <c r="D2229" s="7">
        <v>45740</v>
      </c>
      <c r="E2229" t="s">
        <v>22</v>
      </c>
      <c r="F2229" t="s">
        <v>17</v>
      </c>
      <c r="G2229">
        <v>4</v>
      </c>
      <c r="H2229" t="s">
        <v>18</v>
      </c>
      <c r="I2229" t="s">
        <v>32</v>
      </c>
      <c r="J2229">
        <f>orders[[#This Row],[Ship Date]]-orders[[#This Row],[Order Date]]</f>
        <v>1</v>
      </c>
      <c r="K2229">
        <f>WEEKNUM(orders[[#This Row],[Order Date]])</f>
        <v>13</v>
      </c>
      <c r="L2229" t="str" cm="1">
        <f t="array" ref="L2229">_xlfn.IFS(orders[[#This Row],[Customer Gender]]="M","Male", orders[[#This Row],[Customer Gender]]="F","Female", orders[[#This Row],[Customer Gender]]="O","Other", TRUE,"Unknown")</f>
        <v>Male</v>
      </c>
      <c r="M2229">
        <v>2</v>
      </c>
      <c r="N2229">
        <v>18.399999999999999</v>
      </c>
      <c r="O2229">
        <v>36.799999999999997</v>
      </c>
    </row>
    <row r="2230" spans="1:15" x14ac:dyDescent="0.3">
      <c r="A2230" t="s">
        <v>2330</v>
      </c>
      <c r="B2230" t="s">
        <v>80</v>
      </c>
      <c r="C2230" s="7">
        <v>45739</v>
      </c>
      <c r="D2230" s="7">
        <v>45742</v>
      </c>
      <c r="E2230" t="s">
        <v>26</v>
      </c>
      <c r="F2230" t="s">
        <v>17</v>
      </c>
      <c r="G2230">
        <v>4</v>
      </c>
      <c r="H2230" t="s">
        <v>18</v>
      </c>
      <c r="I2230" t="s">
        <v>32</v>
      </c>
      <c r="J2230">
        <f>orders[[#This Row],[Ship Date]]-orders[[#This Row],[Order Date]]</f>
        <v>3</v>
      </c>
      <c r="K2230">
        <f>WEEKNUM(orders[[#This Row],[Order Date]])</f>
        <v>13</v>
      </c>
      <c r="L2230" t="str" cm="1">
        <f t="array" ref="L2230">_xlfn.IFS(orders[[#This Row],[Customer Gender]]="M","Male", orders[[#This Row],[Customer Gender]]="F","Female", orders[[#This Row],[Customer Gender]]="O","Other", TRUE,"Unknown")</f>
        <v>Female</v>
      </c>
      <c r="M2230">
        <v>1</v>
      </c>
      <c r="N2230">
        <v>25</v>
      </c>
      <c r="O2230" s="5">
        <v>25</v>
      </c>
    </row>
    <row r="2231" spans="1:15" x14ac:dyDescent="0.3">
      <c r="A2231" t="s">
        <v>2331</v>
      </c>
      <c r="B2231" t="s">
        <v>25</v>
      </c>
      <c r="C2231" s="7">
        <v>45739</v>
      </c>
      <c r="D2231" s="7">
        <v>45739</v>
      </c>
      <c r="E2231" t="s">
        <v>26</v>
      </c>
      <c r="F2231" t="s">
        <v>17</v>
      </c>
      <c r="G2231">
        <v>4</v>
      </c>
      <c r="H2231" t="s">
        <v>18</v>
      </c>
      <c r="I2231" t="s">
        <v>32</v>
      </c>
      <c r="J2231">
        <f>orders[[#This Row],[Ship Date]]-orders[[#This Row],[Order Date]]</f>
        <v>0</v>
      </c>
      <c r="K2231">
        <f>WEEKNUM(orders[[#This Row],[Order Date]])</f>
        <v>13</v>
      </c>
      <c r="L2231" t="str" cm="1">
        <f t="array" ref="L2231">_xlfn.IFS(orders[[#This Row],[Customer Gender]]="M","Male", orders[[#This Row],[Customer Gender]]="F","Female", orders[[#This Row],[Customer Gender]]="O","Other", TRUE,"Unknown")</f>
        <v>Female</v>
      </c>
      <c r="M2231">
        <v>6</v>
      </c>
      <c r="N2231">
        <v>105.6</v>
      </c>
      <c r="O2231">
        <v>633.59999999999991</v>
      </c>
    </row>
    <row r="2232" spans="1:15" x14ac:dyDescent="0.3">
      <c r="A2232" t="s">
        <v>2332</v>
      </c>
      <c r="B2232" t="s">
        <v>145</v>
      </c>
      <c r="C2232" s="7">
        <v>45739</v>
      </c>
      <c r="D2232" s="7">
        <v>45739</v>
      </c>
      <c r="E2232" t="s">
        <v>26</v>
      </c>
      <c r="F2232" t="s">
        <v>17</v>
      </c>
      <c r="G2232">
        <v>5</v>
      </c>
      <c r="H2232" t="s">
        <v>18</v>
      </c>
      <c r="I2232" t="s">
        <v>157</v>
      </c>
      <c r="J2232">
        <f>orders[[#This Row],[Ship Date]]-orders[[#This Row],[Order Date]]</f>
        <v>0</v>
      </c>
      <c r="K2232">
        <f>WEEKNUM(orders[[#This Row],[Order Date]])</f>
        <v>13</v>
      </c>
      <c r="L2232" t="str" cm="1">
        <f t="array" ref="L2232">_xlfn.IFS(orders[[#This Row],[Customer Gender]]="M","Male", orders[[#This Row],[Customer Gender]]="F","Female", orders[[#This Row],[Customer Gender]]="O","Other", TRUE,"Unknown")</f>
        <v>Female</v>
      </c>
      <c r="M2232">
        <v>8</v>
      </c>
      <c r="N2232">
        <v>59.6</v>
      </c>
      <c r="O2232" s="5">
        <v>476.8</v>
      </c>
    </row>
    <row r="2233" spans="1:15" x14ac:dyDescent="0.3">
      <c r="A2233" t="s">
        <v>2333</v>
      </c>
      <c r="B2233" t="s">
        <v>122</v>
      </c>
      <c r="C2233" s="7">
        <v>45739</v>
      </c>
      <c r="D2233" s="7">
        <v>45744</v>
      </c>
      <c r="E2233" t="s">
        <v>22</v>
      </c>
      <c r="F2233" t="s">
        <v>17</v>
      </c>
      <c r="G2233">
        <v>3</v>
      </c>
      <c r="H2233" t="s">
        <v>18</v>
      </c>
      <c r="I2233" t="s">
        <v>58</v>
      </c>
      <c r="J2233">
        <f>orders[[#This Row],[Ship Date]]-orders[[#This Row],[Order Date]]</f>
        <v>5</v>
      </c>
      <c r="K2233">
        <f>WEEKNUM(orders[[#This Row],[Order Date]])</f>
        <v>13</v>
      </c>
      <c r="L2233" t="str" cm="1">
        <f t="array" ref="L2233">_xlfn.IFS(orders[[#This Row],[Customer Gender]]="M","Male", orders[[#This Row],[Customer Gender]]="F","Female", orders[[#This Row],[Customer Gender]]="O","Other", TRUE,"Unknown")</f>
        <v>Male</v>
      </c>
      <c r="M2233">
        <v>3</v>
      </c>
      <c r="N2233">
        <v>75.400000000000006</v>
      </c>
      <c r="O2233">
        <v>226.20000000000002</v>
      </c>
    </row>
    <row r="2234" spans="1:15" x14ac:dyDescent="0.3">
      <c r="A2234" t="s">
        <v>2334</v>
      </c>
      <c r="B2234" t="s">
        <v>41</v>
      </c>
      <c r="C2234" s="7">
        <v>45739</v>
      </c>
      <c r="D2234" s="7">
        <v>45740</v>
      </c>
      <c r="E2234" t="s">
        <v>26</v>
      </c>
      <c r="F2234" t="s">
        <v>17</v>
      </c>
      <c r="G2234">
        <v>4</v>
      </c>
      <c r="H2234" t="s">
        <v>18</v>
      </c>
      <c r="I2234" t="s">
        <v>61</v>
      </c>
      <c r="J2234">
        <f>orders[[#This Row],[Ship Date]]-orders[[#This Row],[Order Date]]</f>
        <v>1</v>
      </c>
      <c r="K2234">
        <f>WEEKNUM(orders[[#This Row],[Order Date]])</f>
        <v>13</v>
      </c>
      <c r="L2234" t="str" cm="1">
        <f t="array" ref="L2234">_xlfn.IFS(orders[[#This Row],[Customer Gender]]="M","Male", orders[[#This Row],[Customer Gender]]="F","Female", orders[[#This Row],[Customer Gender]]="O","Other", TRUE,"Unknown")</f>
        <v>Female</v>
      </c>
      <c r="M2234">
        <v>1</v>
      </c>
      <c r="N2234">
        <v>104.4</v>
      </c>
      <c r="O2234" s="5">
        <v>104.4</v>
      </c>
    </row>
    <row r="2235" spans="1:15" x14ac:dyDescent="0.3">
      <c r="A2235" t="s">
        <v>2335</v>
      </c>
      <c r="B2235" t="s">
        <v>25</v>
      </c>
      <c r="C2235" s="7">
        <v>45739</v>
      </c>
      <c r="D2235" s="7">
        <v>45740</v>
      </c>
      <c r="E2235" t="s">
        <v>22</v>
      </c>
      <c r="F2235" t="s">
        <v>17</v>
      </c>
      <c r="G2235">
        <v>5</v>
      </c>
      <c r="H2235" t="s">
        <v>18</v>
      </c>
      <c r="I2235" t="s">
        <v>61</v>
      </c>
      <c r="J2235">
        <f>orders[[#This Row],[Ship Date]]-orders[[#This Row],[Order Date]]</f>
        <v>1</v>
      </c>
      <c r="K2235">
        <f>WEEKNUM(orders[[#This Row],[Order Date]])</f>
        <v>13</v>
      </c>
      <c r="L2235" t="str" cm="1">
        <f t="array" ref="L2235">_xlfn.IFS(orders[[#This Row],[Customer Gender]]="M","Male", orders[[#This Row],[Customer Gender]]="F","Female", orders[[#This Row],[Customer Gender]]="O","Other", TRUE,"Unknown")</f>
        <v>Male</v>
      </c>
      <c r="M2235">
        <v>10</v>
      </c>
      <c r="N2235">
        <v>208.2</v>
      </c>
      <c r="O2235">
        <v>2082</v>
      </c>
    </row>
    <row r="2236" spans="1:15" x14ac:dyDescent="0.3">
      <c r="A2236" t="s">
        <v>2336</v>
      </c>
      <c r="B2236" t="s">
        <v>38</v>
      </c>
      <c r="C2236" s="7">
        <v>45739</v>
      </c>
      <c r="D2236" s="7">
        <v>45742</v>
      </c>
      <c r="E2236" t="s">
        <v>26</v>
      </c>
      <c r="F2236" t="s">
        <v>17</v>
      </c>
      <c r="G2236">
        <v>4</v>
      </c>
      <c r="H2236" t="s">
        <v>18</v>
      </c>
      <c r="I2236" t="s">
        <v>73</v>
      </c>
      <c r="J2236">
        <f>orders[[#This Row],[Ship Date]]-orders[[#This Row],[Order Date]]</f>
        <v>3</v>
      </c>
      <c r="K2236">
        <f>WEEKNUM(orders[[#This Row],[Order Date]])</f>
        <v>13</v>
      </c>
      <c r="L2236" t="str" cm="1">
        <f t="array" ref="L2236">_xlfn.IFS(orders[[#This Row],[Customer Gender]]="M","Male", orders[[#This Row],[Customer Gender]]="F","Female", orders[[#This Row],[Customer Gender]]="O","Other", TRUE,"Unknown")</f>
        <v>Female</v>
      </c>
      <c r="M2236">
        <v>2</v>
      </c>
      <c r="N2236">
        <v>45</v>
      </c>
      <c r="O2236" s="5">
        <v>90</v>
      </c>
    </row>
    <row r="2237" spans="1:15" x14ac:dyDescent="0.3">
      <c r="A2237" t="s">
        <v>2337</v>
      </c>
      <c r="B2237" t="s">
        <v>122</v>
      </c>
      <c r="C2237" s="7">
        <v>45740</v>
      </c>
      <c r="D2237" s="7">
        <v>45742</v>
      </c>
      <c r="E2237" t="s">
        <v>2517</v>
      </c>
      <c r="F2237" t="s">
        <v>34</v>
      </c>
      <c r="G2237">
        <v>4</v>
      </c>
      <c r="H2237" t="s">
        <v>18</v>
      </c>
      <c r="I2237" t="s">
        <v>76</v>
      </c>
      <c r="J2237">
        <f>orders[[#This Row],[Ship Date]]-orders[[#This Row],[Order Date]]</f>
        <v>2</v>
      </c>
      <c r="K2237">
        <f>WEEKNUM(orders[[#This Row],[Order Date]])</f>
        <v>13</v>
      </c>
      <c r="L2237" t="str" cm="1">
        <f t="array" ref="L2237">_xlfn.IFS(orders[[#This Row],[Customer Gender]]="M","Male", orders[[#This Row],[Customer Gender]]="F","Female", orders[[#This Row],[Customer Gender]]="O","Other", TRUE,"Unknown")</f>
        <v>Unknown</v>
      </c>
      <c r="M2237">
        <v>2</v>
      </c>
      <c r="N2237">
        <v>20.3</v>
      </c>
      <c r="O2237">
        <v>40.6</v>
      </c>
    </row>
    <row r="2238" spans="1:15" x14ac:dyDescent="0.3">
      <c r="A2238" t="s">
        <v>2338</v>
      </c>
      <c r="B2238" t="s">
        <v>25</v>
      </c>
      <c r="C2238" s="7">
        <v>45740</v>
      </c>
      <c r="D2238" s="7">
        <v>45741</v>
      </c>
      <c r="E2238" t="s">
        <v>26</v>
      </c>
      <c r="F2238" t="s">
        <v>17</v>
      </c>
      <c r="G2238">
        <v>5</v>
      </c>
      <c r="H2238" t="s">
        <v>18</v>
      </c>
      <c r="I2238" t="s">
        <v>76</v>
      </c>
      <c r="J2238">
        <f>orders[[#This Row],[Ship Date]]-orders[[#This Row],[Order Date]]</f>
        <v>1</v>
      </c>
      <c r="K2238">
        <f>WEEKNUM(orders[[#This Row],[Order Date]])</f>
        <v>13</v>
      </c>
      <c r="L2238" t="str" cm="1">
        <f t="array" ref="L2238">_xlfn.IFS(orders[[#This Row],[Customer Gender]]="M","Male", orders[[#This Row],[Customer Gender]]="F","Female", orders[[#This Row],[Customer Gender]]="O","Other", TRUE,"Unknown")</f>
        <v>Female</v>
      </c>
      <c r="M2238">
        <v>3</v>
      </c>
      <c r="N2238">
        <v>94.4</v>
      </c>
      <c r="O2238" s="5">
        <v>283.20000000000005</v>
      </c>
    </row>
    <row r="2239" spans="1:15" x14ac:dyDescent="0.3">
      <c r="A2239" t="s">
        <v>2339</v>
      </c>
      <c r="B2239" t="s">
        <v>45</v>
      </c>
      <c r="C2239" s="7">
        <v>45740</v>
      </c>
      <c r="D2239" s="7">
        <v>45742</v>
      </c>
      <c r="E2239" t="s">
        <v>26</v>
      </c>
      <c r="F2239" t="s">
        <v>17</v>
      </c>
      <c r="G2239">
        <v>5</v>
      </c>
      <c r="H2239" t="s">
        <v>18</v>
      </c>
      <c r="I2239" t="s">
        <v>112</v>
      </c>
      <c r="J2239">
        <f>orders[[#This Row],[Ship Date]]-orders[[#This Row],[Order Date]]</f>
        <v>2</v>
      </c>
      <c r="K2239">
        <f>WEEKNUM(orders[[#This Row],[Order Date]])</f>
        <v>13</v>
      </c>
      <c r="L2239" t="str" cm="1">
        <f t="array" ref="L2239">_xlfn.IFS(orders[[#This Row],[Customer Gender]]="M","Male", orders[[#This Row],[Customer Gender]]="F","Female", orders[[#This Row],[Customer Gender]]="O","Other", TRUE,"Unknown")</f>
        <v>Female</v>
      </c>
      <c r="M2239">
        <v>1</v>
      </c>
      <c r="N2239">
        <v>49</v>
      </c>
      <c r="O2239">
        <v>49</v>
      </c>
    </row>
    <row r="2240" spans="1:15" x14ac:dyDescent="0.3">
      <c r="A2240" t="s">
        <v>2340</v>
      </c>
      <c r="B2240" t="s">
        <v>31</v>
      </c>
      <c r="C2240" s="7">
        <v>45740</v>
      </c>
      <c r="D2240" s="7">
        <v>45742</v>
      </c>
      <c r="E2240" t="s">
        <v>22</v>
      </c>
      <c r="F2240" t="s">
        <v>17</v>
      </c>
      <c r="G2240">
        <v>5</v>
      </c>
      <c r="H2240" t="s">
        <v>18</v>
      </c>
      <c r="I2240" t="s">
        <v>23</v>
      </c>
      <c r="J2240">
        <f>orders[[#This Row],[Ship Date]]-orders[[#This Row],[Order Date]]</f>
        <v>2</v>
      </c>
      <c r="K2240">
        <f>WEEKNUM(orders[[#This Row],[Order Date]])</f>
        <v>13</v>
      </c>
      <c r="L2240" t="str" cm="1">
        <f t="array" ref="L2240">_xlfn.IFS(orders[[#This Row],[Customer Gender]]="M","Male", orders[[#This Row],[Customer Gender]]="F","Female", orders[[#This Row],[Customer Gender]]="O","Other", TRUE,"Unknown")</f>
        <v>Male</v>
      </c>
      <c r="M2240">
        <v>2</v>
      </c>
      <c r="N2240">
        <v>27.2</v>
      </c>
      <c r="O2240" s="5">
        <v>54.4</v>
      </c>
    </row>
    <row r="2241" spans="1:15" x14ac:dyDescent="0.3">
      <c r="A2241" t="s">
        <v>2341</v>
      </c>
      <c r="B2241" t="s">
        <v>25</v>
      </c>
      <c r="C2241" s="7">
        <v>45740</v>
      </c>
      <c r="D2241" s="7">
        <v>45741</v>
      </c>
      <c r="E2241" t="s">
        <v>26</v>
      </c>
      <c r="F2241" t="s">
        <v>17</v>
      </c>
      <c r="G2241">
        <v>5</v>
      </c>
      <c r="H2241" t="s">
        <v>18</v>
      </c>
      <c r="I2241" t="s">
        <v>27</v>
      </c>
      <c r="J2241">
        <f>orders[[#This Row],[Ship Date]]-orders[[#This Row],[Order Date]]</f>
        <v>1</v>
      </c>
      <c r="K2241">
        <f>WEEKNUM(orders[[#This Row],[Order Date]])</f>
        <v>13</v>
      </c>
      <c r="L2241" t="str" cm="1">
        <f t="array" ref="L2241">_xlfn.IFS(orders[[#This Row],[Customer Gender]]="M","Male", orders[[#This Row],[Customer Gender]]="F","Female", orders[[#This Row],[Customer Gender]]="O","Other", TRUE,"Unknown")</f>
        <v>Female</v>
      </c>
      <c r="M2241">
        <v>6</v>
      </c>
      <c r="N2241">
        <v>72.599999999999994</v>
      </c>
      <c r="O2241">
        <v>435.59999999999997</v>
      </c>
    </row>
    <row r="2242" spans="1:15" x14ac:dyDescent="0.3">
      <c r="A2242" t="s">
        <v>2342</v>
      </c>
      <c r="B2242" t="s">
        <v>122</v>
      </c>
      <c r="C2242" s="7">
        <v>45740</v>
      </c>
      <c r="D2242" s="7">
        <v>45741</v>
      </c>
      <c r="E2242" t="s">
        <v>26</v>
      </c>
      <c r="F2242" t="s">
        <v>17</v>
      </c>
      <c r="G2242">
        <v>4</v>
      </c>
      <c r="H2242" t="s">
        <v>18</v>
      </c>
      <c r="I2242" t="s">
        <v>32</v>
      </c>
      <c r="J2242">
        <f>orders[[#This Row],[Ship Date]]-orders[[#This Row],[Order Date]]</f>
        <v>1</v>
      </c>
      <c r="K2242">
        <f>WEEKNUM(orders[[#This Row],[Order Date]])</f>
        <v>13</v>
      </c>
      <c r="L2242" t="str" cm="1">
        <f t="array" ref="L2242">_xlfn.IFS(orders[[#This Row],[Customer Gender]]="M","Male", orders[[#This Row],[Customer Gender]]="F","Female", orders[[#This Row],[Customer Gender]]="O","Other", TRUE,"Unknown")</f>
        <v>Female</v>
      </c>
      <c r="M2242">
        <v>4</v>
      </c>
      <c r="N2242">
        <v>62.4</v>
      </c>
      <c r="O2242" s="5">
        <v>249.6</v>
      </c>
    </row>
    <row r="2243" spans="1:15" x14ac:dyDescent="0.3">
      <c r="A2243" t="s">
        <v>2343</v>
      </c>
      <c r="B2243" t="s">
        <v>43</v>
      </c>
      <c r="C2243" s="7">
        <v>45740</v>
      </c>
      <c r="D2243" s="7">
        <v>45742</v>
      </c>
      <c r="E2243" t="s">
        <v>22</v>
      </c>
      <c r="F2243" t="s">
        <v>17</v>
      </c>
      <c r="G2243">
        <v>3</v>
      </c>
      <c r="H2243" t="s">
        <v>18</v>
      </c>
      <c r="I2243" t="s">
        <v>32</v>
      </c>
      <c r="J2243">
        <f>orders[[#This Row],[Ship Date]]-orders[[#This Row],[Order Date]]</f>
        <v>2</v>
      </c>
      <c r="K2243">
        <f>WEEKNUM(orders[[#This Row],[Order Date]])</f>
        <v>13</v>
      </c>
      <c r="L2243" t="str" cm="1">
        <f t="array" ref="L2243">_xlfn.IFS(orders[[#This Row],[Customer Gender]]="M","Male", orders[[#This Row],[Customer Gender]]="F","Female", orders[[#This Row],[Customer Gender]]="O","Other", TRUE,"Unknown")</f>
        <v>Male</v>
      </c>
      <c r="M2243">
        <v>3</v>
      </c>
      <c r="N2243">
        <v>19.100000000000001</v>
      </c>
      <c r="O2243">
        <v>57.300000000000004</v>
      </c>
    </row>
    <row r="2244" spans="1:15" x14ac:dyDescent="0.3">
      <c r="A2244" t="s">
        <v>2344</v>
      </c>
      <c r="B2244" t="s">
        <v>53</v>
      </c>
      <c r="C2244" s="7">
        <v>45740</v>
      </c>
      <c r="D2244" s="7">
        <v>45744</v>
      </c>
      <c r="E2244" t="s">
        <v>22</v>
      </c>
      <c r="F2244" t="s">
        <v>17</v>
      </c>
      <c r="G2244">
        <v>2</v>
      </c>
      <c r="H2244" t="s">
        <v>18</v>
      </c>
      <c r="I2244" t="s">
        <v>32</v>
      </c>
      <c r="J2244">
        <f>orders[[#This Row],[Ship Date]]-orders[[#This Row],[Order Date]]</f>
        <v>4</v>
      </c>
      <c r="K2244">
        <f>WEEKNUM(orders[[#This Row],[Order Date]])</f>
        <v>13</v>
      </c>
      <c r="L2244" t="str" cm="1">
        <f t="array" ref="L2244">_xlfn.IFS(orders[[#This Row],[Customer Gender]]="M","Male", orders[[#This Row],[Customer Gender]]="F","Female", orders[[#This Row],[Customer Gender]]="O","Other", TRUE,"Unknown")</f>
        <v>Male</v>
      </c>
      <c r="M2244">
        <v>1</v>
      </c>
      <c r="N2244">
        <v>29.6</v>
      </c>
      <c r="O2244" s="5">
        <v>29.6</v>
      </c>
    </row>
    <row r="2245" spans="1:15" x14ac:dyDescent="0.3">
      <c r="A2245" t="s">
        <v>2345</v>
      </c>
      <c r="B2245" t="s">
        <v>43</v>
      </c>
      <c r="C2245" s="7">
        <v>45740</v>
      </c>
      <c r="D2245" s="7">
        <v>45742</v>
      </c>
      <c r="E2245" t="s">
        <v>26</v>
      </c>
      <c r="F2245" t="s">
        <v>69</v>
      </c>
      <c r="G2245">
        <v>5</v>
      </c>
      <c r="H2245" t="s">
        <v>18</v>
      </c>
      <c r="I2245" t="s">
        <v>32</v>
      </c>
      <c r="J2245">
        <f>orders[[#This Row],[Ship Date]]-orders[[#This Row],[Order Date]]</f>
        <v>2</v>
      </c>
      <c r="K2245">
        <f>WEEKNUM(orders[[#This Row],[Order Date]])</f>
        <v>13</v>
      </c>
      <c r="L2245" t="str" cm="1">
        <f t="array" ref="L2245">_xlfn.IFS(orders[[#This Row],[Customer Gender]]="M","Male", orders[[#This Row],[Customer Gender]]="F","Female", orders[[#This Row],[Customer Gender]]="O","Other", TRUE,"Unknown")</f>
        <v>Female</v>
      </c>
      <c r="M2245">
        <v>2</v>
      </c>
      <c r="N2245">
        <v>18.899999999999999</v>
      </c>
      <c r="O2245">
        <v>37.799999999999997</v>
      </c>
    </row>
    <row r="2246" spans="1:15" x14ac:dyDescent="0.3">
      <c r="A2246" t="s">
        <v>2346</v>
      </c>
      <c r="B2246" t="s">
        <v>53</v>
      </c>
      <c r="C2246" s="7">
        <v>45740</v>
      </c>
      <c r="D2246" s="7">
        <v>45741</v>
      </c>
      <c r="E2246" t="s">
        <v>22</v>
      </c>
      <c r="F2246" t="s">
        <v>50</v>
      </c>
      <c r="G2246">
        <v>4</v>
      </c>
      <c r="H2246" t="s">
        <v>18</v>
      </c>
      <c r="I2246" t="s">
        <v>32</v>
      </c>
      <c r="J2246">
        <f>orders[[#This Row],[Ship Date]]-orders[[#This Row],[Order Date]]</f>
        <v>1</v>
      </c>
      <c r="K2246">
        <f>WEEKNUM(orders[[#This Row],[Order Date]])</f>
        <v>13</v>
      </c>
      <c r="L2246" t="str" cm="1">
        <f t="array" ref="L2246">_xlfn.IFS(orders[[#This Row],[Customer Gender]]="M","Male", orders[[#This Row],[Customer Gender]]="F","Female", orders[[#This Row],[Customer Gender]]="O","Other", TRUE,"Unknown")</f>
        <v>Male</v>
      </c>
      <c r="M2246">
        <v>5</v>
      </c>
      <c r="N2246">
        <v>41.4</v>
      </c>
      <c r="O2246" s="5">
        <v>207</v>
      </c>
    </row>
    <row r="2247" spans="1:15" x14ac:dyDescent="0.3">
      <c r="A2247" t="s">
        <v>2347</v>
      </c>
      <c r="B2247" t="s">
        <v>25</v>
      </c>
      <c r="C2247" s="7">
        <v>45740</v>
      </c>
      <c r="D2247" s="7">
        <v>45741</v>
      </c>
      <c r="E2247" t="s">
        <v>26</v>
      </c>
      <c r="F2247" t="s">
        <v>17</v>
      </c>
      <c r="G2247">
        <v>5</v>
      </c>
      <c r="H2247" t="s">
        <v>18</v>
      </c>
      <c r="I2247" t="s">
        <v>32</v>
      </c>
      <c r="J2247">
        <f>orders[[#This Row],[Ship Date]]-orders[[#This Row],[Order Date]]</f>
        <v>1</v>
      </c>
      <c r="K2247">
        <f>WEEKNUM(orders[[#This Row],[Order Date]])</f>
        <v>13</v>
      </c>
      <c r="L2247" t="str" cm="1">
        <f t="array" ref="L2247">_xlfn.IFS(orders[[#This Row],[Customer Gender]]="M","Male", orders[[#This Row],[Customer Gender]]="F","Female", orders[[#This Row],[Customer Gender]]="O","Other", TRUE,"Unknown")</f>
        <v>Female</v>
      </c>
      <c r="M2247">
        <v>1</v>
      </c>
      <c r="N2247">
        <v>118.4</v>
      </c>
      <c r="O2247">
        <v>118.4</v>
      </c>
    </row>
    <row r="2248" spans="1:15" x14ac:dyDescent="0.3">
      <c r="A2248" t="s">
        <v>2348</v>
      </c>
      <c r="B2248" t="s">
        <v>25</v>
      </c>
      <c r="C2248" s="7">
        <v>45740</v>
      </c>
      <c r="D2248" s="7">
        <v>45743</v>
      </c>
      <c r="E2248" t="s">
        <v>26</v>
      </c>
      <c r="F2248" t="s">
        <v>17</v>
      </c>
      <c r="G2248">
        <v>5</v>
      </c>
      <c r="H2248" t="s">
        <v>18</v>
      </c>
      <c r="I2248" t="s">
        <v>32</v>
      </c>
      <c r="J2248">
        <f>orders[[#This Row],[Ship Date]]-orders[[#This Row],[Order Date]]</f>
        <v>3</v>
      </c>
      <c r="K2248">
        <f>WEEKNUM(orders[[#This Row],[Order Date]])</f>
        <v>13</v>
      </c>
      <c r="L2248" t="str" cm="1">
        <f t="array" ref="L2248">_xlfn.IFS(orders[[#This Row],[Customer Gender]]="M","Male", orders[[#This Row],[Customer Gender]]="F","Female", orders[[#This Row],[Customer Gender]]="O","Other", TRUE,"Unknown")</f>
        <v>Female</v>
      </c>
      <c r="M2248">
        <v>2</v>
      </c>
      <c r="N2248">
        <v>125.3</v>
      </c>
      <c r="O2248" s="5">
        <v>250.6</v>
      </c>
    </row>
    <row r="2249" spans="1:15" x14ac:dyDescent="0.3">
      <c r="A2249" t="s">
        <v>2349</v>
      </c>
      <c r="B2249" t="s">
        <v>29</v>
      </c>
      <c r="C2249" s="7">
        <v>45740</v>
      </c>
      <c r="D2249" s="7">
        <v>45741</v>
      </c>
      <c r="E2249" t="s">
        <v>26</v>
      </c>
      <c r="F2249" t="s">
        <v>34</v>
      </c>
      <c r="G2249">
        <v>2</v>
      </c>
      <c r="H2249" t="s">
        <v>18</v>
      </c>
      <c r="I2249" t="s">
        <v>32</v>
      </c>
      <c r="J2249">
        <f>orders[[#This Row],[Ship Date]]-orders[[#This Row],[Order Date]]</f>
        <v>1</v>
      </c>
      <c r="K2249">
        <f>WEEKNUM(orders[[#This Row],[Order Date]])</f>
        <v>13</v>
      </c>
      <c r="L2249" t="str" cm="1">
        <f t="array" ref="L2249">_xlfn.IFS(orders[[#This Row],[Customer Gender]]="M","Male", orders[[#This Row],[Customer Gender]]="F","Female", orders[[#This Row],[Customer Gender]]="O","Other", TRUE,"Unknown")</f>
        <v>Female</v>
      </c>
      <c r="M2249">
        <v>2</v>
      </c>
      <c r="N2249">
        <v>85.8</v>
      </c>
      <c r="O2249">
        <v>171.6</v>
      </c>
    </row>
    <row r="2250" spans="1:15" x14ac:dyDescent="0.3">
      <c r="A2250" t="s">
        <v>2350</v>
      </c>
      <c r="B2250" t="s">
        <v>38</v>
      </c>
      <c r="C2250" s="7">
        <v>45740</v>
      </c>
      <c r="D2250" s="7">
        <v>45743</v>
      </c>
      <c r="E2250" t="s">
        <v>22</v>
      </c>
      <c r="F2250" t="s">
        <v>34</v>
      </c>
      <c r="G2250">
        <v>4</v>
      </c>
      <c r="H2250" t="s">
        <v>18</v>
      </c>
      <c r="I2250" t="s">
        <v>32</v>
      </c>
      <c r="J2250">
        <f>orders[[#This Row],[Ship Date]]-orders[[#This Row],[Order Date]]</f>
        <v>3</v>
      </c>
      <c r="K2250">
        <f>WEEKNUM(orders[[#This Row],[Order Date]])</f>
        <v>13</v>
      </c>
      <c r="L2250" t="str" cm="1">
        <f t="array" ref="L2250">_xlfn.IFS(orders[[#This Row],[Customer Gender]]="M","Male", orders[[#This Row],[Customer Gender]]="F","Female", orders[[#This Row],[Customer Gender]]="O","Other", TRUE,"Unknown")</f>
        <v>Male</v>
      </c>
      <c r="M2250">
        <v>1</v>
      </c>
      <c r="N2250">
        <v>44.2</v>
      </c>
      <c r="O2250" s="5">
        <v>44.2</v>
      </c>
    </row>
    <row r="2251" spans="1:15" x14ac:dyDescent="0.3">
      <c r="A2251" t="s">
        <v>2351</v>
      </c>
      <c r="B2251" t="s">
        <v>36</v>
      </c>
      <c r="C2251" s="7">
        <v>45740</v>
      </c>
      <c r="D2251" s="7">
        <v>45742</v>
      </c>
      <c r="E2251" t="s">
        <v>26</v>
      </c>
      <c r="F2251" t="s">
        <v>17</v>
      </c>
      <c r="G2251">
        <v>4</v>
      </c>
      <c r="H2251" t="s">
        <v>18</v>
      </c>
      <c r="I2251" t="s">
        <v>32</v>
      </c>
      <c r="J2251">
        <f>orders[[#This Row],[Ship Date]]-orders[[#This Row],[Order Date]]</f>
        <v>2</v>
      </c>
      <c r="K2251">
        <f>WEEKNUM(orders[[#This Row],[Order Date]])</f>
        <v>13</v>
      </c>
      <c r="L2251" t="str" cm="1">
        <f t="array" ref="L2251">_xlfn.IFS(orders[[#This Row],[Customer Gender]]="M","Male", orders[[#This Row],[Customer Gender]]="F","Female", orders[[#This Row],[Customer Gender]]="O","Other", TRUE,"Unknown")</f>
        <v>Female</v>
      </c>
      <c r="M2251">
        <v>4</v>
      </c>
      <c r="N2251">
        <v>74.099999999999994</v>
      </c>
      <c r="O2251">
        <v>296.39999999999998</v>
      </c>
    </row>
    <row r="2252" spans="1:15" x14ac:dyDescent="0.3">
      <c r="A2252" t="s">
        <v>2352</v>
      </c>
      <c r="B2252" t="s">
        <v>43</v>
      </c>
      <c r="C2252" s="7">
        <v>45740</v>
      </c>
      <c r="D2252" s="7">
        <v>45741</v>
      </c>
      <c r="E2252" t="s">
        <v>26</v>
      </c>
      <c r="F2252" t="s">
        <v>39</v>
      </c>
      <c r="G2252">
        <v>5</v>
      </c>
      <c r="H2252" t="s">
        <v>18</v>
      </c>
      <c r="I2252" t="s">
        <v>185</v>
      </c>
      <c r="J2252">
        <f>orders[[#This Row],[Ship Date]]-orders[[#This Row],[Order Date]]</f>
        <v>1</v>
      </c>
      <c r="K2252">
        <f>WEEKNUM(orders[[#This Row],[Order Date]])</f>
        <v>13</v>
      </c>
      <c r="L2252" t="str" cm="1">
        <f t="array" ref="L2252">_xlfn.IFS(orders[[#This Row],[Customer Gender]]="M","Male", orders[[#This Row],[Customer Gender]]="F","Female", orders[[#This Row],[Customer Gender]]="O","Other", TRUE,"Unknown")</f>
        <v>Female</v>
      </c>
      <c r="M2252">
        <v>1</v>
      </c>
      <c r="N2252">
        <v>33.799999999999997</v>
      </c>
      <c r="O2252" s="5">
        <v>33.799999999999997</v>
      </c>
    </row>
    <row r="2253" spans="1:15" x14ac:dyDescent="0.3">
      <c r="A2253" t="s">
        <v>2353</v>
      </c>
      <c r="B2253" t="s">
        <v>21</v>
      </c>
      <c r="C2253" s="7">
        <v>45740</v>
      </c>
      <c r="D2253" s="7">
        <v>45741</v>
      </c>
      <c r="E2253" t="s">
        <v>22</v>
      </c>
      <c r="F2253" t="s">
        <v>17</v>
      </c>
      <c r="G2253">
        <v>3</v>
      </c>
      <c r="H2253" t="s">
        <v>18</v>
      </c>
      <c r="I2253" t="s">
        <v>185</v>
      </c>
      <c r="J2253">
        <f>orders[[#This Row],[Ship Date]]-orders[[#This Row],[Order Date]]</f>
        <v>1</v>
      </c>
      <c r="K2253">
        <f>WEEKNUM(orders[[#This Row],[Order Date]])</f>
        <v>13</v>
      </c>
      <c r="L2253" t="str" cm="1">
        <f t="array" ref="L2253">_xlfn.IFS(orders[[#This Row],[Customer Gender]]="M","Male", orders[[#This Row],[Customer Gender]]="F","Female", orders[[#This Row],[Customer Gender]]="O","Other", TRUE,"Unknown")</f>
        <v>Male</v>
      </c>
      <c r="M2253">
        <v>2</v>
      </c>
      <c r="N2253">
        <v>39.1</v>
      </c>
      <c r="O2253">
        <v>78.2</v>
      </c>
    </row>
    <row r="2254" spans="1:15" x14ac:dyDescent="0.3">
      <c r="A2254" t="s">
        <v>2354</v>
      </c>
      <c r="B2254" t="s">
        <v>16</v>
      </c>
      <c r="C2254" s="7">
        <v>45740</v>
      </c>
      <c r="D2254" s="7">
        <v>45741</v>
      </c>
      <c r="E2254" t="s">
        <v>22</v>
      </c>
      <c r="F2254" t="s">
        <v>17</v>
      </c>
      <c r="G2254">
        <v>3</v>
      </c>
      <c r="H2254" t="s">
        <v>18</v>
      </c>
      <c r="I2254" t="s">
        <v>97</v>
      </c>
      <c r="J2254">
        <f>orders[[#This Row],[Ship Date]]-orders[[#This Row],[Order Date]]</f>
        <v>1</v>
      </c>
      <c r="K2254">
        <f>WEEKNUM(orders[[#This Row],[Order Date]])</f>
        <v>13</v>
      </c>
      <c r="L2254" t="str" cm="1">
        <f t="array" ref="L2254">_xlfn.IFS(orders[[#This Row],[Customer Gender]]="M","Male", orders[[#This Row],[Customer Gender]]="F","Female", orders[[#This Row],[Customer Gender]]="O","Other", TRUE,"Unknown")</f>
        <v>Male</v>
      </c>
      <c r="M2254">
        <v>1</v>
      </c>
      <c r="N2254">
        <v>37.200000000000003</v>
      </c>
      <c r="O2254" s="5">
        <v>37.200000000000003</v>
      </c>
    </row>
    <row r="2255" spans="1:15" x14ac:dyDescent="0.3">
      <c r="A2255" t="s">
        <v>2355</v>
      </c>
      <c r="B2255" t="s">
        <v>122</v>
      </c>
      <c r="C2255" s="7">
        <v>45740</v>
      </c>
      <c r="D2255" s="7">
        <v>45742</v>
      </c>
      <c r="E2255" t="s">
        <v>22</v>
      </c>
      <c r="F2255" t="s">
        <v>39</v>
      </c>
      <c r="G2255">
        <v>4</v>
      </c>
      <c r="H2255" t="s">
        <v>18</v>
      </c>
      <c r="I2255" t="s">
        <v>54</v>
      </c>
      <c r="J2255">
        <f>orders[[#This Row],[Ship Date]]-orders[[#This Row],[Order Date]]</f>
        <v>2</v>
      </c>
      <c r="K2255">
        <f>WEEKNUM(orders[[#This Row],[Order Date]])</f>
        <v>13</v>
      </c>
      <c r="L2255" t="str" cm="1">
        <f t="array" ref="L2255">_xlfn.IFS(orders[[#This Row],[Customer Gender]]="M","Male", orders[[#This Row],[Customer Gender]]="F","Female", orders[[#This Row],[Customer Gender]]="O","Other", TRUE,"Unknown")</f>
        <v>Male</v>
      </c>
      <c r="M2255">
        <v>3</v>
      </c>
      <c r="N2255">
        <v>33.9</v>
      </c>
      <c r="O2255">
        <v>101.69999999999999</v>
      </c>
    </row>
    <row r="2256" spans="1:15" x14ac:dyDescent="0.3">
      <c r="A2256" t="s">
        <v>2356</v>
      </c>
      <c r="B2256" t="s">
        <v>41</v>
      </c>
      <c r="C2256" s="7">
        <v>45740</v>
      </c>
      <c r="D2256" s="7">
        <v>45743</v>
      </c>
      <c r="E2256" t="s">
        <v>26</v>
      </c>
      <c r="F2256" t="s">
        <v>39</v>
      </c>
      <c r="G2256">
        <v>3</v>
      </c>
      <c r="H2256" t="s">
        <v>18</v>
      </c>
      <c r="I2256" t="s">
        <v>61</v>
      </c>
      <c r="J2256">
        <f>orders[[#This Row],[Ship Date]]-orders[[#This Row],[Order Date]]</f>
        <v>3</v>
      </c>
      <c r="K2256">
        <f>WEEKNUM(orders[[#This Row],[Order Date]])</f>
        <v>13</v>
      </c>
      <c r="L2256" t="str" cm="1">
        <f t="array" ref="L2256">_xlfn.IFS(orders[[#This Row],[Customer Gender]]="M","Male", orders[[#This Row],[Customer Gender]]="F","Female", orders[[#This Row],[Customer Gender]]="O","Other", TRUE,"Unknown")</f>
        <v>Female</v>
      </c>
      <c r="M2256">
        <v>15</v>
      </c>
      <c r="N2256">
        <v>73.3</v>
      </c>
      <c r="O2256" s="5">
        <v>1099.5</v>
      </c>
    </row>
    <row r="2257" spans="1:15" x14ac:dyDescent="0.3">
      <c r="A2257" t="s">
        <v>2357</v>
      </c>
      <c r="B2257" t="s">
        <v>43</v>
      </c>
      <c r="C2257" s="7">
        <v>45740</v>
      </c>
      <c r="D2257" s="7">
        <v>45742</v>
      </c>
      <c r="E2257" t="s">
        <v>26</v>
      </c>
      <c r="F2257" t="s">
        <v>34</v>
      </c>
      <c r="G2257">
        <v>4</v>
      </c>
      <c r="H2257" t="s">
        <v>18</v>
      </c>
      <c r="I2257" t="s">
        <v>61</v>
      </c>
      <c r="J2257">
        <f>orders[[#This Row],[Ship Date]]-orders[[#This Row],[Order Date]]</f>
        <v>2</v>
      </c>
      <c r="K2257">
        <f>WEEKNUM(orders[[#This Row],[Order Date]])</f>
        <v>13</v>
      </c>
      <c r="L2257" t="str" cm="1">
        <f t="array" ref="L2257">_xlfn.IFS(orders[[#This Row],[Customer Gender]]="M","Male", orders[[#This Row],[Customer Gender]]="F","Female", orders[[#This Row],[Customer Gender]]="O","Other", TRUE,"Unknown")</f>
        <v>Female</v>
      </c>
      <c r="M2257">
        <v>4</v>
      </c>
      <c r="N2257">
        <v>35</v>
      </c>
      <c r="O2257">
        <v>140</v>
      </c>
    </row>
    <row r="2258" spans="1:15" x14ac:dyDescent="0.3">
      <c r="A2258" t="s">
        <v>2358</v>
      </c>
      <c r="B2258" t="s">
        <v>16</v>
      </c>
      <c r="C2258" s="7">
        <v>45740</v>
      </c>
      <c r="D2258" s="7">
        <v>45741</v>
      </c>
      <c r="E2258" t="s">
        <v>22</v>
      </c>
      <c r="F2258" t="s">
        <v>34</v>
      </c>
      <c r="G2258">
        <v>4</v>
      </c>
      <c r="H2258" t="s">
        <v>18</v>
      </c>
      <c r="I2258" t="s">
        <v>102</v>
      </c>
      <c r="J2258">
        <f>orders[[#This Row],[Ship Date]]-orders[[#This Row],[Order Date]]</f>
        <v>1</v>
      </c>
      <c r="K2258">
        <f>WEEKNUM(orders[[#This Row],[Order Date]])</f>
        <v>13</v>
      </c>
      <c r="L2258" t="str" cm="1">
        <f t="array" ref="L2258">_xlfn.IFS(orders[[#This Row],[Customer Gender]]="M","Male", orders[[#This Row],[Customer Gender]]="F","Female", orders[[#This Row],[Customer Gender]]="O","Other", TRUE,"Unknown")</f>
        <v>Male</v>
      </c>
      <c r="M2258">
        <v>3</v>
      </c>
      <c r="N2258">
        <v>22.2</v>
      </c>
      <c r="O2258" s="5">
        <v>66.599999999999994</v>
      </c>
    </row>
    <row r="2259" spans="1:15" x14ac:dyDescent="0.3">
      <c r="A2259" t="s">
        <v>2359</v>
      </c>
      <c r="B2259" t="s">
        <v>53</v>
      </c>
      <c r="C2259" s="7">
        <v>45740</v>
      </c>
      <c r="D2259" s="7">
        <v>45741</v>
      </c>
      <c r="E2259" t="s">
        <v>26</v>
      </c>
      <c r="F2259" t="s">
        <v>17</v>
      </c>
      <c r="G2259">
        <v>4</v>
      </c>
      <c r="H2259" t="s">
        <v>18</v>
      </c>
      <c r="I2259" t="s">
        <v>76</v>
      </c>
      <c r="J2259">
        <f>orders[[#This Row],[Ship Date]]-orders[[#This Row],[Order Date]]</f>
        <v>1</v>
      </c>
      <c r="K2259">
        <f>WEEKNUM(orders[[#This Row],[Order Date]])</f>
        <v>13</v>
      </c>
      <c r="L2259" t="str" cm="1">
        <f t="array" ref="L2259">_xlfn.IFS(orders[[#This Row],[Customer Gender]]="M","Male", orders[[#This Row],[Customer Gender]]="F","Female", orders[[#This Row],[Customer Gender]]="O","Other", TRUE,"Unknown")</f>
        <v>Female</v>
      </c>
      <c r="M2259">
        <v>1</v>
      </c>
      <c r="N2259">
        <v>32.4</v>
      </c>
      <c r="O2259">
        <v>32.4</v>
      </c>
    </row>
    <row r="2260" spans="1:15" x14ac:dyDescent="0.3">
      <c r="A2260" t="s">
        <v>2360</v>
      </c>
      <c r="B2260" t="s">
        <v>36</v>
      </c>
      <c r="C2260" s="7">
        <v>45741</v>
      </c>
      <c r="D2260" s="7">
        <v>45743</v>
      </c>
      <c r="E2260" t="s">
        <v>26</v>
      </c>
      <c r="F2260" t="s">
        <v>34</v>
      </c>
      <c r="G2260">
        <v>3</v>
      </c>
      <c r="H2260" t="s">
        <v>18</v>
      </c>
      <c r="I2260" t="s">
        <v>76</v>
      </c>
      <c r="J2260">
        <f>orders[[#This Row],[Ship Date]]-orders[[#This Row],[Order Date]]</f>
        <v>2</v>
      </c>
      <c r="K2260">
        <f>WEEKNUM(orders[[#This Row],[Order Date]])</f>
        <v>13</v>
      </c>
      <c r="L2260" t="str" cm="1">
        <f t="array" ref="L2260">_xlfn.IFS(orders[[#This Row],[Customer Gender]]="M","Male", orders[[#This Row],[Customer Gender]]="F","Female", orders[[#This Row],[Customer Gender]]="O","Other", TRUE,"Unknown")</f>
        <v>Female</v>
      </c>
      <c r="M2260">
        <v>3</v>
      </c>
      <c r="N2260">
        <v>88.4</v>
      </c>
      <c r="O2260" s="5">
        <v>265.20000000000005</v>
      </c>
    </row>
    <row r="2261" spans="1:15" x14ac:dyDescent="0.3">
      <c r="A2261" t="s">
        <v>2361</v>
      </c>
      <c r="B2261" t="s">
        <v>36</v>
      </c>
      <c r="C2261" s="7">
        <v>45741</v>
      </c>
      <c r="D2261" s="7">
        <v>45742</v>
      </c>
      <c r="E2261" t="s">
        <v>26</v>
      </c>
      <c r="F2261" t="s">
        <v>39</v>
      </c>
      <c r="G2261">
        <v>4</v>
      </c>
      <c r="H2261" t="s">
        <v>18</v>
      </c>
      <c r="I2261" t="s">
        <v>76</v>
      </c>
      <c r="J2261">
        <f>orders[[#This Row],[Ship Date]]-orders[[#This Row],[Order Date]]</f>
        <v>1</v>
      </c>
      <c r="K2261">
        <f>WEEKNUM(orders[[#This Row],[Order Date]])</f>
        <v>13</v>
      </c>
      <c r="L2261" t="str" cm="1">
        <f t="array" ref="L2261">_xlfn.IFS(orders[[#This Row],[Customer Gender]]="M","Male", orders[[#This Row],[Customer Gender]]="F","Female", orders[[#This Row],[Customer Gender]]="O","Other", TRUE,"Unknown")</f>
        <v>Female</v>
      </c>
      <c r="M2261">
        <v>16</v>
      </c>
      <c r="N2261">
        <v>30.5</v>
      </c>
      <c r="O2261">
        <v>488</v>
      </c>
    </row>
    <row r="2262" spans="1:15" x14ac:dyDescent="0.3">
      <c r="A2262" t="s">
        <v>2362</v>
      </c>
      <c r="B2262" t="s">
        <v>21</v>
      </c>
      <c r="C2262" s="7">
        <v>45741</v>
      </c>
      <c r="D2262" s="7">
        <v>45743</v>
      </c>
      <c r="E2262" t="s">
        <v>26</v>
      </c>
      <c r="F2262" t="s">
        <v>17</v>
      </c>
      <c r="G2262">
        <v>3</v>
      </c>
      <c r="H2262" t="s">
        <v>18</v>
      </c>
      <c r="I2262" t="s">
        <v>76</v>
      </c>
      <c r="J2262">
        <f>orders[[#This Row],[Ship Date]]-orders[[#This Row],[Order Date]]</f>
        <v>2</v>
      </c>
      <c r="K2262">
        <f>WEEKNUM(orders[[#This Row],[Order Date]])</f>
        <v>13</v>
      </c>
      <c r="L2262" t="str" cm="1">
        <f t="array" ref="L2262">_xlfn.IFS(orders[[#This Row],[Customer Gender]]="M","Male", orders[[#This Row],[Customer Gender]]="F","Female", orders[[#This Row],[Customer Gender]]="O","Other", TRUE,"Unknown")</f>
        <v>Female</v>
      </c>
      <c r="M2262">
        <v>6</v>
      </c>
      <c r="N2262">
        <v>38.1</v>
      </c>
      <c r="O2262" s="5">
        <v>228.60000000000002</v>
      </c>
    </row>
    <row r="2263" spans="1:15" x14ac:dyDescent="0.3">
      <c r="A2263" t="s">
        <v>2363</v>
      </c>
      <c r="B2263" t="s">
        <v>53</v>
      </c>
      <c r="C2263" s="7">
        <v>45741</v>
      </c>
      <c r="D2263" s="7">
        <v>45745</v>
      </c>
      <c r="E2263" t="s">
        <v>22</v>
      </c>
      <c r="F2263" t="s">
        <v>17</v>
      </c>
      <c r="G2263">
        <v>4</v>
      </c>
      <c r="H2263" t="s">
        <v>18</v>
      </c>
      <c r="I2263" t="s">
        <v>76</v>
      </c>
      <c r="J2263">
        <f>orders[[#This Row],[Ship Date]]-orders[[#This Row],[Order Date]]</f>
        <v>4</v>
      </c>
      <c r="K2263">
        <f>WEEKNUM(orders[[#This Row],[Order Date]])</f>
        <v>13</v>
      </c>
      <c r="L2263" t="str" cm="1">
        <f t="array" ref="L2263">_xlfn.IFS(orders[[#This Row],[Customer Gender]]="M","Male", orders[[#This Row],[Customer Gender]]="F","Female", orders[[#This Row],[Customer Gender]]="O","Other", TRUE,"Unknown")</f>
        <v>Male</v>
      </c>
      <c r="M2263">
        <v>5</v>
      </c>
      <c r="N2263">
        <v>37.6</v>
      </c>
      <c r="O2263">
        <v>188</v>
      </c>
    </row>
    <row r="2264" spans="1:15" x14ac:dyDescent="0.3">
      <c r="A2264" t="s">
        <v>2364</v>
      </c>
      <c r="B2264" t="s">
        <v>122</v>
      </c>
      <c r="C2264" s="7">
        <v>45741</v>
      </c>
      <c r="D2264" s="7">
        <v>45742</v>
      </c>
      <c r="E2264" t="s">
        <v>22</v>
      </c>
      <c r="F2264" t="s">
        <v>17</v>
      </c>
      <c r="G2264">
        <v>5</v>
      </c>
      <c r="H2264" t="s">
        <v>18</v>
      </c>
      <c r="I2264" t="s">
        <v>76</v>
      </c>
      <c r="J2264">
        <f>orders[[#This Row],[Ship Date]]-orders[[#This Row],[Order Date]]</f>
        <v>1</v>
      </c>
      <c r="K2264">
        <f>WEEKNUM(orders[[#This Row],[Order Date]])</f>
        <v>13</v>
      </c>
      <c r="L2264" t="str" cm="1">
        <f t="array" ref="L2264">_xlfn.IFS(orders[[#This Row],[Customer Gender]]="M","Male", orders[[#This Row],[Customer Gender]]="F","Female", orders[[#This Row],[Customer Gender]]="O","Other", TRUE,"Unknown")</f>
        <v>Male</v>
      </c>
      <c r="M2264">
        <v>2</v>
      </c>
      <c r="N2264">
        <v>31.4</v>
      </c>
      <c r="O2264" s="5">
        <v>62.8</v>
      </c>
    </row>
    <row r="2265" spans="1:15" x14ac:dyDescent="0.3">
      <c r="A2265" t="s">
        <v>2365</v>
      </c>
      <c r="B2265" t="s">
        <v>38</v>
      </c>
      <c r="C2265" s="7">
        <v>45741</v>
      </c>
      <c r="D2265" s="7">
        <v>45742</v>
      </c>
      <c r="E2265" t="s">
        <v>22</v>
      </c>
      <c r="F2265" t="s">
        <v>50</v>
      </c>
      <c r="G2265">
        <v>4</v>
      </c>
      <c r="H2265" t="s">
        <v>18</v>
      </c>
      <c r="I2265" t="s">
        <v>291</v>
      </c>
      <c r="J2265">
        <f>orders[[#This Row],[Ship Date]]-orders[[#This Row],[Order Date]]</f>
        <v>1</v>
      </c>
      <c r="K2265">
        <f>WEEKNUM(orders[[#This Row],[Order Date]])</f>
        <v>13</v>
      </c>
      <c r="L2265" t="str" cm="1">
        <f t="array" ref="L2265">_xlfn.IFS(orders[[#This Row],[Customer Gender]]="M","Male", orders[[#This Row],[Customer Gender]]="F","Female", orders[[#This Row],[Customer Gender]]="O","Other", TRUE,"Unknown")</f>
        <v>Male</v>
      </c>
      <c r="M2265">
        <v>2</v>
      </c>
      <c r="N2265">
        <v>61.5</v>
      </c>
      <c r="O2265">
        <v>123</v>
      </c>
    </row>
    <row r="2266" spans="1:15" x14ac:dyDescent="0.3">
      <c r="A2266" t="s">
        <v>2366</v>
      </c>
      <c r="B2266" t="s">
        <v>38</v>
      </c>
      <c r="C2266" s="7">
        <v>45741</v>
      </c>
      <c r="D2266" s="7">
        <v>45742</v>
      </c>
      <c r="E2266" t="s">
        <v>22</v>
      </c>
      <c r="F2266" t="s">
        <v>17</v>
      </c>
      <c r="G2266">
        <v>3</v>
      </c>
      <c r="H2266" t="s">
        <v>18</v>
      </c>
      <c r="I2266" t="s">
        <v>114</v>
      </c>
      <c r="J2266">
        <f>orders[[#This Row],[Ship Date]]-orders[[#This Row],[Order Date]]</f>
        <v>1</v>
      </c>
      <c r="K2266">
        <f>WEEKNUM(orders[[#This Row],[Order Date]])</f>
        <v>13</v>
      </c>
      <c r="L2266" t="str" cm="1">
        <f t="array" ref="L2266">_xlfn.IFS(orders[[#This Row],[Customer Gender]]="M","Male", orders[[#This Row],[Customer Gender]]="F","Female", orders[[#This Row],[Customer Gender]]="O","Other", TRUE,"Unknown")</f>
        <v>Male</v>
      </c>
      <c r="M2266">
        <v>1</v>
      </c>
      <c r="N2266">
        <v>72.599999999999994</v>
      </c>
      <c r="O2266" s="5">
        <v>72.599999999999994</v>
      </c>
    </row>
    <row r="2267" spans="1:15" x14ac:dyDescent="0.3">
      <c r="A2267" t="s">
        <v>2367</v>
      </c>
      <c r="B2267" t="s">
        <v>45</v>
      </c>
      <c r="C2267" s="7">
        <v>45741</v>
      </c>
      <c r="D2267" s="7">
        <v>45746</v>
      </c>
      <c r="E2267" t="s">
        <v>88</v>
      </c>
      <c r="F2267" t="s">
        <v>69</v>
      </c>
      <c r="G2267">
        <v>3</v>
      </c>
      <c r="H2267" t="s">
        <v>18</v>
      </c>
      <c r="I2267" t="s">
        <v>640</v>
      </c>
      <c r="J2267">
        <f>orders[[#This Row],[Ship Date]]-orders[[#This Row],[Order Date]]</f>
        <v>5</v>
      </c>
      <c r="K2267">
        <f>WEEKNUM(orders[[#This Row],[Order Date]])</f>
        <v>13</v>
      </c>
      <c r="L2267" t="str" cm="1">
        <f t="array" ref="L2267">_xlfn.IFS(orders[[#This Row],[Customer Gender]]="M","Male", orders[[#This Row],[Customer Gender]]="F","Female", orders[[#This Row],[Customer Gender]]="O","Other", TRUE,"Unknown")</f>
        <v>Other</v>
      </c>
      <c r="M2267">
        <v>3</v>
      </c>
      <c r="N2267">
        <v>26.9</v>
      </c>
      <c r="O2267">
        <v>80.699999999999989</v>
      </c>
    </row>
    <row r="2268" spans="1:15" x14ac:dyDescent="0.3">
      <c r="A2268" t="s">
        <v>2368</v>
      </c>
      <c r="B2268" t="s">
        <v>134</v>
      </c>
      <c r="C2268" s="7">
        <v>45741</v>
      </c>
      <c r="D2268" s="7">
        <v>45742</v>
      </c>
      <c r="E2268" t="s">
        <v>26</v>
      </c>
      <c r="F2268" t="s">
        <v>34</v>
      </c>
      <c r="G2268">
        <v>4</v>
      </c>
      <c r="H2268" t="s">
        <v>18</v>
      </c>
      <c r="I2268" t="s">
        <v>966</v>
      </c>
      <c r="J2268">
        <f>orders[[#This Row],[Ship Date]]-orders[[#This Row],[Order Date]]</f>
        <v>1</v>
      </c>
      <c r="K2268">
        <f>WEEKNUM(orders[[#This Row],[Order Date]])</f>
        <v>13</v>
      </c>
      <c r="L2268" t="str" cm="1">
        <f t="array" ref="L2268">_xlfn.IFS(orders[[#This Row],[Customer Gender]]="M","Male", orders[[#This Row],[Customer Gender]]="F","Female", orders[[#This Row],[Customer Gender]]="O","Other", TRUE,"Unknown")</f>
        <v>Female</v>
      </c>
      <c r="M2268">
        <v>12</v>
      </c>
      <c r="N2268">
        <v>29.4</v>
      </c>
      <c r="O2268" s="5">
        <v>352.79999999999995</v>
      </c>
    </row>
    <row r="2269" spans="1:15" x14ac:dyDescent="0.3">
      <c r="A2269" t="s">
        <v>2369</v>
      </c>
      <c r="B2269" t="s">
        <v>134</v>
      </c>
      <c r="C2269" s="7">
        <v>45741</v>
      </c>
      <c r="D2269" s="7">
        <v>45742</v>
      </c>
      <c r="E2269" t="s">
        <v>26</v>
      </c>
      <c r="F2269" t="s">
        <v>50</v>
      </c>
      <c r="G2269">
        <v>3</v>
      </c>
      <c r="H2269" t="s">
        <v>18</v>
      </c>
      <c r="I2269" t="s">
        <v>23</v>
      </c>
      <c r="J2269">
        <f>orders[[#This Row],[Ship Date]]-orders[[#This Row],[Order Date]]</f>
        <v>1</v>
      </c>
      <c r="K2269">
        <f>WEEKNUM(orders[[#This Row],[Order Date]])</f>
        <v>13</v>
      </c>
      <c r="L2269" t="str" cm="1">
        <f t="array" ref="L2269">_xlfn.IFS(orders[[#This Row],[Customer Gender]]="M","Male", orders[[#This Row],[Customer Gender]]="F","Female", orders[[#This Row],[Customer Gender]]="O","Other", TRUE,"Unknown")</f>
        <v>Female</v>
      </c>
      <c r="M2269">
        <v>2</v>
      </c>
      <c r="N2269">
        <v>42.1</v>
      </c>
      <c r="O2269">
        <v>84.2</v>
      </c>
    </row>
    <row r="2270" spans="1:15" x14ac:dyDescent="0.3">
      <c r="A2270" t="s">
        <v>2370</v>
      </c>
      <c r="B2270" t="s">
        <v>36</v>
      </c>
      <c r="C2270" s="7">
        <v>45741</v>
      </c>
      <c r="D2270" s="7">
        <v>45742</v>
      </c>
      <c r="E2270" t="s">
        <v>26</v>
      </c>
      <c r="F2270" t="s">
        <v>39</v>
      </c>
      <c r="G2270">
        <v>3</v>
      </c>
      <c r="H2270" t="s">
        <v>18</v>
      </c>
      <c r="I2270" t="s">
        <v>23</v>
      </c>
      <c r="J2270">
        <f>orders[[#This Row],[Ship Date]]-orders[[#This Row],[Order Date]]</f>
        <v>1</v>
      </c>
      <c r="K2270">
        <f>WEEKNUM(orders[[#This Row],[Order Date]])</f>
        <v>13</v>
      </c>
      <c r="L2270" t="str" cm="1">
        <f t="array" ref="L2270">_xlfn.IFS(orders[[#This Row],[Customer Gender]]="M","Male", orders[[#This Row],[Customer Gender]]="F","Female", orders[[#This Row],[Customer Gender]]="O","Other", TRUE,"Unknown")</f>
        <v>Female</v>
      </c>
      <c r="M2270">
        <v>1</v>
      </c>
      <c r="N2270">
        <v>40.5</v>
      </c>
      <c r="O2270" s="5">
        <v>40.5</v>
      </c>
    </row>
    <row r="2271" spans="1:15" x14ac:dyDescent="0.3">
      <c r="A2271" t="s">
        <v>2371</v>
      </c>
      <c r="B2271" t="s">
        <v>25</v>
      </c>
      <c r="C2271" s="7">
        <v>45741</v>
      </c>
      <c r="D2271" s="7">
        <v>45742</v>
      </c>
      <c r="E2271" t="s">
        <v>26</v>
      </c>
      <c r="F2271" t="s">
        <v>34</v>
      </c>
      <c r="G2271">
        <v>4</v>
      </c>
      <c r="H2271" t="s">
        <v>18</v>
      </c>
      <c r="I2271" t="s">
        <v>23</v>
      </c>
      <c r="J2271">
        <f>orders[[#This Row],[Ship Date]]-orders[[#This Row],[Order Date]]</f>
        <v>1</v>
      </c>
      <c r="K2271">
        <f>WEEKNUM(orders[[#This Row],[Order Date]])</f>
        <v>13</v>
      </c>
      <c r="L2271" t="str" cm="1">
        <f t="array" ref="L2271">_xlfn.IFS(orders[[#This Row],[Customer Gender]]="M","Male", orders[[#This Row],[Customer Gender]]="F","Female", orders[[#This Row],[Customer Gender]]="O","Other", TRUE,"Unknown")</f>
        <v>Female</v>
      </c>
      <c r="M2271">
        <v>4</v>
      </c>
      <c r="N2271">
        <v>182.3</v>
      </c>
      <c r="O2271">
        <v>729.2</v>
      </c>
    </row>
    <row r="2272" spans="1:15" x14ac:dyDescent="0.3">
      <c r="A2272" t="s">
        <v>2372</v>
      </c>
      <c r="B2272" t="s">
        <v>25</v>
      </c>
      <c r="C2272" s="7">
        <v>45741</v>
      </c>
      <c r="D2272" s="7">
        <v>45744</v>
      </c>
      <c r="E2272" t="s">
        <v>26</v>
      </c>
      <c r="F2272" t="s">
        <v>34</v>
      </c>
      <c r="G2272">
        <v>5</v>
      </c>
      <c r="H2272" t="s">
        <v>18</v>
      </c>
      <c r="I2272" t="s">
        <v>27</v>
      </c>
      <c r="J2272">
        <f>orders[[#This Row],[Ship Date]]-orders[[#This Row],[Order Date]]</f>
        <v>3</v>
      </c>
      <c r="K2272">
        <f>WEEKNUM(orders[[#This Row],[Order Date]])</f>
        <v>13</v>
      </c>
      <c r="L2272" t="str" cm="1">
        <f t="array" ref="L2272">_xlfn.IFS(orders[[#This Row],[Customer Gender]]="M","Male", orders[[#This Row],[Customer Gender]]="F","Female", orders[[#This Row],[Customer Gender]]="O","Other", TRUE,"Unknown")</f>
        <v>Female</v>
      </c>
      <c r="M2272">
        <v>5</v>
      </c>
      <c r="N2272">
        <v>157</v>
      </c>
      <c r="O2272" s="5">
        <v>785</v>
      </c>
    </row>
    <row r="2273" spans="1:15" x14ac:dyDescent="0.3">
      <c r="A2273" t="s">
        <v>2373</v>
      </c>
      <c r="B2273" t="s">
        <v>134</v>
      </c>
      <c r="C2273" s="7">
        <v>45741</v>
      </c>
      <c r="D2273" s="7">
        <v>45744</v>
      </c>
      <c r="E2273" t="s">
        <v>26</v>
      </c>
      <c r="F2273" t="s">
        <v>34</v>
      </c>
      <c r="G2273">
        <v>4</v>
      </c>
      <c r="H2273" t="s">
        <v>18</v>
      </c>
      <c r="I2273" t="s">
        <v>146</v>
      </c>
      <c r="J2273">
        <f>orders[[#This Row],[Ship Date]]-orders[[#This Row],[Order Date]]</f>
        <v>3</v>
      </c>
      <c r="K2273">
        <f>WEEKNUM(orders[[#This Row],[Order Date]])</f>
        <v>13</v>
      </c>
      <c r="L2273" t="str" cm="1">
        <f t="array" ref="L2273">_xlfn.IFS(orders[[#This Row],[Customer Gender]]="M","Male", orders[[#This Row],[Customer Gender]]="F","Female", orders[[#This Row],[Customer Gender]]="O","Other", TRUE,"Unknown")</f>
        <v>Female</v>
      </c>
      <c r="M2273">
        <v>5</v>
      </c>
      <c r="N2273">
        <v>45.2</v>
      </c>
      <c r="O2273">
        <v>226</v>
      </c>
    </row>
    <row r="2274" spans="1:15" x14ac:dyDescent="0.3">
      <c r="A2274" t="s">
        <v>2374</v>
      </c>
      <c r="B2274" t="s">
        <v>122</v>
      </c>
      <c r="C2274" s="7">
        <v>45741</v>
      </c>
      <c r="D2274" s="7">
        <v>45743</v>
      </c>
      <c r="E2274" t="s">
        <v>26</v>
      </c>
      <c r="F2274" t="s">
        <v>17</v>
      </c>
      <c r="G2274">
        <v>4</v>
      </c>
      <c r="H2274" t="s">
        <v>18</v>
      </c>
      <c r="I2274" t="s">
        <v>32</v>
      </c>
      <c r="J2274">
        <f>orders[[#This Row],[Ship Date]]-orders[[#This Row],[Order Date]]</f>
        <v>2</v>
      </c>
      <c r="K2274">
        <f>WEEKNUM(orders[[#This Row],[Order Date]])</f>
        <v>13</v>
      </c>
      <c r="L2274" t="str" cm="1">
        <f t="array" ref="L2274">_xlfn.IFS(orders[[#This Row],[Customer Gender]]="M","Male", orders[[#This Row],[Customer Gender]]="F","Female", orders[[#This Row],[Customer Gender]]="O","Other", TRUE,"Unknown")</f>
        <v>Female</v>
      </c>
      <c r="M2274">
        <v>4</v>
      </c>
      <c r="N2274">
        <v>27.4</v>
      </c>
      <c r="O2274" s="5">
        <v>109.6</v>
      </c>
    </row>
    <row r="2275" spans="1:15" x14ac:dyDescent="0.3">
      <c r="A2275" t="s">
        <v>2375</v>
      </c>
      <c r="B2275" t="s">
        <v>36</v>
      </c>
      <c r="C2275" s="7">
        <v>45741</v>
      </c>
      <c r="D2275" s="7">
        <v>45743</v>
      </c>
      <c r="E2275" t="s">
        <v>22</v>
      </c>
      <c r="F2275" t="s">
        <v>17</v>
      </c>
      <c r="G2275">
        <v>5</v>
      </c>
      <c r="H2275" t="s">
        <v>18</v>
      </c>
      <c r="I2275" t="s">
        <v>32</v>
      </c>
      <c r="J2275">
        <f>orders[[#This Row],[Ship Date]]-orders[[#This Row],[Order Date]]</f>
        <v>2</v>
      </c>
      <c r="K2275">
        <f>WEEKNUM(orders[[#This Row],[Order Date]])</f>
        <v>13</v>
      </c>
      <c r="L2275" t="str" cm="1">
        <f t="array" ref="L2275">_xlfn.IFS(orders[[#This Row],[Customer Gender]]="M","Male", orders[[#This Row],[Customer Gender]]="F","Female", orders[[#This Row],[Customer Gender]]="O","Other", TRUE,"Unknown")</f>
        <v>Male</v>
      </c>
      <c r="M2275">
        <v>5</v>
      </c>
      <c r="N2275">
        <v>34.1</v>
      </c>
      <c r="O2275">
        <v>170.5</v>
      </c>
    </row>
    <row r="2276" spans="1:15" x14ac:dyDescent="0.3">
      <c r="A2276" t="s">
        <v>2376</v>
      </c>
      <c r="B2276" t="s">
        <v>16</v>
      </c>
      <c r="C2276" s="7">
        <v>45741</v>
      </c>
      <c r="D2276" s="7">
        <v>45743</v>
      </c>
      <c r="E2276" t="s">
        <v>22</v>
      </c>
      <c r="F2276" t="s">
        <v>39</v>
      </c>
      <c r="G2276">
        <v>3</v>
      </c>
      <c r="H2276" t="s">
        <v>18</v>
      </c>
      <c r="I2276" t="s">
        <v>32</v>
      </c>
      <c r="J2276">
        <f>orders[[#This Row],[Ship Date]]-orders[[#This Row],[Order Date]]</f>
        <v>2</v>
      </c>
      <c r="K2276">
        <f>WEEKNUM(orders[[#This Row],[Order Date]])</f>
        <v>13</v>
      </c>
      <c r="L2276" t="str" cm="1">
        <f t="array" ref="L2276">_xlfn.IFS(orders[[#This Row],[Customer Gender]]="M","Male", orders[[#This Row],[Customer Gender]]="F","Female", orders[[#This Row],[Customer Gender]]="O","Other", TRUE,"Unknown")</f>
        <v>Male</v>
      </c>
      <c r="M2276">
        <v>2</v>
      </c>
      <c r="N2276">
        <v>26</v>
      </c>
      <c r="O2276" s="5">
        <v>52</v>
      </c>
    </row>
    <row r="2277" spans="1:15" x14ac:dyDescent="0.3">
      <c r="A2277" t="s">
        <v>2377</v>
      </c>
      <c r="B2277" t="s">
        <v>43</v>
      </c>
      <c r="C2277" s="7">
        <v>45741</v>
      </c>
      <c r="D2277" s="7">
        <v>45743</v>
      </c>
      <c r="E2277" t="s">
        <v>2517</v>
      </c>
      <c r="F2277" t="s">
        <v>34</v>
      </c>
      <c r="G2277">
        <v>3</v>
      </c>
      <c r="H2277" t="s">
        <v>18</v>
      </c>
      <c r="I2277" t="s">
        <v>32</v>
      </c>
      <c r="J2277">
        <f>orders[[#This Row],[Ship Date]]-orders[[#This Row],[Order Date]]</f>
        <v>2</v>
      </c>
      <c r="K2277">
        <f>WEEKNUM(orders[[#This Row],[Order Date]])</f>
        <v>13</v>
      </c>
      <c r="L2277" t="str" cm="1">
        <f t="array" ref="L2277">_xlfn.IFS(orders[[#This Row],[Customer Gender]]="M","Male", orders[[#This Row],[Customer Gender]]="F","Female", orders[[#This Row],[Customer Gender]]="O","Other", TRUE,"Unknown")</f>
        <v>Unknown</v>
      </c>
      <c r="M2277">
        <v>7</v>
      </c>
      <c r="N2277">
        <v>19.399999999999999</v>
      </c>
      <c r="O2277">
        <v>135.79999999999998</v>
      </c>
    </row>
    <row r="2278" spans="1:15" x14ac:dyDescent="0.3">
      <c r="A2278" t="s">
        <v>2378</v>
      </c>
      <c r="B2278" t="s">
        <v>127</v>
      </c>
      <c r="C2278" s="7">
        <v>45741</v>
      </c>
      <c r="D2278" s="7">
        <v>45744</v>
      </c>
      <c r="E2278" t="s">
        <v>26</v>
      </c>
      <c r="F2278" t="s">
        <v>34</v>
      </c>
      <c r="G2278">
        <v>5</v>
      </c>
      <c r="H2278" t="s">
        <v>18</v>
      </c>
      <c r="I2278" t="s">
        <v>32</v>
      </c>
      <c r="J2278">
        <f>orders[[#This Row],[Ship Date]]-orders[[#This Row],[Order Date]]</f>
        <v>3</v>
      </c>
      <c r="K2278">
        <f>WEEKNUM(orders[[#This Row],[Order Date]])</f>
        <v>13</v>
      </c>
      <c r="L2278" t="str" cm="1">
        <f t="array" ref="L2278">_xlfn.IFS(orders[[#This Row],[Customer Gender]]="M","Male", orders[[#This Row],[Customer Gender]]="F","Female", orders[[#This Row],[Customer Gender]]="O","Other", TRUE,"Unknown")</f>
        <v>Female</v>
      </c>
      <c r="M2278">
        <v>3</v>
      </c>
      <c r="N2278">
        <v>30.3</v>
      </c>
      <c r="O2278" s="5">
        <v>90.9</v>
      </c>
    </row>
    <row r="2279" spans="1:15" x14ac:dyDescent="0.3">
      <c r="A2279" t="s">
        <v>2379</v>
      </c>
      <c r="B2279" t="s">
        <v>25</v>
      </c>
      <c r="C2279" s="7">
        <v>45741</v>
      </c>
      <c r="D2279" s="7">
        <v>45742</v>
      </c>
      <c r="E2279" t="s">
        <v>22</v>
      </c>
      <c r="F2279" t="s">
        <v>17</v>
      </c>
      <c r="G2279">
        <v>4</v>
      </c>
      <c r="H2279" t="s">
        <v>18</v>
      </c>
      <c r="I2279" t="s">
        <v>32</v>
      </c>
      <c r="J2279">
        <f>orders[[#This Row],[Ship Date]]-orders[[#This Row],[Order Date]]</f>
        <v>1</v>
      </c>
      <c r="K2279">
        <f>WEEKNUM(orders[[#This Row],[Order Date]])</f>
        <v>13</v>
      </c>
      <c r="L2279" t="str" cm="1">
        <f t="array" ref="L2279">_xlfn.IFS(orders[[#This Row],[Customer Gender]]="M","Male", orders[[#This Row],[Customer Gender]]="F","Female", orders[[#This Row],[Customer Gender]]="O","Other", TRUE,"Unknown")</f>
        <v>Male</v>
      </c>
      <c r="M2279">
        <v>3</v>
      </c>
      <c r="N2279">
        <v>101.4</v>
      </c>
      <c r="O2279">
        <v>304.20000000000005</v>
      </c>
    </row>
    <row r="2280" spans="1:15" x14ac:dyDescent="0.3">
      <c r="A2280" t="s">
        <v>2380</v>
      </c>
      <c r="B2280" t="s">
        <v>29</v>
      </c>
      <c r="C2280" s="7">
        <v>45741</v>
      </c>
      <c r="D2280" s="7">
        <v>45744</v>
      </c>
      <c r="E2280" t="s">
        <v>22</v>
      </c>
      <c r="F2280" t="s">
        <v>34</v>
      </c>
      <c r="G2280">
        <v>4</v>
      </c>
      <c r="H2280" t="s">
        <v>18</v>
      </c>
      <c r="I2280" t="s">
        <v>185</v>
      </c>
      <c r="J2280">
        <f>orders[[#This Row],[Ship Date]]-orders[[#This Row],[Order Date]]</f>
        <v>3</v>
      </c>
      <c r="K2280">
        <f>WEEKNUM(orders[[#This Row],[Order Date]])</f>
        <v>13</v>
      </c>
      <c r="L2280" t="str" cm="1">
        <f t="array" ref="L2280">_xlfn.IFS(orders[[#This Row],[Customer Gender]]="M","Male", orders[[#This Row],[Customer Gender]]="F","Female", orders[[#This Row],[Customer Gender]]="O","Other", TRUE,"Unknown")</f>
        <v>Male</v>
      </c>
      <c r="M2280">
        <v>5</v>
      </c>
      <c r="N2280">
        <v>55.5</v>
      </c>
      <c r="O2280" s="5">
        <v>277.5</v>
      </c>
    </row>
    <row r="2281" spans="1:15" x14ac:dyDescent="0.3">
      <c r="A2281" t="s">
        <v>2381</v>
      </c>
      <c r="B2281" t="s">
        <v>43</v>
      </c>
      <c r="C2281" s="7">
        <v>45741</v>
      </c>
      <c r="D2281" s="7">
        <v>45742</v>
      </c>
      <c r="E2281" t="s">
        <v>22</v>
      </c>
      <c r="F2281" t="s">
        <v>17</v>
      </c>
      <c r="G2281">
        <v>4</v>
      </c>
      <c r="H2281" t="s">
        <v>18</v>
      </c>
      <c r="I2281" t="s">
        <v>187</v>
      </c>
      <c r="J2281">
        <f>orders[[#This Row],[Ship Date]]-orders[[#This Row],[Order Date]]</f>
        <v>1</v>
      </c>
      <c r="K2281">
        <f>WEEKNUM(orders[[#This Row],[Order Date]])</f>
        <v>13</v>
      </c>
      <c r="L2281" t="str" cm="1">
        <f t="array" ref="L2281">_xlfn.IFS(orders[[#This Row],[Customer Gender]]="M","Male", orders[[#This Row],[Customer Gender]]="F","Female", orders[[#This Row],[Customer Gender]]="O","Other", TRUE,"Unknown")</f>
        <v>Male</v>
      </c>
      <c r="M2281">
        <v>1</v>
      </c>
      <c r="N2281">
        <v>23.1</v>
      </c>
      <c r="O2281">
        <v>23.1</v>
      </c>
    </row>
    <row r="2282" spans="1:15" x14ac:dyDescent="0.3">
      <c r="A2282" t="s">
        <v>2382</v>
      </c>
      <c r="B2282" t="s">
        <v>145</v>
      </c>
      <c r="C2282" s="7">
        <v>45741</v>
      </c>
      <c r="D2282" s="7">
        <v>45742</v>
      </c>
      <c r="E2282" t="s">
        <v>22</v>
      </c>
      <c r="F2282" t="s">
        <v>39</v>
      </c>
      <c r="G2282">
        <v>4</v>
      </c>
      <c r="H2282" t="s">
        <v>18</v>
      </c>
      <c r="I2282" t="s">
        <v>187</v>
      </c>
      <c r="J2282">
        <f>orders[[#This Row],[Ship Date]]-orders[[#This Row],[Order Date]]</f>
        <v>1</v>
      </c>
      <c r="K2282">
        <f>WEEKNUM(orders[[#This Row],[Order Date]])</f>
        <v>13</v>
      </c>
      <c r="L2282" t="str" cm="1">
        <f t="array" ref="L2282">_xlfn.IFS(orders[[#This Row],[Customer Gender]]="M","Male", orders[[#This Row],[Customer Gender]]="F","Female", orders[[#This Row],[Customer Gender]]="O","Other", TRUE,"Unknown")</f>
        <v>Male</v>
      </c>
      <c r="M2282">
        <v>2</v>
      </c>
      <c r="N2282">
        <v>38.9</v>
      </c>
      <c r="O2282" s="5">
        <v>77.8</v>
      </c>
    </row>
    <row r="2283" spans="1:15" x14ac:dyDescent="0.3">
      <c r="A2283" t="s">
        <v>2383</v>
      </c>
      <c r="B2283" t="s">
        <v>38</v>
      </c>
      <c r="C2283" s="7">
        <v>45741</v>
      </c>
      <c r="D2283" s="7">
        <v>45745</v>
      </c>
      <c r="E2283" t="s">
        <v>26</v>
      </c>
      <c r="F2283" t="s">
        <v>17</v>
      </c>
      <c r="G2283">
        <v>4</v>
      </c>
      <c r="H2283" t="s">
        <v>18</v>
      </c>
      <c r="I2283" t="s">
        <v>51</v>
      </c>
      <c r="J2283">
        <f>orders[[#This Row],[Ship Date]]-orders[[#This Row],[Order Date]]</f>
        <v>4</v>
      </c>
      <c r="K2283">
        <f>WEEKNUM(orders[[#This Row],[Order Date]])</f>
        <v>13</v>
      </c>
      <c r="L2283" t="str" cm="1">
        <f t="array" ref="L2283">_xlfn.IFS(orders[[#This Row],[Customer Gender]]="M","Male", orders[[#This Row],[Customer Gender]]="F","Female", orders[[#This Row],[Customer Gender]]="O","Other", TRUE,"Unknown")</f>
        <v>Female</v>
      </c>
      <c r="M2283">
        <v>9</v>
      </c>
      <c r="N2283">
        <v>116.3</v>
      </c>
      <c r="O2283">
        <v>1046.7</v>
      </c>
    </row>
    <row r="2284" spans="1:15" x14ac:dyDescent="0.3">
      <c r="A2284" t="s">
        <v>2384</v>
      </c>
      <c r="B2284" t="s">
        <v>127</v>
      </c>
      <c r="C2284" s="7">
        <v>45741</v>
      </c>
      <c r="D2284" s="7">
        <v>45741</v>
      </c>
      <c r="E2284" t="s">
        <v>26</v>
      </c>
      <c r="F2284" t="s">
        <v>17</v>
      </c>
      <c r="G2284">
        <v>5</v>
      </c>
      <c r="H2284" t="s">
        <v>18</v>
      </c>
      <c r="I2284" t="s">
        <v>54</v>
      </c>
      <c r="J2284">
        <f>orders[[#This Row],[Ship Date]]-orders[[#This Row],[Order Date]]</f>
        <v>0</v>
      </c>
      <c r="K2284">
        <f>WEEKNUM(orders[[#This Row],[Order Date]])</f>
        <v>13</v>
      </c>
      <c r="L2284" t="str" cm="1">
        <f t="array" ref="L2284">_xlfn.IFS(orders[[#This Row],[Customer Gender]]="M","Male", orders[[#This Row],[Customer Gender]]="F","Female", orders[[#This Row],[Customer Gender]]="O","Other", TRUE,"Unknown")</f>
        <v>Female</v>
      </c>
      <c r="M2284">
        <v>9</v>
      </c>
      <c r="N2284">
        <v>64.099999999999994</v>
      </c>
      <c r="O2284" s="5">
        <v>576.9</v>
      </c>
    </row>
    <row r="2285" spans="1:15" x14ac:dyDescent="0.3">
      <c r="A2285" t="s">
        <v>2385</v>
      </c>
      <c r="B2285" t="s">
        <v>25</v>
      </c>
      <c r="C2285" s="7">
        <v>45741</v>
      </c>
      <c r="D2285" s="7">
        <v>45743</v>
      </c>
      <c r="E2285" t="s">
        <v>22</v>
      </c>
      <c r="F2285" t="s">
        <v>17</v>
      </c>
      <c r="G2285">
        <v>3</v>
      </c>
      <c r="H2285" t="s">
        <v>18</v>
      </c>
      <c r="I2285" t="s">
        <v>61</v>
      </c>
      <c r="J2285">
        <f>orders[[#This Row],[Ship Date]]-orders[[#This Row],[Order Date]]</f>
        <v>2</v>
      </c>
      <c r="K2285">
        <f>WEEKNUM(orders[[#This Row],[Order Date]])</f>
        <v>13</v>
      </c>
      <c r="L2285" t="str" cm="1">
        <f t="array" ref="L2285">_xlfn.IFS(orders[[#This Row],[Customer Gender]]="M","Male", orders[[#This Row],[Customer Gender]]="F","Female", orders[[#This Row],[Customer Gender]]="O","Other", TRUE,"Unknown")</f>
        <v>Male</v>
      </c>
      <c r="M2285">
        <v>6</v>
      </c>
      <c r="N2285">
        <v>109.2</v>
      </c>
      <c r="O2285">
        <v>655.20000000000005</v>
      </c>
    </row>
    <row r="2286" spans="1:15" x14ac:dyDescent="0.3">
      <c r="A2286" t="s">
        <v>2386</v>
      </c>
      <c r="B2286" t="s">
        <v>53</v>
      </c>
      <c r="C2286" s="7">
        <v>45742</v>
      </c>
      <c r="D2286" s="7">
        <v>45743</v>
      </c>
      <c r="E2286" t="s">
        <v>22</v>
      </c>
      <c r="F2286" t="s">
        <v>17</v>
      </c>
      <c r="G2286">
        <v>3</v>
      </c>
      <c r="H2286" t="s">
        <v>18</v>
      </c>
      <c r="I2286" t="s">
        <v>61</v>
      </c>
      <c r="J2286">
        <f>orders[[#This Row],[Ship Date]]-orders[[#This Row],[Order Date]]</f>
        <v>1</v>
      </c>
      <c r="K2286">
        <f>WEEKNUM(orders[[#This Row],[Order Date]])</f>
        <v>13</v>
      </c>
      <c r="L2286" t="str" cm="1">
        <f t="array" ref="L2286">_xlfn.IFS(orders[[#This Row],[Customer Gender]]="M","Male", orders[[#This Row],[Customer Gender]]="F","Female", orders[[#This Row],[Customer Gender]]="O","Other", TRUE,"Unknown")</f>
        <v>Male</v>
      </c>
      <c r="M2286">
        <v>5</v>
      </c>
      <c r="N2286">
        <v>23.2</v>
      </c>
      <c r="O2286" s="5">
        <v>116</v>
      </c>
    </row>
    <row r="2287" spans="1:15" x14ac:dyDescent="0.3">
      <c r="A2287" t="s">
        <v>2387</v>
      </c>
      <c r="B2287" t="s">
        <v>145</v>
      </c>
      <c r="C2287" s="7">
        <v>45742</v>
      </c>
      <c r="D2287" s="7">
        <v>45744</v>
      </c>
      <c r="E2287" t="s">
        <v>22</v>
      </c>
      <c r="F2287" t="s">
        <v>39</v>
      </c>
      <c r="G2287">
        <v>5</v>
      </c>
      <c r="H2287" t="s">
        <v>18</v>
      </c>
      <c r="I2287" t="s">
        <v>61</v>
      </c>
      <c r="J2287">
        <f>orders[[#This Row],[Ship Date]]-orders[[#This Row],[Order Date]]</f>
        <v>2</v>
      </c>
      <c r="K2287">
        <f>WEEKNUM(orders[[#This Row],[Order Date]])</f>
        <v>13</v>
      </c>
      <c r="L2287" t="str" cm="1">
        <f t="array" ref="L2287">_xlfn.IFS(orders[[#This Row],[Customer Gender]]="M","Male", orders[[#This Row],[Customer Gender]]="F","Female", orders[[#This Row],[Customer Gender]]="O","Other", TRUE,"Unknown")</f>
        <v>Male</v>
      </c>
      <c r="M2287">
        <v>6</v>
      </c>
      <c r="N2287">
        <v>81.2</v>
      </c>
      <c r="O2287">
        <v>487.20000000000005</v>
      </c>
    </row>
    <row r="2288" spans="1:15" x14ac:dyDescent="0.3">
      <c r="A2288" t="s">
        <v>2388</v>
      </c>
      <c r="B2288" t="s">
        <v>21</v>
      </c>
      <c r="C2288" s="7">
        <v>45742</v>
      </c>
      <c r="D2288" s="7">
        <v>45743</v>
      </c>
      <c r="E2288" t="s">
        <v>22</v>
      </c>
      <c r="F2288" t="s">
        <v>50</v>
      </c>
      <c r="G2288">
        <v>4</v>
      </c>
      <c r="H2288" t="s">
        <v>18</v>
      </c>
      <c r="I2288" t="s">
        <v>61</v>
      </c>
      <c r="J2288">
        <f>orders[[#This Row],[Ship Date]]-orders[[#This Row],[Order Date]]</f>
        <v>1</v>
      </c>
      <c r="K2288">
        <f>WEEKNUM(orders[[#This Row],[Order Date]])</f>
        <v>13</v>
      </c>
      <c r="L2288" t="str" cm="1">
        <f t="array" ref="L2288">_xlfn.IFS(orders[[#This Row],[Customer Gender]]="M","Male", orders[[#This Row],[Customer Gender]]="F","Female", orders[[#This Row],[Customer Gender]]="O","Other", TRUE,"Unknown")</f>
        <v>Male</v>
      </c>
      <c r="M2288">
        <v>14</v>
      </c>
      <c r="N2288">
        <v>35.700000000000003</v>
      </c>
      <c r="O2288" s="5">
        <v>499.80000000000007</v>
      </c>
    </row>
    <row r="2289" spans="1:15" x14ac:dyDescent="0.3">
      <c r="A2289" t="s">
        <v>2389</v>
      </c>
      <c r="B2289" t="s">
        <v>41</v>
      </c>
      <c r="C2289" s="7">
        <v>45742</v>
      </c>
      <c r="D2289" s="7">
        <v>45745</v>
      </c>
      <c r="E2289" t="s">
        <v>22</v>
      </c>
      <c r="F2289" t="s">
        <v>69</v>
      </c>
      <c r="G2289">
        <v>4</v>
      </c>
      <c r="H2289" t="s">
        <v>18</v>
      </c>
      <c r="I2289" t="s">
        <v>71</v>
      </c>
      <c r="J2289">
        <f>orders[[#This Row],[Ship Date]]-orders[[#This Row],[Order Date]]</f>
        <v>3</v>
      </c>
      <c r="K2289">
        <f>WEEKNUM(orders[[#This Row],[Order Date]])</f>
        <v>13</v>
      </c>
      <c r="L2289" t="str" cm="1">
        <f t="array" ref="L2289">_xlfn.IFS(orders[[#This Row],[Customer Gender]]="M","Male", orders[[#This Row],[Customer Gender]]="F","Female", orders[[#This Row],[Customer Gender]]="O","Other", TRUE,"Unknown")</f>
        <v>Male</v>
      </c>
      <c r="M2289">
        <v>2</v>
      </c>
      <c r="N2289">
        <v>44.5</v>
      </c>
      <c r="O2289">
        <v>89</v>
      </c>
    </row>
    <row r="2290" spans="1:15" x14ac:dyDescent="0.3">
      <c r="A2290" t="s">
        <v>2390</v>
      </c>
      <c r="B2290" t="s">
        <v>21</v>
      </c>
      <c r="C2290" s="7">
        <v>45742</v>
      </c>
      <c r="D2290" s="7">
        <v>45744</v>
      </c>
      <c r="E2290" t="s">
        <v>88</v>
      </c>
      <c r="F2290" t="s">
        <v>34</v>
      </c>
      <c r="G2290">
        <v>3</v>
      </c>
      <c r="H2290" t="s">
        <v>18</v>
      </c>
      <c r="I2290" t="s">
        <v>71</v>
      </c>
      <c r="J2290">
        <f>orders[[#This Row],[Ship Date]]-orders[[#This Row],[Order Date]]</f>
        <v>2</v>
      </c>
      <c r="K2290">
        <f>WEEKNUM(orders[[#This Row],[Order Date]])</f>
        <v>13</v>
      </c>
      <c r="L2290" t="str" cm="1">
        <f t="array" ref="L2290">_xlfn.IFS(orders[[#This Row],[Customer Gender]]="M","Male", orders[[#This Row],[Customer Gender]]="F","Female", orders[[#This Row],[Customer Gender]]="O","Other", TRUE,"Unknown")</f>
        <v>Other</v>
      </c>
      <c r="M2290">
        <v>5</v>
      </c>
      <c r="N2290">
        <v>32</v>
      </c>
      <c r="O2290" s="5">
        <v>160</v>
      </c>
    </row>
    <row r="2291" spans="1:15" x14ac:dyDescent="0.3">
      <c r="A2291" t="s">
        <v>2391</v>
      </c>
      <c r="B2291" t="s">
        <v>43</v>
      </c>
      <c r="C2291" s="7">
        <v>45742</v>
      </c>
      <c r="D2291" s="7">
        <v>45743</v>
      </c>
      <c r="E2291" t="s">
        <v>22</v>
      </c>
      <c r="F2291" t="s">
        <v>17</v>
      </c>
      <c r="G2291">
        <v>4</v>
      </c>
      <c r="H2291" t="s">
        <v>18</v>
      </c>
      <c r="I2291" t="s">
        <v>73</v>
      </c>
      <c r="J2291">
        <f>orders[[#This Row],[Ship Date]]-orders[[#This Row],[Order Date]]</f>
        <v>1</v>
      </c>
      <c r="K2291">
        <f>WEEKNUM(orders[[#This Row],[Order Date]])</f>
        <v>13</v>
      </c>
      <c r="L2291" t="str" cm="1">
        <f t="array" ref="L2291">_xlfn.IFS(orders[[#This Row],[Customer Gender]]="M","Male", orders[[#This Row],[Customer Gender]]="F","Female", orders[[#This Row],[Customer Gender]]="O","Other", TRUE,"Unknown")</f>
        <v>Male</v>
      </c>
      <c r="M2291">
        <v>1</v>
      </c>
      <c r="N2291">
        <v>25.7</v>
      </c>
      <c r="O2291">
        <v>25.7</v>
      </c>
    </row>
    <row r="2292" spans="1:15" x14ac:dyDescent="0.3">
      <c r="A2292" t="s">
        <v>2392</v>
      </c>
      <c r="B2292" t="s">
        <v>127</v>
      </c>
      <c r="C2292" s="7">
        <v>45742</v>
      </c>
      <c r="D2292" s="7">
        <v>45748</v>
      </c>
      <c r="E2292" t="s">
        <v>22</v>
      </c>
      <c r="F2292" t="s">
        <v>17</v>
      </c>
      <c r="G2292">
        <v>4</v>
      </c>
      <c r="H2292" t="s">
        <v>18</v>
      </c>
      <c r="I2292" t="s">
        <v>76</v>
      </c>
      <c r="J2292">
        <f>orders[[#This Row],[Ship Date]]-orders[[#This Row],[Order Date]]</f>
        <v>6</v>
      </c>
      <c r="K2292">
        <f>WEEKNUM(orders[[#This Row],[Order Date]])</f>
        <v>13</v>
      </c>
      <c r="L2292" t="str" cm="1">
        <f t="array" ref="L2292">_xlfn.IFS(orders[[#This Row],[Customer Gender]]="M","Male", orders[[#This Row],[Customer Gender]]="F","Female", orders[[#This Row],[Customer Gender]]="O","Other", TRUE,"Unknown")</f>
        <v>Male</v>
      </c>
      <c r="M2292">
        <v>3</v>
      </c>
      <c r="N2292">
        <v>65.599999999999994</v>
      </c>
      <c r="O2292" s="5">
        <v>196.79999999999998</v>
      </c>
    </row>
    <row r="2293" spans="1:15" x14ac:dyDescent="0.3">
      <c r="A2293" t="s">
        <v>2393</v>
      </c>
      <c r="B2293" t="s">
        <v>21</v>
      </c>
      <c r="C2293" s="7">
        <v>45742</v>
      </c>
      <c r="D2293" s="7">
        <v>45743</v>
      </c>
      <c r="E2293" t="s">
        <v>26</v>
      </c>
      <c r="F2293" t="s">
        <v>17</v>
      </c>
      <c r="G2293">
        <v>5</v>
      </c>
      <c r="H2293" t="s">
        <v>18</v>
      </c>
      <c r="I2293" t="s">
        <v>76</v>
      </c>
      <c r="J2293">
        <f>orders[[#This Row],[Ship Date]]-orders[[#This Row],[Order Date]]</f>
        <v>1</v>
      </c>
      <c r="K2293">
        <f>WEEKNUM(orders[[#This Row],[Order Date]])</f>
        <v>13</v>
      </c>
      <c r="L2293" t="str" cm="1">
        <f t="array" ref="L2293">_xlfn.IFS(orders[[#This Row],[Customer Gender]]="M","Male", orders[[#This Row],[Customer Gender]]="F","Female", orders[[#This Row],[Customer Gender]]="O","Other", TRUE,"Unknown")</f>
        <v>Female</v>
      </c>
      <c r="M2293">
        <v>4</v>
      </c>
      <c r="N2293">
        <v>52.1</v>
      </c>
      <c r="O2293">
        <v>208.4</v>
      </c>
    </row>
    <row r="2294" spans="1:15" x14ac:dyDescent="0.3">
      <c r="A2294" t="s">
        <v>2394</v>
      </c>
      <c r="B2294" t="s">
        <v>43</v>
      </c>
      <c r="C2294" s="7">
        <v>45742</v>
      </c>
      <c r="D2294" s="7">
        <v>45743</v>
      </c>
      <c r="E2294" t="s">
        <v>22</v>
      </c>
      <c r="F2294" t="s">
        <v>17</v>
      </c>
      <c r="G2294">
        <v>3</v>
      </c>
      <c r="H2294" t="s">
        <v>18</v>
      </c>
      <c r="I2294" t="s">
        <v>109</v>
      </c>
      <c r="J2294">
        <f>orders[[#This Row],[Ship Date]]-orders[[#This Row],[Order Date]]</f>
        <v>1</v>
      </c>
      <c r="K2294">
        <f>WEEKNUM(orders[[#This Row],[Order Date]])</f>
        <v>13</v>
      </c>
      <c r="L2294" t="str" cm="1">
        <f t="array" ref="L2294">_xlfn.IFS(orders[[#This Row],[Customer Gender]]="M","Male", orders[[#This Row],[Customer Gender]]="F","Female", orders[[#This Row],[Customer Gender]]="O","Other", TRUE,"Unknown")</f>
        <v>Male</v>
      </c>
      <c r="M2294">
        <v>1</v>
      </c>
      <c r="N2294">
        <v>31</v>
      </c>
      <c r="O2294" s="5">
        <v>31</v>
      </c>
    </row>
    <row r="2295" spans="1:15" x14ac:dyDescent="0.3">
      <c r="A2295" t="s">
        <v>2395</v>
      </c>
      <c r="B2295" t="s">
        <v>43</v>
      </c>
      <c r="C2295" s="7">
        <v>45742</v>
      </c>
      <c r="D2295" s="7">
        <v>45744</v>
      </c>
      <c r="E2295" t="s">
        <v>88</v>
      </c>
      <c r="F2295" t="s">
        <v>50</v>
      </c>
      <c r="G2295">
        <v>3</v>
      </c>
      <c r="H2295" t="s">
        <v>18</v>
      </c>
      <c r="I2295" t="s">
        <v>291</v>
      </c>
      <c r="J2295">
        <f>orders[[#This Row],[Ship Date]]-orders[[#This Row],[Order Date]]</f>
        <v>2</v>
      </c>
      <c r="K2295">
        <f>WEEKNUM(orders[[#This Row],[Order Date]])</f>
        <v>13</v>
      </c>
      <c r="L2295" t="str" cm="1">
        <f t="array" ref="L2295">_xlfn.IFS(orders[[#This Row],[Customer Gender]]="M","Male", orders[[#This Row],[Customer Gender]]="F","Female", orders[[#This Row],[Customer Gender]]="O","Other", TRUE,"Unknown")</f>
        <v>Other</v>
      </c>
      <c r="M2295">
        <v>1</v>
      </c>
      <c r="N2295">
        <v>32</v>
      </c>
      <c r="O2295">
        <v>32</v>
      </c>
    </row>
    <row r="2296" spans="1:15" x14ac:dyDescent="0.3">
      <c r="A2296" t="s">
        <v>2396</v>
      </c>
      <c r="B2296" t="s">
        <v>127</v>
      </c>
      <c r="C2296" s="7">
        <v>45742</v>
      </c>
      <c r="D2296" s="7">
        <v>45746</v>
      </c>
      <c r="E2296" t="s">
        <v>22</v>
      </c>
      <c r="F2296" t="s">
        <v>34</v>
      </c>
      <c r="G2296">
        <v>2</v>
      </c>
      <c r="H2296" t="s">
        <v>18</v>
      </c>
      <c r="I2296" t="s">
        <v>112</v>
      </c>
      <c r="J2296">
        <f>orders[[#This Row],[Ship Date]]-orders[[#This Row],[Order Date]]</f>
        <v>4</v>
      </c>
      <c r="K2296">
        <f>WEEKNUM(orders[[#This Row],[Order Date]])</f>
        <v>13</v>
      </c>
      <c r="L2296" t="str" cm="1">
        <f t="array" ref="L2296">_xlfn.IFS(orders[[#This Row],[Customer Gender]]="M","Male", orders[[#This Row],[Customer Gender]]="F","Female", orders[[#This Row],[Customer Gender]]="O","Other", TRUE,"Unknown")</f>
        <v>Male</v>
      </c>
      <c r="M2296">
        <v>4</v>
      </c>
      <c r="N2296">
        <v>58.3</v>
      </c>
      <c r="O2296" s="5">
        <v>233.2</v>
      </c>
    </row>
    <row r="2297" spans="1:15" x14ac:dyDescent="0.3">
      <c r="A2297" t="s">
        <v>2397</v>
      </c>
      <c r="B2297" t="s">
        <v>43</v>
      </c>
      <c r="C2297" s="7">
        <v>45742</v>
      </c>
      <c r="D2297" s="7">
        <v>45744</v>
      </c>
      <c r="E2297" t="s">
        <v>26</v>
      </c>
      <c r="F2297" t="s">
        <v>39</v>
      </c>
      <c r="G2297">
        <v>2</v>
      </c>
      <c r="H2297" t="s">
        <v>18</v>
      </c>
      <c r="I2297" t="s">
        <v>81</v>
      </c>
      <c r="J2297">
        <f>orders[[#This Row],[Ship Date]]-orders[[#This Row],[Order Date]]</f>
        <v>2</v>
      </c>
      <c r="K2297">
        <f>WEEKNUM(orders[[#This Row],[Order Date]])</f>
        <v>13</v>
      </c>
      <c r="L2297" t="str" cm="1">
        <f t="array" ref="L2297">_xlfn.IFS(orders[[#This Row],[Customer Gender]]="M","Male", orders[[#This Row],[Customer Gender]]="F","Female", orders[[#This Row],[Customer Gender]]="O","Other", TRUE,"Unknown")</f>
        <v>Female</v>
      </c>
      <c r="M2297">
        <v>3</v>
      </c>
      <c r="N2297">
        <v>31</v>
      </c>
      <c r="O2297">
        <v>93</v>
      </c>
    </row>
    <row r="2298" spans="1:15" x14ac:dyDescent="0.3">
      <c r="A2298" t="s">
        <v>2398</v>
      </c>
      <c r="B2298" t="s">
        <v>29</v>
      </c>
      <c r="C2298" s="7">
        <v>45742</v>
      </c>
      <c r="D2298" s="7">
        <v>45743</v>
      </c>
      <c r="E2298" t="s">
        <v>22</v>
      </c>
      <c r="F2298" t="s">
        <v>34</v>
      </c>
      <c r="G2298">
        <v>5</v>
      </c>
      <c r="H2298" t="s">
        <v>18</v>
      </c>
      <c r="I2298" t="s">
        <v>1382</v>
      </c>
      <c r="J2298">
        <f>orders[[#This Row],[Ship Date]]-orders[[#This Row],[Order Date]]</f>
        <v>1</v>
      </c>
      <c r="K2298">
        <f>WEEKNUM(orders[[#This Row],[Order Date]])</f>
        <v>13</v>
      </c>
      <c r="L2298" t="str" cm="1">
        <f t="array" ref="L2298">_xlfn.IFS(orders[[#This Row],[Customer Gender]]="M","Male", orders[[#This Row],[Customer Gender]]="F","Female", orders[[#This Row],[Customer Gender]]="O","Other", TRUE,"Unknown")</f>
        <v>Male</v>
      </c>
      <c r="M2298">
        <v>1</v>
      </c>
      <c r="N2298">
        <v>40.299999999999997</v>
      </c>
      <c r="O2298" s="5">
        <v>40.299999999999997</v>
      </c>
    </row>
    <row r="2299" spans="1:15" x14ac:dyDescent="0.3">
      <c r="A2299" t="s">
        <v>2399</v>
      </c>
      <c r="B2299" t="s">
        <v>38</v>
      </c>
      <c r="C2299" s="7">
        <v>45742</v>
      </c>
      <c r="D2299" s="7">
        <v>45744</v>
      </c>
      <c r="E2299" t="s">
        <v>22</v>
      </c>
      <c r="F2299" t="s">
        <v>69</v>
      </c>
      <c r="G2299">
        <v>5</v>
      </c>
      <c r="H2299" t="s">
        <v>18</v>
      </c>
      <c r="I2299" t="s">
        <v>27</v>
      </c>
      <c r="J2299">
        <f>orders[[#This Row],[Ship Date]]-orders[[#This Row],[Order Date]]</f>
        <v>2</v>
      </c>
      <c r="K2299">
        <f>WEEKNUM(orders[[#This Row],[Order Date]])</f>
        <v>13</v>
      </c>
      <c r="L2299" t="str" cm="1">
        <f t="array" ref="L2299">_xlfn.IFS(orders[[#This Row],[Customer Gender]]="M","Male", orders[[#This Row],[Customer Gender]]="F","Female", orders[[#This Row],[Customer Gender]]="O","Other", TRUE,"Unknown")</f>
        <v>Male</v>
      </c>
      <c r="M2299">
        <v>3</v>
      </c>
      <c r="N2299">
        <v>47.3</v>
      </c>
      <c r="O2299">
        <v>141.89999999999998</v>
      </c>
    </row>
    <row r="2300" spans="1:15" x14ac:dyDescent="0.3">
      <c r="A2300" t="s">
        <v>2400</v>
      </c>
      <c r="B2300" t="s">
        <v>25</v>
      </c>
      <c r="C2300" s="7">
        <v>45742</v>
      </c>
      <c r="D2300" s="7">
        <v>45743</v>
      </c>
      <c r="E2300" t="s">
        <v>22</v>
      </c>
      <c r="F2300" t="s">
        <v>17</v>
      </c>
      <c r="G2300">
        <v>4</v>
      </c>
      <c r="H2300" t="s">
        <v>18</v>
      </c>
      <c r="I2300" t="s">
        <v>27</v>
      </c>
      <c r="J2300">
        <f>orders[[#This Row],[Ship Date]]-orders[[#This Row],[Order Date]]</f>
        <v>1</v>
      </c>
      <c r="K2300">
        <f>WEEKNUM(orders[[#This Row],[Order Date]])</f>
        <v>13</v>
      </c>
      <c r="L2300" t="str" cm="1">
        <f t="array" ref="L2300">_xlfn.IFS(orders[[#This Row],[Customer Gender]]="M","Male", orders[[#This Row],[Customer Gender]]="F","Female", orders[[#This Row],[Customer Gender]]="O","Other", TRUE,"Unknown")</f>
        <v>Male</v>
      </c>
      <c r="M2300">
        <v>1</v>
      </c>
      <c r="N2300">
        <v>82.8</v>
      </c>
      <c r="O2300" s="5">
        <v>82.8</v>
      </c>
    </row>
    <row r="2301" spans="1:15" x14ac:dyDescent="0.3">
      <c r="A2301" t="s">
        <v>2401</v>
      </c>
      <c r="B2301" t="s">
        <v>43</v>
      </c>
      <c r="C2301" s="7">
        <v>45742</v>
      </c>
      <c r="D2301" s="7">
        <v>45756</v>
      </c>
      <c r="E2301" t="s">
        <v>26</v>
      </c>
      <c r="F2301" t="s">
        <v>17</v>
      </c>
      <c r="G2301">
        <v>4</v>
      </c>
      <c r="H2301" t="s">
        <v>18</v>
      </c>
      <c r="I2301" t="s">
        <v>586</v>
      </c>
      <c r="J2301">
        <f>orders[[#This Row],[Ship Date]]-orders[[#This Row],[Order Date]]</f>
        <v>14</v>
      </c>
      <c r="K2301">
        <f>WEEKNUM(orders[[#This Row],[Order Date]])</f>
        <v>13</v>
      </c>
      <c r="L2301" t="str" cm="1">
        <f t="array" ref="L2301">_xlfn.IFS(orders[[#This Row],[Customer Gender]]="M","Male", orders[[#This Row],[Customer Gender]]="F","Female", orders[[#This Row],[Customer Gender]]="O","Other", TRUE,"Unknown")</f>
        <v>Female</v>
      </c>
      <c r="M2301">
        <v>1</v>
      </c>
      <c r="N2301">
        <v>18.5</v>
      </c>
      <c r="O2301">
        <v>18.5</v>
      </c>
    </row>
    <row r="2302" spans="1:15" x14ac:dyDescent="0.3">
      <c r="A2302" t="s">
        <v>2402</v>
      </c>
      <c r="B2302" t="s">
        <v>29</v>
      </c>
      <c r="C2302" s="7">
        <v>45742</v>
      </c>
      <c r="D2302" s="7">
        <v>45743</v>
      </c>
      <c r="E2302" t="s">
        <v>22</v>
      </c>
      <c r="F2302" t="s">
        <v>39</v>
      </c>
      <c r="G2302">
        <v>4</v>
      </c>
      <c r="H2302" t="s">
        <v>18</v>
      </c>
      <c r="I2302" t="s">
        <v>146</v>
      </c>
      <c r="J2302">
        <f>orders[[#This Row],[Ship Date]]-orders[[#This Row],[Order Date]]</f>
        <v>1</v>
      </c>
      <c r="K2302">
        <f>WEEKNUM(orders[[#This Row],[Order Date]])</f>
        <v>13</v>
      </c>
      <c r="L2302" t="str" cm="1">
        <f t="array" ref="L2302">_xlfn.IFS(orders[[#This Row],[Customer Gender]]="M","Male", orders[[#This Row],[Customer Gender]]="F","Female", orders[[#This Row],[Customer Gender]]="O","Other", TRUE,"Unknown")</f>
        <v>Male</v>
      </c>
      <c r="M2302">
        <v>2</v>
      </c>
      <c r="N2302">
        <v>60.4</v>
      </c>
      <c r="O2302" s="5">
        <v>120.8</v>
      </c>
    </row>
    <row r="2303" spans="1:15" x14ac:dyDescent="0.3">
      <c r="A2303" t="s">
        <v>2403</v>
      </c>
      <c r="B2303" t="s">
        <v>38</v>
      </c>
      <c r="C2303" s="7">
        <v>45742</v>
      </c>
      <c r="D2303" s="7">
        <v>45749</v>
      </c>
      <c r="E2303" t="s">
        <v>22</v>
      </c>
      <c r="F2303" t="s">
        <v>34</v>
      </c>
      <c r="G2303">
        <v>3</v>
      </c>
      <c r="H2303" t="s">
        <v>18</v>
      </c>
      <c r="I2303" t="s">
        <v>948</v>
      </c>
      <c r="J2303">
        <f>orders[[#This Row],[Ship Date]]-orders[[#This Row],[Order Date]]</f>
        <v>7</v>
      </c>
      <c r="K2303">
        <f>WEEKNUM(orders[[#This Row],[Order Date]])</f>
        <v>13</v>
      </c>
      <c r="L2303" t="str" cm="1">
        <f t="array" ref="L2303">_xlfn.IFS(orders[[#This Row],[Customer Gender]]="M","Male", orders[[#This Row],[Customer Gender]]="F","Female", orders[[#This Row],[Customer Gender]]="O","Other", TRUE,"Unknown")</f>
        <v>Male</v>
      </c>
      <c r="M2303">
        <v>5</v>
      </c>
      <c r="N2303">
        <v>80.2</v>
      </c>
      <c r="O2303">
        <v>401</v>
      </c>
    </row>
    <row r="2304" spans="1:15" x14ac:dyDescent="0.3">
      <c r="A2304" t="s">
        <v>2404</v>
      </c>
      <c r="B2304" t="s">
        <v>31</v>
      </c>
      <c r="C2304" s="7">
        <v>45742</v>
      </c>
      <c r="D2304" s="7">
        <v>45744</v>
      </c>
      <c r="E2304" t="s">
        <v>22</v>
      </c>
      <c r="F2304" t="s">
        <v>39</v>
      </c>
      <c r="G2304">
        <v>4</v>
      </c>
      <c r="H2304" t="s">
        <v>18</v>
      </c>
      <c r="I2304" t="s">
        <v>32</v>
      </c>
      <c r="J2304">
        <f>orders[[#This Row],[Ship Date]]-orders[[#This Row],[Order Date]]</f>
        <v>2</v>
      </c>
      <c r="K2304">
        <f>WEEKNUM(orders[[#This Row],[Order Date]])</f>
        <v>13</v>
      </c>
      <c r="L2304" t="str" cm="1">
        <f t="array" ref="L2304">_xlfn.IFS(orders[[#This Row],[Customer Gender]]="M","Male", orders[[#This Row],[Customer Gender]]="F","Female", orders[[#This Row],[Customer Gender]]="O","Other", TRUE,"Unknown")</f>
        <v>Male</v>
      </c>
      <c r="M2304">
        <v>1</v>
      </c>
      <c r="N2304">
        <v>41.5</v>
      </c>
      <c r="O2304" s="5">
        <v>41.5</v>
      </c>
    </row>
    <row r="2305" spans="1:15" x14ac:dyDescent="0.3">
      <c r="A2305" t="s">
        <v>2405</v>
      </c>
      <c r="B2305" t="s">
        <v>25</v>
      </c>
      <c r="C2305" s="7">
        <v>45742</v>
      </c>
      <c r="D2305" s="7">
        <v>45745</v>
      </c>
      <c r="E2305" t="s">
        <v>26</v>
      </c>
      <c r="F2305" t="s">
        <v>17</v>
      </c>
      <c r="G2305">
        <v>4</v>
      </c>
      <c r="H2305" t="s">
        <v>18</v>
      </c>
      <c r="I2305" t="s">
        <v>32</v>
      </c>
      <c r="J2305">
        <f>orders[[#This Row],[Ship Date]]-orders[[#This Row],[Order Date]]</f>
        <v>3</v>
      </c>
      <c r="K2305">
        <f>WEEKNUM(orders[[#This Row],[Order Date]])</f>
        <v>13</v>
      </c>
      <c r="L2305" t="str" cm="1">
        <f t="array" ref="L2305">_xlfn.IFS(orders[[#This Row],[Customer Gender]]="M","Male", orders[[#This Row],[Customer Gender]]="F","Female", orders[[#This Row],[Customer Gender]]="O","Other", TRUE,"Unknown")</f>
        <v>Female</v>
      </c>
      <c r="M2305">
        <v>2</v>
      </c>
      <c r="N2305">
        <v>83.9</v>
      </c>
      <c r="O2305">
        <v>167.8</v>
      </c>
    </row>
    <row r="2306" spans="1:15" x14ac:dyDescent="0.3">
      <c r="A2306" t="s">
        <v>2406</v>
      </c>
      <c r="B2306" t="s">
        <v>43</v>
      </c>
      <c r="C2306" s="7">
        <v>45742</v>
      </c>
      <c r="D2306" s="7">
        <v>45746</v>
      </c>
      <c r="E2306" t="s">
        <v>26</v>
      </c>
      <c r="F2306" t="s">
        <v>17</v>
      </c>
      <c r="G2306">
        <v>3</v>
      </c>
      <c r="H2306" t="s">
        <v>18</v>
      </c>
      <c r="I2306" t="s">
        <v>32</v>
      </c>
      <c r="J2306">
        <f>orders[[#This Row],[Ship Date]]-orders[[#This Row],[Order Date]]</f>
        <v>4</v>
      </c>
      <c r="K2306">
        <f>WEEKNUM(orders[[#This Row],[Order Date]])</f>
        <v>13</v>
      </c>
      <c r="L2306" t="str" cm="1">
        <f t="array" ref="L2306">_xlfn.IFS(orders[[#This Row],[Customer Gender]]="M","Male", orders[[#This Row],[Customer Gender]]="F","Female", orders[[#This Row],[Customer Gender]]="O","Other", TRUE,"Unknown")</f>
        <v>Female</v>
      </c>
      <c r="M2306">
        <v>2</v>
      </c>
      <c r="N2306">
        <v>16.7</v>
      </c>
      <c r="O2306" s="5">
        <v>33.4</v>
      </c>
    </row>
    <row r="2307" spans="1:15" x14ac:dyDescent="0.3">
      <c r="A2307" t="s">
        <v>2407</v>
      </c>
      <c r="B2307" t="s">
        <v>45</v>
      </c>
      <c r="C2307" s="7">
        <v>45742</v>
      </c>
      <c r="D2307" s="7">
        <v>45743</v>
      </c>
      <c r="E2307" t="s">
        <v>22</v>
      </c>
      <c r="F2307" t="s">
        <v>39</v>
      </c>
      <c r="G2307">
        <v>3</v>
      </c>
      <c r="H2307" t="s">
        <v>18</v>
      </c>
      <c r="I2307" t="s">
        <v>32</v>
      </c>
      <c r="J2307">
        <f>orders[[#This Row],[Ship Date]]-orders[[#This Row],[Order Date]]</f>
        <v>1</v>
      </c>
      <c r="K2307">
        <f>WEEKNUM(orders[[#This Row],[Order Date]])</f>
        <v>13</v>
      </c>
      <c r="L2307" t="str" cm="1">
        <f t="array" ref="L2307">_xlfn.IFS(orders[[#This Row],[Customer Gender]]="M","Male", orders[[#This Row],[Customer Gender]]="F","Female", orders[[#This Row],[Customer Gender]]="O","Other", TRUE,"Unknown")</f>
        <v>Male</v>
      </c>
      <c r="M2307">
        <v>2</v>
      </c>
      <c r="N2307">
        <v>72.900000000000006</v>
      </c>
      <c r="O2307">
        <v>145.80000000000001</v>
      </c>
    </row>
    <row r="2308" spans="1:15" x14ac:dyDescent="0.3">
      <c r="A2308" t="s">
        <v>2408</v>
      </c>
      <c r="B2308" t="s">
        <v>36</v>
      </c>
      <c r="C2308" s="7">
        <v>45742</v>
      </c>
      <c r="D2308" s="7">
        <v>45744</v>
      </c>
      <c r="E2308" t="s">
        <v>26</v>
      </c>
      <c r="F2308" t="s">
        <v>34</v>
      </c>
      <c r="G2308">
        <v>5</v>
      </c>
      <c r="H2308" t="s">
        <v>18</v>
      </c>
      <c r="I2308" t="s">
        <v>32</v>
      </c>
      <c r="J2308">
        <f>orders[[#This Row],[Ship Date]]-orders[[#This Row],[Order Date]]</f>
        <v>2</v>
      </c>
      <c r="K2308">
        <f>WEEKNUM(orders[[#This Row],[Order Date]])</f>
        <v>13</v>
      </c>
      <c r="L2308" t="str" cm="1">
        <f t="array" ref="L2308">_xlfn.IFS(orders[[#This Row],[Customer Gender]]="M","Male", orders[[#This Row],[Customer Gender]]="F","Female", orders[[#This Row],[Customer Gender]]="O","Other", TRUE,"Unknown")</f>
        <v>Female</v>
      </c>
      <c r="M2308">
        <v>2</v>
      </c>
      <c r="N2308">
        <v>50.2</v>
      </c>
      <c r="O2308" s="5">
        <v>100.4</v>
      </c>
    </row>
    <row r="2309" spans="1:15" x14ac:dyDescent="0.3">
      <c r="A2309" t="s">
        <v>2409</v>
      </c>
      <c r="B2309" t="s">
        <v>29</v>
      </c>
      <c r="C2309" s="7">
        <v>45742</v>
      </c>
      <c r="D2309" s="7">
        <v>45752</v>
      </c>
      <c r="E2309" t="s">
        <v>2517</v>
      </c>
      <c r="F2309" t="s">
        <v>34</v>
      </c>
      <c r="G2309">
        <v>4</v>
      </c>
      <c r="H2309" t="s">
        <v>18</v>
      </c>
      <c r="I2309" t="s">
        <v>32</v>
      </c>
      <c r="J2309">
        <f>orders[[#This Row],[Ship Date]]-orders[[#This Row],[Order Date]]</f>
        <v>10</v>
      </c>
      <c r="K2309">
        <f>WEEKNUM(orders[[#This Row],[Order Date]])</f>
        <v>13</v>
      </c>
      <c r="L2309" t="str" cm="1">
        <f t="array" ref="L2309">_xlfn.IFS(orders[[#This Row],[Customer Gender]]="M","Male", orders[[#This Row],[Customer Gender]]="F","Female", orders[[#This Row],[Customer Gender]]="O","Other", TRUE,"Unknown")</f>
        <v>Unknown</v>
      </c>
      <c r="M2309">
        <v>2</v>
      </c>
      <c r="N2309">
        <v>34.200000000000003</v>
      </c>
      <c r="O2309">
        <v>68.400000000000006</v>
      </c>
    </row>
    <row r="2310" spans="1:15" x14ac:dyDescent="0.3">
      <c r="A2310" t="s">
        <v>2410</v>
      </c>
      <c r="B2310" t="s">
        <v>36</v>
      </c>
      <c r="C2310" s="7">
        <v>45742</v>
      </c>
      <c r="D2310" s="7">
        <v>45742</v>
      </c>
      <c r="E2310" t="s">
        <v>22</v>
      </c>
      <c r="F2310" t="s">
        <v>34</v>
      </c>
      <c r="G2310">
        <v>2</v>
      </c>
      <c r="H2310" t="s">
        <v>18</v>
      </c>
      <c r="I2310" t="s">
        <v>32</v>
      </c>
      <c r="J2310">
        <f>orders[[#This Row],[Ship Date]]-orders[[#This Row],[Order Date]]</f>
        <v>0</v>
      </c>
      <c r="K2310">
        <f>WEEKNUM(orders[[#This Row],[Order Date]])</f>
        <v>13</v>
      </c>
      <c r="L2310" t="str" cm="1">
        <f t="array" ref="L2310">_xlfn.IFS(orders[[#This Row],[Customer Gender]]="M","Male", orders[[#This Row],[Customer Gender]]="F","Female", orders[[#This Row],[Customer Gender]]="O","Other", TRUE,"Unknown")</f>
        <v>Male</v>
      </c>
      <c r="M2310">
        <v>2</v>
      </c>
      <c r="N2310">
        <v>107.9</v>
      </c>
      <c r="O2310" s="5">
        <v>215.8</v>
      </c>
    </row>
    <row r="2311" spans="1:15" x14ac:dyDescent="0.3">
      <c r="A2311" t="s">
        <v>2411</v>
      </c>
      <c r="B2311" t="s">
        <v>16</v>
      </c>
      <c r="C2311" s="7">
        <v>45742</v>
      </c>
      <c r="D2311" s="7">
        <v>45744</v>
      </c>
      <c r="E2311" t="s">
        <v>22</v>
      </c>
      <c r="F2311" t="s">
        <v>69</v>
      </c>
      <c r="G2311">
        <v>4</v>
      </c>
      <c r="H2311" t="s">
        <v>18</v>
      </c>
      <c r="I2311" t="s">
        <v>32</v>
      </c>
      <c r="J2311">
        <f>orders[[#This Row],[Ship Date]]-orders[[#This Row],[Order Date]]</f>
        <v>2</v>
      </c>
      <c r="K2311">
        <f>WEEKNUM(orders[[#This Row],[Order Date]])</f>
        <v>13</v>
      </c>
      <c r="L2311" t="str" cm="1">
        <f t="array" ref="L2311">_xlfn.IFS(orders[[#This Row],[Customer Gender]]="M","Male", orders[[#This Row],[Customer Gender]]="F","Female", orders[[#This Row],[Customer Gender]]="O","Other", TRUE,"Unknown")</f>
        <v>Male</v>
      </c>
      <c r="M2311">
        <v>3</v>
      </c>
      <c r="N2311">
        <v>17.5</v>
      </c>
      <c r="O2311">
        <v>52.5</v>
      </c>
    </row>
    <row r="2312" spans="1:15" x14ac:dyDescent="0.3">
      <c r="A2312" t="s">
        <v>2412</v>
      </c>
      <c r="B2312" t="s">
        <v>75</v>
      </c>
      <c r="C2312" s="7">
        <v>45742</v>
      </c>
      <c r="D2312" s="7">
        <v>45743</v>
      </c>
      <c r="E2312" t="s">
        <v>22</v>
      </c>
      <c r="F2312" t="s">
        <v>17</v>
      </c>
      <c r="G2312">
        <v>3</v>
      </c>
      <c r="H2312" t="s">
        <v>18</v>
      </c>
      <c r="I2312" t="s">
        <v>32</v>
      </c>
      <c r="J2312">
        <f>orders[[#This Row],[Ship Date]]-orders[[#This Row],[Order Date]]</f>
        <v>1</v>
      </c>
      <c r="K2312">
        <f>WEEKNUM(orders[[#This Row],[Order Date]])</f>
        <v>13</v>
      </c>
      <c r="L2312" t="str" cm="1">
        <f t="array" ref="L2312">_xlfn.IFS(orders[[#This Row],[Customer Gender]]="M","Male", orders[[#This Row],[Customer Gender]]="F","Female", orders[[#This Row],[Customer Gender]]="O","Other", TRUE,"Unknown")</f>
        <v>Male</v>
      </c>
      <c r="M2312">
        <v>15</v>
      </c>
      <c r="N2312">
        <v>44.7</v>
      </c>
      <c r="O2312" s="5">
        <v>670.5</v>
      </c>
    </row>
    <row r="2313" spans="1:15" x14ac:dyDescent="0.3">
      <c r="A2313" t="s">
        <v>2413</v>
      </c>
      <c r="B2313" t="s">
        <v>68</v>
      </c>
      <c r="C2313" s="7">
        <v>45742</v>
      </c>
      <c r="D2313" s="7">
        <v>45744</v>
      </c>
      <c r="E2313" t="s">
        <v>26</v>
      </c>
      <c r="F2313" t="s">
        <v>39</v>
      </c>
      <c r="G2313">
        <v>3</v>
      </c>
      <c r="H2313" t="s">
        <v>18</v>
      </c>
      <c r="I2313" t="s">
        <v>32</v>
      </c>
      <c r="J2313">
        <f>orders[[#This Row],[Ship Date]]-orders[[#This Row],[Order Date]]</f>
        <v>2</v>
      </c>
      <c r="K2313">
        <f>WEEKNUM(orders[[#This Row],[Order Date]])</f>
        <v>13</v>
      </c>
      <c r="L2313" t="str" cm="1">
        <f t="array" ref="L2313">_xlfn.IFS(orders[[#This Row],[Customer Gender]]="M","Male", orders[[#This Row],[Customer Gender]]="F","Female", orders[[#This Row],[Customer Gender]]="O","Other", TRUE,"Unknown")</f>
        <v>Female</v>
      </c>
      <c r="M2313">
        <v>6</v>
      </c>
      <c r="N2313">
        <v>92.7</v>
      </c>
      <c r="O2313">
        <v>556.20000000000005</v>
      </c>
    </row>
    <row r="2314" spans="1:15" x14ac:dyDescent="0.3">
      <c r="A2314" t="s">
        <v>2414</v>
      </c>
      <c r="B2314" t="s">
        <v>41</v>
      </c>
      <c r="C2314" s="7">
        <v>45742</v>
      </c>
      <c r="D2314" s="7">
        <v>45744</v>
      </c>
      <c r="E2314" t="s">
        <v>26</v>
      </c>
      <c r="F2314" t="s">
        <v>39</v>
      </c>
      <c r="G2314">
        <v>4</v>
      </c>
      <c r="H2314" t="s">
        <v>18</v>
      </c>
      <c r="I2314" t="s">
        <v>32</v>
      </c>
      <c r="J2314">
        <f>orders[[#This Row],[Ship Date]]-orders[[#This Row],[Order Date]]</f>
        <v>2</v>
      </c>
      <c r="K2314">
        <f>WEEKNUM(orders[[#This Row],[Order Date]])</f>
        <v>13</v>
      </c>
      <c r="L2314" t="str" cm="1">
        <f t="array" ref="L2314">_xlfn.IFS(orders[[#This Row],[Customer Gender]]="M","Male", orders[[#This Row],[Customer Gender]]="F","Female", orders[[#This Row],[Customer Gender]]="O","Other", TRUE,"Unknown")</f>
        <v>Female</v>
      </c>
      <c r="M2314">
        <v>3</v>
      </c>
      <c r="N2314">
        <v>48.8</v>
      </c>
      <c r="O2314" s="5">
        <v>146.39999999999998</v>
      </c>
    </row>
    <row r="2315" spans="1:15" x14ac:dyDescent="0.3">
      <c r="A2315" t="s">
        <v>2415</v>
      </c>
      <c r="B2315" t="s">
        <v>31</v>
      </c>
      <c r="C2315" s="7">
        <v>45742</v>
      </c>
      <c r="D2315" s="7">
        <v>45746</v>
      </c>
      <c r="E2315" t="s">
        <v>26</v>
      </c>
      <c r="F2315" t="s">
        <v>50</v>
      </c>
      <c r="G2315">
        <v>1</v>
      </c>
      <c r="H2315" t="s">
        <v>18</v>
      </c>
      <c r="I2315" t="s">
        <v>32</v>
      </c>
      <c r="J2315">
        <f>orders[[#This Row],[Ship Date]]-orders[[#This Row],[Order Date]]</f>
        <v>4</v>
      </c>
      <c r="K2315">
        <f>WEEKNUM(orders[[#This Row],[Order Date]])</f>
        <v>13</v>
      </c>
      <c r="L2315" t="str" cm="1">
        <f t="array" ref="L2315">_xlfn.IFS(orders[[#This Row],[Customer Gender]]="M","Male", orders[[#This Row],[Customer Gender]]="F","Female", orders[[#This Row],[Customer Gender]]="O","Other", TRUE,"Unknown")</f>
        <v>Female</v>
      </c>
      <c r="M2315">
        <v>16</v>
      </c>
      <c r="N2315">
        <v>21.3</v>
      </c>
      <c r="O2315">
        <v>340.8</v>
      </c>
    </row>
    <row r="2316" spans="1:15" x14ac:dyDescent="0.3">
      <c r="A2316" t="s">
        <v>2416</v>
      </c>
      <c r="B2316" t="s">
        <v>127</v>
      </c>
      <c r="C2316" s="7">
        <v>45742</v>
      </c>
      <c r="D2316" s="7">
        <v>45743</v>
      </c>
      <c r="E2316" t="s">
        <v>26</v>
      </c>
      <c r="F2316" t="s">
        <v>17</v>
      </c>
      <c r="G2316">
        <v>4</v>
      </c>
      <c r="H2316" t="s">
        <v>18</v>
      </c>
      <c r="I2316" t="s">
        <v>32</v>
      </c>
      <c r="J2316">
        <f>orders[[#This Row],[Ship Date]]-orders[[#This Row],[Order Date]]</f>
        <v>1</v>
      </c>
      <c r="K2316">
        <f>WEEKNUM(orders[[#This Row],[Order Date]])</f>
        <v>13</v>
      </c>
      <c r="L2316" t="str" cm="1">
        <f t="array" ref="L2316">_xlfn.IFS(orders[[#This Row],[Customer Gender]]="M","Male", orders[[#This Row],[Customer Gender]]="F","Female", orders[[#This Row],[Customer Gender]]="O","Other", TRUE,"Unknown")</f>
        <v>Female</v>
      </c>
      <c r="M2316">
        <v>1</v>
      </c>
      <c r="N2316">
        <v>52.5</v>
      </c>
      <c r="O2316" s="5">
        <v>52.5</v>
      </c>
    </row>
    <row r="2317" spans="1:15" x14ac:dyDescent="0.3">
      <c r="A2317" t="s">
        <v>2417</v>
      </c>
      <c r="B2317" t="s">
        <v>21</v>
      </c>
      <c r="C2317" s="7">
        <v>45742</v>
      </c>
      <c r="D2317" s="7">
        <v>45748</v>
      </c>
      <c r="E2317" t="s">
        <v>26</v>
      </c>
      <c r="F2317" t="s">
        <v>17</v>
      </c>
      <c r="G2317">
        <v>5</v>
      </c>
      <c r="H2317" t="s">
        <v>18</v>
      </c>
      <c r="I2317" t="s">
        <v>32</v>
      </c>
      <c r="J2317">
        <f>orders[[#This Row],[Ship Date]]-orders[[#This Row],[Order Date]]</f>
        <v>6</v>
      </c>
      <c r="K2317">
        <f>WEEKNUM(orders[[#This Row],[Order Date]])</f>
        <v>13</v>
      </c>
      <c r="L2317" t="str" cm="1">
        <f t="array" ref="L2317">_xlfn.IFS(orders[[#This Row],[Customer Gender]]="M","Male", orders[[#This Row],[Customer Gender]]="F","Female", orders[[#This Row],[Customer Gender]]="O","Other", TRUE,"Unknown")</f>
        <v>Female</v>
      </c>
      <c r="M2317">
        <v>2</v>
      </c>
      <c r="N2317">
        <v>92.4</v>
      </c>
      <c r="O2317">
        <v>184.8</v>
      </c>
    </row>
    <row r="2318" spans="1:15" x14ac:dyDescent="0.3">
      <c r="A2318" t="s">
        <v>2418</v>
      </c>
      <c r="B2318" t="s">
        <v>31</v>
      </c>
      <c r="C2318" s="7">
        <v>45742</v>
      </c>
      <c r="D2318" s="7">
        <v>45744</v>
      </c>
      <c r="E2318" t="s">
        <v>22</v>
      </c>
      <c r="F2318" t="s">
        <v>34</v>
      </c>
      <c r="G2318">
        <v>5</v>
      </c>
      <c r="H2318" t="s">
        <v>18</v>
      </c>
      <c r="I2318" t="s">
        <v>32</v>
      </c>
      <c r="J2318">
        <f>orders[[#This Row],[Ship Date]]-orders[[#This Row],[Order Date]]</f>
        <v>2</v>
      </c>
      <c r="K2318">
        <f>WEEKNUM(orders[[#This Row],[Order Date]])</f>
        <v>13</v>
      </c>
      <c r="L2318" t="str" cm="1">
        <f t="array" ref="L2318">_xlfn.IFS(orders[[#This Row],[Customer Gender]]="M","Male", orders[[#This Row],[Customer Gender]]="F","Female", orders[[#This Row],[Customer Gender]]="O","Other", TRUE,"Unknown")</f>
        <v>Male</v>
      </c>
      <c r="M2318">
        <v>11</v>
      </c>
      <c r="N2318">
        <v>58.3</v>
      </c>
      <c r="O2318" s="5">
        <v>641.29999999999995</v>
      </c>
    </row>
    <row r="2319" spans="1:15" x14ac:dyDescent="0.3">
      <c r="A2319" t="s">
        <v>2419</v>
      </c>
      <c r="B2319" t="s">
        <v>38</v>
      </c>
      <c r="C2319" s="7">
        <v>45743</v>
      </c>
      <c r="D2319" s="7">
        <v>45745</v>
      </c>
      <c r="E2319" t="s">
        <v>2517</v>
      </c>
      <c r="F2319" t="s">
        <v>17</v>
      </c>
      <c r="G2319">
        <v>4</v>
      </c>
      <c r="H2319" t="s">
        <v>18</v>
      </c>
      <c r="I2319" t="s">
        <v>32</v>
      </c>
      <c r="J2319">
        <f>orders[[#This Row],[Ship Date]]-orders[[#This Row],[Order Date]]</f>
        <v>2</v>
      </c>
      <c r="K2319">
        <f>WEEKNUM(orders[[#This Row],[Order Date]])</f>
        <v>13</v>
      </c>
      <c r="L2319" t="str" cm="1">
        <f t="array" ref="L2319">_xlfn.IFS(orders[[#This Row],[Customer Gender]]="M","Male", orders[[#This Row],[Customer Gender]]="F","Female", orders[[#This Row],[Customer Gender]]="O","Other", TRUE,"Unknown")</f>
        <v>Unknown</v>
      </c>
      <c r="M2319">
        <v>23</v>
      </c>
      <c r="N2319">
        <v>152.6</v>
      </c>
      <c r="O2319">
        <v>3509.7999999999997</v>
      </c>
    </row>
    <row r="2320" spans="1:15" x14ac:dyDescent="0.3">
      <c r="A2320" t="s">
        <v>2420</v>
      </c>
      <c r="B2320" t="s">
        <v>43</v>
      </c>
      <c r="C2320" s="7">
        <v>45743</v>
      </c>
      <c r="D2320" s="7">
        <v>45743</v>
      </c>
      <c r="E2320" t="s">
        <v>2517</v>
      </c>
      <c r="F2320" t="s">
        <v>17</v>
      </c>
      <c r="G2320">
        <v>3</v>
      </c>
      <c r="H2320" t="s">
        <v>18</v>
      </c>
      <c r="I2320" t="s">
        <v>32</v>
      </c>
      <c r="J2320">
        <f>orders[[#This Row],[Ship Date]]-orders[[#This Row],[Order Date]]</f>
        <v>0</v>
      </c>
      <c r="K2320">
        <f>WEEKNUM(orders[[#This Row],[Order Date]])</f>
        <v>13</v>
      </c>
      <c r="L2320" t="str" cm="1">
        <f t="array" ref="L2320">_xlfn.IFS(orders[[#This Row],[Customer Gender]]="M","Male", orders[[#This Row],[Customer Gender]]="F","Female", orders[[#This Row],[Customer Gender]]="O","Other", TRUE,"Unknown")</f>
        <v>Unknown</v>
      </c>
      <c r="M2320">
        <v>2</v>
      </c>
      <c r="N2320">
        <v>26</v>
      </c>
      <c r="O2320" s="5">
        <v>52</v>
      </c>
    </row>
    <row r="2321" spans="1:15" x14ac:dyDescent="0.3">
      <c r="A2321" t="s">
        <v>2421</v>
      </c>
      <c r="B2321" t="s">
        <v>21</v>
      </c>
      <c r="C2321" s="7">
        <v>45743</v>
      </c>
      <c r="D2321" s="7">
        <v>45743</v>
      </c>
      <c r="E2321" t="s">
        <v>22</v>
      </c>
      <c r="F2321" t="s">
        <v>39</v>
      </c>
      <c r="G2321">
        <v>2</v>
      </c>
      <c r="H2321" t="s">
        <v>18</v>
      </c>
      <c r="I2321" t="s">
        <v>51</v>
      </c>
      <c r="J2321">
        <f>orders[[#This Row],[Ship Date]]-orders[[#This Row],[Order Date]]</f>
        <v>0</v>
      </c>
      <c r="K2321">
        <f>WEEKNUM(orders[[#This Row],[Order Date]])</f>
        <v>13</v>
      </c>
      <c r="L2321" t="str" cm="1">
        <f t="array" ref="L2321">_xlfn.IFS(orders[[#This Row],[Customer Gender]]="M","Male", orders[[#This Row],[Customer Gender]]="F","Female", orders[[#This Row],[Customer Gender]]="O","Other", TRUE,"Unknown")</f>
        <v>Male</v>
      </c>
      <c r="M2321">
        <v>4</v>
      </c>
      <c r="N2321">
        <v>33.1</v>
      </c>
      <c r="O2321">
        <v>132.4</v>
      </c>
    </row>
    <row r="2322" spans="1:15" x14ac:dyDescent="0.3">
      <c r="A2322" t="s">
        <v>2422</v>
      </c>
      <c r="B2322" t="s">
        <v>145</v>
      </c>
      <c r="C2322" s="7">
        <v>45743</v>
      </c>
      <c r="D2322" s="7">
        <v>45745</v>
      </c>
      <c r="E2322" t="s">
        <v>26</v>
      </c>
      <c r="F2322" t="s">
        <v>34</v>
      </c>
      <c r="G2322">
        <v>3</v>
      </c>
      <c r="H2322" t="s">
        <v>18</v>
      </c>
      <c r="I2322" t="s">
        <v>51</v>
      </c>
      <c r="J2322">
        <f>orders[[#This Row],[Ship Date]]-orders[[#This Row],[Order Date]]</f>
        <v>2</v>
      </c>
      <c r="K2322">
        <f>WEEKNUM(orders[[#This Row],[Order Date]])</f>
        <v>13</v>
      </c>
      <c r="L2322" t="str" cm="1">
        <f t="array" ref="L2322">_xlfn.IFS(orders[[#This Row],[Customer Gender]]="M","Male", orders[[#This Row],[Customer Gender]]="F","Female", orders[[#This Row],[Customer Gender]]="O","Other", TRUE,"Unknown")</f>
        <v>Female</v>
      </c>
      <c r="M2322">
        <v>1</v>
      </c>
      <c r="N2322">
        <v>51.4</v>
      </c>
      <c r="O2322" s="5">
        <v>51.4</v>
      </c>
    </row>
    <row r="2323" spans="1:15" x14ac:dyDescent="0.3">
      <c r="A2323" t="s">
        <v>2423</v>
      </c>
      <c r="B2323" t="s">
        <v>43</v>
      </c>
      <c r="C2323" s="7">
        <v>45743</v>
      </c>
      <c r="D2323" s="7">
        <v>45744</v>
      </c>
      <c r="E2323" t="s">
        <v>26</v>
      </c>
      <c r="F2323" t="s">
        <v>39</v>
      </c>
      <c r="G2323">
        <v>5</v>
      </c>
      <c r="H2323" t="s">
        <v>18</v>
      </c>
      <c r="I2323" t="s">
        <v>54</v>
      </c>
      <c r="J2323">
        <f>orders[[#This Row],[Ship Date]]-orders[[#This Row],[Order Date]]</f>
        <v>1</v>
      </c>
      <c r="K2323">
        <f>WEEKNUM(orders[[#This Row],[Order Date]])</f>
        <v>13</v>
      </c>
      <c r="L2323" t="str" cm="1">
        <f t="array" ref="L2323">_xlfn.IFS(orders[[#This Row],[Customer Gender]]="M","Male", orders[[#This Row],[Customer Gender]]="F","Female", orders[[#This Row],[Customer Gender]]="O","Other", TRUE,"Unknown")</f>
        <v>Female</v>
      </c>
      <c r="M2323">
        <v>2</v>
      </c>
      <c r="N2323">
        <v>30.2</v>
      </c>
      <c r="O2323">
        <v>60.4</v>
      </c>
    </row>
    <row r="2324" spans="1:15" x14ac:dyDescent="0.3">
      <c r="A2324" t="s">
        <v>2424</v>
      </c>
      <c r="B2324" t="s">
        <v>25</v>
      </c>
      <c r="C2324" s="7">
        <v>45743</v>
      </c>
      <c r="D2324" s="7">
        <v>45747</v>
      </c>
      <c r="E2324" t="s">
        <v>26</v>
      </c>
      <c r="F2324" t="s">
        <v>17</v>
      </c>
      <c r="G2324">
        <v>5</v>
      </c>
      <c r="H2324" t="s">
        <v>18</v>
      </c>
      <c r="I2324" t="s">
        <v>58</v>
      </c>
      <c r="J2324">
        <f>orders[[#This Row],[Ship Date]]-orders[[#This Row],[Order Date]]</f>
        <v>4</v>
      </c>
      <c r="K2324">
        <f>WEEKNUM(orders[[#This Row],[Order Date]])</f>
        <v>13</v>
      </c>
      <c r="L2324" t="str" cm="1">
        <f t="array" ref="L2324">_xlfn.IFS(orders[[#This Row],[Customer Gender]]="M","Male", orders[[#This Row],[Customer Gender]]="F","Female", orders[[#This Row],[Customer Gender]]="O","Other", TRUE,"Unknown")</f>
        <v>Female</v>
      </c>
      <c r="M2324">
        <v>6</v>
      </c>
      <c r="N2324">
        <v>97</v>
      </c>
      <c r="O2324" s="5">
        <v>582</v>
      </c>
    </row>
    <row r="2325" spans="1:15" x14ac:dyDescent="0.3">
      <c r="A2325" t="s">
        <v>2425</v>
      </c>
      <c r="B2325" t="s">
        <v>25</v>
      </c>
      <c r="C2325" s="7">
        <v>45743</v>
      </c>
      <c r="D2325" s="7">
        <v>45744</v>
      </c>
      <c r="E2325" t="s">
        <v>22</v>
      </c>
      <c r="F2325" t="s">
        <v>34</v>
      </c>
      <c r="G2325">
        <v>5</v>
      </c>
      <c r="H2325" t="s">
        <v>18</v>
      </c>
      <c r="I2325" t="s">
        <v>61</v>
      </c>
      <c r="J2325">
        <f>orders[[#This Row],[Ship Date]]-orders[[#This Row],[Order Date]]</f>
        <v>1</v>
      </c>
      <c r="K2325">
        <f>WEEKNUM(orders[[#This Row],[Order Date]])</f>
        <v>13</v>
      </c>
      <c r="L2325" t="str" cm="1">
        <f t="array" ref="L2325">_xlfn.IFS(orders[[#This Row],[Customer Gender]]="M","Male", orders[[#This Row],[Customer Gender]]="F","Female", orders[[#This Row],[Customer Gender]]="O","Other", TRUE,"Unknown")</f>
        <v>Male</v>
      </c>
      <c r="M2325">
        <v>1</v>
      </c>
      <c r="N2325">
        <v>76.900000000000006</v>
      </c>
      <c r="O2325">
        <v>76.900000000000006</v>
      </c>
    </row>
    <row r="2326" spans="1:15" x14ac:dyDescent="0.3">
      <c r="A2326" t="s">
        <v>2426</v>
      </c>
      <c r="B2326" t="s">
        <v>41</v>
      </c>
      <c r="C2326" s="7">
        <v>45743</v>
      </c>
      <c r="D2326" s="7">
        <v>45747</v>
      </c>
      <c r="E2326" t="s">
        <v>26</v>
      </c>
      <c r="F2326" t="s">
        <v>17</v>
      </c>
      <c r="G2326">
        <v>4</v>
      </c>
      <c r="H2326" t="s">
        <v>18</v>
      </c>
      <c r="I2326" t="s">
        <v>61</v>
      </c>
      <c r="J2326">
        <f>orders[[#This Row],[Ship Date]]-orders[[#This Row],[Order Date]]</f>
        <v>4</v>
      </c>
      <c r="K2326">
        <f>WEEKNUM(orders[[#This Row],[Order Date]])</f>
        <v>13</v>
      </c>
      <c r="L2326" t="str" cm="1">
        <f t="array" ref="L2326">_xlfn.IFS(orders[[#This Row],[Customer Gender]]="M","Male", orders[[#This Row],[Customer Gender]]="F","Female", orders[[#This Row],[Customer Gender]]="O","Other", TRUE,"Unknown")</f>
        <v>Female</v>
      </c>
      <c r="M2326">
        <v>6</v>
      </c>
      <c r="N2326">
        <v>36.1</v>
      </c>
      <c r="O2326" s="5">
        <v>216.60000000000002</v>
      </c>
    </row>
    <row r="2327" spans="1:15" x14ac:dyDescent="0.3">
      <c r="A2327" t="s">
        <v>2427</v>
      </c>
      <c r="B2327" t="s">
        <v>21</v>
      </c>
      <c r="C2327" s="7">
        <v>45743</v>
      </c>
      <c r="D2327" s="7">
        <v>45743</v>
      </c>
      <c r="E2327" t="s">
        <v>26</v>
      </c>
      <c r="F2327" t="s">
        <v>39</v>
      </c>
      <c r="G2327">
        <v>3</v>
      </c>
      <c r="H2327" t="s">
        <v>18</v>
      </c>
      <c r="I2327" t="s">
        <v>76</v>
      </c>
      <c r="J2327">
        <f>orders[[#This Row],[Ship Date]]-orders[[#This Row],[Order Date]]</f>
        <v>0</v>
      </c>
      <c r="K2327">
        <f>WEEKNUM(orders[[#This Row],[Order Date]])</f>
        <v>13</v>
      </c>
      <c r="L2327" t="str" cm="1">
        <f t="array" ref="L2327">_xlfn.IFS(orders[[#This Row],[Customer Gender]]="M","Male", orders[[#This Row],[Customer Gender]]="F","Female", orders[[#This Row],[Customer Gender]]="O","Other", TRUE,"Unknown")</f>
        <v>Female</v>
      </c>
      <c r="M2327">
        <v>7</v>
      </c>
      <c r="N2327">
        <v>34.4</v>
      </c>
      <c r="O2327">
        <v>240.79999999999998</v>
      </c>
    </row>
    <row r="2328" spans="1:15" x14ac:dyDescent="0.3">
      <c r="A2328" t="s">
        <v>2428</v>
      </c>
      <c r="B2328" t="s">
        <v>21</v>
      </c>
      <c r="C2328" s="7">
        <v>45743</v>
      </c>
      <c r="D2328" s="7">
        <v>45745</v>
      </c>
      <c r="E2328" t="s">
        <v>26</v>
      </c>
      <c r="F2328" t="s">
        <v>34</v>
      </c>
      <c r="G2328">
        <v>4</v>
      </c>
      <c r="H2328" t="s">
        <v>18</v>
      </c>
      <c r="I2328" t="s">
        <v>107</v>
      </c>
      <c r="J2328">
        <f>orders[[#This Row],[Ship Date]]-orders[[#This Row],[Order Date]]</f>
        <v>2</v>
      </c>
      <c r="K2328">
        <f>WEEKNUM(orders[[#This Row],[Order Date]])</f>
        <v>13</v>
      </c>
      <c r="L2328" t="str" cm="1">
        <f t="array" ref="L2328">_xlfn.IFS(orders[[#This Row],[Customer Gender]]="M","Male", orders[[#This Row],[Customer Gender]]="F","Female", orders[[#This Row],[Customer Gender]]="O","Other", TRUE,"Unknown")</f>
        <v>Female</v>
      </c>
      <c r="M2328">
        <v>28</v>
      </c>
      <c r="N2328">
        <v>53.4</v>
      </c>
      <c r="O2328" s="5">
        <v>1495.2</v>
      </c>
    </row>
    <row r="2329" spans="1:15" x14ac:dyDescent="0.3">
      <c r="A2329" t="s">
        <v>2429</v>
      </c>
      <c r="B2329" t="s">
        <v>25</v>
      </c>
      <c r="C2329" s="7">
        <v>45743</v>
      </c>
      <c r="D2329" s="7">
        <v>45744</v>
      </c>
      <c r="E2329" t="s">
        <v>26</v>
      </c>
      <c r="F2329" t="s">
        <v>17</v>
      </c>
      <c r="G2329">
        <v>3</v>
      </c>
      <c r="H2329" t="s">
        <v>18</v>
      </c>
      <c r="I2329" t="s">
        <v>109</v>
      </c>
      <c r="J2329">
        <f>orders[[#This Row],[Ship Date]]-orders[[#This Row],[Order Date]]</f>
        <v>1</v>
      </c>
      <c r="K2329">
        <f>WEEKNUM(orders[[#This Row],[Order Date]])</f>
        <v>13</v>
      </c>
      <c r="L2329" t="str" cm="1">
        <f t="array" ref="L2329">_xlfn.IFS(orders[[#This Row],[Customer Gender]]="M","Male", orders[[#This Row],[Customer Gender]]="F","Female", orders[[#This Row],[Customer Gender]]="O","Other", TRUE,"Unknown")</f>
        <v>Female</v>
      </c>
      <c r="M2329">
        <v>1</v>
      </c>
      <c r="N2329">
        <v>77.599999999999994</v>
      </c>
      <c r="O2329">
        <v>77.599999999999994</v>
      </c>
    </row>
    <row r="2330" spans="1:15" x14ac:dyDescent="0.3">
      <c r="A2330" t="s">
        <v>2430</v>
      </c>
      <c r="B2330" t="s">
        <v>21</v>
      </c>
      <c r="C2330" s="7">
        <v>45743</v>
      </c>
      <c r="D2330" s="7">
        <v>45746</v>
      </c>
      <c r="E2330" t="s">
        <v>26</v>
      </c>
      <c r="F2330" t="s">
        <v>34</v>
      </c>
      <c r="G2330">
        <v>4</v>
      </c>
      <c r="H2330" t="s">
        <v>18</v>
      </c>
      <c r="I2330" t="s">
        <v>109</v>
      </c>
      <c r="J2330">
        <f>orders[[#This Row],[Ship Date]]-orders[[#This Row],[Order Date]]</f>
        <v>3</v>
      </c>
      <c r="K2330">
        <f>WEEKNUM(orders[[#This Row],[Order Date]])</f>
        <v>13</v>
      </c>
      <c r="L2330" t="str" cm="1">
        <f t="array" ref="L2330">_xlfn.IFS(orders[[#This Row],[Customer Gender]]="M","Male", orders[[#This Row],[Customer Gender]]="F","Female", orders[[#This Row],[Customer Gender]]="O","Other", TRUE,"Unknown")</f>
        <v>Female</v>
      </c>
      <c r="M2330">
        <v>3</v>
      </c>
      <c r="N2330">
        <v>71.7</v>
      </c>
      <c r="O2330" s="5">
        <v>215.10000000000002</v>
      </c>
    </row>
    <row r="2331" spans="1:15" x14ac:dyDescent="0.3">
      <c r="A2331" t="s">
        <v>2431</v>
      </c>
      <c r="B2331" t="s">
        <v>29</v>
      </c>
      <c r="C2331" s="7">
        <v>45743</v>
      </c>
      <c r="D2331" s="7">
        <v>45744</v>
      </c>
      <c r="E2331" t="s">
        <v>22</v>
      </c>
      <c r="F2331" t="s">
        <v>69</v>
      </c>
      <c r="G2331">
        <v>3</v>
      </c>
      <c r="H2331" t="s">
        <v>18</v>
      </c>
      <c r="I2331" t="s">
        <v>109</v>
      </c>
      <c r="J2331">
        <f>orders[[#This Row],[Ship Date]]-orders[[#This Row],[Order Date]]</f>
        <v>1</v>
      </c>
      <c r="K2331">
        <f>WEEKNUM(orders[[#This Row],[Order Date]])</f>
        <v>13</v>
      </c>
      <c r="L2331" t="str" cm="1">
        <f t="array" ref="L2331">_xlfn.IFS(orders[[#This Row],[Customer Gender]]="M","Male", orders[[#This Row],[Customer Gender]]="F","Female", orders[[#This Row],[Customer Gender]]="O","Other", TRUE,"Unknown")</f>
        <v>Male</v>
      </c>
      <c r="M2331">
        <v>3</v>
      </c>
      <c r="N2331">
        <v>80.599999999999994</v>
      </c>
      <c r="O2331">
        <v>241.79999999999998</v>
      </c>
    </row>
    <row r="2332" spans="1:15" x14ac:dyDescent="0.3">
      <c r="A2332" t="s">
        <v>2432</v>
      </c>
      <c r="B2332" t="s">
        <v>21</v>
      </c>
      <c r="C2332" s="7">
        <v>45743</v>
      </c>
      <c r="D2332" s="7">
        <v>45745</v>
      </c>
      <c r="E2332" t="s">
        <v>22</v>
      </c>
      <c r="F2332" t="s">
        <v>17</v>
      </c>
      <c r="G2332">
        <v>4</v>
      </c>
      <c r="H2332" t="s">
        <v>18</v>
      </c>
      <c r="I2332" t="s">
        <v>112</v>
      </c>
      <c r="J2332">
        <f>orders[[#This Row],[Ship Date]]-orders[[#This Row],[Order Date]]</f>
        <v>2</v>
      </c>
      <c r="K2332">
        <f>WEEKNUM(orders[[#This Row],[Order Date]])</f>
        <v>13</v>
      </c>
      <c r="L2332" t="str" cm="1">
        <f t="array" ref="L2332">_xlfn.IFS(orders[[#This Row],[Customer Gender]]="M","Male", orders[[#This Row],[Customer Gender]]="F","Female", orders[[#This Row],[Customer Gender]]="O","Other", TRUE,"Unknown")</f>
        <v>Male</v>
      </c>
      <c r="M2332">
        <v>15</v>
      </c>
      <c r="N2332">
        <v>70</v>
      </c>
      <c r="O2332" s="5">
        <v>1050</v>
      </c>
    </row>
    <row r="2333" spans="1:15" x14ac:dyDescent="0.3">
      <c r="A2333" t="s">
        <v>2433</v>
      </c>
      <c r="B2333" t="s">
        <v>31</v>
      </c>
      <c r="C2333" s="7">
        <v>45743</v>
      </c>
      <c r="D2333" s="7">
        <v>45745</v>
      </c>
      <c r="E2333" t="s">
        <v>26</v>
      </c>
      <c r="F2333" t="s">
        <v>34</v>
      </c>
      <c r="G2333">
        <v>3</v>
      </c>
      <c r="H2333" t="s">
        <v>18</v>
      </c>
      <c r="I2333" t="s">
        <v>27</v>
      </c>
      <c r="J2333">
        <f>orders[[#This Row],[Ship Date]]-orders[[#This Row],[Order Date]]</f>
        <v>2</v>
      </c>
      <c r="K2333">
        <f>WEEKNUM(orders[[#This Row],[Order Date]])</f>
        <v>13</v>
      </c>
      <c r="L2333" t="str" cm="1">
        <f t="array" ref="L2333">_xlfn.IFS(orders[[#This Row],[Customer Gender]]="M","Male", orders[[#This Row],[Customer Gender]]="F","Female", orders[[#This Row],[Customer Gender]]="O","Other", TRUE,"Unknown")</f>
        <v>Female</v>
      </c>
      <c r="M2333">
        <v>6</v>
      </c>
      <c r="N2333">
        <v>27.3</v>
      </c>
      <c r="O2333">
        <v>163.80000000000001</v>
      </c>
    </row>
    <row r="2334" spans="1:15" x14ac:dyDescent="0.3">
      <c r="A2334" t="s">
        <v>2434</v>
      </c>
      <c r="B2334" t="s">
        <v>43</v>
      </c>
      <c r="C2334" s="7">
        <v>45743</v>
      </c>
      <c r="D2334" s="7">
        <v>45745</v>
      </c>
      <c r="E2334" t="s">
        <v>22</v>
      </c>
      <c r="F2334" t="s">
        <v>34</v>
      </c>
      <c r="G2334">
        <v>4</v>
      </c>
      <c r="H2334" t="s">
        <v>18</v>
      </c>
      <c r="I2334" t="s">
        <v>32</v>
      </c>
      <c r="J2334">
        <f>orders[[#This Row],[Ship Date]]-orders[[#This Row],[Order Date]]</f>
        <v>2</v>
      </c>
      <c r="K2334">
        <f>WEEKNUM(orders[[#This Row],[Order Date]])</f>
        <v>13</v>
      </c>
      <c r="L2334" t="str" cm="1">
        <f t="array" ref="L2334">_xlfn.IFS(orders[[#This Row],[Customer Gender]]="M","Male", orders[[#This Row],[Customer Gender]]="F","Female", orders[[#This Row],[Customer Gender]]="O","Other", TRUE,"Unknown")</f>
        <v>Male</v>
      </c>
      <c r="M2334">
        <v>14</v>
      </c>
      <c r="N2334">
        <v>37.6</v>
      </c>
      <c r="O2334" s="5">
        <v>526.4</v>
      </c>
    </row>
    <row r="2335" spans="1:15" x14ac:dyDescent="0.3">
      <c r="A2335" t="s">
        <v>2435</v>
      </c>
      <c r="B2335" t="s">
        <v>36</v>
      </c>
      <c r="C2335" s="7">
        <v>45743</v>
      </c>
      <c r="D2335" s="7">
        <v>45745</v>
      </c>
      <c r="E2335" t="s">
        <v>26</v>
      </c>
      <c r="F2335" t="s">
        <v>69</v>
      </c>
      <c r="G2335">
        <v>4</v>
      </c>
      <c r="H2335" t="s">
        <v>18</v>
      </c>
      <c r="I2335" t="s">
        <v>32</v>
      </c>
      <c r="J2335">
        <f>orders[[#This Row],[Ship Date]]-orders[[#This Row],[Order Date]]</f>
        <v>2</v>
      </c>
      <c r="K2335">
        <f>WEEKNUM(orders[[#This Row],[Order Date]])</f>
        <v>13</v>
      </c>
      <c r="L2335" t="str" cm="1">
        <f t="array" ref="L2335">_xlfn.IFS(orders[[#This Row],[Customer Gender]]="M","Male", orders[[#This Row],[Customer Gender]]="F","Female", orders[[#This Row],[Customer Gender]]="O","Other", TRUE,"Unknown")</f>
        <v>Female</v>
      </c>
      <c r="M2335">
        <v>3</v>
      </c>
      <c r="N2335">
        <v>36.6</v>
      </c>
      <c r="O2335">
        <v>109.80000000000001</v>
      </c>
    </row>
    <row r="2336" spans="1:15" x14ac:dyDescent="0.3">
      <c r="A2336" t="s">
        <v>2436</v>
      </c>
      <c r="B2336" t="s">
        <v>75</v>
      </c>
      <c r="C2336" s="7">
        <v>45743</v>
      </c>
      <c r="D2336" s="7">
        <v>45745</v>
      </c>
      <c r="E2336" t="s">
        <v>22</v>
      </c>
      <c r="F2336" t="s">
        <v>50</v>
      </c>
      <c r="G2336">
        <v>4</v>
      </c>
      <c r="H2336" t="s">
        <v>18</v>
      </c>
      <c r="I2336" t="s">
        <v>32</v>
      </c>
      <c r="J2336">
        <f>orders[[#This Row],[Ship Date]]-orders[[#This Row],[Order Date]]</f>
        <v>2</v>
      </c>
      <c r="K2336">
        <f>WEEKNUM(orders[[#This Row],[Order Date]])</f>
        <v>13</v>
      </c>
      <c r="L2336" t="str" cm="1">
        <f t="array" ref="L2336">_xlfn.IFS(orders[[#This Row],[Customer Gender]]="M","Male", orders[[#This Row],[Customer Gender]]="F","Female", orders[[#This Row],[Customer Gender]]="O","Other", TRUE,"Unknown")</f>
        <v>Male</v>
      </c>
      <c r="M2336">
        <v>1</v>
      </c>
      <c r="N2336">
        <v>55.2</v>
      </c>
      <c r="O2336" s="5">
        <v>55.2</v>
      </c>
    </row>
    <row r="2337" spans="1:15" x14ac:dyDescent="0.3">
      <c r="A2337" t="s">
        <v>2437</v>
      </c>
      <c r="B2337" t="s">
        <v>38</v>
      </c>
      <c r="C2337" s="7">
        <v>45743</v>
      </c>
      <c r="D2337" s="7">
        <v>45745</v>
      </c>
      <c r="E2337" t="s">
        <v>22</v>
      </c>
      <c r="F2337" t="s">
        <v>17</v>
      </c>
      <c r="G2337">
        <v>4</v>
      </c>
      <c r="H2337" t="s">
        <v>18</v>
      </c>
      <c r="I2337" t="s">
        <v>32</v>
      </c>
      <c r="J2337">
        <f>orders[[#This Row],[Ship Date]]-orders[[#This Row],[Order Date]]</f>
        <v>2</v>
      </c>
      <c r="K2337">
        <f>WEEKNUM(orders[[#This Row],[Order Date]])</f>
        <v>13</v>
      </c>
      <c r="L2337" t="str" cm="1">
        <f t="array" ref="L2337">_xlfn.IFS(orders[[#This Row],[Customer Gender]]="M","Male", orders[[#This Row],[Customer Gender]]="F","Female", orders[[#This Row],[Customer Gender]]="O","Other", TRUE,"Unknown")</f>
        <v>Male</v>
      </c>
      <c r="M2337">
        <v>5</v>
      </c>
      <c r="N2337">
        <v>59.9</v>
      </c>
      <c r="O2337">
        <v>299.5</v>
      </c>
    </row>
    <row r="2338" spans="1:15" x14ac:dyDescent="0.3">
      <c r="A2338" t="s">
        <v>2438</v>
      </c>
      <c r="B2338" t="s">
        <v>38</v>
      </c>
      <c r="C2338" s="7">
        <v>45743</v>
      </c>
      <c r="D2338" s="7">
        <v>45744</v>
      </c>
      <c r="E2338" t="s">
        <v>26</v>
      </c>
      <c r="F2338" t="s">
        <v>39</v>
      </c>
      <c r="G2338">
        <v>5</v>
      </c>
      <c r="H2338" t="s">
        <v>18</v>
      </c>
      <c r="I2338" t="s">
        <v>32</v>
      </c>
      <c r="J2338">
        <f>orders[[#This Row],[Ship Date]]-orders[[#This Row],[Order Date]]</f>
        <v>1</v>
      </c>
      <c r="K2338">
        <f>WEEKNUM(orders[[#This Row],[Order Date]])</f>
        <v>13</v>
      </c>
      <c r="L2338" t="str" cm="1">
        <f t="array" ref="L2338">_xlfn.IFS(orders[[#This Row],[Customer Gender]]="M","Male", orders[[#This Row],[Customer Gender]]="F","Female", orders[[#This Row],[Customer Gender]]="O","Other", TRUE,"Unknown")</f>
        <v>Female</v>
      </c>
      <c r="M2338">
        <v>1</v>
      </c>
      <c r="N2338">
        <v>44</v>
      </c>
      <c r="O2338" s="5">
        <v>44</v>
      </c>
    </row>
    <row r="2339" spans="1:15" x14ac:dyDescent="0.3">
      <c r="A2339" t="s">
        <v>2439</v>
      </c>
      <c r="B2339" t="s">
        <v>45</v>
      </c>
      <c r="C2339" s="7">
        <v>45743</v>
      </c>
      <c r="D2339" s="7">
        <v>45743</v>
      </c>
      <c r="E2339" t="s">
        <v>22</v>
      </c>
      <c r="F2339" t="s">
        <v>17</v>
      </c>
      <c r="G2339">
        <v>4</v>
      </c>
      <c r="H2339" t="s">
        <v>18</v>
      </c>
      <c r="I2339" t="s">
        <v>32</v>
      </c>
      <c r="J2339">
        <f>orders[[#This Row],[Ship Date]]-orders[[#This Row],[Order Date]]</f>
        <v>0</v>
      </c>
      <c r="K2339">
        <f>WEEKNUM(orders[[#This Row],[Order Date]])</f>
        <v>13</v>
      </c>
      <c r="L2339" t="str" cm="1">
        <f t="array" ref="L2339">_xlfn.IFS(orders[[#This Row],[Customer Gender]]="M","Male", orders[[#This Row],[Customer Gender]]="F","Female", orders[[#This Row],[Customer Gender]]="O","Other", TRUE,"Unknown")</f>
        <v>Male</v>
      </c>
      <c r="M2339">
        <v>2</v>
      </c>
      <c r="N2339">
        <v>68.7</v>
      </c>
      <c r="O2339">
        <v>137.4</v>
      </c>
    </row>
    <row r="2340" spans="1:15" x14ac:dyDescent="0.3">
      <c r="A2340" t="s">
        <v>2440</v>
      </c>
      <c r="B2340" t="s">
        <v>36</v>
      </c>
      <c r="C2340" s="7">
        <v>45743</v>
      </c>
      <c r="D2340" s="7">
        <v>45747</v>
      </c>
      <c r="E2340" t="s">
        <v>22</v>
      </c>
      <c r="F2340" t="s">
        <v>50</v>
      </c>
      <c r="G2340">
        <v>3</v>
      </c>
      <c r="H2340" t="s">
        <v>18</v>
      </c>
      <c r="I2340" t="s">
        <v>32</v>
      </c>
      <c r="J2340">
        <f>orders[[#This Row],[Ship Date]]-orders[[#This Row],[Order Date]]</f>
        <v>4</v>
      </c>
      <c r="K2340">
        <f>WEEKNUM(orders[[#This Row],[Order Date]])</f>
        <v>13</v>
      </c>
      <c r="L2340" t="str" cm="1">
        <f t="array" ref="L2340">_xlfn.IFS(orders[[#This Row],[Customer Gender]]="M","Male", orders[[#This Row],[Customer Gender]]="F","Female", orders[[#This Row],[Customer Gender]]="O","Other", TRUE,"Unknown")</f>
        <v>Male</v>
      </c>
      <c r="M2340">
        <v>2</v>
      </c>
      <c r="N2340">
        <v>61.6</v>
      </c>
      <c r="O2340" s="5">
        <v>123.2</v>
      </c>
    </row>
    <row r="2341" spans="1:15" x14ac:dyDescent="0.3">
      <c r="A2341" t="s">
        <v>2441</v>
      </c>
      <c r="B2341" t="s">
        <v>41</v>
      </c>
      <c r="C2341" s="7">
        <v>45743</v>
      </c>
      <c r="D2341" s="7">
        <v>45744</v>
      </c>
      <c r="E2341" t="s">
        <v>22</v>
      </c>
      <c r="F2341" t="s">
        <v>17</v>
      </c>
      <c r="G2341">
        <v>4</v>
      </c>
      <c r="H2341" t="s">
        <v>18</v>
      </c>
      <c r="I2341" t="s">
        <v>32</v>
      </c>
      <c r="J2341">
        <f>orders[[#This Row],[Ship Date]]-orders[[#This Row],[Order Date]]</f>
        <v>1</v>
      </c>
      <c r="K2341">
        <f>WEEKNUM(orders[[#This Row],[Order Date]])</f>
        <v>13</v>
      </c>
      <c r="L2341" t="str" cm="1">
        <f t="array" ref="L2341">_xlfn.IFS(orders[[#This Row],[Customer Gender]]="M","Male", orders[[#This Row],[Customer Gender]]="F","Female", orders[[#This Row],[Customer Gender]]="O","Other", TRUE,"Unknown")</f>
        <v>Male</v>
      </c>
      <c r="M2341">
        <v>7</v>
      </c>
      <c r="N2341">
        <v>51.8</v>
      </c>
      <c r="O2341">
        <v>362.59999999999997</v>
      </c>
    </row>
    <row r="2342" spans="1:15" x14ac:dyDescent="0.3">
      <c r="A2342" t="s">
        <v>2442</v>
      </c>
      <c r="B2342" t="s">
        <v>43</v>
      </c>
      <c r="C2342" s="7">
        <v>45743</v>
      </c>
      <c r="D2342" s="7">
        <v>45745</v>
      </c>
      <c r="E2342" t="s">
        <v>22</v>
      </c>
      <c r="F2342" t="s">
        <v>34</v>
      </c>
      <c r="G2342">
        <v>5</v>
      </c>
      <c r="H2342" t="s">
        <v>18</v>
      </c>
      <c r="I2342" t="s">
        <v>32</v>
      </c>
      <c r="J2342">
        <f>orders[[#This Row],[Ship Date]]-orders[[#This Row],[Order Date]]</f>
        <v>2</v>
      </c>
      <c r="K2342">
        <f>WEEKNUM(orders[[#This Row],[Order Date]])</f>
        <v>13</v>
      </c>
      <c r="L2342" t="str" cm="1">
        <f t="array" ref="L2342">_xlfn.IFS(orders[[#This Row],[Customer Gender]]="M","Male", orders[[#This Row],[Customer Gender]]="F","Female", orders[[#This Row],[Customer Gender]]="O","Other", TRUE,"Unknown")</f>
        <v>Male</v>
      </c>
      <c r="M2342">
        <v>10</v>
      </c>
      <c r="N2342">
        <v>46.2</v>
      </c>
      <c r="O2342" s="5">
        <v>462</v>
      </c>
    </row>
    <row r="2343" spans="1:15" x14ac:dyDescent="0.3">
      <c r="A2343" t="s">
        <v>2443</v>
      </c>
      <c r="B2343" t="s">
        <v>16</v>
      </c>
      <c r="C2343" s="7">
        <v>45743</v>
      </c>
      <c r="D2343" s="7">
        <v>45745</v>
      </c>
      <c r="E2343" t="s">
        <v>26</v>
      </c>
      <c r="F2343" t="s">
        <v>34</v>
      </c>
      <c r="G2343">
        <v>5</v>
      </c>
      <c r="H2343" t="s">
        <v>18</v>
      </c>
      <c r="I2343" t="s">
        <v>54</v>
      </c>
      <c r="J2343">
        <f>orders[[#This Row],[Ship Date]]-orders[[#This Row],[Order Date]]</f>
        <v>2</v>
      </c>
      <c r="K2343">
        <f>WEEKNUM(orders[[#This Row],[Order Date]])</f>
        <v>13</v>
      </c>
      <c r="L2343" t="str" cm="1">
        <f t="array" ref="L2343">_xlfn.IFS(orders[[#This Row],[Customer Gender]]="M","Male", orders[[#This Row],[Customer Gender]]="F","Female", orders[[#This Row],[Customer Gender]]="O","Other", TRUE,"Unknown")</f>
        <v>Female</v>
      </c>
      <c r="M2343">
        <v>2</v>
      </c>
      <c r="N2343">
        <v>19.399999999999999</v>
      </c>
      <c r="O2343">
        <v>38.799999999999997</v>
      </c>
    </row>
    <row r="2344" spans="1:15" x14ac:dyDescent="0.3">
      <c r="A2344" t="s">
        <v>2444</v>
      </c>
      <c r="B2344" t="s">
        <v>66</v>
      </c>
      <c r="C2344" s="7">
        <v>45743</v>
      </c>
      <c r="D2344" s="7">
        <v>45746</v>
      </c>
      <c r="E2344" t="s">
        <v>22</v>
      </c>
      <c r="F2344" t="s">
        <v>50</v>
      </c>
      <c r="G2344">
        <v>1</v>
      </c>
      <c r="H2344" t="s">
        <v>18</v>
      </c>
      <c r="I2344" t="s">
        <v>54</v>
      </c>
      <c r="J2344">
        <f>orders[[#This Row],[Ship Date]]-orders[[#This Row],[Order Date]]</f>
        <v>3</v>
      </c>
      <c r="K2344">
        <f>WEEKNUM(orders[[#This Row],[Order Date]])</f>
        <v>13</v>
      </c>
      <c r="L2344" t="str" cm="1">
        <f t="array" ref="L2344">_xlfn.IFS(orders[[#This Row],[Customer Gender]]="M","Male", orders[[#This Row],[Customer Gender]]="F","Female", orders[[#This Row],[Customer Gender]]="O","Other", TRUE,"Unknown")</f>
        <v>Male</v>
      </c>
      <c r="M2344">
        <v>3</v>
      </c>
      <c r="N2344">
        <v>52.1</v>
      </c>
      <c r="O2344" s="5">
        <v>156.30000000000001</v>
      </c>
    </row>
    <row r="2345" spans="1:15" x14ac:dyDescent="0.3">
      <c r="A2345" t="s">
        <v>2445</v>
      </c>
      <c r="B2345" t="s">
        <v>38</v>
      </c>
      <c r="C2345" s="7">
        <v>45743</v>
      </c>
      <c r="D2345" s="7">
        <v>45745</v>
      </c>
      <c r="E2345" t="s">
        <v>88</v>
      </c>
      <c r="F2345" t="s">
        <v>17</v>
      </c>
      <c r="G2345">
        <v>4</v>
      </c>
      <c r="H2345" t="s">
        <v>18</v>
      </c>
      <c r="I2345" t="s">
        <v>58</v>
      </c>
      <c r="J2345">
        <f>orders[[#This Row],[Ship Date]]-orders[[#This Row],[Order Date]]</f>
        <v>2</v>
      </c>
      <c r="K2345">
        <f>WEEKNUM(orders[[#This Row],[Order Date]])</f>
        <v>13</v>
      </c>
      <c r="L2345" t="str" cm="1">
        <f t="array" ref="L2345">_xlfn.IFS(orders[[#This Row],[Customer Gender]]="M","Male", orders[[#This Row],[Customer Gender]]="F","Female", orders[[#This Row],[Customer Gender]]="O","Other", TRUE,"Unknown")</f>
        <v>Other</v>
      </c>
      <c r="M2345">
        <v>1</v>
      </c>
      <c r="N2345">
        <v>74.900000000000006</v>
      </c>
      <c r="O2345">
        <v>74.900000000000006</v>
      </c>
    </row>
    <row r="2346" spans="1:15" x14ac:dyDescent="0.3">
      <c r="A2346" t="s">
        <v>2446</v>
      </c>
      <c r="B2346" t="s">
        <v>45</v>
      </c>
      <c r="C2346" s="7">
        <v>45743</v>
      </c>
      <c r="D2346" s="7">
        <v>45746</v>
      </c>
      <c r="E2346" t="s">
        <v>26</v>
      </c>
      <c r="F2346" t="s">
        <v>69</v>
      </c>
      <c r="G2346">
        <v>4</v>
      </c>
      <c r="H2346" t="s">
        <v>18</v>
      </c>
      <c r="I2346" t="s">
        <v>61</v>
      </c>
      <c r="J2346">
        <f>orders[[#This Row],[Ship Date]]-orders[[#This Row],[Order Date]]</f>
        <v>3</v>
      </c>
      <c r="K2346">
        <f>WEEKNUM(orders[[#This Row],[Order Date]])</f>
        <v>13</v>
      </c>
      <c r="L2346" t="str" cm="1">
        <f t="array" ref="L2346">_xlfn.IFS(orders[[#This Row],[Customer Gender]]="M","Male", orders[[#This Row],[Customer Gender]]="F","Female", orders[[#This Row],[Customer Gender]]="O","Other", TRUE,"Unknown")</f>
        <v>Female</v>
      </c>
      <c r="M2346">
        <v>7</v>
      </c>
      <c r="N2346">
        <v>49.6</v>
      </c>
      <c r="O2346" s="5">
        <v>347.2</v>
      </c>
    </row>
    <row r="2347" spans="1:15" x14ac:dyDescent="0.3">
      <c r="A2347" t="s">
        <v>2447</v>
      </c>
      <c r="B2347" t="s">
        <v>127</v>
      </c>
      <c r="C2347" s="7">
        <v>45744</v>
      </c>
      <c r="D2347" s="7">
        <v>45747</v>
      </c>
      <c r="E2347" t="s">
        <v>26</v>
      </c>
      <c r="F2347" t="s">
        <v>69</v>
      </c>
      <c r="G2347">
        <v>4</v>
      </c>
      <c r="H2347" t="s">
        <v>18</v>
      </c>
      <c r="I2347" t="s">
        <v>61</v>
      </c>
      <c r="J2347">
        <f>orders[[#This Row],[Ship Date]]-orders[[#This Row],[Order Date]]</f>
        <v>3</v>
      </c>
      <c r="K2347">
        <f>WEEKNUM(orders[[#This Row],[Order Date]])</f>
        <v>13</v>
      </c>
      <c r="L2347" t="str" cm="1">
        <f t="array" ref="L2347">_xlfn.IFS(orders[[#This Row],[Customer Gender]]="M","Male", orders[[#This Row],[Customer Gender]]="F","Female", orders[[#This Row],[Customer Gender]]="O","Other", TRUE,"Unknown")</f>
        <v>Female</v>
      </c>
      <c r="M2347">
        <v>4</v>
      </c>
      <c r="N2347">
        <v>82.8</v>
      </c>
      <c r="O2347">
        <v>331.2</v>
      </c>
    </row>
    <row r="2348" spans="1:15" x14ac:dyDescent="0.3">
      <c r="A2348" t="s">
        <v>2448</v>
      </c>
      <c r="B2348" t="s">
        <v>25</v>
      </c>
      <c r="C2348" s="7">
        <v>45744</v>
      </c>
      <c r="D2348" s="7">
        <v>45745</v>
      </c>
      <c r="E2348" t="s">
        <v>26</v>
      </c>
      <c r="F2348" t="s">
        <v>34</v>
      </c>
      <c r="G2348">
        <v>4</v>
      </c>
      <c r="H2348" t="s">
        <v>18</v>
      </c>
      <c r="I2348" t="s">
        <v>61</v>
      </c>
      <c r="J2348">
        <f>orders[[#This Row],[Ship Date]]-orders[[#This Row],[Order Date]]</f>
        <v>1</v>
      </c>
      <c r="K2348">
        <f>WEEKNUM(orders[[#This Row],[Order Date]])</f>
        <v>13</v>
      </c>
      <c r="L2348" t="str" cm="1">
        <f t="array" ref="L2348">_xlfn.IFS(orders[[#This Row],[Customer Gender]]="M","Male", orders[[#This Row],[Customer Gender]]="F","Female", orders[[#This Row],[Customer Gender]]="O","Other", TRUE,"Unknown")</f>
        <v>Female</v>
      </c>
      <c r="M2348">
        <v>1</v>
      </c>
      <c r="N2348">
        <v>97.7</v>
      </c>
      <c r="O2348" s="5">
        <v>97.7</v>
      </c>
    </row>
    <row r="2349" spans="1:15" x14ac:dyDescent="0.3">
      <c r="A2349" t="s">
        <v>2449</v>
      </c>
      <c r="B2349" t="s">
        <v>38</v>
      </c>
      <c r="C2349" s="7">
        <v>45744</v>
      </c>
      <c r="D2349" s="7">
        <v>45745</v>
      </c>
      <c r="E2349" t="s">
        <v>26</v>
      </c>
      <c r="F2349" t="s">
        <v>69</v>
      </c>
      <c r="G2349">
        <v>4</v>
      </c>
      <c r="H2349" t="s">
        <v>18</v>
      </c>
      <c r="I2349" t="s">
        <v>61</v>
      </c>
      <c r="J2349">
        <f>orders[[#This Row],[Ship Date]]-orders[[#This Row],[Order Date]]</f>
        <v>1</v>
      </c>
      <c r="K2349">
        <f>WEEKNUM(orders[[#This Row],[Order Date]])</f>
        <v>13</v>
      </c>
      <c r="L2349" t="str" cm="1">
        <f t="array" ref="L2349">_xlfn.IFS(orders[[#This Row],[Customer Gender]]="M","Male", orders[[#This Row],[Customer Gender]]="F","Female", orders[[#This Row],[Customer Gender]]="O","Other", TRUE,"Unknown")</f>
        <v>Female</v>
      </c>
      <c r="M2349">
        <v>5</v>
      </c>
      <c r="N2349">
        <v>83.6</v>
      </c>
      <c r="O2349">
        <v>418</v>
      </c>
    </row>
    <row r="2350" spans="1:15" x14ac:dyDescent="0.3">
      <c r="A2350" t="s">
        <v>2450</v>
      </c>
      <c r="B2350" t="s">
        <v>43</v>
      </c>
      <c r="C2350" s="7">
        <v>45744</v>
      </c>
      <c r="D2350" s="7">
        <v>45748</v>
      </c>
      <c r="E2350" t="s">
        <v>88</v>
      </c>
      <c r="F2350" t="s">
        <v>17</v>
      </c>
      <c r="G2350">
        <v>4</v>
      </c>
      <c r="H2350" t="s">
        <v>18</v>
      </c>
      <c r="I2350" t="s">
        <v>61</v>
      </c>
      <c r="J2350">
        <f>orders[[#This Row],[Ship Date]]-orders[[#This Row],[Order Date]]</f>
        <v>4</v>
      </c>
      <c r="K2350">
        <f>WEEKNUM(orders[[#This Row],[Order Date]])</f>
        <v>13</v>
      </c>
      <c r="L2350" t="str" cm="1">
        <f t="array" ref="L2350">_xlfn.IFS(orders[[#This Row],[Customer Gender]]="M","Male", orders[[#This Row],[Customer Gender]]="F","Female", orders[[#This Row],[Customer Gender]]="O","Other", TRUE,"Unknown")</f>
        <v>Other</v>
      </c>
      <c r="M2350">
        <v>5</v>
      </c>
      <c r="N2350">
        <v>23.5</v>
      </c>
      <c r="O2350" s="5">
        <v>117.5</v>
      </c>
    </row>
    <row r="2351" spans="1:15" x14ac:dyDescent="0.3">
      <c r="A2351" t="s">
        <v>2451</v>
      </c>
      <c r="B2351" t="s">
        <v>45</v>
      </c>
      <c r="C2351" s="7">
        <v>45744</v>
      </c>
      <c r="D2351" s="7">
        <v>45747</v>
      </c>
      <c r="E2351" t="s">
        <v>26</v>
      </c>
      <c r="F2351" t="s">
        <v>69</v>
      </c>
      <c r="G2351">
        <v>3</v>
      </c>
      <c r="H2351" t="s">
        <v>18</v>
      </c>
      <c r="I2351" t="s">
        <v>200</v>
      </c>
      <c r="J2351">
        <f>orders[[#This Row],[Ship Date]]-orders[[#This Row],[Order Date]]</f>
        <v>3</v>
      </c>
      <c r="K2351">
        <f>WEEKNUM(orders[[#This Row],[Order Date]])</f>
        <v>13</v>
      </c>
      <c r="L2351" t="str" cm="1">
        <f t="array" ref="L2351">_xlfn.IFS(orders[[#This Row],[Customer Gender]]="M","Male", orders[[#This Row],[Customer Gender]]="F","Female", orders[[#This Row],[Customer Gender]]="O","Other", TRUE,"Unknown")</f>
        <v>Female</v>
      </c>
      <c r="M2351">
        <v>3</v>
      </c>
      <c r="N2351">
        <v>44.6</v>
      </c>
      <c r="O2351">
        <v>133.80000000000001</v>
      </c>
    </row>
    <row r="2352" spans="1:15" x14ac:dyDescent="0.3">
      <c r="A2352" t="s">
        <v>2452</v>
      </c>
      <c r="B2352" t="s">
        <v>16</v>
      </c>
      <c r="C2352" s="7">
        <v>45744</v>
      </c>
      <c r="D2352" s="7">
        <v>45746</v>
      </c>
      <c r="E2352" t="s">
        <v>26</v>
      </c>
      <c r="F2352" t="s">
        <v>50</v>
      </c>
      <c r="G2352">
        <v>2</v>
      </c>
      <c r="H2352" t="s">
        <v>18</v>
      </c>
      <c r="I2352" t="s">
        <v>76</v>
      </c>
      <c r="J2352">
        <f>orders[[#This Row],[Ship Date]]-orders[[#This Row],[Order Date]]</f>
        <v>2</v>
      </c>
      <c r="K2352">
        <f>WEEKNUM(orders[[#This Row],[Order Date]])</f>
        <v>13</v>
      </c>
      <c r="L2352" t="str" cm="1">
        <f t="array" ref="L2352">_xlfn.IFS(orders[[#This Row],[Customer Gender]]="M","Male", orders[[#This Row],[Customer Gender]]="F","Female", orders[[#This Row],[Customer Gender]]="O","Other", TRUE,"Unknown")</f>
        <v>Female</v>
      </c>
      <c r="M2352">
        <v>3</v>
      </c>
      <c r="N2352">
        <v>20.100000000000001</v>
      </c>
      <c r="O2352" s="5">
        <v>60.300000000000004</v>
      </c>
    </row>
    <row r="2353" spans="1:15" x14ac:dyDescent="0.3">
      <c r="A2353" t="s">
        <v>2453</v>
      </c>
      <c r="B2353" t="s">
        <v>25</v>
      </c>
      <c r="C2353" s="7">
        <v>45744</v>
      </c>
      <c r="D2353" s="7">
        <v>45745</v>
      </c>
      <c r="E2353" t="s">
        <v>26</v>
      </c>
      <c r="F2353" t="s">
        <v>34</v>
      </c>
      <c r="G2353">
        <v>5</v>
      </c>
      <c r="H2353" t="s">
        <v>18</v>
      </c>
      <c r="I2353" t="s">
        <v>1115</v>
      </c>
      <c r="J2353">
        <f>orders[[#This Row],[Ship Date]]-orders[[#This Row],[Order Date]]</f>
        <v>1</v>
      </c>
      <c r="K2353">
        <f>WEEKNUM(orders[[#This Row],[Order Date]])</f>
        <v>13</v>
      </c>
      <c r="L2353" t="str" cm="1">
        <f t="array" ref="L2353">_xlfn.IFS(orders[[#This Row],[Customer Gender]]="M","Male", orders[[#This Row],[Customer Gender]]="F","Female", orders[[#This Row],[Customer Gender]]="O","Other", TRUE,"Unknown")</f>
        <v>Female</v>
      </c>
      <c r="M2353">
        <v>5</v>
      </c>
      <c r="N2353">
        <v>153.6</v>
      </c>
      <c r="O2353">
        <v>768</v>
      </c>
    </row>
    <row r="2354" spans="1:15" x14ac:dyDescent="0.3">
      <c r="A2354" t="s">
        <v>2454</v>
      </c>
      <c r="B2354" t="s">
        <v>21</v>
      </c>
      <c r="C2354" s="7">
        <v>45744</v>
      </c>
      <c r="D2354" s="7">
        <v>45748</v>
      </c>
      <c r="E2354" t="s">
        <v>26</v>
      </c>
      <c r="F2354" t="s">
        <v>34</v>
      </c>
      <c r="G2354">
        <v>4</v>
      </c>
      <c r="H2354" t="s">
        <v>18</v>
      </c>
      <c r="I2354" t="s">
        <v>23</v>
      </c>
      <c r="J2354">
        <f>orders[[#This Row],[Ship Date]]-orders[[#This Row],[Order Date]]</f>
        <v>4</v>
      </c>
      <c r="K2354">
        <f>WEEKNUM(orders[[#This Row],[Order Date]])</f>
        <v>13</v>
      </c>
      <c r="L2354" t="str" cm="1">
        <f t="array" ref="L2354">_xlfn.IFS(orders[[#This Row],[Customer Gender]]="M","Male", orders[[#This Row],[Customer Gender]]="F","Female", orders[[#This Row],[Customer Gender]]="O","Other", TRUE,"Unknown")</f>
        <v>Female</v>
      </c>
      <c r="M2354">
        <v>2</v>
      </c>
      <c r="N2354">
        <v>71.8</v>
      </c>
      <c r="O2354" s="5">
        <v>143.6</v>
      </c>
    </row>
    <row r="2355" spans="1:15" x14ac:dyDescent="0.3">
      <c r="A2355" t="s">
        <v>2455</v>
      </c>
      <c r="B2355" t="s">
        <v>53</v>
      </c>
      <c r="C2355" s="7">
        <v>45744</v>
      </c>
      <c r="D2355" s="7">
        <v>45746</v>
      </c>
      <c r="E2355" t="s">
        <v>2517</v>
      </c>
      <c r="F2355" t="s">
        <v>17</v>
      </c>
      <c r="G2355">
        <v>3</v>
      </c>
      <c r="H2355" t="s">
        <v>18</v>
      </c>
      <c r="I2355" t="s">
        <v>23</v>
      </c>
      <c r="J2355">
        <f>orders[[#This Row],[Ship Date]]-orders[[#This Row],[Order Date]]</f>
        <v>2</v>
      </c>
      <c r="K2355">
        <f>WEEKNUM(orders[[#This Row],[Order Date]])</f>
        <v>13</v>
      </c>
      <c r="L2355" t="str" cm="1">
        <f t="array" ref="L2355">_xlfn.IFS(orders[[#This Row],[Customer Gender]]="M","Male", orders[[#This Row],[Customer Gender]]="F","Female", orders[[#This Row],[Customer Gender]]="O","Other", TRUE,"Unknown")</f>
        <v>Unknown</v>
      </c>
      <c r="M2355">
        <v>1</v>
      </c>
      <c r="N2355">
        <v>64.7</v>
      </c>
      <c r="O2355">
        <v>64.7</v>
      </c>
    </row>
    <row r="2356" spans="1:15" x14ac:dyDescent="0.3">
      <c r="A2356" t="s">
        <v>2456</v>
      </c>
      <c r="B2356" t="s">
        <v>45</v>
      </c>
      <c r="C2356" s="7">
        <v>45744</v>
      </c>
      <c r="D2356" s="7">
        <v>45746</v>
      </c>
      <c r="E2356" t="s">
        <v>26</v>
      </c>
      <c r="F2356" t="s">
        <v>50</v>
      </c>
      <c r="G2356">
        <v>5</v>
      </c>
      <c r="H2356" t="s">
        <v>18</v>
      </c>
      <c r="I2356" t="s">
        <v>27</v>
      </c>
      <c r="J2356">
        <f>orders[[#This Row],[Ship Date]]-orders[[#This Row],[Order Date]]</f>
        <v>2</v>
      </c>
      <c r="K2356">
        <f>WEEKNUM(orders[[#This Row],[Order Date]])</f>
        <v>13</v>
      </c>
      <c r="L2356" t="str" cm="1">
        <f t="array" ref="L2356">_xlfn.IFS(orders[[#This Row],[Customer Gender]]="M","Male", orders[[#This Row],[Customer Gender]]="F","Female", orders[[#This Row],[Customer Gender]]="O","Other", TRUE,"Unknown")</f>
        <v>Female</v>
      </c>
      <c r="M2356">
        <v>8</v>
      </c>
      <c r="N2356">
        <v>60.4</v>
      </c>
      <c r="O2356" s="5">
        <v>483.2</v>
      </c>
    </row>
    <row r="2357" spans="1:15" x14ac:dyDescent="0.3">
      <c r="A2357" t="s">
        <v>2457</v>
      </c>
      <c r="B2357" t="s">
        <v>38</v>
      </c>
      <c r="C2357" s="7">
        <v>45744</v>
      </c>
      <c r="D2357" s="7">
        <v>45747</v>
      </c>
      <c r="E2357" t="s">
        <v>26</v>
      </c>
      <c r="F2357" t="s">
        <v>39</v>
      </c>
      <c r="G2357">
        <v>5</v>
      </c>
      <c r="H2357" t="s">
        <v>18</v>
      </c>
      <c r="I2357" t="s">
        <v>146</v>
      </c>
      <c r="J2357">
        <f>orders[[#This Row],[Ship Date]]-orders[[#This Row],[Order Date]]</f>
        <v>3</v>
      </c>
      <c r="K2357">
        <f>WEEKNUM(orders[[#This Row],[Order Date]])</f>
        <v>13</v>
      </c>
      <c r="L2357" t="str" cm="1">
        <f t="array" ref="L2357">_xlfn.IFS(orders[[#This Row],[Customer Gender]]="M","Male", orders[[#This Row],[Customer Gender]]="F","Female", orders[[#This Row],[Customer Gender]]="O","Other", TRUE,"Unknown")</f>
        <v>Female</v>
      </c>
      <c r="M2357">
        <v>4</v>
      </c>
      <c r="N2357">
        <v>86</v>
      </c>
      <c r="O2357">
        <v>344</v>
      </c>
    </row>
    <row r="2358" spans="1:15" x14ac:dyDescent="0.3">
      <c r="A2358" t="s">
        <v>2458</v>
      </c>
      <c r="B2358" t="s">
        <v>68</v>
      </c>
      <c r="C2358" s="7">
        <v>45744</v>
      </c>
      <c r="D2358" s="7">
        <v>45745</v>
      </c>
      <c r="E2358" t="s">
        <v>26</v>
      </c>
      <c r="F2358" t="s">
        <v>69</v>
      </c>
      <c r="G2358">
        <v>3</v>
      </c>
      <c r="H2358" t="s">
        <v>18</v>
      </c>
      <c r="I2358" t="s">
        <v>333</v>
      </c>
      <c r="J2358">
        <f>orders[[#This Row],[Ship Date]]-orders[[#This Row],[Order Date]]</f>
        <v>1</v>
      </c>
      <c r="K2358">
        <f>WEEKNUM(orders[[#This Row],[Order Date]])</f>
        <v>13</v>
      </c>
      <c r="L2358" t="str" cm="1">
        <f t="array" ref="L2358">_xlfn.IFS(orders[[#This Row],[Customer Gender]]="M","Male", orders[[#This Row],[Customer Gender]]="F","Female", orders[[#This Row],[Customer Gender]]="O","Other", TRUE,"Unknown")</f>
        <v>Female</v>
      </c>
      <c r="M2358">
        <v>2</v>
      </c>
      <c r="N2358">
        <v>42.1</v>
      </c>
      <c r="O2358" s="5">
        <v>84.2</v>
      </c>
    </row>
    <row r="2359" spans="1:15" x14ac:dyDescent="0.3">
      <c r="A2359" t="s">
        <v>2459</v>
      </c>
      <c r="B2359" t="s">
        <v>127</v>
      </c>
      <c r="C2359" s="7">
        <v>45744</v>
      </c>
      <c r="D2359" s="7">
        <v>45745</v>
      </c>
      <c r="E2359" t="s">
        <v>22</v>
      </c>
      <c r="F2359" t="s">
        <v>39</v>
      </c>
      <c r="G2359">
        <v>3</v>
      </c>
      <c r="H2359" t="s">
        <v>18</v>
      </c>
      <c r="I2359" t="s">
        <v>32</v>
      </c>
      <c r="J2359">
        <f>orders[[#This Row],[Ship Date]]-orders[[#This Row],[Order Date]]</f>
        <v>1</v>
      </c>
      <c r="K2359">
        <f>WEEKNUM(orders[[#This Row],[Order Date]])</f>
        <v>13</v>
      </c>
      <c r="L2359" t="str" cm="1">
        <f t="array" ref="L2359">_xlfn.IFS(orders[[#This Row],[Customer Gender]]="M","Male", orders[[#This Row],[Customer Gender]]="F","Female", orders[[#This Row],[Customer Gender]]="O","Other", TRUE,"Unknown")</f>
        <v>Male</v>
      </c>
      <c r="M2359">
        <v>9</v>
      </c>
      <c r="N2359">
        <v>51.1</v>
      </c>
      <c r="O2359">
        <v>459.90000000000003</v>
      </c>
    </row>
    <row r="2360" spans="1:15" x14ac:dyDescent="0.3">
      <c r="A2360" t="s">
        <v>2460</v>
      </c>
      <c r="B2360" t="s">
        <v>45</v>
      </c>
      <c r="C2360" s="7">
        <v>45744</v>
      </c>
      <c r="D2360" s="7">
        <v>45745</v>
      </c>
      <c r="E2360" t="s">
        <v>22</v>
      </c>
      <c r="F2360" t="s">
        <v>69</v>
      </c>
      <c r="G2360">
        <v>4</v>
      </c>
      <c r="H2360" t="s">
        <v>18</v>
      </c>
      <c r="I2360" t="s">
        <v>32</v>
      </c>
      <c r="J2360">
        <f>orders[[#This Row],[Ship Date]]-orders[[#This Row],[Order Date]]</f>
        <v>1</v>
      </c>
      <c r="K2360">
        <f>WEEKNUM(orders[[#This Row],[Order Date]])</f>
        <v>13</v>
      </c>
      <c r="L2360" t="str" cm="1">
        <f t="array" ref="L2360">_xlfn.IFS(orders[[#This Row],[Customer Gender]]="M","Male", orders[[#This Row],[Customer Gender]]="F","Female", orders[[#This Row],[Customer Gender]]="O","Other", TRUE,"Unknown")</f>
        <v>Male</v>
      </c>
      <c r="M2360">
        <v>4</v>
      </c>
      <c r="N2360">
        <v>73.8</v>
      </c>
      <c r="O2360" s="5">
        <v>295.2</v>
      </c>
    </row>
    <row r="2361" spans="1:15" x14ac:dyDescent="0.3">
      <c r="A2361" t="s">
        <v>2461</v>
      </c>
      <c r="B2361" t="s">
        <v>43</v>
      </c>
      <c r="C2361" s="7">
        <v>45744</v>
      </c>
      <c r="D2361" s="7">
        <v>45747</v>
      </c>
      <c r="E2361" t="s">
        <v>26</v>
      </c>
      <c r="F2361" t="s">
        <v>39</v>
      </c>
      <c r="G2361">
        <v>5</v>
      </c>
      <c r="H2361" t="s">
        <v>18</v>
      </c>
      <c r="I2361" t="s">
        <v>32</v>
      </c>
      <c r="J2361">
        <f>orders[[#This Row],[Ship Date]]-orders[[#This Row],[Order Date]]</f>
        <v>3</v>
      </c>
      <c r="K2361">
        <f>WEEKNUM(orders[[#This Row],[Order Date]])</f>
        <v>13</v>
      </c>
      <c r="L2361" t="str" cm="1">
        <f t="array" ref="L2361">_xlfn.IFS(orders[[#This Row],[Customer Gender]]="M","Male", orders[[#This Row],[Customer Gender]]="F","Female", orders[[#This Row],[Customer Gender]]="O","Other", TRUE,"Unknown")</f>
        <v>Female</v>
      </c>
      <c r="M2361">
        <v>5</v>
      </c>
      <c r="N2361">
        <v>27</v>
      </c>
      <c r="O2361">
        <v>135</v>
      </c>
    </row>
    <row r="2362" spans="1:15" x14ac:dyDescent="0.3">
      <c r="A2362" t="s">
        <v>2462</v>
      </c>
      <c r="B2362" t="s">
        <v>43</v>
      </c>
      <c r="C2362" s="7">
        <v>45744</v>
      </c>
      <c r="D2362" s="7">
        <v>45745</v>
      </c>
      <c r="E2362" t="s">
        <v>22</v>
      </c>
      <c r="F2362" t="s">
        <v>50</v>
      </c>
      <c r="G2362">
        <v>4</v>
      </c>
      <c r="H2362" t="s">
        <v>18</v>
      </c>
      <c r="I2362" t="s">
        <v>32</v>
      </c>
      <c r="J2362">
        <f>orders[[#This Row],[Ship Date]]-orders[[#This Row],[Order Date]]</f>
        <v>1</v>
      </c>
      <c r="K2362">
        <f>WEEKNUM(orders[[#This Row],[Order Date]])</f>
        <v>13</v>
      </c>
      <c r="L2362" t="str" cm="1">
        <f t="array" ref="L2362">_xlfn.IFS(orders[[#This Row],[Customer Gender]]="M","Male", orders[[#This Row],[Customer Gender]]="F","Female", orders[[#This Row],[Customer Gender]]="O","Other", TRUE,"Unknown")</f>
        <v>Male</v>
      </c>
      <c r="M2362">
        <v>6</v>
      </c>
      <c r="N2362">
        <v>60.1</v>
      </c>
      <c r="O2362" s="5">
        <v>360.6</v>
      </c>
    </row>
    <row r="2363" spans="1:15" x14ac:dyDescent="0.3">
      <c r="A2363" t="s">
        <v>2463</v>
      </c>
      <c r="B2363" t="s">
        <v>25</v>
      </c>
      <c r="C2363" s="7">
        <v>45744</v>
      </c>
      <c r="D2363" s="7">
        <v>45746</v>
      </c>
      <c r="E2363" t="s">
        <v>26</v>
      </c>
      <c r="F2363" t="s">
        <v>69</v>
      </c>
      <c r="G2363">
        <v>3</v>
      </c>
      <c r="H2363" t="s">
        <v>18</v>
      </c>
      <c r="I2363" t="s">
        <v>32</v>
      </c>
      <c r="J2363">
        <f>orders[[#This Row],[Ship Date]]-orders[[#This Row],[Order Date]]</f>
        <v>2</v>
      </c>
      <c r="K2363">
        <f>WEEKNUM(orders[[#This Row],[Order Date]])</f>
        <v>13</v>
      </c>
      <c r="L2363" t="str" cm="1">
        <f t="array" ref="L2363">_xlfn.IFS(orders[[#This Row],[Customer Gender]]="M","Male", orders[[#This Row],[Customer Gender]]="F","Female", orders[[#This Row],[Customer Gender]]="O","Other", TRUE,"Unknown")</f>
        <v>Female</v>
      </c>
      <c r="M2363">
        <v>7</v>
      </c>
      <c r="N2363">
        <v>94.1</v>
      </c>
      <c r="O2363">
        <v>658.69999999999993</v>
      </c>
    </row>
    <row r="2364" spans="1:15" x14ac:dyDescent="0.3">
      <c r="A2364" t="s">
        <v>2464</v>
      </c>
      <c r="B2364" t="s">
        <v>25</v>
      </c>
      <c r="C2364" s="7">
        <v>45744</v>
      </c>
      <c r="D2364" s="7">
        <v>45744</v>
      </c>
      <c r="E2364" t="s">
        <v>26</v>
      </c>
      <c r="F2364" t="s">
        <v>39</v>
      </c>
      <c r="G2364">
        <v>1</v>
      </c>
      <c r="H2364" t="s">
        <v>18</v>
      </c>
      <c r="I2364" t="s">
        <v>544</v>
      </c>
      <c r="J2364">
        <f>orders[[#This Row],[Ship Date]]-orders[[#This Row],[Order Date]]</f>
        <v>0</v>
      </c>
      <c r="K2364">
        <f>WEEKNUM(orders[[#This Row],[Order Date]])</f>
        <v>13</v>
      </c>
      <c r="L2364" t="str" cm="1">
        <f t="array" ref="L2364">_xlfn.IFS(orders[[#This Row],[Customer Gender]]="M","Male", orders[[#This Row],[Customer Gender]]="F","Female", orders[[#This Row],[Customer Gender]]="O","Other", TRUE,"Unknown")</f>
        <v>Female</v>
      </c>
      <c r="M2364">
        <v>2</v>
      </c>
      <c r="N2364">
        <v>124.1</v>
      </c>
      <c r="O2364" s="5">
        <v>248.2</v>
      </c>
    </row>
    <row r="2365" spans="1:15" x14ac:dyDescent="0.3">
      <c r="A2365" t="s">
        <v>2465</v>
      </c>
      <c r="B2365" t="s">
        <v>43</v>
      </c>
      <c r="C2365" s="7">
        <v>45744</v>
      </c>
      <c r="D2365" s="7">
        <v>45747</v>
      </c>
      <c r="E2365" t="s">
        <v>22</v>
      </c>
      <c r="F2365" t="s">
        <v>50</v>
      </c>
      <c r="G2365">
        <v>4</v>
      </c>
      <c r="H2365" t="s">
        <v>18</v>
      </c>
      <c r="I2365" t="s">
        <v>54</v>
      </c>
      <c r="J2365">
        <f>orders[[#This Row],[Ship Date]]-orders[[#This Row],[Order Date]]</f>
        <v>3</v>
      </c>
      <c r="K2365">
        <f>WEEKNUM(orders[[#This Row],[Order Date]])</f>
        <v>13</v>
      </c>
      <c r="L2365" t="str" cm="1">
        <f t="array" ref="L2365">_xlfn.IFS(orders[[#This Row],[Customer Gender]]="M","Male", orders[[#This Row],[Customer Gender]]="F","Female", orders[[#This Row],[Customer Gender]]="O","Other", TRUE,"Unknown")</f>
        <v>Male</v>
      </c>
      <c r="M2365">
        <v>4</v>
      </c>
      <c r="N2365">
        <v>16.899999999999999</v>
      </c>
      <c r="O2365">
        <v>67.599999999999994</v>
      </c>
    </row>
    <row r="2366" spans="1:15" x14ac:dyDescent="0.3">
      <c r="A2366" t="s">
        <v>2466</v>
      </c>
      <c r="B2366" t="s">
        <v>21</v>
      </c>
      <c r="C2366" s="7">
        <v>45744</v>
      </c>
      <c r="D2366" s="7">
        <v>45745</v>
      </c>
      <c r="E2366" t="s">
        <v>22</v>
      </c>
      <c r="F2366" t="s">
        <v>17</v>
      </c>
      <c r="G2366">
        <v>4</v>
      </c>
      <c r="H2366" t="s">
        <v>18</v>
      </c>
      <c r="I2366" t="s">
        <v>54</v>
      </c>
      <c r="J2366">
        <f>orders[[#This Row],[Ship Date]]-orders[[#This Row],[Order Date]]</f>
        <v>1</v>
      </c>
      <c r="K2366">
        <f>WEEKNUM(orders[[#This Row],[Order Date]])</f>
        <v>13</v>
      </c>
      <c r="L2366" t="str" cm="1">
        <f t="array" ref="L2366">_xlfn.IFS(orders[[#This Row],[Customer Gender]]="M","Male", orders[[#This Row],[Customer Gender]]="F","Female", orders[[#This Row],[Customer Gender]]="O","Other", TRUE,"Unknown")</f>
        <v>Male</v>
      </c>
      <c r="M2366">
        <v>1</v>
      </c>
      <c r="N2366">
        <v>36.9</v>
      </c>
      <c r="O2366" s="5">
        <v>36.9</v>
      </c>
    </row>
    <row r="2367" spans="1:15" x14ac:dyDescent="0.3">
      <c r="A2367" t="s">
        <v>2467</v>
      </c>
      <c r="B2367" t="s">
        <v>45</v>
      </c>
      <c r="C2367" s="7">
        <v>45744</v>
      </c>
      <c r="D2367" s="7">
        <v>45757</v>
      </c>
      <c r="E2367" t="s">
        <v>26</v>
      </c>
      <c r="F2367" t="s">
        <v>39</v>
      </c>
      <c r="G2367">
        <v>3</v>
      </c>
      <c r="H2367" t="s">
        <v>18</v>
      </c>
      <c r="I2367" t="s">
        <v>61</v>
      </c>
      <c r="J2367">
        <f>orders[[#This Row],[Ship Date]]-orders[[#This Row],[Order Date]]</f>
        <v>13</v>
      </c>
      <c r="K2367">
        <f>WEEKNUM(orders[[#This Row],[Order Date]])</f>
        <v>13</v>
      </c>
      <c r="L2367" t="str" cm="1">
        <f t="array" ref="L2367">_xlfn.IFS(orders[[#This Row],[Customer Gender]]="M","Male", orders[[#This Row],[Customer Gender]]="F","Female", orders[[#This Row],[Customer Gender]]="O","Other", TRUE,"Unknown")</f>
        <v>Female</v>
      </c>
      <c r="M2367">
        <v>2</v>
      </c>
      <c r="N2367">
        <v>22.6</v>
      </c>
      <c r="O2367">
        <v>45.2</v>
      </c>
    </row>
    <row r="2368" spans="1:15" x14ac:dyDescent="0.3">
      <c r="A2368" t="s">
        <v>2468</v>
      </c>
      <c r="B2368" t="s">
        <v>41</v>
      </c>
      <c r="C2368" s="7">
        <v>45744</v>
      </c>
      <c r="D2368" s="7">
        <v>45749</v>
      </c>
      <c r="E2368" t="s">
        <v>22</v>
      </c>
      <c r="F2368" t="s">
        <v>50</v>
      </c>
      <c r="G2368">
        <v>3</v>
      </c>
      <c r="H2368" t="s">
        <v>18</v>
      </c>
      <c r="I2368" t="s">
        <v>61</v>
      </c>
      <c r="J2368">
        <f>orders[[#This Row],[Ship Date]]-orders[[#This Row],[Order Date]]</f>
        <v>5</v>
      </c>
      <c r="K2368">
        <f>WEEKNUM(orders[[#This Row],[Order Date]])</f>
        <v>13</v>
      </c>
      <c r="L2368" t="str" cm="1">
        <f t="array" ref="L2368">_xlfn.IFS(orders[[#This Row],[Customer Gender]]="M","Male", orders[[#This Row],[Customer Gender]]="F","Female", orders[[#This Row],[Customer Gender]]="O","Other", TRUE,"Unknown")</f>
        <v>Male</v>
      </c>
      <c r="M2368">
        <v>4</v>
      </c>
      <c r="N2368">
        <v>35</v>
      </c>
      <c r="O2368" s="5">
        <v>140</v>
      </c>
    </row>
    <row r="2369" spans="1:15" x14ac:dyDescent="0.3">
      <c r="A2369" t="s">
        <v>2469</v>
      </c>
      <c r="B2369" t="s">
        <v>45</v>
      </c>
      <c r="C2369" s="7">
        <v>45744</v>
      </c>
      <c r="D2369" s="7">
        <v>45751</v>
      </c>
      <c r="E2369" t="s">
        <v>2517</v>
      </c>
      <c r="F2369" t="s">
        <v>34</v>
      </c>
      <c r="G2369">
        <v>5</v>
      </c>
      <c r="H2369" t="s">
        <v>18</v>
      </c>
      <c r="I2369" t="s">
        <v>61</v>
      </c>
      <c r="J2369">
        <f>orders[[#This Row],[Ship Date]]-orders[[#This Row],[Order Date]]</f>
        <v>7</v>
      </c>
      <c r="K2369">
        <f>WEEKNUM(orders[[#This Row],[Order Date]])</f>
        <v>13</v>
      </c>
      <c r="L2369" t="str" cm="1">
        <f t="array" ref="L2369">_xlfn.IFS(orders[[#This Row],[Customer Gender]]="M","Male", orders[[#This Row],[Customer Gender]]="F","Female", orders[[#This Row],[Customer Gender]]="O","Other", TRUE,"Unknown")</f>
        <v>Unknown</v>
      </c>
      <c r="M2369">
        <v>6</v>
      </c>
      <c r="N2369">
        <v>63.6</v>
      </c>
      <c r="O2369">
        <v>381.6</v>
      </c>
    </row>
    <row r="2370" spans="1:15" x14ac:dyDescent="0.3">
      <c r="A2370" t="s">
        <v>2470</v>
      </c>
      <c r="B2370" t="s">
        <v>122</v>
      </c>
      <c r="C2370" s="7">
        <v>45744</v>
      </c>
      <c r="D2370" s="7">
        <v>45745</v>
      </c>
      <c r="E2370" t="s">
        <v>22</v>
      </c>
      <c r="F2370" t="s">
        <v>69</v>
      </c>
      <c r="G2370">
        <v>3</v>
      </c>
      <c r="H2370" t="s">
        <v>18</v>
      </c>
      <c r="I2370" t="s">
        <v>61</v>
      </c>
      <c r="J2370">
        <f>orders[[#This Row],[Ship Date]]-orders[[#This Row],[Order Date]]</f>
        <v>1</v>
      </c>
      <c r="K2370">
        <f>WEEKNUM(orders[[#This Row],[Order Date]])</f>
        <v>13</v>
      </c>
      <c r="L2370" t="str" cm="1">
        <f t="array" ref="L2370">_xlfn.IFS(orders[[#This Row],[Customer Gender]]="M","Male", orders[[#This Row],[Customer Gender]]="F","Female", orders[[#This Row],[Customer Gender]]="O","Other", TRUE,"Unknown")</f>
        <v>Male</v>
      </c>
      <c r="M2370">
        <v>4</v>
      </c>
      <c r="N2370">
        <v>78.599999999999994</v>
      </c>
      <c r="O2370" s="5">
        <v>314.39999999999998</v>
      </c>
    </row>
    <row r="2371" spans="1:15" x14ac:dyDescent="0.3">
      <c r="A2371" t="s">
        <v>2471</v>
      </c>
      <c r="B2371" t="s">
        <v>29</v>
      </c>
      <c r="C2371" s="7">
        <v>45744</v>
      </c>
      <c r="D2371" s="7">
        <v>45745</v>
      </c>
      <c r="E2371" t="s">
        <v>22</v>
      </c>
      <c r="F2371" t="s">
        <v>17</v>
      </c>
      <c r="G2371">
        <v>5</v>
      </c>
      <c r="H2371" t="s">
        <v>18</v>
      </c>
      <c r="I2371" t="s">
        <v>61</v>
      </c>
      <c r="J2371">
        <f>orders[[#This Row],[Ship Date]]-orders[[#This Row],[Order Date]]</f>
        <v>1</v>
      </c>
      <c r="K2371">
        <f>WEEKNUM(orders[[#This Row],[Order Date]])</f>
        <v>13</v>
      </c>
      <c r="L2371" t="str" cm="1">
        <f t="array" ref="L2371">_xlfn.IFS(orders[[#This Row],[Customer Gender]]="M","Male", orders[[#This Row],[Customer Gender]]="F","Female", orders[[#This Row],[Customer Gender]]="O","Other", TRUE,"Unknown")</f>
        <v>Male</v>
      </c>
      <c r="M2371">
        <v>2</v>
      </c>
      <c r="N2371">
        <v>38.5</v>
      </c>
      <c r="O2371">
        <v>77</v>
      </c>
    </row>
    <row r="2372" spans="1:15" x14ac:dyDescent="0.3">
      <c r="A2372" t="s">
        <v>2472</v>
      </c>
      <c r="B2372" t="s">
        <v>43</v>
      </c>
      <c r="C2372" s="7">
        <v>45744</v>
      </c>
      <c r="D2372" s="7">
        <v>45745</v>
      </c>
      <c r="E2372" t="s">
        <v>26</v>
      </c>
      <c r="F2372" t="s">
        <v>34</v>
      </c>
      <c r="G2372">
        <v>2</v>
      </c>
      <c r="H2372" t="s">
        <v>18</v>
      </c>
      <c r="I2372" t="s">
        <v>61</v>
      </c>
      <c r="J2372">
        <f>orders[[#This Row],[Ship Date]]-orders[[#This Row],[Order Date]]</f>
        <v>1</v>
      </c>
      <c r="K2372">
        <f>WEEKNUM(orders[[#This Row],[Order Date]])</f>
        <v>13</v>
      </c>
      <c r="L2372" t="str" cm="1">
        <f t="array" ref="L2372">_xlfn.IFS(orders[[#This Row],[Customer Gender]]="M","Male", orders[[#This Row],[Customer Gender]]="F","Female", orders[[#This Row],[Customer Gender]]="O","Other", TRUE,"Unknown")</f>
        <v>Female</v>
      </c>
      <c r="M2372">
        <v>11</v>
      </c>
      <c r="N2372">
        <v>71.5</v>
      </c>
      <c r="O2372" s="5">
        <v>786.5</v>
      </c>
    </row>
    <row r="2373" spans="1:15" x14ac:dyDescent="0.3">
      <c r="A2373" t="s">
        <v>2473</v>
      </c>
      <c r="B2373" t="s">
        <v>38</v>
      </c>
      <c r="C2373" s="7">
        <v>45744</v>
      </c>
      <c r="D2373" s="7">
        <v>45748</v>
      </c>
      <c r="E2373" t="s">
        <v>22</v>
      </c>
      <c r="F2373" t="s">
        <v>34</v>
      </c>
      <c r="G2373">
        <v>5</v>
      </c>
      <c r="H2373" t="s">
        <v>18</v>
      </c>
      <c r="I2373" t="s">
        <v>102</v>
      </c>
      <c r="J2373">
        <f>orders[[#This Row],[Ship Date]]-orders[[#This Row],[Order Date]]</f>
        <v>4</v>
      </c>
      <c r="K2373">
        <f>WEEKNUM(orders[[#This Row],[Order Date]])</f>
        <v>13</v>
      </c>
      <c r="L2373" t="str" cm="1">
        <f t="array" ref="L2373">_xlfn.IFS(orders[[#This Row],[Customer Gender]]="M","Male", orders[[#This Row],[Customer Gender]]="F","Female", orders[[#This Row],[Customer Gender]]="O","Other", TRUE,"Unknown")</f>
        <v>Male</v>
      </c>
      <c r="M2373">
        <v>4</v>
      </c>
      <c r="N2373">
        <v>121.4</v>
      </c>
      <c r="O2373">
        <v>485.6</v>
      </c>
    </row>
    <row r="2374" spans="1:15" x14ac:dyDescent="0.3">
      <c r="A2374" t="s">
        <v>2474</v>
      </c>
      <c r="B2374" t="s">
        <v>66</v>
      </c>
      <c r="C2374" s="7">
        <v>45744</v>
      </c>
      <c r="D2374" s="7">
        <v>45747</v>
      </c>
      <c r="E2374" t="s">
        <v>26</v>
      </c>
      <c r="F2374" t="s">
        <v>17</v>
      </c>
      <c r="G2374">
        <v>5</v>
      </c>
      <c r="H2374" t="s">
        <v>18</v>
      </c>
      <c r="I2374" t="s">
        <v>76</v>
      </c>
      <c r="J2374">
        <f>orders[[#This Row],[Ship Date]]-orders[[#This Row],[Order Date]]</f>
        <v>3</v>
      </c>
      <c r="K2374">
        <f>WEEKNUM(orders[[#This Row],[Order Date]])</f>
        <v>13</v>
      </c>
      <c r="L2374" t="str" cm="1">
        <f t="array" ref="L2374">_xlfn.IFS(orders[[#This Row],[Customer Gender]]="M","Male", orders[[#This Row],[Customer Gender]]="F","Female", orders[[#This Row],[Customer Gender]]="O","Other", TRUE,"Unknown")</f>
        <v>Female</v>
      </c>
      <c r="M2374">
        <v>1</v>
      </c>
      <c r="N2374">
        <v>40.200000000000003</v>
      </c>
      <c r="O2374" s="5">
        <v>40.200000000000003</v>
      </c>
    </row>
    <row r="2375" spans="1:15" x14ac:dyDescent="0.3">
      <c r="A2375" t="s">
        <v>2475</v>
      </c>
      <c r="B2375" t="s">
        <v>36</v>
      </c>
      <c r="C2375" s="7">
        <v>45744</v>
      </c>
      <c r="D2375" s="7">
        <v>45746</v>
      </c>
      <c r="E2375" t="s">
        <v>26</v>
      </c>
      <c r="F2375" t="s">
        <v>39</v>
      </c>
      <c r="G2375">
        <v>5</v>
      </c>
      <c r="H2375" t="s">
        <v>18</v>
      </c>
      <c r="I2375" t="s">
        <v>242</v>
      </c>
      <c r="J2375">
        <f>orders[[#This Row],[Ship Date]]-orders[[#This Row],[Order Date]]</f>
        <v>2</v>
      </c>
      <c r="K2375">
        <f>WEEKNUM(orders[[#This Row],[Order Date]])</f>
        <v>13</v>
      </c>
      <c r="L2375" t="str" cm="1">
        <f t="array" ref="L2375">_xlfn.IFS(orders[[#This Row],[Customer Gender]]="M","Male", orders[[#This Row],[Customer Gender]]="F","Female", orders[[#This Row],[Customer Gender]]="O","Other", TRUE,"Unknown")</f>
        <v>Female</v>
      </c>
      <c r="M2375">
        <v>5</v>
      </c>
      <c r="N2375">
        <v>31.9</v>
      </c>
      <c r="O2375">
        <v>159.5</v>
      </c>
    </row>
    <row r="2376" spans="1:15" x14ac:dyDescent="0.3">
      <c r="A2376" t="s">
        <v>2476</v>
      </c>
      <c r="B2376" t="s">
        <v>80</v>
      </c>
      <c r="C2376" s="7">
        <v>45745</v>
      </c>
      <c r="D2376" s="7">
        <v>45746</v>
      </c>
      <c r="E2376" t="s">
        <v>22</v>
      </c>
      <c r="F2376" t="s">
        <v>50</v>
      </c>
      <c r="G2376">
        <v>5</v>
      </c>
      <c r="H2376" t="s">
        <v>18</v>
      </c>
      <c r="I2376" t="s">
        <v>114</v>
      </c>
      <c r="J2376">
        <f>orders[[#This Row],[Ship Date]]-orders[[#This Row],[Order Date]]</f>
        <v>1</v>
      </c>
      <c r="K2376">
        <f>WEEKNUM(orders[[#This Row],[Order Date]])</f>
        <v>13</v>
      </c>
      <c r="L2376" t="str" cm="1">
        <f t="array" ref="L2376">_xlfn.IFS(orders[[#This Row],[Customer Gender]]="M","Male", orders[[#This Row],[Customer Gender]]="F","Female", orders[[#This Row],[Customer Gender]]="O","Other", TRUE,"Unknown")</f>
        <v>Male</v>
      </c>
      <c r="M2376">
        <v>5</v>
      </c>
      <c r="N2376">
        <v>15.8</v>
      </c>
      <c r="O2376" s="5">
        <v>79</v>
      </c>
    </row>
    <row r="2377" spans="1:15" x14ac:dyDescent="0.3">
      <c r="A2377" t="s">
        <v>2477</v>
      </c>
      <c r="B2377" t="s">
        <v>53</v>
      </c>
      <c r="C2377" s="7">
        <v>45745</v>
      </c>
      <c r="D2377" s="7">
        <v>45747</v>
      </c>
      <c r="E2377" t="s">
        <v>2517</v>
      </c>
      <c r="F2377" t="s">
        <v>34</v>
      </c>
      <c r="G2377">
        <v>4</v>
      </c>
      <c r="H2377" t="s">
        <v>18</v>
      </c>
      <c r="I2377" t="s">
        <v>114</v>
      </c>
      <c r="J2377">
        <f>orders[[#This Row],[Ship Date]]-orders[[#This Row],[Order Date]]</f>
        <v>2</v>
      </c>
      <c r="K2377">
        <f>WEEKNUM(orders[[#This Row],[Order Date]])</f>
        <v>13</v>
      </c>
      <c r="L2377" t="str" cm="1">
        <f t="array" ref="L2377">_xlfn.IFS(orders[[#This Row],[Customer Gender]]="M","Male", orders[[#This Row],[Customer Gender]]="F","Female", orders[[#This Row],[Customer Gender]]="O","Other", TRUE,"Unknown")</f>
        <v>Unknown</v>
      </c>
      <c r="M2377">
        <v>2</v>
      </c>
      <c r="N2377">
        <v>25.1</v>
      </c>
      <c r="O2377">
        <v>50.2</v>
      </c>
    </row>
    <row r="2378" spans="1:15" x14ac:dyDescent="0.3">
      <c r="A2378" t="s">
        <v>2478</v>
      </c>
      <c r="B2378" t="s">
        <v>21</v>
      </c>
      <c r="C2378" s="7">
        <v>45745</v>
      </c>
      <c r="D2378" s="7">
        <v>45746</v>
      </c>
      <c r="E2378" t="s">
        <v>26</v>
      </c>
      <c r="F2378" t="s">
        <v>69</v>
      </c>
      <c r="G2378">
        <v>4</v>
      </c>
      <c r="H2378" t="s">
        <v>18</v>
      </c>
      <c r="I2378" t="s">
        <v>23</v>
      </c>
      <c r="J2378">
        <f>orders[[#This Row],[Ship Date]]-orders[[#This Row],[Order Date]]</f>
        <v>1</v>
      </c>
      <c r="K2378">
        <f>WEEKNUM(orders[[#This Row],[Order Date]])</f>
        <v>13</v>
      </c>
      <c r="L2378" t="str" cm="1">
        <f t="array" ref="L2378">_xlfn.IFS(orders[[#This Row],[Customer Gender]]="M","Male", orders[[#This Row],[Customer Gender]]="F","Female", orders[[#This Row],[Customer Gender]]="O","Other", TRUE,"Unknown")</f>
        <v>Female</v>
      </c>
      <c r="M2378">
        <v>23</v>
      </c>
      <c r="N2378">
        <v>38.1</v>
      </c>
      <c r="O2378" s="5">
        <v>876.30000000000007</v>
      </c>
    </row>
    <row r="2379" spans="1:15" x14ac:dyDescent="0.3">
      <c r="A2379" t="s">
        <v>2479</v>
      </c>
      <c r="B2379" t="s">
        <v>29</v>
      </c>
      <c r="C2379" s="7">
        <v>45745</v>
      </c>
      <c r="D2379" s="7">
        <v>45747</v>
      </c>
      <c r="E2379" t="s">
        <v>26</v>
      </c>
      <c r="F2379" t="s">
        <v>17</v>
      </c>
      <c r="G2379">
        <v>5</v>
      </c>
      <c r="H2379" t="s">
        <v>18</v>
      </c>
      <c r="I2379" t="s">
        <v>23</v>
      </c>
      <c r="J2379">
        <f>orders[[#This Row],[Ship Date]]-orders[[#This Row],[Order Date]]</f>
        <v>2</v>
      </c>
      <c r="K2379">
        <f>WEEKNUM(orders[[#This Row],[Order Date]])</f>
        <v>13</v>
      </c>
      <c r="L2379" t="str" cm="1">
        <f t="array" ref="L2379">_xlfn.IFS(orders[[#This Row],[Customer Gender]]="M","Male", orders[[#This Row],[Customer Gender]]="F","Female", orders[[#This Row],[Customer Gender]]="O","Other", TRUE,"Unknown")</f>
        <v>Female</v>
      </c>
      <c r="M2379">
        <v>2</v>
      </c>
      <c r="N2379">
        <v>42.2</v>
      </c>
      <c r="O2379">
        <v>84.4</v>
      </c>
    </row>
    <row r="2380" spans="1:15" x14ac:dyDescent="0.3">
      <c r="A2380" t="s">
        <v>2480</v>
      </c>
      <c r="B2380" t="s">
        <v>16</v>
      </c>
      <c r="C2380" s="7">
        <v>45745</v>
      </c>
      <c r="D2380" s="7">
        <v>45746</v>
      </c>
      <c r="E2380" t="s">
        <v>26</v>
      </c>
      <c r="F2380" t="s">
        <v>69</v>
      </c>
      <c r="G2380">
        <v>4</v>
      </c>
      <c r="H2380" t="s">
        <v>18</v>
      </c>
      <c r="I2380" t="s">
        <v>27</v>
      </c>
      <c r="J2380">
        <f>orders[[#This Row],[Ship Date]]-orders[[#This Row],[Order Date]]</f>
        <v>1</v>
      </c>
      <c r="K2380">
        <f>WEEKNUM(orders[[#This Row],[Order Date]])</f>
        <v>13</v>
      </c>
      <c r="L2380" t="str" cm="1">
        <f t="array" ref="L2380">_xlfn.IFS(orders[[#This Row],[Customer Gender]]="M","Male", orders[[#This Row],[Customer Gender]]="F","Female", orders[[#This Row],[Customer Gender]]="O","Other", TRUE,"Unknown")</f>
        <v>Female</v>
      </c>
      <c r="M2380">
        <v>10</v>
      </c>
      <c r="N2380">
        <v>12.3</v>
      </c>
      <c r="O2380" s="5">
        <v>123</v>
      </c>
    </row>
    <row r="2381" spans="1:15" x14ac:dyDescent="0.3">
      <c r="A2381" t="s">
        <v>2481</v>
      </c>
      <c r="B2381" t="s">
        <v>41</v>
      </c>
      <c r="C2381" s="7">
        <v>45745</v>
      </c>
      <c r="D2381" s="7">
        <v>45747</v>
      </c>
      <c r="E2381" t="s">
        <v>26</v>
      </c>
      <c r="F2381" t="s">
        <v>34</v>
      </c>
      <c r="G2381">
        <v>5</v>
      </c>
      <c r="H2381" t="s">
        <v>18</v>
      </c>
      <c r="I2381" t="s">
        <v>333</v>
      </c>
      <c r="J2381">
        <f>orders[[#This Row],[Ship Date]]-orders[[#This Row],[Order Date]]</f>
        <v>2</v>
      </c>
      <c r="K2381">
        <f>WEEKNUM(orders[[#This Row],[Order Date]])</f>
        <v>13</v>
      </c>
      <c r="L2381" t="str" cm="1">
        <f t="array" ref="L2381">_xlfn.IFS(orders[[#This Row],[Customer Gender]]="M","Male", orders[[#This Row],[Customer Gender]]="F","Female", orders[[#This Row],[Customer Gender]]="O","Other", TRUE,"Unknown")</f>
        <v>Female</v>
      </c>
      <c r="M2381">
        <v>1</v>
      </c>
      <c r="N2381">
        <v>30.2</v>
      </c>
      <c r="O2381">
        <v>30.2</v>
      </c>
    </row>
    <row r="2382" spans="1:15" x14ac:dyDescent="0.3">
      <c r="A2382" t="s">
        <v>2482</v>
      </c>
      <c r="B2382" t="s">
        <v>36</v>
      </c>
      <c r="C2382" s="7">
        <v>45745</v>
      </c>
      <c r="D2382" s="7">
        <v>45748</v>
      </c>
      <c r="E2382" t="s">
        <v>26</v>
      </c>
      <c r="F2382" t="s">
        <v>39</v>
      </c>
      <c r="G2382">
        <v>4</v>
      </c>
      <c r="H2382" t="s">
        <v>18</v>
      </c>
      <c r="I2382" t="s">
        <v>32</v>
      </c>
      <c r="J2382">
        <f>orders[[#This Row],[Ship Date]]-orders[[#This Row],[Order Date]]</f>
        <v>3</v>
      </c>
      <c r="K2382">
        <f>WEEKNUM(orders[[#This Row],[Order Date]])</f>
        <v>13</v>
      </c>
      <c r="L2382" t="str" cm="1">
        <f t="array" ref="L2382">_xlfn.IFS(orders[[#This Row],[Customer Gender]]="M","Male", orders[[#This Row],[Customer Gender]]="F","Female", orders[[#This Row],[Customer Gender]]="O","Other", TRUE,"Unknown")</f>
        <v>Female</v>
      </c>
      <c r="M2382">
        <v>3</v>
      </c>
      <c r="N2382">
        <v>25.3</v>
      </c>
      <c r="O2382" s="5">
        <v>75.900000000000006</v>
      </c>
    </row>
    <row r="2383" spans="1:15" x14ac:dyDescent="0.3">
      <c r="A2383" t="s">
        <v>2483</v>
      </c>
      <c r="B2383" t="s">
        <v>43</v>
      </c>
      <c r="C2383" s="7">
        <v>45745</v>
      </c>
      <c r="D2383" s="7">
        <v>45747</v>
      </c>
      <c r="E2383" t="s">
        <v>22</v>
      </c>
      <c r="F2383" t="s">
        <v>50</v>
      </c>
      <c r="G2383">
        <v>4</v>
      </c>
      <c r="H2383" t="s">
        <v>18</v>
      </c>
      <c r="I2383" t="s">
        <v>32</v>
      </c>
      <c r="J2383">
        <f>orders[[#This Row],[Ship Date]]-orders[[#This Row],[Order Date]]</f>
        <v>2</v>
      </c>
      <c r="K2383">
        <f>WEEKNUM(orders[[#This Row],[Order Date]])</f>
        <v>13</v>
      </c>
      <c r="L2383" t="str" cm="1">
        <f t="array" ref="L2383">_xlfn.IFS(orders[[#This Row],[Customer Gender]]="M","Male", orders[[#This Row],[Customer Gender]]="F","Female", orders[[#This Row],[Customer Gender]]="O","Other", TRUE,"Unknown")</f>
        <v>Male</v>
      </c>
      <c r="M2383">
        <v>5</v>
      </c>
      <c r="N2383">
        <v>29.7</v>
      </c>
      <c r="O2383">
        <v>148.5</v>
      </c>
    </row>
    <row r="2384" spans="1:15" x14ac:dyDescent="0.3">
      <c r="A2384" t="s">
        <v>2484</v>
      </c>
      <c r="B2384" t="s">
        <v>45</v>
      </c>
      <c r="C2384" s="7">
        <v>45745</v>
      </c>
      <c r="D2384" s="7">
        <v>45746</v>
      </c>
      <c r="E2384" t="s">
        <v>2517</v>
      </c>
      <c r="F2384" t="s">
        <v>50</v>
      </c>
      <c r="G2384">
        <v>5</v>
      </c>
      <c r="H2384" t="s">
        <v>18</v>
      </c>
      <c r="I2384" t="s">
        <v>32</v>
      </c>
      <c r="J2384">
        <f>orders[[#This Row],[Ship Date]]-orders[[#This Row],[Order Date]]</f>
        <v>1</v>
      </c>
      <c r="K2384">
        <f>WEEKNUM(orders[[#This Row],[Order Date]])</f>
        <v>13</v>
      </c>
      <c r="L2384" t="str" cm="1">
        <f t="array" ref="L2384">_xlfn.IFS(orders[[#This Row],[Customer Gender]]="M","Male", orders[[#This Row],[Customer Gender]]="F","Female", orders[[#This Row],[Customer Gender]]="O","Other", TRUE,"Unknown")</f>
        <v>Unknown</v>
      </c>
      <c r="M2384">
        <v>8</v>
      </c>
      <c r="N2384">
        <v>32.9</v>
      </c>
      <c r="O2384" s="5">
        <v>263.2</v>
      </c>
    </row>
    <row r="2385" spans="1:15" x14ac:dyDescent="0.3">
      <c r="A2385" t="s">
        <v>2485</v>
      </c>
      <c r="B2385" t="s">
        <v>53</v>
      </c>
      <c r="C2385" s="7">
        <v>45745</v>
      </c>
      <c r="D2385" s="7">
        <v>45746</v>
      </c>
      <c r="E2385" t="s">
        <v>22</v>
      </c>
      <c r="F2385" t="s">
        <v>34</v>
      </c>
      <c r="G2385">
        <v>5</v>
      </c>
      <c r="H2385" t="s">
        <v>18</v>
      </c>
      <c r="I2385" t="s">
        <v>32</v>
      </c>
      <c r="J2385">
        <f>orders[[#This Row],[Ship Date]]-orders[[#This Row],[Order Date]]</f>
        <v>1</v>
      </c>
      <c r="K2385">
        <f>WEEKNUM(orders[[#This Row],[Order Date]])</f>
        <v>13</v>
      </c>
      <c r="L2385" t="str" cm="1">
        <f t="array" ref="L2385">_xlfn.IFS(orders[[#This Row],[Customer Gender]]="M","Male", orders[[#This Row],[Customer Gender]]="F","Female", orders[[#This Row],[Customer Gender]]="O","Other", TRUE,"Unknown")</f>
        <v>Male</v>
      </c>
      <c r="M2385">
        <v>2</v>
      </c>
      <c r="N2385">
        <v>43.6</v>
      </c>
      <c r="O2385">
        <v>87.2</v>
      </c>
    </row>
    <row r="2386" spans="1:15" x14ac:dyDescent="0.3">
      <c r="A2386" t="s">
        <v>2486</v>
      </c>
      <c r="B2386" t="s">
        <v>122</v>
      </c>
      <c r="C2386" s="7">
        <v>45745</v>
      </c>
      <c r="D2386" s="7">
        <v>45746</v>
      </c>
      <c r="E2386" t="s">
        <v>22</v>
      </c>
      <c r="F2386" t="s">
        <v>39</v>
      </c>
      <c r="G2386">
        <v>4</v>
      </c>
      <c r="H2386" t="s">
        <v>18</v>
      </c>
      <c r="I2386" t="s">
        <v>32</v>
      </c>
      <c r="J2386">
        <f>orders[[#This Row],[Ship Date]]-orders[[#This Row],[Order Date]]</f>
        <v>1</v>
      </c>
      <c r="K2386">
        <f>WEEKNUM(orders[[#This Row],[Order Date]])</f>
        <v>13</v>
      </c>
      <c r="L2386" t="str" cm="1">
        <f t="array" ref="L2386">_xlfn.IFS(orders[[#This Row],[Customer Gender]]="M","Male", orders[[#This Row],[Customer Gender]]="F","Female", orders[[#This Row],[Customer Gender]]="O","Other", TRUE,"Unknown")</f>
        <v>Male</v>
      </c>
      <c r="M2386">
        <v>4</v>
      </c>
      <c r="N2386">
        <v>78.400000000000006</v>
      </c>
      <c r="O2386" s="5">
        <v>313.60000000000002</v>
      </c>
    </row>
    <row r="2387" spans="1:15" x14ac:dyDescent="0.3">
      <c r="A2387" t="s">
        <v>2487</v>
      </c>
      <c r="B2387" t="s">
        <v>38</v>
      </c>
      <c r="C2387" s="7">
        <v>45745</v>
      </c>
      <c r="D2387" s="7">
        <v>45749</v>
      </c>
      <c r="E2387" t="s">
        <v>22</v>
      </c>
      <c r="F2387" t="s">
        <v>34</v>
      </c>
      <c r="G2387">
        <v>3</v>
      </c>
      <c r="H2387" t="s">
        <v>18</v>
      </c>
      <c r="I2387" t="s">
        <v>32</v>
      </c>
      <c r="J2387">
        <f>orders[[#This Row],[Ship Date]]-orders[[#This Row],[Order Date]]</f>
        <v>4</v>
      </c>
      <c r="K2387">
        <f>WEEKNUM(orders[[#This Row],[Order Date]])</f>
        <v>13</v>
      </c>
      <c r="L2387" t="str" cm="1">
        <f t="array" ref="L2387">_xlfn.IFS(orders[[#This Row],[Customer Gender]]="M","Male", orders[[#This Row],[Customer Gender]]="F","Female", orders[[#This Row],[Customer Gender]]="O","Other", TRUE,"Unknown")</f>
        <v>Male</v>
      </c>
      <c r="M2387">
        <v>2</v>
      </c>
      <c r="N2387">
        <v>56.5</v>
      </c>
      <c r="O2387">
        <v>113</v>
      </c>
    </row>
    <row r="2388" spans="1:15" x14ac:dyDescent="0.3">
      <c r="A2388" t="s">
        <v>2488</v>
      </c>
      <c r="B2388" t="s">
        <v>127</v>
      </c>
      <c r="C2388" s="7">
        <v>45745</v>
      </c>
      <c r="D2388" s="7">
        <v>45746</v>
      </c>
      <c r="E2388" t="s">
        <v>26</v>
      </c>
      <c r="F2388" t="s">
        <v>17</v>
      </c>
      <c r="G2388">
        <v>5</v>
      </c>
      <c r="H2388" t="s">
        <v>18</v>
      </c>
      <c r="I2388" t="s">
        <v>32</v>
      </c>
      <c r="J2388">
        <f>orders[[#This Row],[Ship Date]]-orders[[#This Row],[Order Date]]</f>
        <v>1</v>
      </c>
      <c r="K2388">
        <f>WEEKNUM(orders[[#This Row],[Order Date]])</f>
        <v>13</v>
      </c>
      <c r="L2388" t="str" cm="1">
        <f t="array" ref="L2388">_xlfn.IFS(orders[[#This Row],[Customer Gender]]="M","Male", orders[[#This Row],[Customer Gender]]="F","Female", orders[[#This Row],[Customer Gender]]="O","Other", TRUE,"Unknown")</f>
        <v>Female</v>
      </c>
      <c r="M2388">
        <v>1</v>
      </c>
      <c r="N2388">
        <v>36.700000000000003</v>
      </c>
      <c r="O2388" s="5">
        <v>36.700000000000003</v>
      </c>
    </row>
    <row r="2389" spans="1:15" x14ac:dyDescent="0.3">
      <c r="A2389" t="s">
        <v>2489</v>
      </c>
      <c r="B2389" t="s">
        <v>25</v>
      </c>
      <c r="C2389" s="7">
        <v>45745</v>
      </c>
      <c r="D2389" s="7">
        <v>45756</v>
      </c>
      <c r="E2389" t="s">
        <v>22</v>
      </c>
      <c r="F2389" t="s">
        <v>69</v>
      </c>
      <c r="G2389">
        <v>5</v>
      </c>
      <c r="H2389" t="s">
        <v>18</v>
      </c>
      <c r="I2389" t="s">
        <v>32</v>
      </c>
      <c r="J2389">
        <f>orders[[#This Row],[Ship Date]]-orders[[#This Row],[Order Date]]</f>
        <v>11</v>
      </c>
      <c r="K2389">
        <f>WEEKNUM(orders[[#This Row],[Order Date]])</f>
        <v>13</v>
      </c>
      <c r="L2389" t="str" cm="1">
        <f t="array" ref="L2389">_xlfn.IFS(orders[[#This Row],[Customer Gender]]="M","Male", orders[[#This Row],[Customer Gender]]="F","Female", orders[[#This Row],[Customer Gender]]="O","Other", TRUE,"Unknown")</f>
        <v>Male</v>
      </c>
      <c r="M2389">
        <v>4</v>
      </c>
      <c r="N2389">
        <v>103.6</v>
      </c>
      <c r="O2389">
        <v>414.4</v>
      </c>
    </row>
    <row r="2390" spans="1:15" x14ac:dyDescent="0.3">
      <c r="A2390" t="s">
        <v>2490</v>
      </c>
      <c r="B2390" t="s">
        <v>43</v>
      </c>
      <c r="C2390" s="7">
        <v>45745</v>
      </c>
      <c r="D2390" s="7">
        <v>45749</v>
      </c>
      <c r="E2390" t="s">
        <v>22</v>
      </c>
      <c r="F2390" t="s">
        <v>34</v>
      </c>
      <c r="G2390">
        <v>5</v>
      </c>
      <c r="H2390" t="s">
        <v>18</v>
      </c>
      <c r="I2390" t="s">
        <v>54</v>
      </c>
      <c r="J2390">
        <f>orders[[#This Row],[Ship Date]]-orders[[#This Row],[Order Date]]</f>
        <v>4</v>
      </c>
      <c r="K2390">
        <f>WEEKNUM(orders[[#This Row],[Order Date]])</f>
        <v>13</v>
      </c>
      <c r="L2390" t="str" cm="1">
        <f t="array" ref="L2390">_xlfn.IFS(orders[[#This Row],[Customer Gender]]="M","Male", orders[[#This Row],[Customer Gender]]="F","Female", orders[[#This Row],[Customer Gender]]="O","Other", TRUE,"Unknown")</f>
        <v>Male</v>
      </c>
      <c r="M2390">
        <v>6</v>
      </c>
      <c r="N2390">
        <v>16.2</v>
      </c>
      <c r="O2390" s="5">
        <v>97.199999999999989</v>
      </c>
    </row>
    <row r="2391" spans="1:15" x14ac:dyDescent="0.3">
      <c r="A2391" t="s">
        <v>2491</v>
      </c>
      <c r="B2391" t="s">
        <v>43</v>
      </c>
      <c r="C2391" s="7">
        <v>45745</v>
      </c>
      <c r="D2391" s="7">
        <v>45746</v>
      </c>
      <c r="E2391" t="s">
        <v>26</v>
      </c>
      <c r="F2391" t="s">
        <v>17</v>
      </c>
      <c r="G2391">
        <v>4</v>
      </c>
      <c r="H2391" t="s">
        <v>18</v>
      </c>
      <c r="I2391" t="s">
        <v>54</v>
      </c>
      <c r="J2391">
        <f>orders[[#This Row],[Ship Date]]-orders[[#This Row],[Order Date]]</f>
        <v>1</v>
      </c>
      <c r="K2391">
        <f>WEEKNUM(orders[[#This Row],[Order Date]])</f>
        <v>13</v>
      </c>
      <c r="L2391" t="str" cm="1">
        <f t="array" ref="L2391">_xlfn.IFS(orders[[#This Row],[Customer Gender]]="M","Male", orders[[#This Row],[Customer Gender]]="F","Female", orders[[#This Row],[Customer Gender]]="O","Other", TRUE,"Unknown")</f>
        <v>Female</v>
      </c>
      <c r="M2391">
        <v>2</v>
      </c>
      <c r="N2391">
        <v>20.2</v>
      </c>
      <c r="O2391">
        <v>40.4</v>
      </c>
    </row>
    <row r="2392" spans="1:15" x14ac:dyDescent="0.3">
      <c r="A2392" t="s">
        <v>2492</v>
      </c>
      <c r="B2392" t="s">
        <v>66</v>
      </c>
      <c r="C2392" s="7">
        <v>45745</v>
      </c>
      <c r="D2392" s="7">
        <v>45747</v>
      </c>
      <c r="E2392" t="s">
        <v>26</v>
      </c>
      <c r="F2392" t="s">
        <v>39</v>
      </c>
      <c r="G2392">
        <v>4</v>
      </c>
      <c r="H2392" t="s">
        <v>18</v>
      </c>
      <c r="I2392" t="s">
        <v>54</v>
      </c>
      <c r="J2392">
        <f>orders[[#This Row],[Ship Date]]-orders[[#This Row],[Order Date]]</f>
        <v>2</v>
      </c>
      <c r="K2392">
        <f>WEEKNUM(orders[[#This Row],[Order Date]])</f>
        <v>13</v>
      </c>
      <c r="L2392" t="str" cm="1">
        <f t="array" ref="L2392">_xlfn.IFS(orders[[#This Row],[Customer Gender]]="M","Male", orders[[#This Row],[Customer Gender]]="F","Female", orders[[#This Row],[Customer Gender]]="O","Other", TRUE,"Unknown")</f>
        <v>Female</v>
      </c>
      <c r="M2392">
        <v>2</v>
      </c>
      <c r="N2392">
        <v>26.9</v>
      </c>
      <c r="O2392" s="5">
        <v>53.8</v>
      </c>
    </row>
    <row r="2393" spans="1:15" x14ac:dyDescent="0.3">
      <c r="A2393" t="s">
        <v>2493</v>
      </c>
      <c r="B2393" t="s">
        <v>21</v>
      </c>
      <c r="C2393" s="7">
        <v>45745</v>
      </c>
      <c r="D2393" s="7">
        <v>45748</v>
      </c>
      <c r="E2393" t="s">
        <v>2517</v>
      </c>
      <c r="F2393" t="s">
        <v>17</v>
      </c>
      <c r="G2393">
        <v>4</v>
      </c>
      <c r="H2393" t="s">
        <v>18</v>
      </c>
      <c r="I2393" t="s">
        <v>58</v>
      </c>
      <c r="J2393">
        <f>orders[[#This Row],[Ship Date]]-orders[[#This Row],[Order Date]]</f>
        <v>3</v>
      </c>
      <c r="K2393">
        <f>WEEKNUM(orders[[#This Row],[Order Date]])</f>
        <v>13</v>
      </c>
      <c r="L2393" t="str" cm="1">
        <f t="array" ref="L2393">_xlfn.IFS(orders[[#This Row],[Customer Gender]]="M","Male", orders[[#This Row],[Customer Gender]]="F","Female", orders[[#This Row],[Customer Gender]]="O","Other", TRUE,"Unknown")</f>
        <v>Unknown</v>
      </c>
      <c r="M2393">
        <v>2</v>
      </c>
      <c r="N2393">
        <v>82.4</v>
      </c>
      <c r="O2393">
        <v>164.8</v>
      </c>
    </row>
    <row r="2394" spans="1:15" x14ac:dyDescent="0.3">
      <c r="A2394" t="s">
        <v>2494</v>
      </c>
      <c r="B2394" t="s">
        <v>25</v>
      </c>
      <c r="C2394" s="7">
        <v>45745</v>
      </c>
      <c r="D2394" s="7">
        <v>45747</v>
      </c>
      <c r="E2394" t="s">
        <v>22</v>
      </c>
      <c r="F2394" t="s">
        <v>34</v>
      </c>
      <c r="G2394">
        <v>5</v>
      </c>
      <c r="H2394" t="s">
        <v>18</v>
      </c>
      <c r="I2394" t="s">
        <v>61</v>
      </c>
      <c r="J2394">
        <f>orders[[#This Row],[Ship Date]]-orders[[#This Row],[Order Date]]</f>
        <v>2</v>
      </c>
      <c r="K2394">
        <f>WEEKNUM(orders[[#This Row],[Order Date]])</f>
        <v>13</v>
      </c>
      <c r="L2394" t="str" cm="1">
        <f t="array" ref="L2394">_xlfn.IFS(orders[[#This Row],[Customer Gender]]="M","Male", orders[[#This Row],[Customer Gender]]="F","Female", orders[[#This Row],[Customer Gender]]="O","Other", TRUE,"Unknown")</f>
        <v>Male</v>
      </c>
      <c r="M2394">
        <v>2</v>
      </c>
      <c r="N2394">
        <v>117.8</v>
      </c>
      <c r="O2394" s="5">
        <v>235.6</v>
      </c>
    </row>
    <row r="2395" spans="1:15" x14ac:dyDescent="0.3">
      <c r="A2395" t="s">
        <v>2495</v>
      </c>
      <c r="B2395" t="s">
        <v>66</v>
      </c>
      <c r="C2395" s="7">
        <v>45745</v>
      </c>
      <c r="D2395" s="7">
        <v>45746</v>
      </c>
      <c r="E2395" t="s">
        <v>22</v>
      </c>
      <c r="F2395" t="s">
        <v>34</v>
      </c>
      <c r="G2395">
        <v>4</v>
      </c>
      <c r="H2395" t="s">
        <v>18</v>
      </c>
      <c r="I2395" t="s">
        <v>61</v>
      </c>
      <c r="J2395">
        <f>orders[[#This Row],[Ship Date]]-orders[[#This Row],[Order Date]]</f>
        <v>1</v>
      </c>
      <c r="K2395">
        <f>WEEKNUM(orders[[#This Row],[Order Date]])</f>
        <v>13</v>
      </c>
      <c r="L2395" t="str" cm="1">
        <f t="array" ref="L2395">_xlfn.IFS(orders[[#This Row],[Customer Gender]]="M","Male", orders[[#This Row],[Customer Gender]]="F","Female", orders[[#This Row],[Customer Gender]]="O","Other", TRUE,"Unknown")</f>
        <v>Male</v>
      </c>
      <c r="M2395">
        <v>4</v>
      </c>
      <c r="N2395">
        <v>36.700000000000003</v>
      </c>
      <c r="O2395">
        <v>146.80000000000001</v>
      </c>
    </row>
    <row r="2396" spans="1:15" x14ac:dyDescent="0.3">
      <c r="A2396" t="s">
        <v>2496</v>
      </c>
      <c r="B2396" t="s">
        <v>134</v>
      </c>
      <c r="C2396" s="7">
        <v>45745</v>
      </c>
      <c r="D2396" s="7">
        <v>45746</v>
      </c>
      <c r="E2396" t="s">
        <v>22</v>
      </c>
      <c r="F2396" t="s">
        <v>69</v>
      </c>
      <c r="G2396">
        <v>5</v>
      </c>
      <c r="H2396" t="s">
        <v>18</v>
      </c>
      <c r="I2396" t="s">
        <v>73</v>
      </c>
      <c r="J2396">
        <f>orders[[#This Row],[Ship Date]]-orders[[#This Row],[Order Date]]</f>
        <v>1</v>
      </c>
      <c r="K2396">
        <f>WEEKNUM(orders[[#This Row],[Order Date]])</f>
        <v>13</v>
      </c>
      <c r="L2396" t="str" cm="1">
        <f t="array" ref="L2396">_xlfn.IFS(orders[[#This Row],[Customer Gender]]="M","Male", orders[[#This Row],[Customer Gender]]="F","Female", orders[[#This Row],[Customer Gender]]="O","Other", TRUE,"Unknown")</f>
        <v>Male</v>
      </c>
      <c r="M2396">
        <v>3</v>
      </c>
      <c r="N2396">
        <v>46.8</v>
      </c>
      <c r="O2396" s="5">
        <v>140.39999999999998</v>
      </c>
    </row>
    <row r="2397" spans="1:15" x14ac:dyDescent="0.3">
      <c r="A2397" t="s">
        <v>2497</v>
      </c>
      <c r="B2397" t="s">
        <v>29</v>
      </c>
      <c r="C2397" s="7">
        <v>45745</v>
      </c>
      <c r="D2397" s="7">
        <v>45746</v>
      </c>
      <c r="E2397" t="s">
        <v>22</v>
      </c>
      <c r="F2397" t="s">
        <v>34</v>
      </c>
      <c r="G2397">
        <v>4</v>
      </c>
      <c r="H2397" t="s">
        <v>18</v>
      </c>
      <c r="I2397" t="s">
        <v>73</v>
      </c>
      <c r="J2397">
        <f>orders[[#This Row],[Ship Date]]-orders[[#This Row],[Order Date]]</f>
        <v>1</v>
      </c>
      <c r="K2397">
        <f>WEEKNUM(orders[[#This Row],[Order Date]])</f>
        <v>13</v>
      </c>
      <c r="L2397" t="str" cm="1">
        <f t="array" ref="L2397">_xlfn.IFS(orders[[#This Row],[Customer Gender]]="M","Male", orders[[#This Row],[Customer Gender]]="F","Female", orders[[#This Row],[Customer Gender]]="O","Other", TRUE,"Unknown")</f>
        <v>Male</v>
      </c>
      <c r="M2397">
        <v>1</v>
      </c>
      <c r="N2397">
        <v>61.4</v>
      </c>
      <c r="O2397">
        <v>61.4</v>
      </c>
    </row>
    <row r="2398" spans="1:15" x14ac:dyDescent="0.3">
      <c r="A2398" t="s">
        <v>2498</v>
      </c>
      <c r="B2398" t="s">
        <v>122</v>
      </c>
      <c r="C2398" s="7">
        <v>45745</v>
      </c>
      <c r="D2398" s="7">
        <v>45746</v>
      </c>
      <c r="E2398" t="s">
        <v>22</v>
      </c>
      <c r="F2398" t="s">
        <v>17</v>
      </c>
      <c r="G2398">
        <v>4</v>
      </c>
      <c r="H2398" t="s">
        <v>18</v>
      </c>
      <c r="I2398" t="s">
        <v>76</v>
      </c>
      <c r="J2398">
        <f>orders[[#This Row],[Ship Date]]-orders[[#This Row],[Order Date]]</f>
        <v>1</v>
      </c>
      <c r="K2398">
        <f>WEEKNUM(orders[[#This Row],[Order Date]])</f>
        <v>13</v>
      </c>
      <c r="L2398" t="str" cm="1">
        <f t="array" ref="L2398">_xlfn.IFS(orders[[#This Row],[Customer Gender]]="M","Male", orders[[#This Row],[Customer Gender]]="F","Female", orders[[#This Row],[Customer Gender]]="O","Other", TRUE,"Unknown")</f>
        <v>Male</v>
      </c>
      <c r="M2398">
        <v>2</v>
      </c>
      <c r="N2398">
        <v>22.9</v>
      </c>
      <c r="O2398" s="5">
        <v>45.8</v>
      </c>
    </row>
    <row r="2399" spans="1:15" x14ac:dyDescent="0.3">
      <c r="A2399" t="s">
        <v>2499</v>
      </c>
      <c r="B2399" t="s">
        <v>53</v>
      </c>
      <c r="C2399" s="7">
        <v>45745</v>
      </c>
      <c r="D2399" s="7">
        <v>45746</v>
      </c>
      <c r="E2399" t="s">
        <v>26</v>
      </c>
      <c r="F2399" t="s">
        <v>69</v>
      </c>
      <c r="G2399">
        <v>4</v>
      </c>
      <c r="H2399" t="s">
        <v>18</v>
      </c>
      <c r="I2399" t="s">
        <v>76</v>
      </c>
      <c r="J2399">
        <f>orders[[#This Row],[Ship Date]]-orders[[#This Row],[Order Date]]</f>
        <v>1</v>
      </c>
      <c r="K2399">
        <f>WEEKNUM(orders[[#This Row],[Order Date]])</f>
        <v>13</v>
      </c>
      <c r="L2399" t="str" cm="1">
        <f t="array" ref="L2399">_xlfn.IFS(orders[[#This Row],[Customer Gender]]="M","Male", orders[[#This Row],[Customer Gender]]="F","Female", orders[[#This Row],[Customer Gender]]="O","Other", TRUE,"Unknown")</f>
        <v>Female</v>
      </c>
      <c r="M2399">
        <v>2</v>
      </c>
      <c r="N2399">
        <v>22.1</v>
      </c>
      <c r="O2399">
        <v>44.2</v>
      </c>
    </row>
    <row r="2400" spans="1:15" x14ac:dyDescent="0.3">
      <c r="A2400" t="s">
        <v>2500</v>
      </c>
      <c r="B2400" t="s">
        <v>68</v>
      </c>
      <c r="C2400" s="7">
        <v>45745</v>
      </c>
      <c r="D2400" s="7">
        <v>45747</v>
      </c>
      <c r="E2400" t="s">
        <v>26</v>
      </c>
      <c r="F2400" t="s">
        <v>39</v>
      </c>
      <c r="G2400">
        <v>4</v>
      </c>
      <c r="H2400" t="s">
        <v>18</v>
      </c>
      <c r="I2400" t="s">
        <v>107</v>
      </c>
      <c r="J2400">
        <f>orders[[#This Row],[Ship Date]]-orders[[#This Row],[Order Date]]</f>
        <v>2</v>
      </c>
      <c r="K2400">
        <f>WEEKNUM(orders[[#This Row],[Order Date]])</f>
        <v>13</v>
      </c>
      <c r="L2400" t="str" cm="1">
        <f t="array" ref="L2400">_xlfn.IFS(orders[[#This Row],[Customer Gender]]="M","Male", orders[[#This Row],[Customer Gender]]="F","Female", orders[[#This Row],[Customer Gender]]="O","Other", TRUE,"Unknown")</f>
        <v>Female</v>
      </c>
      <c r="M2400">
        <v>2</v>
      </c>
      <c r="N2400">
        <v>31</v>
      </c>
      <c r="O2400" s="5">
        <v>62</v>
      </c>
    </row>
    <row r="2401" spans="1:15" ht="15" thickBot="1" x14ac:dyDescent="0.35">
      <c r="A2401" t="s">
        <v>2501</v>
      </c>
      <c r="B2401" t="s">
        <v>145</v>
      </c>
      <c r="C2401" s="7">
        <v>45745</v>
      </c>
      <c r="D2401" s="7">
        <v>45747</v>
      </c>
      <c r="E2401" t="s">
        <v>22</v>
      </c>
      <c r="F2401" t="s">
        <v>39</v>
      </c>
      <c r="G2401">
        <v>5</v>
      </c>
      <c r="H2401" t="s">
        <v>18</v>
      </c>
      <c r="I2401" t="s">
        <v>81</v>
      </c>
      <c r="J2401">
        <f>orders[[#This Row],[Ship Date]]-orders[[#This Row],[Order Date]]</f>
        <v>2</v>
      </c>
      <c r="K2401">
        <f>WEEKNUM(orders[[#This Row],[Order Date]])</f>
        <v>13</v>
      </c>
      <c r="L2401" t="str" cm="1">
        <f t="array" ref="L2401">_xlfn.IFS(orders[[#This Row],[Customer Gender]]="M","Male", orders[[#This Row],[Customer Gender]]="F","Female", orders[[#This Row],[Customer Gender]]="O","Other", TRUE,"Unknown")</f>
        <v>Male</v>
      </c>
      <c r="M2401">
        <v>2</v>
      </c>
      <c r="N2401">
        <v>84.2</v>
      </c>
      <c r="O2401" s="6">
        <v>168.4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G8" sqref="G8"/>
    </sheetView>
  </sheetViews>
  <sheetFormatPr defaultRowHeight="14.4" x14ac:dyDescent="0.3"/>
  <cols>
    <col min="1" max="1" width="3.6640625" customWidth="1"/>
    <col min="2" max="2" width="52.77734375" customWidth="1"/>
  </cols>
  <sheetData>
    <row r="2" spans="2:2" x14ac:dyDescent="0.3">
      <c r="B2" s="2" t="s">
        <v>2502</v>
      </c>
    </row>
    <row r="3" spans="2:2" x14ac:dyDescent="0.3">
      <c r="B3" s="3" t="s">
        <v>2503</v>
      </c>
    </row>
    <row r="4" spans="2:2" x14ac:dyDescent="0.3">
      <c r="B4" s="3" t="s">
        <v>2504</v>
      </c>
    </row>
    <row r="5" spans="2:2" x14ac:dyDescent="0.3">
      <c r="B5" s="3" t="s">
        <v>2505</v>
      </c>
    </row>
    <row r="6" spans="2:2" x14ac:dyDescent="0.3">
      <c r="B6" s="3" t="s">
        <v>2506</v>
      </c>
    </row>
    <row r="7" spans="2:2" x14ac:dyDescent="0.3">
      <c r="B7" s="3" t="s">
        <v>2507</v>
      </c>
    </row>
    <row r="10" spans="2:2" x14ac:dyDescent="0.3">
      <c r="B10" s="2" t="s">
        <v>2508</v>
      </c>
    </row>
    <row r="11" spans="2:2" x14ac:dyDescent="0.3">
      <c r="B11" t="s">
        <v>2509</v>
      </c>
    </row>
    <row r="12" spans="2:2" x14ac:dyDescent="0.3">
      <c r="B12" t="s">
        <v>2510</v>
      </c>
    </row>
    <row r="13" spans="2:2" x14ac:dyDescent="0.3">
      <c r="B13" t="s">
        <v>2511</v>
      </c>
    </row>
    <row r="14" spans="2:2" x14ac:dyDescent="0.3">
      <c r="B14" t="s">
        <v>2512</v>
      </c>
    </row>
    <row r="15" spans="2:2" x14ac:dyDescent="0.3">
      <c r="B15" t="s">
        <v>2513</v>
      </c>
    </row>
    <row r="16" spans="2:2" x14ac:dyDescent="0.3">
      <c r="B16" t="s">
        <v>2514</v>
      </c>
    </row>
    <row r="17" spans="2:2" x14ac:dyDescent="0.3">
      <c r="B17" t="s">
        <v>2515</v>
      </c>
    </row>
    <row r="18" spans="2:2" x14ac:dyDescent="0.3">
      <c r="B18" t="s">
        <v>2516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DA40F-0642-4FE5-B2E5-B6ADEF94A1C3}">
  <dimension ref="A1"/>
  <sheetViews>
    <sheetView tabSelected="1" zoomScale="96" zoomScaleNormal="96" workbookViewId="0">
      <selection activeCell="F20" sqref="F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Data</vt:lpstr>
      <vt:lpstr>Questions &amp; KPIs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JOYBOY PC®</cp:lastModifiedBy>
  <dcterms:created xsi:type="dcterms:W3CDTF">2025-06-13T02:42:26Z</dcterms:created>
  <dcterms:modified xsi:type="dcterms:W3CDTF">2026-04-08T14:28:30Z</dcterms:modified>
</cp:coreProperties>
</file>